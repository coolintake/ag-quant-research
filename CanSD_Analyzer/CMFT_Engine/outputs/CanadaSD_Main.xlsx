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1" autoFilterDateGrouping="1"/>
  </bookViews>
  <sheets>
    <sheet xmlns:r="http://schemas.openxmlformats.org/officeDocument/2006/relationships" name="Wheat_Mo" sheetId="1" state="visible" r:id="rId1"/>
    <sheet xmlns:r="http://schemas.openxmlformats.org/officeDocument/2006/relationships" name="Wheat_Yr" sheetId="2" state="visible" r:id="rId2"/>
    <sheet xmlns:r="http://schemas.openxmlformats.org/officeDocument/2006/relationships" name="Durum_Yr" sheetId="3" state="visible" r:id="rId3"/>
    <sheet xmlns:r="http://schemas.openxmlformats.org/officeDocument/2006/relationships" name="Canola_Yr" sheetId="4" state="visible" r:id="rId4"/>
    <sheet xmlns:r="http://schemas.openxmlformats.org/officeDocument/2006/relationships" name="Barley_Yr" sheetId="5" state="visible" r:id="rId5"/>
    <sheet xmlns:r="http://schemas.openxmlformats.org/officeDocument/2006/relationships" name="Oats_Yr" sheetId="6" state="visible" r:id="rId6"/>
    <sheet xmlns:r="http://schemas.openxmlformats.org/officeDocument/2006/relationships" name="Soybeans_Mo" sheetId="7" state="visible" r:id="rId7"/>
    <sheet xmlns:r="http://schemas.openxmlformats.org/officeDocument/2006/relationships" name="Soybeans_Yr" sheetId="8" state="visible" r:id="rId8"/>
    <sheet xmlns:r="http://schemas.openxmlformats.org/officeDocument/2006/relationships" name="Dry peas_Yr" sheetId="9" state="visible" r:id="rId9"/>
    <sheet xmlns:r="http://schemas.openxmlformats.org/officeDocument/2006/relationships" name="Lentils_Yr" sheetId="10" state="visible" r:id="rId10"/>
    <sheet xmlns:r="http://schemas.openxmlformats.org/officeDocument/2006/relationships" name="Canola_Mo" sheetId="11" state="visible" r:id="rId11"/>
    <sheet xmlns:r="http://schemas.openxmlformats.org/officeDocument/2006/relationships" name="Barley_Mo" sheetId="12" state="visible" r:id="rId12"/>
    <sheet xmlns:r="http://schemas.openxmlformats.org/officeDocument/2006/relationships" name="Oats_Mo" sheetId="13" state="visible" r:id="rId13"/>
    <sheet xmlns:r="http://schemas.openxmlformats.org/officeDocument/2006/relationships" name="Dry peas_Mo" sheetId="14" state="visible" r:id="rId14"/>
    <sheet xmlns:r="http://schemas.openxmlformats.org/officeDocument/2006/relationships" name="Lentils_Mo" sheetId="15" state="visible" r:id="rId15"/>
    <sheet xmlns:r="http://schemas.openxmlformats.org/officeDocument/2006/relationships" name="Durum_Mo" sheetId="16" state="visible" r:id="rId16"/>
  </sheets>
  <definedNames>
    <definedName name="_xlnm._FilterDatabase" localSheetId="0" hidden="1">'Wheat_Mo'!$A$1:$P$277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%"/>
    <numFmt numFmtId="166" formatCode="0.0"/>
    <numFmt numFmtId="167" formatCode="_-* #,##0_-;\-* #,##0_-;_-* &quot;-&quot;??_-;_-@_-"/>
    <numFmt numFmtId="168" formatCode="#,##0.000"/>
    <numFmt numFmtId="169" formatCode="#,##0.0"/>
  </numFmts>
  <fonts count="17">
    <font>
      <name val="Calibri"/>
      <family val="2"/>
      <color theme="1"/>
      <sz val="11"/>
      <scheme val="minor"/>
    </font>
    <font>
      <name val="Arial"/>
      <b val="1"/>
      <color rgb="FF000000"/>
      <sz val="12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1"/>
    </font>
    <font>
      <name val="Arial"/>
      <b val="1"/>
      <color rgb="FF000000"/>
      <sz val="12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00000000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2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2">
    <xf numFmtId="0" fontId="5" fillId="0" borderId="2"/>
    <xf numFmtId="43" fontId="5" fillId="0" borderId="2"/>
  </cellStyleXfs>
  <cellXfs count="6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164" fontId="3" fillId="3" borderId="1" applyAlignment="1" pivotButton="0" quotePrefix="0" xfId="0">
      <alignment horizontal="right" vertical="center" wrapText="1"/>
    </xf>
    <xf numFmtId="165" fontId="3" fillId="3" borderId="1" applyAlignment="1" pivotButton="0" quotePrefix="0" xfId="0">
      <alignment horizontal="right" vertical="center" wrapText="1"/>
    </xf>
    <xf numFmtId="166" fontId="3" fillId="3" borderId="1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3" fontId="4" fillId="4" borderId="1" applyAlignment="1" pivotButton="0" quotePrefix="0" xfId="0">
      <alignment horizontal="right" vertical="center" wrapText="1"/>
    </xf>
    <xf numFmtId="3" fontId="3" fillId="3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right" vertical="center" wrapText="1"/>
    </xf>
    <xf numFmtId="166" fontId="4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right" vertical="center" wrapText="1"/>
    </xf>
    <xf numFmtId="167" fontId="0" fillId="0" borderId="0" pivotButton="0" quotePrefix="0" xfId="1"/>
    <xf numFmtId="167" fontId="2" fillId="2" borderId="1" applyAlignment="1" pivotButton="0" quotePrefix="0" xfId="1">
      <alignment horizontal="center" vertical="center" wrapText="1"/>
    </xf>
    <xf numFmtId="167" fontId="4" fillId="4" borderId="1" applyAlignment="1" pivotButton="0" quotePrefix="0" xfId="1">
      <alignment horizontal="right" vertical="center" wrapText="1"/>
    </xf>
    <xf numFmtId="167" fontId="4" fillId="4" borderId="2" applyAlignment="1" pivotButton="0" quotePrefix="0" xfId="1">
      <alignment horizontal="center" vertical="center" wrapText="1"/>
    </xf>
    <xf numFmtId="167" fontId="3" fillId="3" borderId="1" applyAlignment="1" pivotButton="0" quotePrefix="0" xfId="1">
      <alignment horizontal="right" vertical="center" wrapText="1"/>
    </xf>
    <xf numFmtId="167" fontId="3" fillId="4" borderId="1" applyAlignment="1" pivotButton="0" quotePrefix="0" xfId="1">
      <alignment horizontal="right" vertical="center" wrapText="1"/>
    </xf>
    <xf numFmtId="0" fontId="8" fillId="5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68" fontId="6" fillId="0" borderId="3" applyAlignment="1" pivotButton="0" quotePrefix="0" xfId="0">
      <alignment horizontal="right" vertical="center"/>
    </xf>
    <xf numFmtId="168" fontId="7" fillId="0" borderId="3" applyAlignment="1" pivotButton="0" quotePrefix="0" xfId="0">
      <alignment horizontal="right" vertical="center"/>
    </xf>
    <xf numFmtId="169" fontId="6" fillId="0" borderId="3" applyAlignment="1" pivotButton="0" quotePrefix="0" xfId="0">
      <alignment horizontal="right" vertical="center"/>
    </xf>
    <xf numFmtId="169" fontId="7" fillId="0" borderId="3" applyAlignment="1" pivotButton="0" quotePrefix="0" xfId="0">
      <alignment horizontal="right" vertical="center"/>
    </xf>
    <xf numFmtId="3" fontId="6" fillId="0" borderId="3" applyAlignment="1" pivotButton="0" quotePrefix="0" xfId="0">
      <alignment horizontal="right" vertical="center"/>
    </xf>
    <xf numFmtId="3" fontId="7" fillId="0" borderId="3" applyAlignment="1" pivotButton="0" quotePrefix="0" xfId="0">
      <alignment horizontal="right" vertical="center"/>
    </xf>
    <xf numFmtId="0" fontId="10" fillId="6" borderId="4" applyAlignment="1" pivotButton="0" quotePrefix="0" xfId="0">
      <alignment horizontal="center" vertical="center" wrapText="1"/>
    </xf>
    <xf numFmtId="0" fontId="11" fillId="7" borderId="4" applyAlignment="1" pivotButton="0" quotePrefix="0" xfId="0">
      <alignment horizontal="center" vertical="center" wrapText="1"/>
    </xf>
    <xf numFmtId="0" fontId="12" fillId="8" borderId="4" applyAlignment="1" pivotButton="0" quotePrefix="0" xfId="0">
      <alignment horizontal="left" vertical="center" indent="1"/>
    </xf>
    <xf numFmtId="164" fontId="12" fillId="8" borderId="4" applyAlignment="1" pivotButton="0" quotePrefix="0" xfId="0">
      <alignment horizontal="right" vertical="center" wrapText="1"/>
    </xf>
    <xf numFmtId="165" fontId="12" fillId="8" borderId="4" applyAlignment="1" pivotButton="0" quotePrefix="0" xfId="0">
      <alignment horizontal="right" vertical="center" wrapText="1"/>
    </xf>
    <xf numFmtId="166" fontId="12" fillId="8" borderId="4" applyAlignment="1" pivotButton="0" quotePrefix="0" xfId="0">
      <alignment horizontal="right" vertical="center" wrapText="1"/>
    </xf>
    <xf numFmtId="0" fontId="11" fillId="7" borderId="4" applyAlignment="1" pivotButton="0" quotePrefix="0" xfId="0">
      <alignment horizontal="left" vertical="center" indent="1"/>
    </xf>
    <xf numFmtId="3" fontId="11" fillId="7" borderId="4" applyAlignment="1" pivotButton="0" quotePrefix="0" xfId="0">
      <alignment horizontal="right" vertical="center" wrapText="1"/>
    </xf>
    <xf numFmtId="3" fontId="12" fillId="8" borderId="4" applyAlignment="1" pivotButton="0" quotePrefix="0" xfId="0">
      <alignment horizontal="right" vertical="center" wrapText="1"/>
    </xf>
    <xf numFmtId="0" fontId="12" fillId="7" borderId="4" applyAlignment="1" pivotButton="0" quotePrefix="0" xfId="0">
      <alignment horizontal="left" vertical="center" indent="1"/>
    </xf>
    <xf numFmtId="0" fontId="12" fillId="7" borderId="4" applyAlignment="1" pivotButton="0" quotePrefix="0" xfId="0">
      <alignment horizontal="center" vertical="center" wrapText="1"/>
    </xf>
    <xf numFmtId="3" fontId="12" fillId="7" borderId="4" applyAlignment="1" pivotButton="0" quotePrefix="0" xfId="0">
      <alignment horizontal="right" vertical="center" wrapText="1"/>
    </xf>
    <xf numFmtId="0" fontId="1" fillId="0" borderId="2" pivotButton="0" quotePrefix="0" xfId="0"/>
    <xf numFmtId="0" fontId="0" fillId="0" borderId="0" pivotButton="0" quotePrefix="0" xfId="0"/>
    <xf numFmtId="0" fontId="9" fillId="0" borderId="0" pivotButton="0" quotePrefix="0" xfId="0"/>
    <xf numFmtId="0" fontId="9" fillId="0" borderId="2" pivotButton="0" quotePrefix="0" xfId="0"/>
    <xf numFmtId="0" fontId="13" fillId="0" borderId="0" pivotButton="0" quotePrefix="0" xfId="0"/>
    <xf numFmtId="0" fontId="14" fillId="9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left" vertical="center" indent="1"/>
    </xf>
    <xf numFmtId="164" fontId="16" fillId="11" borderId="5" applyAlignment="1" pivotButton="0" quotePrefix="0" xfId="0">
      <alignment horizontal="right" vertical="center" wrapText="1"/>
    </xf>
    <xf numFmtId="165" fontId="16" fillId="11" borderId="5" applyAlignment="1" pivotButton="0" quotePrefix="0" xfId="0">
      <alignment horizontal="right" vertical="center" wrapText="1"/>
    </xf>
    <xf numFmtId="166" fontId="16" fillId="11" borderId="5" applyAlignment="1" pivotButton="0" quotePrefix="0" xfId="0">
      <alignment horizontal="right" vertical="center" wrapText="1"/>
    </xf>
    <xf numFmtId="0" fontId="15" fillId="10" borderId="5" applyAlignment="1" pivotButton="0" quotePrefix="0" xfId="0">
      <alignment horizontal="left" vertical="center" indent="1"/>
    </xf>
    <xf numFmtId="3" fontId="15" fillId="10" borderId="5" applyAlignment="1" pivotButton="0" quotePrefix="0" xfId="0">
      <alignment horizontal="right" vertical="center" wrapText="1"/>
    </xf>
    <xf numFmtId="3" fontId="16" fillId="11" borderId="5" applyAlignment="1" pivotButton="0" quotePrefix="0" xfId="0">
      <alignment horizontal="right" vertical="center" wrapText="1"/>
    </xf>
    <xf numFmtId="0" fontId="16" fillId="10" borderId="5" applyAlignment="1" pivotButton="0" quotePrefix="0" xfId="0">
      <alignment horizontal="left" vertical="center" indent="1"/>
    </xf>
    <xf numFmtId="0" fontId="16" fillId="10" borderId="5" applyAlignment="1" pivotButton="0" quotePrefix="0" xfId="0">
      <alignment horizontal="center" vertical="center" wrapText="1"/>
    </xf>
    <xf numFmtId="3" fontId="16" fillId="10" borderId="5" applyAlignment="1" pivotButton="0" quotePrefix="0" xfId="0">
      <alignment horizontal="right" vertical="center" wrapText="1"/>
    </xf>
  </cellXfs>
  <cellStyles count="2">
    <cellStyle name="Normal" xfId="0" builtinId="0"/>
    <cellStyle name="Comma" xfId="1" builtinId="3"/>
  </cellStyles>
  <dxfs count="112"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"/>
  <sheetViews>
    <sheetView workbookViewId="0">
      <pane ySplit="1" topLeftCell="A247" activePane="bottomLeft" state="frozen"/>
      <selection pane="bottomLeft" activeCell="D232" sqref="D232"/>
    </sheetView>
  </sheetViews>
  <sheetFormatPr baseColWidth="8" defaultRowHeight="14.4"/>
  <cols>
    <col width="25" customWidth="1" style="46" min="1" max="1"/>
    <col width="22" customWidth="1" style="46" min="2" max="2"/>
    <col width="12" customWidth="1" style="46" min="3" max="3"/>
    <col width="10" customWidth="1" style="46" min="4" max="15"/>
    <col width="12" customWidth="1" style="46" min="16" max="16"/>
  </cols>
  <sheetData>
    <row r="1" ht="15.6" customHeight="1" s="46">
      <c r="A1" s="23" t="inlineStr">
        <is>
          <t>Commodity</t>
        </is>
      </c>
      <c r="B1" s="23" t="inlineStr">
        <is>
          <t>Metric</t>
        </is>
      </c>
      <c r="C1" s="23" t="inlineStr">
        <is>
          <t>Crop Year</t>
        </is>
      </c>
      <c r="D1" s="23" t="inlineStr">
        <is>
          <t>AUG</t>
        </is>
      </c>
      <c r="E1" s="23" t="inlineStr">
        <is>
          <t>SEP</t>
        </is>
      </c>
      <c r="F1" s="23" t="inlineStr">
        <is>
          <t>OCT</t>
        </is>
      </c>
      <c r="G1" s="23" t="inlineStr">
        <is>
          <t>NOV</t>
        </is>
      </c>
      <c r="H1" s="23" t="inlineStr">
        <is>
          <t>DEC</t>
        </is>
      </c>
      <c r="I1" s="23" t="inlineStr">
        <is>
          <t>JAN</t>
        </is>
      </c>
      <c r="J1" s="23" t="inlineStr">
        <is>
          <t>FEB</t>
        </is>
      </c>
      <c r="K1" s="23" t="inlineStr">
        <is>
          <t>MAR</t>
        </is>
      </c>
      <c r="L1" s="23" t="inlineStr">
        <is>
          <t>APR</t>
        </is>
      </c>
      <c r="M1" s="23" t="inlineStr">
        <is>
          <t>MAY</t>
        </is>
      </c>
      <c r="N1" s="23" t="inlineStr">
        <is>
          <t>JUN</t>
        </is>
      </c>
      <c r="O1" s="23" t="inlineStr">
        <is>
          <t>JUL</t>
        </is>
      </c>
      <c r="P1" s="23" t="inlineStr">
        <is>
          <t>AUG/JUL</t>
        </is>
      </c>
    </row>
    <row r="2">
      <c r="A2" s="24" t="inlineStr">
        <is>
          <t>Wheat, excluding durum</t>
        </is>
      </c>
      <c r="B2" s="25" t="inlineStr">
        <is>
          <t>Planted Area</t>
        </is>
      </c>
      <c r="C2" s="26" t="inlineStr">
        <is>
          <t>02-03</t>
        </is>
      </c>
      <c r="D2" s="27" t="n">
        <v>19.5012</v>
      </c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8">
        <f>D2</f>
        <v/>
      </c>
    </row>
    <row r="3">
      <c r="A3" s="24" t="inlineStr">
        <is>
          <t>Wheat, excluding durum</t>
        </is>
      </c>
      <c r="B3" s="25" t="inlineStr">
        <is>
          <t>Planted Area</t>
        </is>
      </c>
      <c r="C3" s="26" t="inlineStr">
        <is>
          <t>03-04</t>
        </is>
      </c>
      <c r="D3" s="27" t="n">
        <v>19.7719</v>
      </c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28">
        <f>D3</f>
        <v/>
      </c>
    </row>
    <row r="4">
      <c r="A4" s="24" t="inlineStr">
        <is>
          <t>Wheat, excluding durum</t>
        </is>
      </c>
      <c r="B4" s="25" t="inlineStr">
        <is>
          <t>Planted Area</t>
        </is>
      </c>
      <c r="C4" s="26" t="inlineStr">
        <is>
          <t>04-05</t>
        </is>
      </c>
      <c r="D4" s="27" t="n">
        <v>19.1433</v>
      </c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8">
        <f>D4</f>
        <v/>
      </c>
    </row>
    <row r="5">
      <c r="A5" s="24" t="inlineStr">
        <is>
          <t>Wheat, excluding durum</t>
        </is>
      </c>
      <c r="B5" s="25" t="inlineStr">
        <is>
          <t>Planted Area</t>
        </is>
      </c>
      <c r="C5" s="26" t="inlineStr">
        <is>
          <t>05-06</t>
        </is>
      </c>
      <c r="D5" s="27" t="n">
        <v>18.1559</v>
      </c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8">
        <f>D5</f>
        <v/>
      </c>
    </row>
    <row r="6">
      <c r="A6" s="24" t="inlineStr">
        <is>
          <t>Wheat, excluding durum</t>
        </is>
      </c>
      <c r="B6" s="25" t="inlineStr">
        <is>
          <t>Planted Area</t>
        </is>
      </c>
      <c r="C6" s="26" t="inlineStr">
        <is>
          <t>06-07</t>
        </is>
      </c>
      <c r="D6" s="27" t="n">
        <v>20.549875</v>
      </c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8">
        <f>D6</f>
        <v/>
      </c>
    </row>
    <row r="7">
      <c r="A7" s="24" t="inlineStr">
        <is>
          <t>Wheat, excluding durum</t>
        </is>
      </c>
      <c r="B7" s="25" t="inlineStr">
        <is>
          <t>Planted Area</t>
        </is>
      </c>
      <c r="C7" s="26" t="inlineStr">
        <is>
          <t>07-08</t>
        </is>
      </c>
      <c r="D7" s="27" t="n">
        <v>16.9631</v>
      </c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8">
        <f>D7</f>
        <v/>
      </c>
    </row>
    <row r="8">
      <c r="A8" s="24" t="inlineStr">
        <is>
          <t>Wheat, excluding durum</t>
        </is>
      </c>
      <c r="B8" s="25" t="inlineStr">
        <is>
          <t>Planted Area</t>
        </is>
      </c>
      <c r="C8" s="26" t="inlineStr">
        <is>
          <t>08-09</t>
        </is>
      </c>
      <c r="D8" s="27" t="n">
        <v>19.111</v>
      </c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8">
        <f>D8</f>
        <v/>
      </c>
    </row>
    <row r="9">
      <c r="A9" s="24" t="inlineStr">
        <is>
          <t>Wheat, excluding durum</t>
        </is>
      </c>
      <c r="B9" s="25" t="inlineStr">
        <is>
          <t>Planted Area</t>
        </is>
      </c>
      <c r="C9" s="26" t="inlineStr">
        <is>
          <t>09-10</t>
        </is>
      </c>
      <c r="D9" s="27" t="n">
        <v>19.2571</v>
      </c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8">
        <f>D9</f>
        <v/>
      </c>
    </row>
    <row r="10">
      <c r="A10" s="24" t="inlineStr">
        <is>
          <t>Wheat, excluding durum</t>
        </is>
      </c>
      <c r="B10" s="25" t="inlineStr">
        <is>
          <t>Planted Area</t>
        </is>
      </c>
      <c r="C10" s="26" t="inlineStr">
        <is>
          <t>10-11</t>
        </is>
      </c>
      <c r="D10" s="27" t="n">
        <v>17.9841</v>
      </c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8">
        <f>D10</f>
        <v/>
      </c>
    </row>
    <row r="11">
      <c r="A11" s="24" t="inlineStr">
        <is>
          <t>Wheat, excluding durum</t>
        </is>
      </c>
      <c r="B11" s="25" t="inlineStr">
        <is>
          <t>Planted Area</t>
        </is>
      </c>
      <c r="C11" s="26" t="inlineStr">
        <is>
          <t>11-12</t>
        </is>
      </c>
      <c r="D11" s="27" t="n">
        <v>17.551812</v>
      </c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8">
        <f>D11</f>
        <v/>
      </c>
    </row>
    <row r="12">
      <c r="A12" s="24" t="inlineStr">
        <is>
          <t>Wheat, excluding durum</t>
        </is>
      </c>
      <c r="B12" s="25" t="inlineStr">
        <is>
          <t>Planted Area</t>
        </is>
      </c>
      <c r="C12" s="26" t="inlineStr">
        <is>
          <t>12-13</t>
        </is>
      </c>
      <c r="D12" s="27" t="n">
        <v>19.0678</v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>
        <f>D12</f>
        <v/>
      </c>
    </row>
    <row r="13">
      <c r="A13" s="24" t="inlineStr">
        <is>
          <t>Wheat, excluding durum</t>
        </is>
      </c>
      <c r="B13" s="25" t="inlineStr">
        <is>
          <t>Planted Area</t>
        </is>
      </c>
      <c r="C13" s="26" t="inlineStr">
        <is>
          <t>13-14</t>
        </is>
      </c>
      <c r="D13" s="27" t="n">
        <v>21.2865</v>
      </c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8">
        <f>D13</f>
        <v/>
      </c>
    </row>
    <row r="14">
      <c r="A14" s="24" t="inlineStr">
        <is>
          <t>Wheat, excluding durum</t>
        </is>
      </c>
      <c r="B14" s="25" t="inlineStr">
        <is>
          <t>Planted Area</t>
        </is>
      </c>
      <c r="C14" s="26" t="inlineStr">
        <is>
          <t>14-15</t>
        </is>
      </c>
      <c r="D14" s="27" t="n">
        <v>19.6078</v>
      </c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8">
        <f>D14</f>
        <v/>
      </c>
    </row>
    <row r="15">
      <c r="A15" s="24" t="inlineStr">
        <is>
          <t>Wheat, excluding durum</t>
        </is>
      </c>
      <c r="B15" s="25" t="inlineStr">
        <is>
          <t>Planted Area</t>
        </is>
      </c>
      <c r="C15" s="26" t="inlineStr">
        <is>
          <t>15-16</t>
        </is>
      </c>
      <c r="D15" s="27" t="n">
        <v>18.3973</v>
      </c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8">
        <f>D15</f>
        <v/>
      </c>
    </row>
    <row r="16">
      <c r="A16" s="24" t="inlineStr">
        <is>
          <t>Wheat, excluding durum</t>
        </is>
      </c>
      <c r="B16" s="25" t="inlineStr">
        <is>
          <t>Planted Area</t>
        </is>
      </c>
      <c r="C16" s="26" t="inlineStr">
        <is>
          <t>16-17</t>
        </is>
      </c>
      <c r="D16" s="27" t="n">
        <v>17.681097</v>
      </c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8">
        <f>D16</f>
        <v/>
      </c>
    </row>
    <row r="17">
      <c r="A17" s="24" t="inlineStr">
        <is>
          <t>Wheat, excluding durum</t>
        </is>
      </c>
      <c r="B17" s="25" t="inlineStr">
        <is>
          <t>Planted Area</t>
        </is>
      </c>
      <c r="C17" s="26" t="inlineStr">
        <is>
          <t>17-18</t>
        </is>
      </c>
      <c r="D17" s="27" t="n">
        <v>17.3463</v>
      </c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8">
        <f>D17</f>
        <v/>
      </c>
    </row>
    <row r="18">
      <c r="A18" s="24" t="inlineStr">
        <is>
          <t>Wheat, excluding durum</t>
        </is>
      </c>
      <c r="B18" s="25" t="inlineStr">
        <is>
          <t>Planted Area</t>
        </is>
      </c>
      <c r="C18" s="26" t="inlineStr">
        <is>
          <t>18-19</t>
        </is>
      </c>
      <c r="D18" s="27" t="n">
        <v>18.7067</v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>
        <f>D18</f>
        <v/>
      </c>
    </row>
    <row r="19">
      <c r="A19" s="24" t="inlineStr">
        <is>
          <t>Wheat, excluding durum</t>
        </is>
      </c>
      <c r="B19" s="25" t="inlineStr">
        <is>
          <t>Planted Area</t>
        </is>
      </c>
      <c r="C19" s="26" t="inlineStr">
        <is>
          <t>19-20</t>
        </is>
      </c>
      <c r="D19" s="27" t="n">
        <v>20.1276</v>
      </c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8">
        <f>D19</f>
        <v/>
      </c>
    </row>
    <row r="20">
      <c r="A20" s="24" t="inlineStr">
        <is>
          <t>Wheat, excluding durum</t>
        </is>
      </c>
      <c r="B20" s="25" t="inlineStr">
        <is>
          <t>Planted Area</t>
        </is>
      </c>
      <c r="C20" s="26" t="inlineStr">
        <is>
          <t>20-21</t>
        </is>
      </c>
      <c r="D20" s="27" t="n">
        <v>19.501</v>
      </c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8">
        <f>D20</f>
        <v/>
      </c>
    </row>
    <row r="21">
      <c r="A21" s="24" t="inlineStr">
        <is>
          <t>Wheat, excluding durum</t>
        </is>
      </c>
      <c r="B21" s="25" t="inlineStr">
        <is>
          <t>Planted Area</t>
        </is>
      </c>
      <c r="C21" s="26" t="inlineStr">
        <is>
          <t>21-22</t>
        </is>
      </c>
      <c r="D21" s="27" t="n">
        <v>17.718021</v>
      </c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8">
        <f>D21</f>
        <v/>
      </c>
    </row>
    <row r="22">
      <c r="A22" s="24" t="inlineStr">
        <is>
          <t>Wheat, excluding durum</t>
        </is>
      </c>
      <c r="B22" s="25" t="inlineStr">
        <is>
          <t>Planted Area</t>
        </is>
      </c>
      <c r="C22" s="26" t="inlineStr">
        <is>
          <t>22-23</t>
        </is>
      </c>
      <c r="D22" s="27" t="n">
        <v>19.4195</v>
      </c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8">
        <f>D22</f>
        <v/>
      </c>
    </row>
    <row r="23">
      <c r="A23" s="24" t="inlineStr">
        <is>
          <t>Wheat, excluding durum</t>
        </is>
      </c>
      <c r="B23" s="25" t="inlineStr">
        <is>
          <t>Planted Area</t>
        </is>
      </c>
      <c r="C23" s="26" t="inlineStr">
        <is>
          <t>23-24</t>
        </is>
      </c>
      <c r="D23" s="27" t="n">
        <v>21.0167</v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>
        <f>D23</f>
        <v/>
      </c>
    </row>
    <row r="24">
      <c r="A24" s="24" t="inlineStr">
        <is>
          <t>Wheat, excluding durum</t>
        </is>
      </c>
      <c r="B24" s="25" t="inlineStr">
        <is>
          <t>Planted Area</t>
        </is>
      </c>
      <c r="C24" s="26" t="inlineStr">
        <is>
          <t>24-25</t>
        </is>
      </c>
      <c r="D24" s="27" t="n">
        <v>20.4091</v>
      </c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8">
        <f>D24</f>
        <v/>
      </c>
    </row>
    <row r="25">
      <c r="A25" s="24" t="inlineStr">
        <is>
          <t>Wheat, excluding durum</t>
        </is>
      </c>
      <c r="B25" s="25" t="inlineStr">
        <is>
          <t>Harvested Area</t>
        </is>
      </c>
      <c r="C25" s="26" t="inlineStr">
        <is>
          <t>02-03</t>
        </is>
      </c>
      <c r="D25" s="27" t="n">
        <v>15.9745</v>
      </c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8">
        <f>D25</f>
        <v/>
      </c>
    </row>
    <row r="26">
      <c r="A26" s="24" t="inlineStr">
        <is>
          <t>Wheat, excluding durum</t>
        </is>
      </c>
      <c r="B26" s="25" t="inlineStr">
        <is>
          <t>Harvested Area</t>
        </is>
      </c>
      <c r="C26" s="26" t="inlineStr">
        <is>
          <t>03-04</t>
        </is>
      </c>
      <c r="D26" s="27" t="n">
        <v>19.3261</v>
      </c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8">
        <f>D26</f>
        <v/>
      </c>
    </row>
    <row r="27">
      <c r="A27" s="24" t="inlineStr">
        <is>
          <t>Wheat, excluding durum</t>
        </is>
      </c>
      <c r="B27" s="25" t="inlineStr">
        <is>
          <t>Harvested Area</t>
        </is>
      </c>
      <c r="C27" s="26" t="inlineStr">
        <is>
          <t>04-05</t>
        </is>
      </c>
      <c r="D27" s="27" t="n">
        <v>18.1311</v>
      </c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8">
        <f>D27</f>
        <v/>
      </c>
    </row>
    <row r="28">
      <c r="A28" s="24" t="inlineStr">
        <is>
          <t>Wheat, excluding durum</t>
        </is>
      </c>
      <c r="B28" s="25" t="inlineStr">
        <is>
          <t>Harvested Area</t>
        </is>
      </c>
      <c r="C28" s="26" t="inlineStr">
        <is>
          <t>05-06</t>
        </is>
      </c>
      <c r="D28" s="27" t="n">
        <v>17.6074</v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>
        <f>D28</f>
        <v/>
      </c>
    </row>
    <row r="29">
      <c r="A29" s="24" t="inlineStr">
        <is>
          <t>Wheat, excluding durum</t>
        </is>
      </c>
      <c r="B29" s="25" t="inlineStr">
        <is>
          <t>Harvested Area</t>
        </is>
      </c>
      <c r="C29" s="26" t="inlineStr">
        <is>
          <t>06-07</t>
        </is>
      </c>
      <c r="D29" s="27" t="n">
        <v>20.1745</v>
      </c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8">
        <f>D29</f>
        <v/>
      </c>
    </row>
    <row r="30">
      <c r="A30" s="24" t="inlineStr">
        <is>
          <t>Wheat, excluding durum</t>
        </is>
      </c>
      <c r="B30" s="25" t="inlineStr">
        <is>
          <t>Harvested Area</t>
        </is>
      </c>
      <c r="C30" s="26" t="inlineStr">
        <is>
          <t>07-08</t>
        </is>
      </c>
      <c r="D30" s="27" t="n">
        <v>16.5812</v>
      </c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8">
        <f>D30</f>
        <v/>
      </c>
    </row>
    <row r="31">
      <c r="A31" s="24" t="inlineStr">
        <is>
          <t>Wheat, excluding durum</t>
        </is>
      </c>
      <c r="B31" s="25" t="inlineStr">
        <is>
          <t>Harvested Area</t>
        </is>
      </c>
      <c r="C31" s="26" t="inlineStr">
        <is>
          <t>08-09</t>
        </is>
      </c>
      <c r="D31" s="27" t="n">
        <v>18.779</v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8">
        <f>D31</f>
        <v/>
      </c>
    </row>
    <row r="32">
      <c r="A32" s="24" t="inlineStr">
        <is>
          <t>Wheat, excluding durum</t>
        </is>
      </c>
      <c r="B32" s="25" t="inlineStr">
        <is>
          <t>Harvested Area</t>
        </is>
      </c>
      <c r="C32" s="26" t="inlineStr">
        <is>
          <t>09-10</t>
        </is>
      </c>
      <c r="D32" s="27" t="n">
        <v>18.3619</v>
      </c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8">
        <f>D32</f>
        <v/>
      </c>
    </row>
    <row r="33">
      <c r="A33" s="24" t="inlineStr">
        <is>
          <t>Wheat, excluding durum</t>
        </is>
      </c>
      <c r="B33" s="25" t="inlineStr">
        <is>
          <t>Harvested Area</t>
        </is>
      </c>
      <c r="C33" s="26" t="inlineStr">
        <is>
          <t>10-11</t>
        </is>
      </c>
      <c r="D33" s="27" t="n">
        <v>17.426</v>
      </c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8">
        <f>D33</f>
        <v/>
      </c>
    </row>
    <row r="34">
      <c r="A34" s="24" t="inlineStr">
        <is>
          <t>Wheat, excluding durum</t>
        </is>
      </c>
      <c r="B34" s="25" t="inlineStr">
        <is>
          <t>Harvested Area</t>
        </is>
      </c>
      <c r="C34" s="26" t="inlineStr">
        <is>
          <t>11-12</t>
        </is>
      </c>
      <c r="D34" s="27" t="n">
        <v>17.2035</v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>
        <f>D34</f>
        <v/>
      </c>
    </row>
    <row r="35">
      <c r="A35" s="24" t="inlineStr">
        <is>
          <t>Wheat, excluding durum</t>
        </is>
      </c>
      <c r="B35" s="25" t="inlineStr">
        <is>
          <t>Harvested Area</t>
        </is>
      </c>
      <c r="C35" s="26" t="inlineStr">
        <is>
          <t>12-13</t>
        </is>
      </c>
      <c r="D35" s="27" t="n">
        <v>18.8391</v>
      </c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8">
        <f>D35</f>
        <v/>
      </c>
    </row>
    <row r="36">
      <c r="A36" s="24" t="inlineStr">
        <is>
          <t>Wheat, excluding durum</t>
        </is>
      </c>
      <c r="B36" s="25" t="inlineStr">
        <is>
          <t>Harvested Area</t>
        </is>
      </c>
      <c r="C36" s="26" t="inlineStr">
        <is>
          <t>13-14</t>
        </is>
      </c>
      <c r="D36" s="27" t="n">
        <v>20.861</v>
      </c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8">
        <f>D36</f>
        <v/>
      </c>
    </row>
    <row r="37">
      <c r="A37" s="24" t="inlineStr">
        <is>
          <t>Wheat, excluding durum</t>
        </is>
      </c>
      <c r="B37" s="25" t="inlineStr">
        <is>
          <t>Harvested Area</t>
        </is>
      </c>
      <c r="C37" s="26" t="inlineStr">
        <is>
          <t>14-15</t>
        </is>
      </c>
      <c r="D37" s="27" t="n">
        <v>18.9173</v>
      </c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8">
        <f>D37</f>
        <v/>
      </c>
    </row>
    <row r="38">
      <c r="A38" s="24" t="inlineStr">
        <is>
          <t>Wheat, excluding durum</t>
        </is>
      </c>
      <c r="B38" s="25" t="inlineStr">
        <is>
          <t>Harvested Area</t>
        </is>
      </c>
      <c r="C38" s="26" t="inlineStr">
        <is>
          <t>15-16</t>
        </is>
      </c>
      <c r="D38" s="27" t="n">
        <v>17.9002</v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>
        <f>D38</f>
        <v/>
      </c>
    </row>
    <row r="39">
      <c r="A39" s="24" t="inlineStr">
        <is>
          <t>Wheat, excluding durum</t>
        </is>
      </c>
      <c r="B39" s="25" t="inlineStr">
        <is>
          <t>Harvested Area</t>
        </is>
      </c>
      <c r="C39" s="26" t="inlineStr">
        <is>
          <t>16-17</t>
        </is>
      </c>
      <c r="D39" s="27" t="n">
        <v>16.4159</v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>
        <f>D39</f>
        <v/>
      </c>
    </row>
    <row r="40">
      <c r="A40" s="24" t="inlineStr">
        <is>
          <t>Wheat, excluding durum</t>
        </is>
      </c>
      <c r="B40" s="25" t="inlineStr">
        <is>
          <t>Harvested Area</t>
        </is>
      </c>
      <c r="C40" s="26" t="inlineStr">
        <is>
          <t>17-18</t>
        </is>
      </c>
      <c r="D40" s="27" t="n">
        <v>17.0386</v>
      </c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8">
        <f>D40</f>
        <v/>
      </c>
    </row>
    <row r="41">
      <c r="A41" s="24" t="inlineStr">
        <is>
          <t>Wheat, excluding durum</t>
        </is>
      </c>
      <c r="B41" s="25" t="inlineStr">
        <is>
          <t>Harvested Area</t>
        </is>
      </c>
      <c r="C41" s="26" t="inlineStr">
        <is>
          <t>18-19</t>
        </is>
      </c>
      <c r="D41" s="27" t="n">
        <v>18.3487</v>
      </c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8">
        <f>D41</f>
        <v/>
      </c>
    </row>
    <row r="42">
      <c r="A42" s="24" t="inlineStr">
        <is>
          <t>Wheat, excluding durum</t>
        </is>
      </c>
      <c r="B42" s="25" t="inlineStr">
        <is>
          <t>Harvested Area</t>
        </is>
      </c>
      <c r="C42" s="26" t="inlineStr">
        <is>
          <t>19-20</t>
        </is>
      </c>
      <c r="D42" s="27" t="n">
        <v>19.1602</v>
      </c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8">
        <f>D42</f>
        <v/>
      </c>
    </row>
    <row r="43">
      <c r="A43" s="24" t="inlineStr">
        <is>
          <t>Wheat, excluding durum</t>
        </is>
      </c>
      <c r="B43" s="25" t="inlineStr">
        <is>
          <t>Harvested Area</t>
        </is>
      </c>
      <c r="C43" s="26" t="inlineStr">
        <is>
          <t>20-21</t>
        </is>
      </c>
      <c r="D43" s="27" t="n">
        <v>19.0832</v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8">
        <f>D43</f>
        <v/>
      </c>
    </row>
    <row r="44">
      <c r="A44" s="24" t="inlineStr">
        <is>
          <t>Wheat, excluding durum</t>
        </is>
      </c>
      <c r="B44" s="25" t="inlineStr">
        <is>
          <t>Harvested Area</t>
        </is>
      </c>
      <c r="C44" s="26" t="inlineStr">
        <is>
          <t>21-22</t>
        </is>
      </c>
      <c r="D44" s="27" t="n">
        <v>17.218082</v>
      </c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8">
        <f>D44</f>
        <v/>
      </c>
    </row>
    <row r="45">
      <c r="A45" s="24" t="inlineStr">
        <is>
          <t>Wheat, excluding durum</t>
        </is>
      </c>
      <c r="B45" s="25" t="inlineStr">
        <is>
          <t>Harvested Area</t>
        </is>
      </c>
      <c r="C45" s="26" t="inlineStr">
        <is>
          <t>22-23</t>
        </is>
      </c>
      <c r="D45" s="27" t="n">
        <v>19.0551</v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8">
        <f>D45</f>
        <v/>
      </c>
    </row>
    <row r="46">
      <c r="A46" s="24" t="inlineStr">
        <is>
          <t>Wheat, excluding durum</t>
        </is>
      </c>
      <c r="B46" s="25" t="inlineStr">
        <is>
          <t>Harvested Area</t>
        </is>
      </c>
      <c r="C46" s="26" t="inlineStr">
        <is>
          <t>23-24</t>
        </is>
      </c>
      <c r="D46" s="27" t="n">
        <v>20.5696</v>
      </c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8">
        <f>D46</f>
        <v/>
      </c>
    </row>
    <row r="47">
      <c r="A47" s="24" t="inlineStr">
        <is>
          <t>Wheat, excluding durum</t>
        </is>
      </c>
      <c r="B47" s="25" t="inlineStr">
        <is>
          <t>Harvested Area</t>
        </is>
      </c>
      <c r="C47" s="26" t="inlineStr">
        <is>
          <t>24-25</t>
        </is>
      </c>
      <c r="D47" s="27" t="n">
        <v>19.9824</v>
      </c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8">
        <f>D47</f>
        <v/>
      </c>
    </row>
    <row r="48">
      <c r="A48" s="24" t="inlineStr">
        <is>
          <t>Wheat, excluding durum</t>
        </is>
      </c>
      <c r="B48" s="25" t="inlineStr">
        <is>
          <t>Yield</t>
        </is>
      </c>
      <c r="C48" s="26" t="inlineStr">
        <is>
          <t>02-03</t>
        </is>
      </c>
      <c r="D48" s="29" t="n">
        <v>27.7958977295064</v>
      </c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30">
        <f>D48</f>
        <v/>
      </c>
    </row>
    <row r="49">
      <c r="A49" s="24" t="inlineStr">
        <is>
          <t>Wheat, excluding durum</t>
        </is>
      </c>
      <c r="B49" s="25" t="inlineStr">
        <is>
          <t>Yield</t>
        </is>
      </c>
      <c r="C49" s="26" t="inlineStr">
        <is>
          <t>03-04</t>
        </is>
      </c>
      <c r="D49" s="29" t="n">
        <v>35.81379983028133</v>
      </c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30">
        <f>D49</f>
        <v/>
      </c>
    </row>
    <row r="50">
      <c r="A50" s="24" t="inlineStr">
        <is>
          <t>Wheat, excluding durum</t>
        </is>
      </c>
      <c r="B50" s="25" t="inlineStr">
        <is>
          <t>Yield</t>
        </is>
      </c>
      <c r="C50" s="26" t="inlineStr">
        <is>
          <t>04-05</t>
        </is>
      </c>
      <c r="D50" s="29" t="n">
        <v>40.51917490775518</v>
      </c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30">
        <f>D50</f>
        <v/>
      </c>
    </row>
    <row r="51">
      <c r="A51" s="24" t="inlineStr">
        <is>
          <t>Wheat, excluding durum</t>
        </is>
      </c>
      <c r="B51" s="25" t="inlineStr">
        <is>
          <t>Yield</t>
        </is>
      </c>
      <c r="C51" s="26" t="inlineStr">
        <is>
          <t>05-06</t>
        </is>
      </c>
      <c r="D51" s="29" t="n">
        <v>41.38919851596487</v>
      </c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30">
        <f>D51</f>
        <v/>
      </c>
    </row>
    <row r="52">
      <c r="A52" s="24" t="inlineStr">
        <is>
          <t>Wheat, excluding durum</t>
        </is>
      </c>
      <c r="B52" s="25" t="inlineStr">
        <is>
          <t>Yield</t>
        </is>
      </c>
      <c r="C52" s="26" t="inlineStr">
        <is>
          <t>06-07</t>
        </is>
      </c>
      <c r="D52" s="29" t="n">
        <v>39.92131200475848</v>
      </c>
      <c r="E52" s="29" t="n"/>
      <c r="F52" s="29" t="n"/>
      <c r="G52" s="29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30">
        <f>D52</f>
        <v/>
      </c>
    </row>
    <row r="53">
      <c r="A53" s="24" t="inlineStr">
        <is>
          <t>Wheat, excluding durum</t>
        </is>
      </c>
      <c r="B53" s="25" t="inlineStr">
        <is>
          <t>Yield</t>
        </is>
      </c>
      <c r="C53" s="26" t="inlineStr">
        <is>
          <t>07-08</t>
        </is>
      </c>
      <c r="D53" s="29" t="n">
        <v>36.36210728415314</v>
      </c>
      <c r="E53" s="29" t="n"/>
      <c r="F53" s="29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30">
        <f>D53</f>
        <v/>
      </c>
    </row>
    <row r="54">
      <c r="A54" s="24" t="inlineStr">
        <is>
          <t>Wheat, excluding durum</t>
        </is>
      </c>
      <c r="B54" s="25" t="inlineStr">
        <is>
          <t>Yield</t>
        </is>
      </c>
      <c r="C54" s="26" t="inlineStr">
        <is>
          <t>08-09</t>
        </is>
      </c>
      <c r="D54" s="29" t="n">
        <v>45.19813598327919</v>
      </c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30">
        <f>D54</f>
        <v/>
      </c>
    </row>
    <row r="55">
      <c r="A55" s="24" t="inlineStr">
        <is>
          <t>Wheat, excluding durum</t>
        </is>
      </c>
      <c r="B55" s="25" t="inlineStr">
        <is>
          <t>Yield</t>
        </is>
      </c>
      <c r="C55" s="26" t="inlineStr">
        <is>
          <t>09-10</t>
        </is>
      </c>
      <c r="D55" s="29" t="n">
        <v>43.12395547900816</v>
      </c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30">
        <f>D55</f>
        <v/>
      </c>
    </row>
    <row r="56">
      <c r="A56" s="24" t="inlineStr">
        <is>
          <t>Wheat, excluding durum</t>
        </is>
      </c>
      <c r="B56" s="25" t="inlineStr">
        <is>
          <t>Yield</t>
        </is>
      </c>
      <c r="C56" s="26" t="inlineStr">
        <is>
          <t>10-11</t>
        </is>
      </c>
      <c r="D56" s="29" t="n">
        <v>42.75076570239872</v>
      </c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30">
        <f>D56</f>
        <v/>
      </c>
    </row>
    <row r="57">
      <c r="A57" s="24" t="inlineStr">
        <is>
          <t>Wheat, excluding durum</t>
        </is>
      </c>
      <c r="B57" s="25" t="inlineStr">
        <is>
          <t>Yield</t>
        </is>
      </c>
      <c r="C57" s="26" t="inlineStr">
        <is>
          <t>11-12</t>
        </is>
      </c>
      <c r="D57" s="29" t="n">
        <v>45.09990960153457</v>
      </c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30">
        <f>D57</f>
        <v/>
      </c>
    </row>
    <row r="58">
      <c r="A58" s="24" t="inlineStr">
        <is>
          <t>Wheat, excluding durum</t>
        </is>
      </c>
      <c r="B58" s="25" t="inlineStr">
        <is>
          <t>Yield</t>
        </is>
      </c>
      <c r="C58" s="26" t="inlineStr">
        <is>
          <t>12-13</t>
        </is>
      </c>
      <c r="D58" s="29" t="n">
        <v>44.11678093857986</v>
      </c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30">
        <f>D58</f>
        <v/>
      </c>
    </row>
    <row r="59">
      <c r="A59" s="24" t="inlineStr">
        <is>
          <t>Wheat, excluding durum</t>
        </is>
      </c>
      <c r="B59" s="25" t="inlineStr">
        <is>
          <t>Yield</t>
        </is>
      </c>
      <c r="C59" s="26" t="inlineStr">
        <is>
          <t>13-14</t>
        </is>
      </c>
      <c r="D59" s="29" t="n">
        <v>54.75112492306217</v>
      </c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30">
        <f>D59</f>
        <v/>
      </c>
    </row>
    <row r="60">
      <c r="A60" s="24" t="inlineStr">
        <is>
          <t>Wheat, excluding durum</t>
        </is>
      </c>
      <c r="B60" s="25" t="inlineStr">
        <is>
          <t>Yield</t>
        </is>
      </c>
      <c r="C60" s="26" t="inlineStr">
        <is>
          <t>14-15</t>
        </is>
      </c>
      <c r="D60" s="29" t="n">
        <v>47.10041489958926</v>
      </c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30">
        <f>D60</f>
        <v/>
      </c>
    </row>
    <row r="61">
      <c r="A61" s="24" t="inlineStr">
        <is>
          <t>Wheat, excluding durum</t>
        </is>
      </c>
      <c r="B61" s="25" t="inlineStr">
        <is>
          <t>Yield</t>
        </is>
      </c>
      <c r="C61" s="26" t="inlineStr">
        <is>
          <t>15-16</t>
        </is>
      </c>
      <c r="D61" s="29" t="n">
        <v>45.69038307896001</v>
      </c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30">
        <f>D61</f>
        <v/>
      </c>
    </row>
    <row r="62">
      <c r="A62" s="24" t="inlineStr">
        <is>
          <t>Wheat, excluding durum</t>
        </is>
      </c>
      <c r="B62" s="25" t="inlineStr">
        <is>
          <t>Yield</t>
        </is>
      </c>
      <c r="C62" s="26" t="inlineStr">
        <is>
          <t>16-17</t>
        </is>
      </c>
      <c r="D62" s="29" t="n">
        <v>54.56548790928307</v>
      </c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30">
        <f>D62</f>
        <v/>
      </c>
    </row>
    <row r="63">
      <c r="A63" s="24" t="inlineStr">
        <is>
          <t>Wheat, excluding durum</t>
        </is>
      </c>
      <c r="B63" s="25" t="inlineStr">
        <is>
          <t>Yield</t>
        </is>
      </c>
      <c r="C63" s="26" t="inlineStr">
        <is>
          <t>17-18</t>
        </is>
      </c>
      <c r="D63" s="29" t="n">
        <v>54.80760214278168</v>
      </c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30">
        <f>D63</f>
        <v/>
      </c>
    </row>
    <row r="64">
      <c r="A64" s="24" t="inlineStr">
        <is>
          <t>Wheat, excluding durum</t>
        </is>
      </c>
      <c r="B64" s="25" t="inlineStr">
        <is>
          <t>Yield</t>
        </is>
      </c>
      <c r="C64" s="26" t="inlineStr">
        <is>
          <t>18-19</t>
        </is>
      </c>
      <c r="D64" s="29" t="n">
        <v>53.20123781357807</v>
      </c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30">
        <f>D64</f>
        <v/>
      </c>
    </row>
    <row r="65">
      <c r="A65" s="24" t="inlineStr">
        <is>
          <t>Wheat, excluding durum</t>
        </is>
      </c>
      <c r="B65" s="25" t="inlineStr">
        <is>
          <t>Yield</t>
        </is>
      </c>
      <c r="C65" s="26" t="inlineStr">
        <is>
          <t>19-20</t>
        </is>
      </c>
      <c r="D65" s="29" t="n">
        <v>53.03004078036764</v>
      </c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30">
        <f>D65</f>
        <v/>
      </c>
    </row>
    <row r="66">
      <c r="A66" s="24" t="inlineStr">
        <is>
          <t>Wheat, excluding durum</t>
        </is>
      </c>
      <c r="B66" s="25" t="inlineStr">
        <is>
          <t>Yield</t>
        </is>
      </c>
      <c r="C66" s="26" t="inlineStr">
        <is>
          <t>20-21</t>
        </is>
      </c>
      <c r="D66" s="29" t="n">
        <v>55.57996794038736</v>
      </c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30">
        <f>D66</f>
        <v/>
      </c>
    </row>
    <row r="67">
      <c r="A67" s="24" t="inlineStr">
        <is>
          <t>Wheat, excluding durum</t>
        </is>
      </c>
      <c r="B67" s="25" t="inlineStr">
        <is>
          <t>Yield</t>
        </is>
      </c>
      <c r="C67" s="26" t="inlineStr">
        <is>
          <t>21-22</t>
        </is>
      </c>
      <c r="D67" s="29" t="n">
        <v>41.37788692968241</v>
      </c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30">
        <f>D67</f>
        <v/>
      </c>
    </row>
    <row r="68">
      <c r="A68" s="24" t="inlineStr">
        <is>
          <t>Wheat, excluding durum</t>
        </is>
      </c>
      <c r="B68" s="25" t="inlineStr">
        <is>
          <t>Yield</t>
        </is>
      </c>
      <c r="C68" s="26" t="inlineStr">
        <is>
          <t>22-23</t>
        </is>
      </c>
      <c r="D68" s="29" t="n">
        <v>56.09080424686304</v>
      </c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30">
        <f>D68</f>
        <v/>
      </c>
    </row>
    <row r="69">
      <c r="A69" s="24" t="inlineStr">
        <is>
          <t>Wheat, excluding durum</t>
        </is>
      </c>
      <c r="B69" s="25" t="inlineStr">
        <is>
          <t>Yield</t>
        </is>
      </c>
      <c r="C69" s="26" t="inlineStr">
        <is>
          <t>23-24</t>
        </is>
      </c>
      <c r="D69" s="29" t="n">
        <v>52.10072527075879</v>
      </c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30">
        <f>D69</f>
        <v/>
      </c>
    </row>
    <row r="70">
      <c r="A70" s="24" t="inlineStr">
        <is>
          <t>Wheat, excluding durum</t>
        </is>
      </c>
      <c r="B70" s="25" t="inlineStr">
        <is>
          <t>Yield</t>
        </is>
      </c>
      <c r="C70" s="26" t="inlineStr">
        <is>
          <t>24-25</t>
        </is>
      </c>
      <c r="D70" s="29" t="n">
        <v>54.3523087838548</v>
      </c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30">
        <f>D70</f>
        <v/>
      </c>
    </row>
    <row r="71">
      <c r="A71" s="24" t="inlineStr">
        <is>
          <t>Wheat, excluding durum</t>
        </is>
      </c>
      <c r="B71" s="25" t="inlineStr">
        <is>
          <t>Production</t>
        </is>
      </c>
      <c r="C71" s="26" t="inlineStr">
        <is>
          <t>02-03</t>
        </is>
      </c>
      <c r="D71" s="31" t="n">
        <v>12084.4</v>
      </c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2">
        <f>D71</f>
        <v/>
      </c>
    </row>
    <row r="72">
      <c r="A72" s="24" t="inlineStr">
        <is>
          <t>Wheat, excluding durum</t>
        </is>
      </c>
      <c r="B72" s="25" t="inlineStr">
        <is>
          <t>Production</t>
        </is>
      </c>
      <c r="C72" s="26" t="inlineStr">
        <is>
          <t>03-04</t>
        </is>
      </c>
      <c r="D72" s="31" t="n">
        <v>18837</v>
      </c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2">
        <f>D72</f>
        <v/>
      </c>
    </row>
    <row r="73">
      <c r="A73" s="24" t="inlineStr">
        <is>
          <t>Wheat, excluding durum</t>
        </is>
      </c>
      <c r="B73" s="25" t="inlineStr">
        <is>
          <t>Production</t>
        </is>
      </c>
      <c r="C73" s="26" t="inlineStr">
        <is>
          <t>04-05</t>
        </is>
      </c>
      <c r="D73" s="31" t="n">
        <v>19994.1</v>
      </c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2">
        <f>D73</f>
        <v/>
      </c>
    </row>
    <row r="74">
      <c r="A74" s="24" t="inlineStr">
        <is>
          <t>Wheat, excluding durum</t>
        </is>
      </c>
      <c r="B74" s="25" t="inlineStr">
        <is>
          <t>Production</t>
        </is>
      </c>
      <c r="C74" s="26" t="inlineStr">
        <is>
          <t>05-06</t>
        </is>
      </c>
      <c r="D74" s="31" t="n">
        <v>19833.5</v>
      </c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2">
        <f>D74</f>
        <v/>
      </c>
    </row>
    <row r="75">
      <c r="A75" s="24" t="inlineStr">
        <is>
          <t>Wheat, excluding durum</t>
        </is>
      </c>
      <c r="B75" s="25" t="inlineStr">
        <is>
          <t>Production</t>
        </is>
      </c>
      <c r="C75" s="26" t="inlineStr">
        <is>
          <t>06-07</t>
        </is>
      </c>
      <c r="D75" s="31" t="n">
        <v>21919.2</v>
      </c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2">
        <f>D75</f>
        <v/>
      </c>
    </row>
    <row r="76">
      <c r="A76" s="24" t="inlineStr">
        <is>
          <t>Wheat, excluding durum</t>
        </is>
      </c>
      <c r="B76" s="25" t="inlineStr">
        <is>
          <t>Production</t>
        </is>
      </c>
      <c r="C76" s="26" t="inlineStr">
        <is>
          <t>07-08</t>
        </is>
      </c>
      <c r="D76" s="31" t="n">
        <v>16409</v>
      </c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2">
        <f>D76</f>
        <v/>
      </c>
    </row>
    <row r="77">
      <c r="A77" s="24" t="inlineStr">
        <is>
          <t>Wheat, excluding durum</t>
        </is>
      </c>
      <c r="B77" s="25" t="inlineStr">
        <is>
          <t>Production</t>
        </is>
      </c>
      <c r="C77" s="26" t="inlineStr">
        <is>
          <t>08-09</t>
        </is>
      </c>
      <c r="D77" s="31" t="n">
        <v>23099.9</v>
      </c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2">
        <f>D77</f>
        <v/>
      </c>
    </row>
    <row r="78">
      <c r="A78" s="24" t="inlineStr">
        <is>
          <t>Wheat, excluding durum</t>
        </is>
      </c>
      <c r="B78" s="25" t="inlineStr">
        <is>
          <t>Production</t>
        </is>
      </c>
      <c r="C78" s="26" t="inlineStr">
        <is>
          <t>09-10</t>
        </is>
      </c>
      <c r="D78" s="31" t="n">
        <v>21550.3</v>
      </c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2">
        <f>D78</f>
        <v/>
      </c>
    </row>
    <row r="79">
      <c r="A79" s="24" t="inlineStr">
        <is>
          <t>Wheat, excluding durum</t>
        </is>
      </c>
      <c r="B79" s="25" t="inlineStr">
        <is>
          <t>Production</t>
        </is>
      </c>
      <c r="C79" s="26" t="inlineStr">
        <is>
          <t>10-11</t>
        </is>
      </c>
      <c r="D79" s="31" t="n">
        <v>20274.9</v>
      </c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2">
        <f>D79</f>
        <v/>
      </c>
    </row>
    <row r="80">
      <c r="A80" s="24" t="inlineStr">
        <is>
          <t>Wheat, excluding durum</t>
        </is>
      </c>
      <c r="B80" s="25" t="inlineStr">
        <is>
          <t>Production</t>
        </is>
      </c>
      <c r="C80" s="26" t="inlineStr">
        <is>
          <t>11-12</t>
        </is>
      </c>
      <c r="D80" s="31" t="n">
        <v>21115.9</v>
      </c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2">
        <f>D80</f>
        <v/>
      </c>
    </row>
    <row r="81">
      <c r="A81" s="24" t="inlineStr">
        <is>
          <t>Wheat, excluding durum</t>
        </is>
      </c>
      <c r="B81" s="25" t="inlineStr">
        <is>
          <t>Production</t>
        </is>
      </c>
      <c r="C81" s="26" t="inlineStr">
        <is>
          <t>12-13</t>
        </is>
      </c>
      <c r="D81" s="31" t="n">
        <v>22619.4</v>
      </c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2">
        <f>D81</f>
        <v/>
      </c>
    </row>
    <row r="82">
      <c r="A82" s="24" t="inlineStr">
        <is>
          <t>Wheat, excluding durum</t>
        </is>
      </c>
      <c r="B82" s="25" t="inlineStr">
        <is>
          <t>Production</t>
        </is>
      </c>
      <c r="C82" s="26" t="inlineStr">
        <is>
          <t>13-14</t>
        </is>
      </c>
      <c r="D82" s="31" t="n">
        <v>31084.6</v>
      </c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2">
        <f>D82</f>
        <v/>
      </c>
    </row>
    <row r="83">
      <c r="A83" s="24" t="inlineStr">
        <is>
          <t>Wheat, excluding durum</t>
        </is>
      </c>
      <c r="B83" s="25" t="inlineStr">
        <is>
          <t>Production</t>
        </is>
      </c>
      <c r="C83" s="26" t="inlineStr">
        <is>
          <t>14-15</t>
        </is>
      </c>
      <c r="D83" s="31" t="n">
        <v>24249.4</v>
      </c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2">
        <f>D83</f>
        <v/>
      </c>
    </row>
    <row r="84">
      <c r="A84" s="24" t="inlineStr">
        <is>
          <t>Wheat, excluding durum</t>
        </is>
      </c>
      <c r="B84" s="25" t="inlineStr">
        <is>
          <t>Production</t>
        </is>
      </c>
      <c r="C84" s="26" t="inlineStr">
        <is>
          <t>15-16</t>
        </is>
      </c>
      <c r="D84" s="31" t="n">
        <v>22258.7</v>
      </c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2">
        <f>D84</f>
        <v/>
      </c>
    </row>
    <row r="85">
      <c r="A85" s="24" t="inlineStr">
        <is>
          <t>Wheat, excluding durum</t>
        </is>
      </c>
      <c r="B85" s="25" t="inlineStr">
        <is>
          <t>Production</t>
        </is>
      </c>
      <c r="C85" s="26" t="inlineStr">
        <is>
          <t>16-17</t>
        </is>
      </c>
      <c r="D85" s="31" t="n">
        <v>24378.1</v>
      </c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2">
        <f>D85</f>
        <v/>
      </c>
    </row>
    <row r="86">
      <c r="A86" s="24" t="inlineStr">
        <is>
          <t>Wheat, excluding durum</t>
        </is>
      </c>
      <c r="B86" s="25" t="inlineStr">
        <is>
          <t>Production</t>
        </is>
      </c>
      <c r="C86" s="26" t="inlineStr">
        <is>
          <t>17-18</t>
        </is>
      </c>
      <c r="D86" s="31" t="n">
        <v>25415.1</v>
      </c>
      <c r="E86" s="31" t="n"/>
      <c r="F86" s="31" t="n"/>
      <c r="G86" s="31" t="n"/>
      <c r="H86" s="31" t="n"/>
      <c r="I86" s="31" t="n"/>
      <c r="J86" s="31" t="n"/>
      <c r="K86" s="31" t="n"/>
      <c r="L86" s="31" t="n"/>
      <c r="M86" s="31" t="n"/>
      <c r="N86" s="31" t="n"/>
      <c r="O86" s="31" t="n"/>
      <c r="P86" s="32">
        <f>D86</f>
        <v/>
      </c>
    </row>
    <row r="87">
      <c r="A87" s="24" t="inlineStr">
        <is>
          <t>Wheat, excluding durum</t>
        </is>
      </c>
      <c r="B87" s="25" t="inlineStr">
        <is>
          <t>Production</t>
        </is>
      </c>
      <c r="C87" s="26" t="inlineStr">
        <is>
          <t>18-19</t>
        </is>
      </c>
      <c r="D87" s="31" t="n">
        <v>26567.1</v>
      </c>
      <c r="E87" s="31" t="n"/>
      <c r="F87" s="31" t="n"/>
      <c r="G87" s="31" t="n"/>
      <c r="H87" s="31" t="n"/>
      <c r="I87" s="31" t="n"/>
      <c r="J87" s="31" t="n"/>
      <c r="K87" s="31" t="n"/>
      <c r="L87" s="31" t="n"/>
      <c r="M87" s="31" t="n"/>
      <c r="N87" s="31" t="n"/>
      <c r="O87" s="31" t="n"/>
      <c r="P87" s="32">
        <f>D87</f>
        <v/>
      </c>
    </row>
    <row r="88">
      <c r="A88" s="24" t="inlineStr">
        <is>
          <t>Wheat, excluding durum</t>
        </is>
      </c>
      <c r="B88" s="25" t="inlineStr">
        <is>
          <t>Production</t>
        </is>
      </c>
      <c r="C88" s="26" t="inlineStr">
        <is>
          <t>19-20</t>
        </is>
      </c>
      <c r="D88" s="31" t="n">
        <v>27652.8</v>
      </c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31" t="n"/>
      <c r="O88" s="31" t="n"/>
      <c r="P88" s="32">
        <f>D88</f>
        <v/>
      </c>
    </row>
    <row r="89">
      <c r="A89" s="24" t="inlineStr">
        <is>
          <t>Wheat, excluding durum</t>
        </is>
      </c>
      <c r="B89" s="25" t="inlineStr">
        <is>
          <t>Production</t>
        </is>
      </c>
      <c r="C89" s="26" t="inlineStr">
        <is>
          <t>20-21</t>
        </is>
      </c>
      <c r="D89" s="31" t="n">
        <v>28866</v>
      </c>
      <c r="E89" s="31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31" t="n"/>
      <c r="O89" s="31" t="n"/>
      <c r="P89" s="32">
        <f>D89</f>
        <v/>
      </c>
    </row>
    <row r="90">
      <c r="A90" s="24" t="inlineStr">
        <is>
          <t>Wheat, excluding durum</t>
        </is>
      </c>
      <c r="B90" s="25" t="inlineStr">
        <is>
          <t>Production</t>
        </is>
      </c>
      <c r="C90" s="26" t="inlineStr">
        <is>
          <t>21-22</t>
        </is>
      </c>
      <c r="D90" s="31" t="n">
        <v>19389.66</v>
      </c>
      <c r="E90" s="31" t="n"/>
      <c r="F90" s="31" t="n"/>
      <c r="G90" s="31" t="n"/>
      <c r="H90" s="31" t="n"/>
      <c r="I90" s="31" t="n"/>
      <c r="J90" s="31" t="n"/>
      <c r="K90" s="31" t="n"/>
      <c r="L90" s="31" t="n"/>
      <c r="M90" s="31" t="n"/>
      <c r="N90" s="31" t="n"/>
      <c r="O90" s="31" t="n"/>
      <c r="P90" s="32">
        <f>D90</f>
        <v/>
      </c>
    </row>
    <row r="91">
      <c r="A91" s="24" t="inlineStr">
        <is>
          <t>Wheat, excluding durum</t>
        </is>
      </c>
      <c r="B91" s="25" t="inlineStr">
        <is>
          <t>Production</t>
        </is>
      </c>
      <c r="C91" s="26" t="inlineStr">
        <is>
          <t>22-23</t>
        </is>
      </c>
      <c r="D91" s="31" t="n">
        <v>29088.412</v>
      </c>
      <c r="E91" s="31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31" t="n"/>
      <c r="O91" s="31" t="n"/>
      <c r="P91" s="32">
        <f>D91</f>
        <v/>
      </c>
    </row>
    <row r="92">
      <c r="A92" s="24" t="inlineStr">
        <is>
          <t>Wheat, excluding durum</t>
        </is>
      </c>
      <c r="B92" s="25" t="inlineStr">
        <is>
          <t>Production</t>
        </is>
      </c>
      <c r="C92" s="26" t="inlineStr">
        <is>
          <t>23-24</t>
        </is>
      </c>
      <c r="D92" s="31" t="n">
        <v>29166.662</v>
      </c>
      <c r="E92" s="31" t="n"/>
      <c r="F92" s="31" t="n"/>
      <c r="G92" s="31" t="n"/>
      <c r="H92" s="31" t="n"/>
      <c r="I92" s="31" t="n"/>
      <c r="J92" s="31" t="n"/>
      <c r="K92" s="31" t="n"/>
      <c r="L92" s="31" t="n"/>
      <c r="M92" s="31" t="n"/>
      <c r="N92" s="31" t="n"/>
      <c r="O92" s="31" t="n"/>
      <c r="P92" s="32">
        <f>D92</f>
        <v/>
      </c>
    </row>
    <row r="93">
      <c r="A93" s="24" t="inlineStr">
        <is>
          <t>Wheat, excluding durum</t>
        </is>
      </c>
      <c r="B93" s="25" t="inlineStr">
        <is>
          <t>Production</t>
        </is>
      </c>
      <c r="C93" s="26" t="inlineStr">
        <is>
          <t>24-25</t>
        </is>
      </c>
      <c r="D93" s="31" t="n">
        <v>29558.525</v>
      </c>
      <c r="E93" s="31" t="n"/>
      <c r="F93" s="31" t="n"/>
      <c r="G93" s="31" t="n"/>
      <c r="H93" s="31" t="n"/>
      <c r="I93" s="31" t="n"/>
      <c r="J93" s="31" t="n"/>
      <c r="K93" s="31" t="n"/>
      <c r="L93" s="31" t="n"/>
      <c r="M93" s="31" t="n"/>
      <c r="N93" s="31" t="n"/>
      <c r="O93" s="31" t="n"/>
      <c r="P93" s="32">
        <f>D93</f>
        <v/>
      </c>
    </row>
    <row r="94">
      <c r="A94" s="24" t="inlineStr">
        <is>
          <t>Wheat, excluding durum</t>
        </is>
      </c>
      <c r="B94" s="25" t="inlineStr">
        <is>
          <t>Exports</t>
        </is>
      </c>
      <c r="C94" s="26" t="inlineStr">
        <is>
          <t>02-03</t>
        </is>
      </c>
      <c r="D94" s="31" t="n">
        <v>557.6</v>
      </c>
      <c r="E94" s="31" t="n">
        <v>557.6</v>
      </c>
      <c r="F94" s="31" t="n">
        <v>557.6</v>
      </c>
      <c r="G94" s="31" t="n">
        <v>557.6</v>
      </c>
      <c r="H94" s="31" t="n">
        <v>557.6</v>
      </c>
      <c r="I94" s="31" t="n">
        <v>349.2666666666667</v>
      </c>
      <c r="J94" s="31" t="n">
        <v>349.2666666666667</v>
      </c>
      <c r="K94" s="31" t="n">
        <v>349.2666666666667</v>
      </c>
      <c r="L94" s="31" t="n">
        <v>596.8499999999999</v>
      </c>
      <c r="M94" s="31" t="n">
        <v>596.8499999999999</v>
      </c>
      <c r="N94" s="31" t="n">
        <v>596.8499999999999</v>
      </c>
      <c r="O94" s="31" t="n">
        <v>596.8499999999999</v>
      </c>
      <c r="P94" s="32">
        <f>SUM(D94:O94)</f>
        <v/>
      </c>
    </row>
    <row r="95">
      <c r="A95" s="24" t="inlineStr">
        <is>
          <t>Wheat, excluding durum</t>
        </is>
      </c>
      <c r="B95" s="25" t="inlineStr">
        <is>
          <t>Exports</t>
        </is>
      </c>
      <c r="C95" s="26" t="inlineStr">
        <is>
          <t>03-04</t>
        </is>
      </c>
      <c r="D95" s="31" t="n">
        <v>1012.5</v>
      </c>
      <c r="E95" s="31" t="n">
        <v>1012.5</v>
      </c>
      <c r="F95" s="31" t="n">
        <v>1012.5</v>
      </c>
      <c r="G95" s="31" t="n">
        <v>1012.5</v>
      </c>
      <c r="H95" s="31" t="n">
        <v>1012.5</v>
      </c>
      <c r="I95" s="31" t="n">
        <v>837.5666666666666</v>
      </c>
      <c r="J95" s="31" t="n">
        <v>837.5666666666666</v>
      </c>
      <c r="K95" s="31" t="n">
        <v>837.5666666666666</v>
      </c>
      <c r="L95" s="31" t="n">
        <v>1181.025</v>
      </c>
      <c r="M95" s="31" t="n">
        <v>1181.025</v>
      </c>
      <c r="N95" s="31" t="n">
        <v>1181.025</v>
      </c>
      <c r="O95" s="31" t="n">
        <v>1181.025</v>
      </c>
      <c r="P95" s="32">
        <f>SUM(D95:O95)</f>
        <v/>
      </c>
    </row>
    <row r="96">
      <c r="A96" s="24" t="inlineStr">
        <is>
          <t>Wheat, excluding durum</t>
        </is>
      </c>
      <c r="B96" s="25" t="inlineStr">
        <is>
          <t>Exports</t>
        </is>
      </c>
      <c r="C96" s="26" t="inlineStr">
        <is>
          <t>04-05</t>
        </is>
      </c>
      <c r="D96" s="31" t="n">
        <v>995.62</v>
      </c>
      <c r="E96" s="31" t="n">
        <v>995.62</v>
      </c>
      <c r="F96" s="31" t="n">
        <v>995.62</v>
      </c>
      <c r="G96" s="31" t="n">
        <v>995.62</v>
      </c>
      <c r="H96" s="31" t="n">
        <v>995.62</v>
      </c>
      <c r="I96" s="31" t="n">
        <v>993.7999999999998</v>
      </c>
      <c r="J96" s="31" t="n">
        <v>993.7999999999998</v>
      </c>
      <c r="K96" s="31" t="n">
        <v>993.7999999999998</v>
      </c>
      <c r="L96" s="31" t="n">
        <v>908.9</v>
      </c>
      <c r="M96" s="31" t="n">
        <v>908.9</v>
      </c>
      <c r="N96" s="31" t="n">
        <v>908.9</v>
      </c>
      <c r="O96" s="31" t="n">
        <v>908.9</v>
      </c>
      <c r="P96" s="32">
        <f>SUM(D96:O96)</f>
        <v/>
      </c>
    </row>
    <row r="97">
      <c r="A97" s="24" t="inlineStr">
        <is>
          <t>Wheat, excluding durum</t>
        </is>
      </c>
      <c r="B97" s="25" t="inlineStr">
        <is>
          <t>Exports</t>
        </is>
      </c>
      <c r="C97" s="26" t="inlineStr">
        <is>
          <t>05-06</t>
        </is>
      </c>
      <c r="D97" s="31" t="n">
        <v>813.6</v>
      </c>
      <c r="E97" s="31" t="n">
        <v>813.6</v>
      </c>
      <c r="F97" s="31" t="n">
        <v>813.6</v>
      </c>
      <c r="G97" s="31" t="n">
        <v>813.6</v>
      </c>
      <c r="H97" s="31" t="n">
        <v>813.6</v>
      </c>
      <c r="I97" s="31" t="n">
        <v>846.3333333333334</v>
      </c>
      <c r="J97" s="31" t="n">
        <v>846.3333333333334</v>
      </c>
      <c r="K97" s="31" t="n">
        <v>846.3333333333334</v>
      </c>
      <c r="L97" s="31" t="n">
        <v>1204.725</v>
      </c>
      <c r="M97" s="31" t="n">
        <v>1204.725</v>
      </c>
      <c r="N97" s="31" t="n">
        <v>1204.725</v>
      </c>
      <c r="O97" s="31" t="n">
        <v>1204.725</v>
      </c>
      <c r="P97" s="32">
        <f>SUM(D97:O97)</f>
        <v/>
      </c>
    </row>
    <row r="98">
      <c r="A98" s="24" t="inlineStr">
        <is>
          <t>Wheat, excluding durum</t>
        </is>
      </c>
      <c r="B98" s="25" t="inlineStr">
        <is>
          <t>Exports</t>
        </is>
      </c>
      <c r="C98" s="26" t="inlineStr">
        <is>
          <t>06-07</t>
        </is>
      </c>
      <c r="D98" s="31" t="n">
        <v>1328.44</v>
      </c>
      <c r="E98" s="31" t="n">
        <v>1328.44</v>
      </c>
      <c r="F98" s="31" t="n">
        <v>1328.44</v>
      </c>
      <c r="G98" s="31" t="n">
        <v>1328.44</v>
      </c>
      <c r="H98" s="31" t="n">
        <v>1328.44</v>
      </c>
      <c r="I98" s="31" t="n">
        <v>1001.233333333333</v>
      </c>
      <c r="J98" s="31" t="n">
        <v>1001.233333333333</v>
      </c>
      <c r="K98" s="31" t="n">
        <v>1001.233333333333</v>
      </c>
      <c r="L98" s="31" t="n">
        <v>1325.675</v>
      </c>
      <c r="M98" s="31" t="n">
        <v>1325.675</v>
      </c>
      <c r="N98" s="31" t="n">
        <v>1325.675</v>
      </c>
      <c r="O98" s="31" t="n">
        <v>1325.675</v>
      </c>
      <c r="P98" s="32">
        <f>SUM(D98:O98)</f>
        <v/>
      </c>
    </row>
    <row r="99">
      <c r="A99" s="24" t="inlineStr">
        <is>
          <t>Wheat, excluding durum</t>
        </is>
      </c>
      <c r="B99" s="25" t="inlineStr">
        <is>
          <t>Exports</t>
        </is>
      </c>
      <c r="C99" s="26" t="inlineStr">
        <is>
          <t>07-08</t>
        </is>
      </c>
      <c r="D99" s="31" t="n">
        <v>1142.24</v>
      </c>
      <c r="E99" s="31" t="n">
        <v>1142.24</v>
      </c>
      <c r="F99" s="31" t="n">
        <v>1142.24</v>
      </c>
      <c r="G99" s="31" t="n">
        <v>1142.24</v>
      </c>
      <c r="H99" s="31" t="n">
        <v>1142.24</v>
      </c>
      <c r="I99" s="31" t="n">
        <v>872.6</v>
      </c>
      <c r="J99" s="31" t="n">
        <v>872.6</v>
      </c>
      <c r="K99" s="31" t="n">
        <v>872.6</v>
      </c>
      <c r="L99" s="31" t="n">
        <v>1088.275</v>
      </c>
      <c r="M99" s="31" t="n">
        <v>1088.275</v>
      </c>
      <c r="N99" s="31" t="n">
        <v>1088.275</v>
      </c>
      <c r="O99" s="31" t="n">
        <v>1088.275</v>
      </c>
      <c r="P99" s="32">
        <f>SUM(D99:O99)</f>
        <v/>
      </c>
    </row>
    <row r="100">
      <c r="A100" s="24" t="inlineStr">
        <is>
          <t>Wheat, excluding durum</t>
        </is>
      </c>
      <c r="B100" s="25" t="inlineStr">
        <is>
          <t>Exports</t>
        </is>
      </c>
      <c r="C100" s="26" t="inlineStr">
        <is>
          <t>08-09</t>
        </is>
      </c>
      <c r="D100" s="31" t="n">
        <v>1139.56</v>
      </c>
      <c r="E100" s="31" t="n">
        <v>1139.56</v>
      </c>
      <c r="F100" s="31" t="n">
        <v>1139.56</v>
      </c>
      <c r="G100" s="31" t="n">
        <v>1139.56</v>
      </c>
      <c r="H100" s="31" t="n">
        <v>1139.56</v>
      </c>
      <c r="I100" s="31" t="n">
        <v>1202.966666666667</v>
      </c>
      <c r="J100" s="31" t="n">
        <v>1202.966666666667</v>
      </c>
      <c r="K100" s="31" t="n">
        <v>1202.966666666667</v>
      </c>
      <c r="L100" s="31" t="n">
        <v>1414.924999999999</v>
      </c>
      <c r="M100" s="31" t="n">
        <v>1414.924999999999</v>
      </c>
      <c r="N100" s="31" t="n">
        <v>1414.924999999999</v>
      </c>
      <c r="O100" s="31" t="n">
        <v>1414.924999999999</v>
      </c>
      <c r="P100" s="32">
        <f>SUM(D100:O100)</f>
        <v/>
      </c>
    </row>
    <row r="101">
      <c r="A101" s="24" t="inlineStr">
        <is>
          <t>Wheat, excluding durum</t>
        </is>
      </c>
      <c r="B101" s="25" t="inlineStr">
        <is>
          <t>Exports</t>
        </is>
      </c>
      <c r="C101" s="26" t="inlineStr">
        <is>
          <t>09-10</t>
        </is>
      </c>
      <c r="D101" s="31" t="n">
        <v>1180.3</v>
      </c>
      <c r="E101" s="31" t="n">
        <v>1180.3</v>
      </c>
      <c r="F101" s="31" t="n">
        <v>1180.3</v>
      </c>
      <c r="G101" s="31" t="n">
        <v>1180.3</v>
      </c>
      <c r="H101" s="31" t="n">
        <v>1180.3</v>
      </c>
      <c r="I101" s="31" t="n">
        <v>1150.166666666667</v>
      </c>
      <c r="J101" s="31" t="n">
        <v>1150.166666666667</v>
      </c>
      <c r="K101" s="31" t="n">
        <v>1150.166666666667</v>
      </c>
      <c r="L101" s="31" t="n">
        <v>1327.35</v>
      </c>
      <c r="M101" s="31" t="n">
        <v>1327.35</v>
      </c>
      <c r="N101" s="31" t="n">
        <v>1327.35</v>
      </c>
      <c r="O101" s="31" t="n">
        <v>1327.35</v>
      </c>
      <c r="P101" s="32">
        <f>SUM(D101:O101)</f>
        <v/>
      </c>
    </row>
    <row r="102">
      <c r="A102" s="24" t="inlineStr">
        <is>
          <t>Wheat, excluding durum</t>
        </is>
      </c>
      <c r="B102" s="25" t="inlineStr">
        <is>
          <t>Exports</t>
        </is>
      </c>
      <c r="C102" s="26" t="inlineStr">
        <is>
          <t>10-11</t>
        </is>
      </c>
      <c r="D102" s="31" t="n">
        <v>1061.1</v>
      </c>
      <c r="E102" s="31" t="n">
        <v>1061.1</v>
      </c>
      <c r="F102" s="31" t="n">
        <v>1061.1</v>
      </c>
      <c r="G102" s="31" t="n">
        <v>1061.1</v>
      </c>
      <c r="H102" s="31" t="n">
        <v>1061.1</v>
      </c>
      <c r="I102" s="31" t="n">
        <v>854.4333333333334</v>
      </c>
      <c r="J102" s="31" t="n">
        <v>854.4333333333334</v>
      </c>
      <c r="K102" s="31" t="n">
        <v>854.4333333333334</v>
      </c>
      <c r="L102" s="31" t="n">
        <v>1253.025</v>
      </c>
      <c r="M102" s="31" t="n">
        <v>1253.025</v>
      </c>
      <c r="N102" s="31" t="n">
        <v>1253.025</v>
      </c>
      <c r="O102" s="31" t="n">
        <v>1253.025</v>
      </c>
      <c r="P102" s="32">
        <f>SUM(D102:O102)</f>
        <v/>
      </c>
    </row>
    <row r="103">
      <c r="A103" s="24" t="inlineStr">
        <is>
          <t>Wheat, excluding durum</t>
        </is>
      </c>
      <c r="B103" s="25" t="inlineStr">
        <is>
          <t>Exports</t>
        </is>
      </c>
      <c r="C103" s="26" t="inlineStr">
        <is>
          <t>11-12</t>
        </is>
      </c>
      <c r="D103" s="31" t="n">
        <v>1185.26</v>
      </c>
      <c r="E103" s="31" t="n">
        <v>1185.26</v>
      </c>
      <c r="F103" s="31" t="n">
        <v>1185.26</v>
      </c>
      <c r="G103" s="31" t="n">
        <v>1185.26</v>
      </c>
      <c r="H103" s="31" t="n">
        <v>1185.26</v>
      </c>
      <c r="I103" s="31" t="n">
        <v>1166.2</v>
      </c>
      <c r="J103" s="31" t="n">
        <v>1166.2</v>
      </c>
      <c r="K103" s="31" t="n">
        <v>1166.2</v>
      </c>
      <c r="L103" s="31" t="n">
        <v>1122.825000000001</v>
      </c>
      <c r="M103" s="31" t="n">
        <v>1122.825000000001</v>
      </c>
      <c r="N103" s="31" t="n">
        <v>1122.825000000001</v>
      </c>
      <c r="O103" s="31" t="n">
        <v>1122.825000000001</v>
      </c>
      <c r="P103" s="32">
        <f>SUM(D103:O103)</f>
        <v/>
      </c>
    </row>
    <row r="104">
      <c r="A104" s="24" t="inlineStr">
        <is>
          <t>Wheat, excluding durum</t>
        </is>
      </c>
      <c r="B104" s="25" t="inlineStr">
        <is>
          <t>Exports</t>
        </is>
      </c>
      <c r="C104" s="26" t="inlineStr">
        <is>
          <t>12-13</t>
        </is>
      </c>
      <c r="D104" s="31" t="n">
        <v>1221.06</v>
      </c>
      <c r="E104" s="31" t="n">
        <v>1221.06</v>
      </c>
      <c r="F104" s="31" t="n">
        <v>1221.06</v>
      </c>
      <c r="G104" s="31" t="n">
        <v>1221.06</v>
      </c>
      <c r="H104" s="31" t="n">
        <v>1221.06</v>
      </c>
      <c r="I104" s="31" t="n">
        <v>1235.3</v>
      </c>
      <c r="J104" s="31" t="n">
        <v>1235.3</v>
      </c>
      <c r="K104" s="31" t="n">
        <v>1235.3</v>
      </c>
      <c r="L104" s="31" t="n">
        <v>1380.375</v>
      </c>
      <c r="M104" s="31" t="n">
        <v>1380.375</v>
      </c>
      <c r="N104" s="31" t="n">
        <v>1380.375</v>
      </c>
      <c r="O104" s="31" t="n">
        <v>1380.375</v>
      </c>
      <c r="P104" s="32">
        <f>SUM(D104:O104)</f>
        <v/>
      </c>
    </row>
    <row r="105">
      <c r="A105" s="24" t="inlineStr">
        <is>
          <t>Wheat, excluding durum</t>
        </is>
      </c>
      <c r="B105" s="25" t="inlineStr">
        <is>
          <t>Exports</t>
        </is>
      </c>
      <c r="C105" s="26" t="inlineStr">
        <is>
          <t>13-14</t>
        </is>
      </c>
      <c r="D105" s="31" t="n">
        <v>1389.6</v>
      </c>
      <c r="E105" s="31" t="n">
        <v>1389.6</v>
      </c>
      <c r="F105" s="31" t="n">
        <v>1389.6</v>
      </c>
      <c r="G105" s="31" t="n">
        <v>1389.6</v>
      </c>
      <c r="H105" s="31" t="n">
        <v>1389.6</v>
      </c>
      <c r="I105" s="31" t="n">
        <v>1356.7</v>
      </c>
      <c r="J105" s="31" t="n">
        <v>1356.7</v>
      </c>
      <c r="K105" s="31" t="n">
        <v>1356.7</v>
      </c>
      <c r="L105" s="31" t="n">
        <v>1852.075000000001</v>
      </c>
      <c r="M105" s="31" t="n">
        <v>1852.075000000001</v>
      </c>
      <c r="N105" s="31" t="n">
        <v>1852.075000000001</v>
      </c>
      <c r="O105" s="31" t="n">
        <v>1852.075000000001</v>
      </c>
      <c r="P105" s="32">
        <f>SUM(D105:O105)</f>
        <v/>
      </c>
    </row>
    <row r="106">
      <c r="A106" s="24" t="inlineStr">
        <is>
          <t>Wheat, excluding durum</t>
        </is>
      </c>
      <c r="B106" s="25" t="inlineStr">
        <is>
          <t>Exports</t>
        </is>
      </c>
      <c r="C106" s="26" t="inlineStr">
        <is>
          <t>14-15</t>
        </is>
      </c>
      <c r="D106" s="31" t="n">
        <v>1510.18</v>
      </c>
      <c r="E106" s="31" t="n">
        <v>1510.18</v>
      </c>
      <c r="F106" s="31" t="n">
        <v>1510.18</v>
      </c>
      <c r="G106" s="31" t="n">
        <v>1510.18</v>
      </c>
      <c r="H106" s="31" t="n">
        <v>1510.18</v>
      </c>
      <c r="I106" s="31" t="n">
        <v>1326.933333333334</v>
      </c>
      <c r="J106" s="31" t="n">
        <v>1326.933333333334</v>
      </c>
      <c r="K106" s="31" t="n">
        <v>1326.933333333334</v>
      </c>
      <c r="L106" s="31" t="n">
        <v>1812.15</v>
      </c>
      <c r="M106" s="31" t="n">
        <v>1812.15</v>
      </c>
      <c r="N106" s="31" t="n">
        <v>1812.15</v>
      </c>
      <c r="O106" s="31" t="n">
        <v>1812.15</v>
      </c>
      <c r="P106" s="32">
        <f>SUM(D106:O106)</f>
        <v/>
      </c>
    </row>
    <row r="107">
      <c r="A107" s="24" t="inlineStr">
        <is>
          <t>Wheat, excluding durum</t>
        </is>
      </c>
      <c r="B107" s="25" t="inlineStr">
        <is>
          <t>Exports</t>
        </is>
      </c>
      <c r="C107" s="26" t="inlineStr">
        <is>
          <t>15-16</t>
        </is>
      </c>
      <c r="D107" s="31" t="n">
        <v>1551.5</v>
      </c>
      <c r="E107" s="31" t="n">
        <v>1551.5</v>
      </c>
      <c r="F107" s="31" t="n">
        <v>1551.5</v>
      </c>
      <c r="G107" s="31" t="n">
        <v>1551.5</v>
      </c>
      <c r="H107" s="31" t="n">
        <v>1551.5</v>
      </c>
      <c r="I107" s="31" t="n">
        <v>1234.133333333333</v>
      </c>
      <c r="J107" s="31" t="n">
        <v>1234.133333333333</v>
      </c>
      <c r="K107" s="31" t="n">
        <v>1234.133333333333</v>
      </c>
      <c r="L107" s="31" t="n">
        <v>1432.725</v>
      </c>
      <c r="M107" s="31" t="n">
        <v>1432.725</v>
      </c>
      <c r="N107" s="31" t="n">
        <v>1432.725</v>
      </c>
      <c r="O107" s="31" t="n">
        <v>1432.725</v>
      </c>
      <c r="P107" s="32">
        <f>SUM(D107:O107)</f>
        <v/>
      </c>
    </row>
    <row r="108">
      <c r="A108" s="24" t="inlineStr">
        <is>
          <t>Wheat, excluding durum</t>
        </is>
      </c>
      <c r="B108" s="25" t="inlineStr">
        <is>
          <t>Exports</t>
        </is>
      </c>
      <c r="C108" s="26" t="inlineStr">
        <is>
          <t>16-17</t>
        </is>
      </c>
      <c r="D108" s="31" t="n">
        <v>1242.24</v>
      </c>
      <c r="E108" s="31" t="n">
        <v>1242.24</v>
      </c>
      <c r="F108" s="31" t="n">
        <v>1242.24</v>
      </c>
      <c r="G108" s="31" t="n">
        <v>1242.24</v>
      </c>
      <c r="H108" s="31" t="n">
        <v>1242.24</v>
      </c>
      <c r="I108" s="31" t="n">
        <v>1111.833333333334</v>
      </c>
      <c r="J108" s="31" t="n">
        <v>1111.833333333334</v>
      </c>
      <c r="K108" s="31" t="n">
        <v>1111.833333333334</v>
      </c>
      <c r="L108" s="31" t="n">
        <v>1518.674999999999</v>
      </c>
      <c r="M108" s="31" t="n">
        <v>1518.674999999999</v>
      </c>
      <c r="N108" s="31" t="n">
        <v>1518.674999999999</v>
      </c>
      <c r="O108" s="31" t="n">
        <v>1518.674999999999</v>
      </c>
      <c r="P108" s="32">
        <f>SUM(D108:O108)</f>
        <v/>
      </c>
    </row>
    <row r="109">
      <c r="A109" s="24" t="inlineStr">
        <is>
          <t>Wheat, excluding durum</t>
        </is>
      </c>
      <c r="B109" s="25" t="inlineStr">
        <is>
          <t>Exports</t>
        </is>
      </c>
      <c r="C109" s="26" t="inlineStr">
        <is>
          <t>17-18</t>
        </is>
      </c>
      <c r="D109" s="31" t="n">
        <v>1430.32</v>
      </c>
      <c r="E109" s="31" t="n">
        <v>1430.32</v>
      </c>
      <c r="F109" s="31" t="n">
        <v>1430.32</v>
      </c>
      <c r="G109" s="31" t="n">
        <v>1430.32</v>
      </c>
      <c r="H109" s="31" t="n">
        <v>1430.32</v>
      </c>
      <c r="I109" s="31" t="n">
        <v>1443</v>
      </c>
      <c r="J109" s="31" t="n">
        <v>1443</v>
      </c>
      <c r="K109" s="31" t="n">
        <v>1443</v>
      </c>
      <c r="L109" s="31" t="n">
        <v>1522.4</v>
      </c>
      <c r="M109" s="31" t="n">
        <v>1522.4</v>
      </c>
      <c r="N109" s="31" t="n">
        <v>1522.4</v>
      </c>
      <c r="O109" s="31" t="n">
        <v>1522.4</v>
      </c>
      <c r="P109" s="32">
        <f>SUM(D109:O109)</f>
        <v/>
      </c>
    </row>
    <row r="110">
      <c r="A110" s="24" t="inlineStr">
        <is>
          <t>Wheat, excluding durum</t>
        </is>
      </c>
      <c r="B110" s="25" t="inlineStr">
        <is>
          <t>Exports</t>
        </is>
      </c>
      <c r="C110" s="26" t="inlineStr">
        <is>
          <t>18-19</t>
        </is>
      </c>
      <c r="D110" s="31" t="n">
        <v>1708.68</v>
      </c>
      <c r="E110" s="31" t="n">
        <v>1708.68</v>
      </c>
      <c r="F110" s="31" t="n">
        <v>1708.68</v>
      </c>
      <c r="G110" s="31" t="n">
        <v>1708.68</v>
      </c>
      <c r="H110" s="31" t="n">
        <v>1708.68</v>
      </c>
      <c r="I110" s="31" t="n">
        <v>1463.766666666667</v>
      </c>
      <c r="J110" s="31" t="n">
        <v>1463.766666666667</v>
      </c>
      <c r="K110" s="31" t="n">
        <v>1463.766666666667</v>
      </c>
      <c r="L110" s="31" t="n">
        <v>1706.675</v>
      </c>
      <c r="M110" s="31" t="n">
        <v>1706.675</v>
      </c>
      <c r="N110" s="31" t="n">
        <v>1706.675</v>
      </c>
      <c r="O110" s="31" t="n">
        <v>1706.675</v>
      </c>
      <c r="P110" s="32">
        <f>SUM(D110:O110)</f>
        <v/>
      </c>
    </row>
    <row r="111">
      <c r="A111" s="24" t="inlineStr">
        <is>
          <t>Wheat, excluding durum</t>
        </is>
      </c>
      <c r="B111" s="25" t="inlineStr">
        <is>
          <t>Exports</t>
        </is>
      </c>
      <c r="C111" s="26" t="inlineStr">
        <is>
          <t>19-20</t>
        </is>
      </c>
      <c r="D111" s="31" t="n">
        <v>1382.96</v>
      </c>
      <c r="E111" s="31" t="n">
        <v>1382.96</v>
      </c>
      <c r="F111" s="31" t="n">
        <v>1382.96</v>
      </c>
      <c r="G111" s="31" t="n">
        <v>1382.96</v>
      </c>
      <c r="H111" s="31" t="n">
        <v>1382.96</v>
      </c>
      <c r="I111" s="31" t="n">
        <v>1275.6</v>
      </c>
      <c r="J111" s="31" t="n">
        <v>1275.6</v>
      </c>
      <c r="K111" s="31" t="n">
        <v>1275.6</v>
      </c>
      <c r="L111" s="31" t="n">
        <v>1993.1</v>
      </c>
      <c r="M111" s="31" t="n">
        <v>1993.1</v>
      </c>
      <c r="N111" s="31" t="n">
        <v>1993.1</v>
      </c>
      <c r="O111" s="31" t="n">
        <v>1993.1</v>
      </c>
      <c r="P111" s="32">
        <f>SUM(D111:O111)</f>
        <v/>
      </c>
    </row>
    <row r="112">
      <c r="A112" s="24" t="inlineStr">
        <is>
          <t>Wheat, excluding durum</t>
        </is>
      </c>
      <c r="B112" s="25" t="inlineStr">
        <is>
          <t>Exports</t>
        </is>
      </c>
      <c r="C112" s="26" t="inlineStr">
        <is>
          <t>20-21</t>
        </is>
      </c>
      <c r="D112" s="31" t="n">
        <v>1772.18</v>
      </c>
      <c r="E112" s="31" t="n">
        <v>1772.18</v>
      </c>
      <c r="F112" s="31" t="n">
        <v>1772.18</v>
      </c>
      <c r="G112" s="31" t="n">
        <v>1772.18</v>
      </c>
      <c r="H112" s="31" t="n">
        <v>1772.18</v>
      </c>
      <c r="I112" s="31" t="n">
        <v>1692.6</v>
      </c>
      <c r="J112" s="31" t="n">
        <v>1692.6</v>
      </c>
      <c r="K112" s="31" t="n">
        <v>1692.6</v>
      </c>
      <c r="L112" s="31" t="n">
        <v>1656.925</v>
      </c>
      <c r="M112" s="31" t="n">
        <v>1656.925</v>
      </c>
      <c r="N112" s="31" t="n">
        <v>1656.925</v>
      </c>
      <c r="O112" s="31" t="n">
        <v>1656.925</v>
      </c>
      <c r="P112" s="32">
        <f>SUM(D112:O112)</f>
        <v/>
      </c>
    </row>
    <row r="113">
      <c r="A113" s="24" t="inlineStr">
        <is>
          <t>Wheat, excluding durum</t>
        </is>
      </c>
      <c r="B113" s="25" t="inlineStr">
        <is>
          <t>Exports</t>
        </is>
      </c>
      <c r="C113" s="26" t="inlineStr">
        <is>
          <t>21-22</t>
        </is>
      </c>
      <c r="D113" s="31" t="n">
        <v>1071.86</v>
      </c>
      <c r="E113" s="31" t="n">
        <v>1071.86</v>
      </c>
      <c r="F113" s="31" t="n">
        <v>1071.86</v>
      </c>
      <c r="G113" s="31" t="n">
        <v>1071.86</v>
      </c>
      <c r="H113" s="31" t="n">
        <v>1071.86</v>
      </c>
      <c r="I113" s="31" t="n">
        <v>965.1</v>
      </c>
      <c r="J113" s="31" t="n">
        <v>965.1</v>
      </c>
      <c r="K113" s="31" t="n">
        <v>965.1</v>
      </c>
      <c r="L113" s="31" t="n">
        <v>1024.424999999999</v>
      </c>
      <c r="M113" s="31" t="n">
        <v>1024.424999999999</v>
      </c>
      <c r="N113" s="31" t="n">
        <v>1024.424999999999</v>
      </c>
      <c r="O113" s="31" t="n">
        <v>1024.424999999999</v>
      </c>
      <c r="P113" s="32">
        <f>SUM(D113:O113)</f>
        <v/>
      </c>
    </row>
    <row r="114">
      <c r="A114" s="24" t="inlineStr">
        <is>
          <t>Wheat, excluding durum</t>
        </is>
      </c>
      <c r="B114" s="25" t="inlineStr">
        <is>
          <t>Exports</t>
        </is>
      </c>
      <c r="C114" s="26" t="inlineStr">
        <is>
          <t>22-23</t>
        </is>
      </c>
      <c r="D114" s="31" t="n">
        <v>1678.26</v>
      </c>
      <c r="E114" s="31" t="n">
        <v>1678.26</v>
      </c>
      <c r="F114" s="31" t="n">
        <v>1678.26</v>
      </c>
      <c r="G114" s="31" t="n">
        <v>1678.26</v>
      </c>
      <c r="H114" s="31" t="n">
        <v>1678.26</v>
      </c>
      <c r="I114" s="31" t="n">
        <v>1868.366666666667</v>
      </c>
      <c r="J114" s="31" t="n">
        <v>1868.366666666667</v>
      </c>
      <c r="K114" s="31" t="n">
        <v>1868.366666666667</v>
      </c>
      <c r="L114" s="31" t="n">
        <v>1619.924999999999</v>
      </c>
      <c r="M114" s="31" t="n">
        <v>1619.924999999999</v>
      </c>
      <c r="N114" s="31" t="n">
        <v>1619.924999999999</v>
      </c>
      <c r="O114" s="31" t="n">
        <v>1619.924999999999</v>
      </c>
      <c r="P114" s="32">
        <f>SUM(D114:O114)</f>
        <v/>
      </c>
    </row>
    <row r="115">
      <c r="A115" s="24" t="inlineStr">
        <is>
          <t>Wheat, excluding durum</t>
        </is>
      </c>
      <c r="B115" s="25" t="inlineStr">
        <is>
          <t>Exports</t>
        </is>
      </c>
      <c r="C115" s="26" t="inlineStr">
        <is>
          <t>23-24</t>
        </is>
      </c>
      <c r="D115" s="31" t="n">
        <v>1875.94</v>
      </c>
      <c r="E115" s="31" t="n">
        <v>1875.94</v>
      </c>
      <c r="F115" s="31" t="n">
        <v>1875.94</v>
      </c>
      <c r="G115" s="31" t="n">
        <v>1875.94</v>
      </c>
      <c r="H115" s="31" t="n">
        <v>1875.94</v>
      </c>
      <c r="I115" s="31" t="n">
        <v>1673.5</v>
      </c>
      <c r="J115" s="31" t="n">
        <v>1673.5</v>
      </c>
      <c r="K115" s="31" t="n">
        <v>1673.5</v>
      </c>
      <c r="L115" s="31" t="n">
        <v>1845.9</v>
      </c>
      <c r="M115" s="31" t="n">
        <v>1845.9</v>
      </c>
      <c r="N115" s="31" t="n">
        <v>1845.9</v>
      </c>
      <c r="O115" s="31" t="n">
        <v>1845.9</v>
      </c>
      <c r="P115" s="32">
        <f>SUM(D115:O115)</f>
        <v/>
      </c>
    </row>
    <row r="116">
      <c r="A116" s="24" t="inlineStr">
        <is>
          <t>Wheat, excluding durum</t>
        </is>
      </c>
      <c r="B116" s="25" t="inlineStr">
        <is>
          <t>Exports</t>
        </is>
      </c>
      <c r="C116" s="26" t="inlineStr">
        <is>
          <t>24-25</t>
        </is>
      </c>
      <c r="D116" s="31" t="n">
        <v>1798.1</v>
      </c>
      <c r="E116" s="31" t="n">
        <v>1798.1</v>
      </c>
      <c r="F116" s="31" t="n">
        <v>1798.1</v>
      </c>
      <c r="G116" s="31" t="n">
        <v>1798.1</v>
      </c>
      <c r="H116" s="31" t="n">
        <v>1798.1</v>
      </c>
      <c r="I116" s="31" t="n">
        <v>1877.066666666667</v>
      </c>
      <c r="J116" s="31" t="n">
        <v>1877.066666666667</v>
      </c>
      <c r="K116" s="31" t="n">
        <v>1877.066666666667</v>
      </c>
      <c r="L116" s="31" t="n">
        <v>2207.625</v>
      </c>
      <c r="M116" s="31" t="n">
        <v>2207.625</v>
      </c>
      <c r="N116" s="31" t="n">
        <v>2207.625</v>
      </c>
      <c r="O116" s="31" t="n">
        <v>2207.625</v>
      </c>
      <c r="P116" s="32">
        <f>SUM(D116:O116)</f>
        <v/>
      </c>
    </row>
    <row r="117">
      <c r="A117" s="24" t="inlineStr">
        <is>
          <t>Wheat, excluding durum</t>
        </is>
      </c>
      <c r="B117" s="25" t="inlineStr">
        <is>
          <t>Imports</t>
        </is>
      </c>
      <c r="C117" s="26" t="inlineStr">
        <is>
          <t>02-03</t>
        </is>
      </c>
      <c r="D117" s="31" t="n">
        <v>0.63</v>
      </c>
      <c r="E117" s="31" t="n">
        <v>30.128</v>
      </c>
      <c r="F117" s="31" t="n">
        <v>1.212</v>
      </c>
      <c r="G117" s="31" t="n">
        <v>36.936</v>
      </c>
      <c r="H117" s="31" t="n">
        <v>67.25</v>
      </c>
      <c r="I117" s="31" t="n">
        <v>26.642</v>
      </c>
      <c r="J117" s="31" t="n">
        <v>2.016</v>
      </c>
      <c r="K117" s="31" t="n">
        <v>2.774</v>
      </c>
      <c r="L117" s="31" t="n">
        <v>1.304</v>
      </c>
      <c r="M117" s="31" t="n">
        <v>2.36</v>
      </c>
      <c r="N117" s="31" t="n">
        <v>0.968</v>
      </c>
      <c r="O117" s="31" t="n">
        <v>0.432</v>
      </c>
      <c r="P117" s="32">
        <f>SUM(D117:O117)</f>
        <v/>
      </c>
    </row>
    <row r="118">
      <c r="A118" s="24" t="inlineStr">
        <is>
          <t>Wheat, excluding durum</t>
        </is>
      </c>
      <c r="B118" s="25" t="inlineStr">
        <is>
          <t>Imports</t>
        </is>
      </c>
      <c r="C118" s="26" t="inlineStr">
        <is>
          <t>03-04</t>
        </is>
      </c>
      <c r="D118" s="31" t="n">
        <v>1.624</v>
      </c>
      <c r="E118" s="31" t="n">
        <v>4.782</v>
      </c>
      <c r="F118" s="31" t="n">
        <v>2.532</v>
      </c>
      <c r="G118" s="31" t="n">
        <v>1.512</v>
      </c>
      <c r="H118" s="31" t="n">
        <v>1.252</v>
      </c>
      <c r="I118" s="31" t="n">
        <v>0.7</v>
      </c>
      <c r="J118" s="31" t="n">
        <v>0.96</v>
      </c>
      <c r="K118" s="31" t="n">
        <v>0.788</v>
      </c>
      <c r="L118" s="31" t="n">
        <v>0.6920000000000001</v>
      </c>
      <c r="M118" s="31" t="n">
        <v>0.572</v>
      </c>
      <c r="N118" s="31" t="n">
        <v>0.482</v>
      </c>
      <c r="O118" s="31" t="n">
        <v>0.416</v>
      </c>
      <c r="P118" s="32">
        <f>SUM(D118:O118)</f>
        <v/>
      </c>
    </row>
    <row r="119">
      <c r="A119" s="24" t="inlineStr">
        <is>
          <t>Wheat, excluding durum</t>
        </is>
      </c>
      <c r="B119" s="25" t="inlineStr">
        <is>
          <t>Imports</t>
        </is>
      </c>
      <c r="C119" s="26" t="inlineStr">
        <is>
          <t>04-05</t>
        </is>
      </c>
      <c r="D119" s="31" t="n">
        <v>1.868</v>
      </c>
      <c r="E119" s="31" t="n">
        <v>2.498</v>
      </c>
      <c r="F119" s="31" t="n">
        <v>2.144</v>
      </c>
      <c r="G119" s="31" t="n">
        <v>0.918</v>
      </c>
      <c r="H119" s="31" t="n">
        <v>0.6</v>
      </c>
      <c r="I119" s="31" t="n">
        <v>0.532</v>
      </c>
      <c r="J119" s="31" t="n">
        <v>0.368</v>
      </c>
      <c r="K119" s="31" t="n">
        <v>0.6900000000000001</v>
      </c>
      <c r="L119" s="31" t="n">
        <v>0.648</v>
      </c>
      <c r="M119" s="31" t="n">
        <v>0.6880000000000001</v>
      </c>
      <c r="N119" s="31" t="n">
        <v>1.388</v>
      </c>
      <c r="O119" s="31" t="n">
        <v>0.9320000000000001</v>
      </c>
      <c r="P119" s="32">
        <f>SUM(D119:O119)</f>
        <v/>
      </c>
    </row>
    <row r="120">
      <c r="A120" s="24" t="inlineStr">
        <is>
          <t>Wheat, excluding durum</t>
        </is>
      </c>
      <c r="B120" s="25" t="inlineStr">
        <is>
          <t>Imports</t>
        </is>
      </c>
      <c r="C120" s="26" t="inlineStr">
        <is>
          <t>05-06</t>
        </is>
      </c>
      <c r="D120" s="31" t="n">
        <v>3.914</v>
      </c>
      <c r="E120" s="31" t="n">
        <v>3.238</v>
      </c>
      <c r="F120" s="31" t="n">
        <v>2.64</v>
      </c>
      <c r="G120" s="31" t="n">
        <v>1.42</v>
      </c>
      <c r="H120" s="31" t="n">
        <v>1.3</v>
      </c>
      <c r="I120" s="31" t="n">
        <v>1.438</v>
      </c>
      <c r="J120" s="31" t="n">
        <v>1.108</v>
      </c>
      <c r="K120" s="31" t="n">
        <v>1.262</v>
      </c>
      <c r="L120" s="31" t="n">
        <v>0.992</v>
      </c>
      <c r="M120" s="31" t="n">
        <v>1.196</v>
      </c>
      <c r="N120" s="31" t="n">
        <v>2.006</v>
      </c>
      <c r="O120" s="31" t="n">
        <v>2.218</v>
      </c>
      <c r="P120" s="32">
        <f>SUM(D120:O120)</f>
        <v/>
      </c>
    </row>
    <row r="121">
      <c r="A121" s="24" t="inlineStr">
        <is>
          <t>Wheat, excluding durum</t>
        </is>
      </c>
      <c r="B121" s="25" t="inlineStr">
        <is>
          <t>Imports</t>
        </is>
      </c>
      <c r="C121" s="26" t="inlineStr">
        <is>
          <t>06-07</t>
        </is>
      </c>
      <c r="D121" s="31" t="n">
        <v>4.484</v>
      </c>
      <c r="E121" s="31" t="n">
        <v>4.436</v>
      </c>
      <c r="F121" s="31" t="n">
        <v>1.958</v>
      </c>
      <c r="G121" s="31" t="n">
        <v>0.982</v>
      </c>
      <c r="H121" s="31" t="n">
        <v>1.026</v>
      </c>
      <c r="I121" s="31" t="n">
        <v>1.982</v>
      </c>
      <c r="J121" s="31" t="n">
        <v>1.574</v>
      </c>
      <c r="K121" s="31" t="n">
        <v>1.306</v>
      </c>
      <c r="L121" s="31" t="n">
        <v>1.506</v>
      </c>
      <c r="M121" s="31" t="n">
        <v>1.998</v>
      </c>
      <c r="N121" s="31" t="n">
        <v>2.032</v>
      </c>
      <c r="O121" s="31" t="n">
        <v>1.49</v>
      </c>
      <c r="P121" s="32">
        <f>SUM(D121:O121)</f>
        <v/>
      </c>
    </row>
    <row r="122">
      <c r="A122" s="24" t="inlineStr">
        <is>
          <t>Wheat, excluding durum</t>
        </is>
      </c>
      <c r="B122" s="25" t="inlineStr">
        <is>
          <t>Imports</t>
        </is>
      </c>
      <c r="C122" s="26" t="inlineStr">
        <is>
          <t>07-08</t>
        </is>
      </c>
      <c r="D122" s="31" t="n">
        <v>1.41</v>
      </c>
      <c r="E122" s="31" t="n">
        <v>4.254</v>
      </c>
      <c r="F122" s="31" t="n">
        <v>2.034</v>
      </c>
      <c r="G122" s="31" t="n">
        <v>1.966</v>
      </c>
      <c r="H122" s="31" t="n">
        <v>1.226</v>
      </c>
      <c r="I122" s="31" t="n">
        <v>1.31</v>
      </c>
      <c r="J122" s="31" t="n">
        <v>0.964</v>
      </c>
      <c r="K122" s="31" t="n">
        <v>1.898</v>
      </c>
      <c r="L122" s="31" t="n">
        <v>1.622</v>
      </c>
      <c r="M122" s="31" t="n">
        <v>1.54</v>
      </c>
      <c r="N122" s="31" t="n">
        <v>0.82</v>
      </c>
      <c r="O122" s="31" t="n">
        <v>1.434</v>
      </c>
      <c r="P122" s="32">
        <f>SUM(D122:O122)</f>
        <v/>
      </c>
    </row>
    <row r="123">
      <c r="A123" s="24" t="inlineStr">
        <is>
          <t>Wheat, excluding durum</t>
        </is>
      </c>
      <c r="B123" s="25" t="inlineStr">
        <is>
          <t>Imports</t>
        </is>
      </c>
      <c r="C123" s="26" t="inlineStr">
        <is>
          <t>08-09</t>
        </is>
      </c>
      <c r="D123" s="31" t="n">
        <v>3.174</v>
      </c>
      <c r="E123" s="31" t="n">
        <v>3.582</v>
      </c>
      <c r="F123" s="31" t="n">
        <v>1.796</v>
      </c>
      <c r="G123" s="31" t="n">
        <v>1.218</v>
      </c>
      <c r="H123" s="31" t="n">
        <v>0.862</v>
      </c>
      <c r="I123" s="31" t="n">
        <v>0.5580000000000001</v>
      </c>
      <c r="J123" s="31" t="n">
        <v>0.9379999999999999</v>
      </c>
      <c r="K123" s="31" t="n">
        <v>1.15</v>
      </c>
      <c r="L123" s="31" t="n">
        <v>3.358</v>
      </c>
      <c r="M123" s="31" t="n">
        <v>4.032</v>
      </c>
      <c r="N123" s="31" t="n">
        <v>1.046</v>
      </c>
      <c r="O123" s="31" t="n">
        <v>1.36</v>
      </c>
      <c r="P123" s="32">
        <f>SUM(D123:O123)</f>
        <v/>
      </c>
    </row>
    <row r="124">
      <c r="A124" s="24" t="inlineStr">
        <is>
          <t>Wheat, excluding durum</t>
        </is>
      </c>
      <c r="B124" s="25" t="inlineStr">
        <is>
          <t>Imports</t>
        </is>
      </c>
      <c r="C124" s="26" t="inlineStr">
        <is>
          <t>09-10</t>
        </is>
      </c>
      <c r="D124" s="31" t="n">
        <v>31.24</v>
      </c>
      <c r="E124" s="31" t="n">
        <v>22.298</v>
      </c>
      <c r="F124" s="31" t="n">
        <v>15.928</v>
      </c>
      <c r="G124" s="31" t="n">
        <v>16.688</v>
      </c>
      <c r="H124" s="31" t="n">
        <v>4.55</v>
      </c>
      <c r="I124" s="31" t="n">
        <v>3.536</v>
      </c>
      <c r="J124" s="31" t="n">
        <v>3.226</v>
      </c>
      <c r="K124" s="31" t="n">
        <v>3.496</v>
      </c>
      <c r="L124" s="31" t="n">
        <v>2.918</v>
      </c>
      <c r="M124" s="31" t="n">
        <v>2.266</v>
      </c>
      <c r="N124" s="31" t="n">
        <v>3.064</v>
      </c>
      <c r="O124" s="31" t="n">
        <v>5.76</v>
      </c>
      <c r="P124" s="32">
        <f>SUM(D124:O124)</f>
        <v/>
      </c>
    </row>
    <row r="125">
      <c r="A125" s="24" t="inlineStr">
        <is>
          <t>Wheat, excluding durum</t>
        </is>
      </c>
      <c r="B125" s="25" t="inlineStr">
        <is>
          <t>Imports</t>
        </is>
      </c>
      <c r="C125" s="26" t="inlineStr">
        <is>
          <t>10-11</t>
        </is>
      </c>
      <c r="D125" s="31" t="n">
        <v>1.884</v>
      </c>
      <c r="E125" s="31" t="n">
        <v>3.52</v>
      </c>
      <c r="F125" s="31" t="n">
        <v>0.804</v>
      </c>
      <c r="G125" s="31" t="n">
        <v>1.064</v>
      </c>
      <c r="H125" s="31" t="n">
        <v>1.496</v>
      </c>
      <c r="I125" s="31" t="n">
        <v>2.042</v>
      </c>
      <c r="J125" s="31" t="n">
        <v>1.578</v>
      </c>
      <c r="K125" s="31" t="n">
        <v>1.868</v>
      </c>
      <c r="L125" s="31" t="n">
        <v>2.424</v>
      </c>
      <c r="M125" s="31" t="n">
        <v>2.228</v>
      </c>
      <c r="N125" s="31" t="n">
        <v>1.954</v>
      </c>
      <c r="O125" s="31" t="n">
        <v>10.66</v>
      </c>
      <c r="P125" s="32">
        <f>SUM(D125:O125)</f>
        <v/>
      </c>
    </row>
    <row r="126">
      <c r="A126" s="24" t="inlineStr">
        <is>
          <t>Wheat, excluding durum</t>
        </is>
      </c>
      <c r="B126" s="25" t="inlineStr">
        <is>
          <t>Imports</t>
        </is>
      </c>
      <c r="C126" s="26" t="inlineStr">
        <is>
          <t>11-12</t>
        </is>
      </c>
      <c r="D126" s="31" t="n">
        <v>2.866</v>
      </c>
      <c r="E126" s="31" t="n">
        <v>3.582</v>
      </c>
      <c r="F126" s="31" t="n">
        <v>1.594</v>
      </c>
      <c r="G126" s="31" t="n">
        <v>6.024000000000001</v>
      </c>
      <c r="H126" s="31" t="n">
        <v>1.648</v>
      </c>
      <c r="I126" s="31" t="n">
        <v>1.51</v>
      </c>
      <c r="J126" s="31" t="n">
        <v>13.179</v>
      </c>
      <c r="K126" s="31" t="n">
        <v>11.771</v>
      </c>
      <c r="L126" s="31" t="n">
        <v>3.335</v>
      </c>
      <c r="M126" s="31" t="n">
        <v>1.912</v>
      </c>
      <c r="N126" s="31" t="n">
        <v>10.803</v>
      </c>
      <c r="O126" s="31" t="n">
        <v>2.885</v>
      </c>
      <c r="P126" s="32">
        <f>SUM(D126:O126)</f>
        <v/>
      </c>
    </row>
    <row r="127">
      <c r="A127" s="24" t="inlineStr">
        <is>
          <t>Wheat, excluding durum</t>
        </is>
      </c>
      <c r="B127" s="25" t="inlineStr">
        <is>
          <t>Imports</t>
        </is>
      </c>
      <c r="C127" s="26" t="inlineStr">
        <is>
          <t>12-13</t>
        </is>
      </c>
      <c r="D127" s="31" t="n">
        <v>2.443</v>
      </c>
      <c r="E127" s="31" t="n">
        <v>2.942</v>
      </c>
      <c r="F127" s="31" t="n">
        <v>2.804</v>
      </c>
      <c r="G127" s="31" t="n">
        <v>1.954</v>
      </c>
      <c r="H127" s="31" t="n">
        <v>1.423</v>
      </c>
      <c r="I127" s="31" t="n">
        <v>1.754</v>
      </c>
      <c r="J127" s="31" t="n">
        <v>1.517</v>
      </c>
      <c r="K127" s="31" t="n">
        <v>1.648</v>
      </c>
      <c r="L127" s="31" t="n">
        <v>2.033</v>
      </c>
      <c r="M127" s="31" t="n">
        <v>2.23</v>
      </c>
      <c r="N127" s="31" t="n">
        <v>14.691</v>
      </c>
      <c r="O127" s="31" t="n">
        <v>2.6</v>
      </c>
      <c r="P127" s="32">
        <f>SUM(D127:O127)</f>
        <v/>
      </c>
    </row>
    <row r="128">
      <c r="A128" s="24" t="inlineStr">
        <is>
          <t>Wheat, excluding durum</t>
        </is>
      </c>
      <c r="B128" s="25" t="inlineStr">
        <is>
          <t>Imports</t>
        </is>
      </c>
      <c r="C128" s="26" t="inlineStr">
        <is>
          <t>13-14</t>
        </is>
      </c>
      <c r="D128" s="31" t="n">
        <v>2.737</v>
      </c>
      <c r="E128" s="31" t="n">
        <v>3.708</v>
      </c>
      <c r="F128" s="31" t="n">
        <v>1.9</v>
      </c>
      <c r="G128" s="31" t="n">
        <v>1.673</v>
      </c>
      <c r="H128" s="31" t="n">
        <v>7.161</v>
      </c>
      <c r="I128" s="31" t="n">
        <v>1.677</v>
      </c>
      <c r="J128" s="31" t="n">
        <v>1.951</v>
      </c>
      <c r="K128" s="31" t="n">
        <v>5.387</v>
      </c>
      <c r="L128" s="31" t="n">
        <v>10.133</v>
      </c>
      <c r="M128" s="31" t="n">
        <v>3.839</v>
      </c>
      <c r="N128" s="31" t="n">
        <v>5.365</v>
      </c>
      <c r="O128" s="31" t="n">
        <v>4.453</v>
      </c>
      <c r="P128" s="32">
        <f>SUM(D128:O128)</f>
        <v/>
      </c>
    </row>
    <row r="129">
      <c r="A129" s="24" t="inlineStr">
        <is>
          <t>Wheat, excluding durum</t>
        </is>
      </c>
      <c r="B129" s="25" t="inlineStr">
        <is>
          <t>Imports</t>
        </is>
      </c>
      <c r="C129" s="26" t="inlineStr">
        <is>
          <t>14-15</t>
        </is>
      </c>
      <c r="D129" s="31" t="n">
        <v>5.306</v>
      </c>
      <c r="E129" s="31" t="n">
        <v>5.875</v>
      </c>
      <c r="F129" s="31" t="n">
        <v>1.679</v>
      </c>
      <c r="G129" s="31" t="n">
        <v>8.366</v>
      </c>
      <c r="H129" s="31" t="n">
        <v>78.819</v>
      </c>
      <c r="I129" s="31" t="n">
        <v>6.596</v>
      </c>
      <c r="J129" s="31" t="n">
        <v>4.436999999999999</v>
      </c>
      <c r="K129" s="31" t="n">
        <v>8.407</v>
      </c>
      <c r="L129" s="31" t="n">
        <v>9.154999999999999</v>
      </c>
      <c r="M129" s="31" t="n">
        <v>9.398999999999999</v>
      </c>
      <c r="N129" s="31" t="n">
        <v>5.952999999999999</v>
      </c>
      <c r="O129" s="31" t="n">
        <v>9.574999999999999</v>
      </c>
      <c r="P129" s="32">
        <f>SUM(D129:O129)</f>
        <v/>
      </c>
    </row>
    <row r="130">
      <c r="A130" s="24" t="inlineStr">
        <is>
          <t>Wheat, excluding durum</t>
        </is>
      </c>
      <c r="B130" s="25" t="inlineStr">
        <is>
          <t>Imports</t>
        </is>
      </c>
      <c r="C130" s="26" t="inlineStr">
        <is>
          <t>15-16</t>
        </is>
      </c>
      <c r="D130" s="31" t="n">
        <v>11.954</v>
      </c>
      <c r="E130" s="31" t="n">
        <v>5.832</v>
      </c>
      <c r="F130" s="31" t="n">
        <v>14.055</v>
      </c>
      <c r="G130" s="31" t="n">
        <v>5.23</v>
      </c>
      <c r="H130" s="31" t="n">
        <v>5.234</v>
      </c>
      <c r="I130" s="31" t="n">
        <v>5.611000000000001</v>
      </c>
      <c r="J130" s="31" t="n">
        <v>5.879</v>
      </c>
      <c r="K130" s="31" t="n">
        <v>4.582</v>
      </c>
      <c r="L130" s="31" t="n">
        <v>4.229</v>
      </c>
      <c r="M130" s="31" t="n">
        <v>8.542999999999999</v>
      </c>
      <c r="N130" s="31" t="n">
        <v>12.17</v>
      </c>
      <c r="O130" s="31" t="n">
        <v>12.395</v>
      </c>
      <c r="P130" s="32">
        <f>SUM(D130:O130)</f>
        <v/>
      </c>
    </row>
    <row r="131">
      <c r="A131" s="24" t="inlineStr">
        <is>
          <t>Wheat, excluding durum</t>
        </is>
      </c>
      <c r="B131" s="25" t="inlineStr">
        <is>
          <t>Imports</t>
        </is>
      </c>
      <c r="C131" s="26" t="inlineStr">
        <is>
          <t>16-17</t>
        </is>
      </c>
      <c r="D131" s="31" t="n">
        <v>10.642</v>
      </c>
      <c r="E131" s="31" t="n">
        <v>11.547</v>
      </c>
      <c r="F131" s="31" t="n">
        <v>14.898</v>
      </c>
      <c r="G131" s="31" t="n">
        <v>9.640000000000001</v>
      </c>
      <c r="H131" s="31" t="n">
        <v>9.19</v>
      </c>
      <c r="I131" s="31" t="n">
        <v>6.529</v>
      </c>
      <c r="J131" s="31" t="n">
        <v>8.744</v>
      </c>
      <c r="K131" s="31" t="n">
        <v>5.333</v>
      </c>
      <c r="L131" s="31" t="n">
        <v>6.193</v>
      </c>
      <c r="M131" s="31" t="n">
        <v>3.793</v>
      </c>
      <c r="N131" s="31" t="n">
        <v>14.29</v>
      </c>
      <c r="O131" s="31" t="n">
        <v>3.594</v>
      </c>
      <c r="P131" s="32">
        <f>SUM(D131:O131)</f>
        <v/>
      </c>
    </row>
    <row r="132">
      <c r="A132" s="24" t="inlineStr">
        <is>
          <t>Wheat, excluding durum</t>
        </is>
      </c>
      <c r="B132" s="25" t="inlineStr">
        <is>
          <t>Imports</t>
        </is>
      </c>
      <c r="C132" s="26" t="inlineStr">
        <is>
          <t>17-18</t>
        </is>
      </c>
      <c r="D132" s="31" t="n">
        <v>7.99</v>
      </c>
      <c r="E132" s="31" t="n">
        <v>7.753</v>
      </c>
      <c r="F132" s="31" t="n">
        <v>5.423</v>
      </c>
      <c r="G132" s="31" t="n">
        <v>5.939</v>
      </c>
      <c r="H132" s="31" t="n">
        <v>3.167</v>
      </c>
      <c r="I132" s="31" t="n">
        <v>4.361</v>
      </c>
      <c r="J132" s="31" t="n">
        <v>5.776</v>
      </c>
      <c r="K132" s="31" t="n">
        <v>8.224</v>
      </c>
      <c r="L132" s="31" t="n">
        <v>7.36</v>
      </c>
      <c r="M132" s="31" t="n">
        <v>6.567</v>
      </c>
      <c r="N132" s="31" t="n">
        <v>4.891</v>
      </c>
      <c r="O132" s="31" t="n">
        <v>8.663</v>
      </c>
      <c r="P132" s="32">
        <f>SUM(D132:O132)</f>
        <v/>
      </c>
    </row>
    <row r="133">
      <c r="A133" s="24" t="inlineStr">
        <is>
          <t>Wheat, excluding durum</t>
        </is>
      </c>
      <c r="B133" s="25" t="inlineStr">
        <is>
          <t>Imports</t>
        </is>
      </c>
      <c r="C133" s="26" t="inlineStr">
        <is>
          <t>18-19</t>
        </is>
      </c>
      <c r="D133" s="31" t="n">
        <v>8.835000000000001</v>
      </c>
      <c r="E133" s="31" t="n">
        <v>7.276</v>
      </c>
      <c r="F133" s="31" t="n">
        <v>7.254</v>
      </c>
      <c r="G133" s="31" t="n">
        <v>4.11</v>
      </c>
      <c r="H133" s="31" t="n">
        <v>4.239</v>
      </c>
      <c r="I133" s="31" t="n">
        <v>2.883</v>
      </c>
      <c r="J133" s="31" t="n">
        <v>3.516</v>
      </c>
      <c r="K133" s="31" t="n">
        <v>7.041</v>
      </c>
      <c r="L133" s="31" t="n">
        <v>5.174</v>
      </c>
      <c r="M133" s="31" t="n">
        <v>10.323</v>
      </c>
      <c r="N133" s="31" t="n">
        <v>23.627</v>
      </c>
      <c r="O133" s="31" t="n">
        <v>10.84</v>
      </c>
      <c r="P133" s="32">
        <f>SUM(D133:O133)</f>
        <v/>
      </c>
    </row>
    <row r="134">
      <c r="A134" s="24" t="inlineStr">
        <is>
          <t>Wheat, excluding durum</t>
        </is>
      </c>
      <c r="B134" s="25" t="inlineStr">
        <is>
          <t>Imports</t>
        </is>
      </c>
      <c r="C134" s="26" t="inlineStr">
        <is>
          <t>19-20</t>
        </is>
      </c>
      <c r="D134" s="31" t="n">
        <v>17.968</v>
      </c>
      <c r="E134" s="31" t="n">
        <v>14.673</v>
      </c>
      <c r="F134" s="31" t="n">
        <v>12.226</v>
      </c>
      <c r="G134" s="31" t="n">
        <v>12.521</v>
      </c>
      <c r="H134" s="31" t="n">
        <v>14.956</v>
      </c>
      <c r="I134" s="31" t="n">
        <v>18.628</v>
      </c>
      <c r="J134" s="31" t="n">
        <v>20.891</v>
      </c>
      <c r="K134" s="31" t="n">
        <v>24.907</v>
      </c>
      <c r="L134" s="31" t="n">
        <v>19.548</v>
      </c>
      <c r="M134" s="31" t="n">
        <v>5.335</v>
      </c>
      <c r="N134" s="31" t="n">
        <v>9.454000000000001</v>
      </c>
      <c r="O134" s="31" t="n">
        <v>7.53</v>
      </c>
      <c r="P134" s="32">
        <f>SUM(D134:O134)</f>
        <v/>
      </c>
    </row>
    <row r="135">
      <c r="A135" s="24" t="inlineStr">
        <is>
          <t>Wheat, excluding durum</t>
        </is>
      </c>
      <c r="B135" s="25" t="inlineStr">
        <is>
          <t>Imports</t>
        </is>
      </c>
      <c r="C135" s="26" t="inlineStr">
        <is>
          <t>20-21</t>
        </is>
      </c>
      <c r="D135" s="31" t="n">
        <v>9.353</v>
      </c>
      <c r="E135" s="31" t="n">
        <v>5.281000000000001</v>
      </c>
      <c r="F135" s="31" t="n">
        <v>4.478000000000001</v>
      </c>
      <c r="G135" s="31" t="n">
        <v>2.672</v>
      </c>
      <c r="H135" s="31" t="n">
        <v>4.104</v>
      </c>
      <c r="I135" s="31" t="n">
        <v>4.509</v>
      </c>
      <c r="J135" s="31" t="n">
        <v>5.962</v>
      </c>
      <c r="K135" s="31" t="n">
        <v>5.882</v>
      </c>
      <c r="L135" s="31" t="n">
        <v>6.425</v>
      </c>
      <c r="M135" s="31" t="n">
        <v>53.697</v>
      </c>
      <c r="N135" s="31" t="n">
        <v>11.553</v>
      </c>
      <c r="O135" s="31" t="n">
        <v>14.795</v>
      </c>
      <c r="P135" s="32">
        <f>SUM(D135:O135)</f>
        <v/>
      </c>
    </row>
    <row r="136">
      <c r="A136" s="24" t="inlineStr">
        <is>
          <t>Wheat, excluding durum</t>
        </is>
      </c>
      <c r="B136" s="25" t="inlineStr">
        <is>
          <t>Imports</t>
        </is>
      </c>
      <c r="C136" s="26" t="inlineStr">
        <is>
          <t>21-22</t>
        </is>
      </c>
      <c r="D136" s="31" t="n">
        <v>22.221</v>
      </c>
      <c r="E136" s="31" t="n">
        <v>25.559</v>
      </c>
      <c r="F136" s="31" t="n">
        <v>26.974</v>
      </c>
      <c r="G136" s="31" t="n">
        <v>16.951</v>
      </c>
      <c r="H136" s="31" t="n">
        <v>12.035</v>
      </c>
      <c r="I136" s="31" t="n">
        <v>7.437</v>
      </c>
      <c r="J136" s="31" t="n">
        <v>6.149</v>
      </c>
      <c r="K136" s="31" t="n">
        <v>11.979</v>
      </c>
      <c r="L136" s="31" t="n">
        <v>8.552000000000001</v>
      </c>
      <c r="M136" s="31" t="n">
        <v>6.553</v>
      </c>
      <c r="N136" s="31" t="n">
        <v>4.824</v>
      </c>
      <c r="O136" s="31" t="n">
        <v>3.497</v>
      </c>
      <c r="P136" s="32">
        <f>SUM(D136:O136)</f>
        <v/>
      </c>
    </row>
    <row r="137">
      <c r="A137" s="24" t="inlineStr">
        <is>
          <t>Wheat, excluding durum</t>
        </is>
      </c>
      <c r="B137" s="25" t="inlineStr">
        <is>
          <t>Imports</t>
        </is>
      </c>
      <c r="C137" s="26" t="inlineStr">
        <is>
          <t>22-23</t>
        </is>
      </c>
      <c r="D137" s="31" t="n">
        <v>4.623</v>
      </c>
      <c r="E137" s="31" t="n">
        <v>36.961</v>
      </c>
      <c r="F137" s="31" t="n">
        <v>2.242</v>
      </c>
      <c r="G137" s="31" t="n">
        <v>1.568</v>
      </c>
      <c r="H137" s="31" t="n">
        <v>1.023</v>
      </c>
      <c r="I137" s="31" t="n">
        <v>1.168</v>
      </c>
      <c r="J137" s="31" t="n">
        <v>1.505</v>
      </c>
      <c r="K137" s="31" t="n">
        <v>2.447</v>
      </c>
      <c r="L137" s="31" t="n">
        <v>2.47</v>
      </c>
      <c r="M137" s="31" t="n">
        <v>2.292</v>
      </c>
      <c r="N137" s="31" t="n">
        <v>4.212999999999999</v>
      </c>
      <c r="O137" s="31" t="n">
        <v>3.287</v>
      </c>
      <c r="P137" s="32">
        <f>SUM(D137:O137)</f>
        <v/>
      </c>
    </row>
    <row r="138">
      <c r="A138" s="24" t="inlineStr">
        <is>
          <t>Wheat, excluding durum</t>
        </is>
      </c>
      <c r="B138" s="25" t="inlineStr">
        <is>
          <t>Imports</t>
        </is>
      </c>
      <c r="C138" s="26" t="inlineStr">
        <is>
          <t>23-24</t>
        </is>
      </c>
      <c r="D138" s="31" t="n">
        <v>5.462</v>
      </c>
      <c r="E138" s="31" t="n">
        <v>23.448</v>
      </c>
      <c r="F138" s="31" t="n">
        <v>3.993</v>
      </c>
      <c r="G138" s="31" t="n">
        <v>3.473</v>
      </c>
      <c r="H138" s="31" t="n">
        <v>6.426</v>
      </c>
      <c r="I138" s="31" t="n">
        <v>7.098</v>
      </c>
      <c r="J138" s="31" t="n">
        <v>7.223</v>
      </c>
      <c r="K138" s="31" t="n">
        <v>6.836</v>
      </c>
      <c r="L138" s="31" t="n">
        <v>6.656</v>
      </c>
      <c r="M138" s="31" t="n">
        <v>5.276</v>
      </c>
      <c r="N138" s="31" t="n">
        <v>5.692</v>
      </c>
      <c r="O138" s="31" t="n">
        <v>6.057</v>
      </c>
      <c r="P138" s="32">
        <f>SUM(D138:O138)</f>
        <v/>
      </c>
    </row>
    <row r="139">
      <c r="A139" s="24" t="inlineStr">
        <is>
          <t>Wheat, excluding durum</t>
        </is>
      </c>
      <c r="B139" s="25" t="inlineStr">
        <is>
          <t>Imports</t>
        </is>
      </c>
      <c r="C139" s="26" t="inlineStr">
        <is>
          <t>24-25</t>
        </is>
      </c>
      <c r="D139" s="31" t="n">
        <v>6.958</v>
      </c>
      <c r="E139" s="31" t="n">
        <v>3.271</v>
      </c>
      <c r="F139" s="31" t="n">
        <v>17.586</v>
      </c>
      <c r="G139" s="31" t="n">
        <v>7.412</v>
      </c>
      <c r="H139" s="31" t="n">
        <v>7.693</v>
      </c>
      <c r="I139" s="31" t="n">
        <v>5.091</v>
      </c>
      <c r="J139" s="31" t="n">
        <v>2.835</v>
      </c>
      <c r="K139" s="31" t="n">
        <v>3.887</v>
      </c>
      <c r="L139" s="31" t="n">
        <v>1.15</v>
      </c>
      <c r="M139" s="31" t="n">
        <v>1.315</v>
      </c>
      <c r="N139" s="31" t="n">
        <v>2.741</v>
      </c>
      <c r="O139" s="31" t="n">
        <v>20.2</v>
      </c>
      <c r="P139" s="32">
        <f>SUM(D139:O139)</f>
        <v/>
      </c>
    </row>
    <row r="140">
      <c r="A140" s="24" t="inlineStr">
        <is>
          <t>Wheat, excluding durum</t>
        </is>
      </c>
      <c r="B140" s="25" t="inlineStr">
        <is>
          <t>Food</t>
        </is>
      </c>
      <c r="C140" s="26" t="inlineStr">
        <is>
          <t>02-03</t>
        </is>
      </c>
      <c r="D140" s="31" t="n">
        <v>238.92</v>
      </c>
      <c r="E140" s="31" t="n">
        <v>238.92</v>
      </c>
      <c r="F140" s="31" t="n">
        <v>238.92</v>
      </c>
      <c r="G140" s="31" t="n">
        <v>238.92</v>
      </c>
      <c r="H140" s="31" t="n">
        <v>238.92</v>
      </c>
      <c r="I140" s="31" t="n">
        <v>214.6666666666666</v>
      </c>
      <c r="J140" s="31" t="n">
        <v>214.6666666666666</v>
      </c>
      <c r="K140" s="31" t="n">
        <v>214.6666666666666</v>
      </c>
      <c r="L140" s="31" t="n">
        <v>212.2</v>
      </c>
      <c r="M140" s="31" t="n">
        <v>212.2</v>
      </c>
      <c r="N140" s="31" t="n">
        <v>212.2</v>
      </c>
      <c r="O140" s="31" t="n">
        <v>212.2</v>
      </c>
      <c r="P140" s="32">
        <f>SUM(D140:O140)</f>
        <v/>
      </c>
    </row>
    <row r="141">
      <c r="A141" s="24" t="inlineStr">
        <is>
          <t>Wheat, excluding durum</t>
        </is>
      </c>
      <c r="B141" s="25" t="inlineStr">
        <is>
          <t>Food</t>
        </is>
      </c>
      <c r="C141" s="26" t="inlineStr">
        <is>
          <t>03-04</t>
        </is>
      </c>
      <c r="D141" s="31" t="n">
        <v>230.64</v>
      </c>
      <c r="E141" s="31" t="n">
        <v>230.64</v>
      </c>
      <c r="F141" s="31" t="n">
        <v>230.64</v>
      </c>
      <c r="G141" s="31" t="n">
        <v>230.64</v>
      </c>
      <c r="H141" s="31" t="n">
        <v>230.64</v>
      </c>
      <c r="I141" s="31" t="n">
        <v>210.5</v>
      </c>
      <c r="J141" s="31" t="n">
        <v>210.5</v>
      </c>
      <c r="K141" s="31" t="n">
        <v>210.5</v>
      </c>
      <c r="L141" s="31" t="n">
        <v>217.825</v>
      </c>
      <c r="M141" s="31" t="n">
        <v>217.825</v>
      </c>
      <c r="N141" s="31" t="n">
        <v>217.825</v>
      </c>
      <c r="O141" s="31" t="n">
        <v>217.825</v>
      </c>
      <c r="P141" s="32">
        <f>SUM(D141:O141)</f>
        <v/>
      </c>
    </row>
    <row r="142">
      <c r="A142" s="24" t="inlineStr">
        <is>
          <t>Wheat, excluding durum</t>
        </is>
      </c>
      <c r="B142" s="25" t="inlineStr">
        <is>
          <t>Food</t>
        </is>
      </c>
      <c r="C142" s="26" t="inlineStr">
        <is>
          <t>04-05</t>
        </is>
      </c>
      <c r="D142" s="31" t="n">
        <v>229.48</v>
      </c>
      <c r="E142" s="31" t="n">
        <v>229.48</v>
      </c>
      <c r="F142" s="31" t="n">
        <v>229.48</v>
      </c>
      <c r="G142" s="31" t="n">
        <v>229.48</v>
      </c>
      <c r="H142" s="31" t="n">
        <v>229.48</v>
      </c>
      <c r="I142" s="31" t="n">
        <v>217.7</v>
      </c>
      <c r="J142" s="31" t="n">
        <v>217.7</v>
      </c>
      <c r="K142" s="31" t="n">
        <v>217.7</v>
      </c>
      <c r="L142" s="31" t="n">
        <v>227.5</v>
      </c>
      <c r="M142" s="31" t="n">
        <v>227.5</v>
      </c>
      <c r="N142" s="31" t="n">
        <v>227.5</v>
      </c>
      <c r="O142" s="31" t="n">
        <v>227.5</v>
      </c>
      <c r="P142" s="32">
        <f>SUM(D142:O142)</f>
        <v/>
      </c>
    </row>
    <row r="143">
      <c r="A143" s="24" t="inlineStr">
        <is>
          <t>Wheat, excluding durum</t>
        </is>
      </c>
      <c r="B143" s="25" t="inlineStr">
        <is>
          <t>Food</t>
        </is>
      </c>
      <c r="C143" s="26" t="inlineStr">
        <is>
          <t>05-06</t>
        </is>
      </c>
      <c r="D143" s="31" t="n">
        <v>243.18</v>
      </c>
      <c r="E143" s="31" t="n">
        <v>243.18</v>
      </c>
      <c r="F143" s="31" t="n">
        <v>243.18</v>
      </c>
      <c r="G143" s="31" t="n">
        <v>243.18</v>
      </c>
      <c r="H143" s="31" t="n">
        <v>243.18</v>
      </c>
      <c r="I143" s="31" t="n">
        <v>211.2</v>
      </c>
      <c r="J143" s="31" t="n">
        <v>211.2</v>
      </c>
      <c r="K143" s="31" t="n">
        <v>211.2</v>
      </c>
      <c r="L143" s="31" t="n">
        <v>223.125</v>
      </c>
      <c r="M143" s="31" t="n">
        <v>223.125</v>
      </c>
      <c r="N143" s="31" t="n">
        <v>223.125</v>
      </c>
      <c r="O143" s="31" t="n">
        <v>223.125</v>
      </c>
      <c r="P143" s="32">
        <f>SUM(D143:O143)</f>
        <v/>
      </c>
    </row>
    <row r="144">
      <c r="A144" s="24" t="inlineStr">
        <is>
          <t>Wheat, excluding durum</t>
        </is>
      </c>
      <c r="B144" s="25" t="inlineStr">
        <is>
          <t>Food</t>
        </is>
      </c>
      <c r="C144" s="26" t="inlineStr">
        <is>
          <t>06-07</t>
        </is>
      </c>
      <c r="D144" s="31" t="n">
        <v>239.34</v>
      </c>
      <c r="E144" s="31" t="n">
        <v>239.34</v>
      </c>
      <c r="F144" s="31" t="n">
        <v>239.34</v>
      </c>
      <c r="G144" s="31" t="n">
        <v>239.34</v>
      </c>
      <c r="H144" s="31" t="n">
        <v>239.34</v>
      </c>
      <c r="I144" s="31" t="n">
        <v>220.5</v>
      </c>
      <c r="J144" s="31" t="n">
        <v>220.5</v>
      </c>
      <c r="K144" s="31" t="n">
        <v>220.5</v>
      </c>
      <c r="L144" s="31" t="n">
        <v>211.2</v>
      </c>
      <c r="M144" s="31" t="n">
        <v>211.2</v>
      </c>
      <c r="N144" s="31" t="n">
        <v>211.2</v>
      </c>
      <c r="O144" s="31" t="n">
        <v>211.2</v>
      </c>
      <c r="P144" s="32">
        <f>SUM(D144:O144)</f>
        <v/>
      </c>
    </row>
    <row r="145">
      <c r="A145" s="24" t="inlineStr">
        <is>
          <t>Wheat, excluding durum</t>
        </is>
      </c>
      <c r="B145" s="25" t="inlineStr">
        <is>
          <t>Food</t>
        </is>
      </c>
      <c r="C145" s="26" t="inlineStr">
        <is>
          <t>07-08</t>
        </is>
      </c>
      <c r="D145" s="31" t="n">
        <v>229.9</v>
      </c>
      <c r="E145" s="31" t="n">
        <v>229.9</v>
      </c>
      <c r="F145" s="31" t="n">
        <v>229.9</v>
      </c>
      <c r="G145" s="31" t="n">
        <v>229.9</v>
      </c>
      <c r="H145" s="31" t="n">
        <v>229.9</v>
      </c>
      <c r="I145" s="31" t="n">
        <v>206.2</v>
      </c>
      <c r="J145" s="31" t="n">
        <v>206.2</v>
      </c>
      <c r="K145" s="31" t="n">
        <v>206.2</v>
      </c>
      <c r="L145" s="31" t="n">
        <v>215.0500000000001</v>
      </c>
      <c r="M145" s="31" t="n">
        <v>215.0500000000001</v>
      </c>
      <c r="N145" s="31" t="n">
        <v>215.0500000000001</v>
      </c>
      <c r="O145" s="31" t="n">
        <v>215.0500000000001</v>
      </c>
      <c r="P145" s="32">
        <f>SUM(D145:O145)</f>
        <v/>
      </c>
    </row>
    <row r="146">
      <c r="A146" s="24" t="inlineStr">
        <is>
          <t>Wheat, excluding durum</t>
        </is>
      </c>
      <c r="B146" s="25" t="inlineStr">
        <is>
          <t>Food</t>
        </is>
      </c>
      <c r="C146" s="26" t="inlineStr">
        <is>
          <t>08-09</t>
        </is>
      </c>
      <c r="D146" s="31" t="n">
        <v>213.44</v>
      </c>
      <c r="E146" s="31" t="n">
        <v>213.44</v>
      </c>
      <c r="F146" s="31" t="n">
        <v>213.44</v>
      </c>
      <c r="G146" s="31" t="n">
        <v>213.44</v>
      </c>
      <c r="H146" s="31" t="n">
        <v>213.44</v>
      </c>
      <c r="I146" s="31" t="n">
        <v>196.2</v>
      </c>
      <c r="J146" s="31" t="n">
        <v>196.2</v>
      </c>
      <c r="K146" s="31" t="n">
        <v>196.2</v>
      </c>
      <c r="L146" s="31" t="n">
        <v>213.35</v>
      </c>
      <c r="M146" s="31" t="n">
        <v>213.35</v>
      </c>
      <c r="N146" s="31" t="n">
        <v>213.35</v>
      </c>
      <c r="O146" s="31" t="n">
        <v>213.35</v>
      </c>
      <c r="P146" s="32">
        <f>SUM(D146:O146)</f>
        <v/>
      </c>
    </row>
    <row r="147">
      <c r="A147" s="24" t="inlineStr">
        <is>
          <t>Wheat, excluding durum</t>
        </is>
      </c>
      <c r="B147" s="25" t="inlineStr">
        <is>
          <t>Food</t>
        </is>
      </c>
      <c r="C147" s="26" t="inlineStr">
        <is>
          <t>09-10</t>
        </is>
      </c>
      <c r="D147" s="31" t="n">
        <v>223.72</v>
      </c>
      <c r="E147" s="31" t="n">
        <v>223.72</v>
      </c>
      <c r="F147" s="31" t="n">
        <v>223.72</v>
      </c>
      <c r="G147" s="31" t="n">
        <v>223.72</v>
      </c>
      <c r="H147" s="31" t="n">
        <v>223.72</v>
      </c>
      <c r="I147" s="31" t="n">
        <v>200</v>
      </c>
      <c r="J147" s="31" t="n">
        <v>200</v>
      </c>
      <c r="K147" s="31" t="n">
        <v>200</v>
      </c>
      <c r="L147" s="31" t="n">
        <v>212.8000000000001</v>
      </c>
      <c r="M147" s="31" t="n">
        <v>212.8000000000001</v>
      </c>
      <c r="N147" s="31" t="n">
        <v>212.8000000000001</v>
      </c>
      <c r="O147" s="31" t="n">
        <v>212.8000000000001</v>
      </c>
      <c r="P147" s="32">
        <f>SUM(D147:O147)</f>
        <v/>
      </c>
    </row>
    <row r="148">
      <c r="A148" s="24" t="inlineStr">
        <is>
          <t>Wheat, excluding durum</t>
        </is>
      </c>
      <c r="B148" s="25" t="inlineStr">
        <is>
          <t>Food</t>
        </is>
      </c>
      <c r="C148" s="26" t="inlineStr">
        <is>
          <t>10-11</t>
        </is>
      </c>
      <c r="D148" s="31" t="n">
        <v>220.86</v>
      </c>
      <c r="E148" s="31" t="n">
        <v>220.86</v>
      </c>
      <c r="F148" s="31" t="n">
        <v>220.86</v>
      </c>
      <c r="G148" s="31" t="n">
        <v>220.86</v>
      </c>
      <c r="H148" s="31" t="n">
        <v>220.86</v>
      </c>
      <c r="I148" s="31" t="n">
        <v>200.8</v>
      </c>
      <c r="J148" s="31" t="n">
        <v>200.8</v>
      </c>
      <c r="K148" s="31" t="n">
        <v>200.8</v>
      </c>
      <c r="L148" s="31" t="n">
        <v>208.1</v>
      </c>
      <c r="M148" s="31" t="n">
        <v>208.1</v>
      </c>
      <c r="N148" s="31" t="n">
        <v>208.1</v>
      </c>
      <c r="O148" s="31" t="n">
        <v>208.1</v>
      </c>
      <c r="P148" s="32">
        <f>SUM(D148:O148)</f>
        <v/>
      </c>
    </row>
    <row r="149">
      <c r="A149" s="24" t="inlineStr">
        <is>
          <t>Wheat, excluding durum</t>
        </is>
      </c>
      <c r="B149" s="25" t="inlineStr">
        <is>
          <t>Food</t>
        </is>
      </c>
      <c r="C149" s="26" t="inlineStr">
        <is>
          <t>11-12</t>
        </is>
      </c>
      <c r="D149" s="31" t="n">
        <v>215.22</v>
      </c>
      <c r="E149" s="31" t="n">
        <v>215.22</v>
      </c>
      <c r="F149" s="31" t="n">
        <v>215.22</v>
      </c>
      <c r="G149" s="31" t="n">
        <v>215.22</v>
      </c>
      <c r="H149" s="31" t="n">
        <v>215.22</v>
      </c>
      <c r="I149" s="31" t="n">
        <v>195.3333333333333</v>
      </c>
      <c r="J149" s="31" t="n">
        <v>195.3333333333333</v>
      </c>
      <c r="K149" s="31" t="n">
        <v>195.3333333333333</v>
      </c>
      <c r="L149" s="31" t="n">
        <v>207.325</v>
      </c>
      <c r="M149" s="31" t="n">
        <v>207.325</v>
      </c>
      <c r="N149" s="31" t="n">
        <v>207.325</v>
      </c>
      <c r="O149" s="31" t="n">
        <v>207.325</v>
      </c>
      <c r="P149" s="32">
        <f>SUM(D149:O149)</f>
        <v/>
      </c>
    </row>
    <row r="150">
      <c r="A150" s="24" t="inlineStr">
        <is>
          <t>Wheat, excluding durum</t>
        </is>
      </c>
      <c r="B150" s="25" t="inlineStr">
        <is>
          <t>Food</t>
        </is>
      </c>
      <c r="C150" s="26" t="inlineStr">
        <is>
          <t>12-13</t>
        </is>
      </c>
      <c r="D150" s="31" t="n">
        <v>215.32</v>
      </c>
      <c r="E150" s="31" t="n">
        <v>215.32</v>
      </c>
      <c r="F150" s="31" t="n">
        <v>215.32</v>
      </c>
      <c r="G150" s="31" t="n">
        <v>215.32</v>
      </c>
      <c r="H150" s="31" t="n">
        <v>215.32</v>
      </c>
      <c r="I150" s="31" t="n">
        <v>193</v>
      </c>
      <c r="J150" s="31" t="n">
        <v>193</v>
      </c>
      <c r="K150" s="31" t="n">
        <v>193</v>
      </c>
      <c r="L150" s="31" t="n">
        <v>211.95</v>
      </c>
      <c r="M150" s="31" t="n">
        <v>211.95</v>
      </c>
      <c r="N150" s="31" t="n">
        <v>211.95</v>
      </c>
      <c r="O150" s="31" t="n">
        <v>211.95</v>
      </c>
      <c r="P150" s="32">
        <f>SUM(D150:O150)</f>
        <v/>
      </c>
    </row>
    <row r="151">
      <c r="A151" s="24" t="inlineStr">
        <is>
          <t>Wheat, excluding durum</t>
        </is>
      </c>
      <c r="B151" s="25" t="inlineStr">
        <is>
          <t>Food</t>
        </is>
      </c>
      <c r="C151" s="26" t="inlineStr">
        <is>
          <t>13-14</t>
        </is>
      </c>
      <c r="D151" s="31" t="n">
        <v>214.1</v>
      </c>
      <c r="E151" s="31" t="n">
        <v>214.1</v>
      </c>
      <c r="F151" s="31" t="n">
        <v>214.1</v>
      </c>
      <c r="G151" s="31" t="n">
        <v>214.1</v>
      </c>
      <c r="H151" s="31" t="n">
        <v>214.1</v>
      </c>
      <c r="I151" s="31" t="n">
        <v>198.0333333333333</v>
      </c>
      <c r="J151" s="31" t="n">
        <v>198.0333333333333</v>
      </c>
      <c r="K151" s="31" t="n">
        <v>198.0333333333333</v>
      </c>
      <c r="L151" s="31" t="n">
        <v>220.775</v>
      </c>
      <c r="M151" s="31" t="n">
        <v>220.775</v>
      </c>
      <c r="N151" s="31" t="n">
        <v>220.775</v>
      </c>
      <c r="O151" s="31" t="n">
        <v>220.775</v>
      </c>
      <c r="P151" s="32">
        <f>SUM(D151:O151)</f>
        <v/>
      </c>
    </row>
    <row r="152">
      <c r="A152" s="24" t="inlineStr">
        <is>
          <t>Wheat, excluding durum</t>
        </is>
      </c>
      <c r="B152" s="25" t="inlineStr">
        <is>
          <t>Food</t>
        </is>
      </c>
      <c r="C152" s="26" t="inlineStr">
        <is>
          <t>14-15</t>
        </is>
      </c>
      <c r="D152" s="31" t="n">
        <v>206.38</v>
      </c>
      <c r="E152" s="31" t="n">
        <v>206.38</v>
      </c>
      <c r="F152" s="31" t="n">
        <v>206.38</v>
      </c>
      <c r="G152" s="31" t="n">
        <v>206.38</v>
      </c>
      <c r="H152" s="31" t="n">
        <v>206.38</v>
      </c>
      <c r="I152" s="31" t="n">
        <v>188.8</v>
      </c>
      <c r="J152" s="31" t="n">
        <v>188.8</v>
      </c>
      <c r="K152" s="31" t="n">
        <v>188.8</v>
      </c>
      <c r="L152" s="31" t="n">
        <v>219.15</v>
      </c>
      <c r="M152" s="31" t="n">
        <v>219.15</v>
      </c>
      <c r="N152" s="31" t="n">
        <v>219.15</v>
      </c>
      <c r="O152" s="31" t="n">
        <v>219.15</v>
      </c>
      <c r="P152" s="32">
        <f>SUM(D152:O152)</f>
        <v/>
      </c>
    </row>
    <row r="153">
      <c r="A153" s="24" t="inlineStr">
        <is>
          <t>Wheat, excluding durum</t>
        </is>
      </c>
      <c r="B153" s="25" t="inlineStr">
        <is>
          <t>Food</t>
        </is>
      </c>
      <c r="C153" s="26" t="inlineStr">
        <is>
          <t>15-16</t>
        </is>
      </c>
      <c r="D153" s="31" t="n">
        <v>224.34</v>
      </c>
      <c r="E153" s="31" t="n">
        <v>224.34</v>
      </c>
      <c r="F153" s="31" t="n">
        <v>224.34</v>
      </c>
      <c r="G153" s="31" t="n">
        <v>224.34</v>
      </c>
      <c r="H153" s="31" t="n">
        <v>224.34</v>
      </c>
      <c r="I153" s="31" t="n">
        <v>207.8333333333333</v>
      </c>
      <c r="J153" s="31" t="n">
        <v>207.8333333333333</v>
      </c>
      <c r="K153" s="31" t="n">
        <v>207.8333333333333</v>
      </c>
      <c r="L153" s="31" t="n">
        <v>225.05</v>
      </c>
      <c r="M153" s="31" t="n">
        <v>225.05</v>
      </c>
      <c r="N153" s="31" t="n">
        <v>225.05</v>
      </c>
      <c r="O153" s="31" t="n">
        <v>225.05</v>
      </c>
      <c r="P153" s="32">
        <f>SUM(D153:O153)</f>
        <v/>
      </c>
    </row>
    <row r="154">
      <c r="A154" s="24" t="inlineStr">
        <is>
          <t>Wheat, excluding durum</t>
        </is>
      </c>
      <c r="B154" s="25" t="inlineStr">
        <is>
          <t>Food</t>
        </is>
      </c>
      <c r="C154" s="26" t="inlineStr">
        <is>
          <t>16-17</t>
        </is>
      </c>
      <c r="D154" s="31" t="n">
        <v>219.54</v>
      </c>
      <c r="E154" s="31" t="n">
        <v>219.54</v>
      </c>
      <c r="F154" s="31" t="n">
        <v>219.54</v>
      </c>
      <c r="G154" s="31" t="n">
        <v>219.54</v>
      </c>
      <c r="H154" s="31" t="n">
        <v>219.54</v>
      </c>
      <c r="I154" s="31" t="n">
        <v>200.7</v>
      </c>
      <c r="J154" s="31" t="n">
        <v>200.7</v>
      </c>
      <c r="K154" s="31" t="n">
        <v>200.7</v>
      </c>
      <c r="L154" s="31" t="n">
        <v>208.175</v>
      </c>
      <c r="M154" s="31" t="n">
        <v>208.175</v>
      </c>
      <c r="N154" s="31" t="n">
        <v>208.175</v>
      </c>
      <c r="O154" s="31" t="n">
        <v>208.175</v>
      </c>
      <c r="P154" s="32">
        <f>SUM(D154:O154)</f>
        <v/>
      </c>
    </row>
    <row r="155">
      <c r="A155" s="24" t="inlineStr">
        <is>
          <t>Wheat, excluding durum</t>
        </is>
      </c>
      <c r="B155" s="25" t="inlineStr">
        <is>
          <t>Food</t>
        </is>
      </c>
      <c r="C155" s="26" t="inlineStr">
        <is>
          <t>17-18</t>
        </is>
      </c>
      <c r="D155" s="31" t="n">
        <v>229.1</v>
      </c>
      <c r="E155" s="31" t="n">
        <v>229.1</v>
      </c>
      <c r="F155" s="31" t="n">
        <v>229.1</v>
      </c>
      <c r="G155" s="31" t="n">
        <v>229.1</v>
      </c>
      <c r="H155" s="31" t="n">
        <v>229.1</v>
      </c>
      <c r="I155" s="31" t="n">
        <v>213.7333333333333</v>
      </c>
      <c r="J155" s="31" t="n">
        <v>213.7333333333333</v>
      </c>
      <c r="K155" s="31" t="n">
        <v>213.7333333333333</v>
      </c>
      <c r="L155" s="31" t="n">
        <v>215.5</v>
      </c>
      <c r="M155" s="31" t="n">
        <v>215.5</v>
      </c>
      <c r="N155" s="31" t="n">
        <v>215.5</v>
      </c>
      <c r="O155" s="31" t="n">
        <v>215.5</v>
      </c>
      <c r="P155" s="32">
        <f>SUM(D155:O155)</f>
        <v/>
      </c>
    </row>
    <row r="156">
      <c r="A156" s="24" t="inlineStr">
        <is>
          <t>Wheat, excluding durum</t>
        </is>
      </c>
      <c r="B156" s="25" t="inlineStr">
        <is>
          <t>Food</t>
        </is>
      </c>
      <c r="C156" s="26" t="inlineStr">
        <is>
          <t>18-19</t>
        </is>
      </c>
      <c r="D156" s="31" t="n">
        <v>237.8</v>
      </c>
      <c r="E156" s="31" t="n">
        <v>237.8</v>
      </c>
      <c r="F156" s="31" t="n">
        <v>237.8</v>
      </c>
      <c r="G156" s="31" t="n">
        <v>237.8</v>
      </c>
      <c r="H156" s="31" t="n">
        <v>237.8</v>
      </c>
      <c r="I156" s="31" t="n">
        <v>223.6333333333333</v>
      </c>
      <c r="J156" s="31" t="n">
        <v>223.6333333333333</v>
      </c>
      <c r="K156" s="31" t="n">
        <v>223.6333333333333</v>
      </c>
      <c r="L156" s="31" t="n">
        <v>233.55</v>
      </c>
      <c r="M156" s="31" t="n">
        <v>233.55</v>
      </c>
      <c r="N156" s="31" t="n">
        <v>233.55</v>
      </c>
      <c r="O156" s="31" t="n">
        <v>233.55</v>
      </c>
      <c r="P156" s="32">
        <f>SUM(D156:O156)</f>
        <v/>
      </c>
    </row>
    <row r="157">
      <c r="A157" s="24" t="inlineStr">
        <is>
          <t>Wheat, excluding durum</t>
        </is>
      </c>
      <c r="B157" s="25" t="inlineStr">
        <is>
          <t>Food</t>
        </is>
      </c>
      <c r="C157" s="26" t="inlineStr">
        <is>
          <t>19-20</t>
        </is>
      </c>
      <c r="D157" s="31" t="n">
        <v>237.48</v>
      </c>
      <c r="E157" s="31" t="n">
        <v>237.48</v>
      </c>
      <c r="F157" s="31" t="n">
        <v>237.48</v>
      </c>
      <c r="G157" s="31" t="n">
        <v>237.48</v>
      </c>
      <c r="H157" s="31" t="n">
        <v>237.48</v>
      </c>
      <c r="I157" s="31" t="n">
        <v>229.7333333333333</v>
      </c>
      <c r="J157" s="31" t="n">
        <v>229.7333333333333</v>
      </c>
      <c r="K157" s="31" t="n">
        <v>229.7333333333333</v>
      </c>
      <c r="L157" s="31" t="n">
        <v>231.825</v>
      </c>
      <c r="M157" s="31" t="n">
        <v>231.825</v>
      </c>
      <c r="N157" s="31" t="n">
        <v>231.825</v>
      </c>
      <c r="O157" s="31" t="n">
        <v>231.825</v>
      </c>
      <c r="P157" s="32">
        <f>SUM(D157:O157)</f>
        <v/>
      </c>
    </row>
    <row r="158">
      <c r="A158" s="24" t="inlineStr">
        <is>
          <t>Wheat, excluding durum</t>
        </is>
      </c>
      <c r="B158" s="25" t="inlineStr">
        <is>
          <t>Food</t>
        </is>
      </c>
      <c r="C158" s="26" t="inlineStr">
        <is>
          <t>20-21</t>
        </is>
      </c>
      <c r="D158" s="31" t="n">
        <v>244.76</v>
      </c>
      <c r="E158" s="31" t="n">
        <v>244.76</v>
      </c>
      <c r="F158" s="31" t="n">
        <v>244.76</v>
      </c>
      <c r="G158" s="31" t="n">
        <v>244.76</v>
      </c>
      <c r="H158" s="31" t="n">
        <v>244.76</v>
      </c>
      <c r="I158" s="31" t="n">
        <v>216.3</v>
      </c>
      <c r="J158" s="31" t="n">
        <v>216.3</v>
      </c>
      <c r="K158" s="31" t="n">
        <v>216.3</v>
      </c>
      <c r="L158" s="31" t="n">
        <v>227.275</v>
      </c>
      <c r="M158" s="31" t="n">
        <v>227.275</v>
      </c>
      <c r="N158" s="31" t="n">
        <v>227.275</v>
      </c>
      <c r="O158" s="31" t="n">
        <v>227.275</v>
      </c>
      <c r="P158" s="32">
        <f>SUM(D158:O158)</f>
        <v/>
      </c>
    </row>
    <row r="159">
      <c r="A159" s="24" t="inlineStr">
        <is>
          <t>Wheat, excluding durum</t>
        </is>
      </c>
      <c r="B159" s="25" t="inlineStr">
        <is>
          <t>Food</t>
        </is>
      </c>
      <c r="C159" s="26" t="inlineStr">
        <is>
          <t>21-22</t>
        </is>
      </c>
      <c r="D159" s="31" t="n">
        <v>242.72</v>
      </c>
      <c r="E159" s="31" t="n">
        <v>242.72</v>
      </c>
      <c r="F159" s="31" t="n">
        <v>242.72</v>
      </c>
      <c r="G159" s="31" t="n">
        <v>242.72</v>
      </c>
      <c r="H159" s="31" t="n">
        <v>242.72</v>
      </c>
      <c r="I159" s="31" t="n">
        <v>231.6333333333333</v>
      </c>
      <c r="J159" s="31" t="n">
        <v>231.6333333333333</v>
      </c>
      <c r="K159" s="31" t="n">
        <v>231.6333333333333</v>
      </c>
      <c r="L159" s="31" t="n">
        <v>240.525</v>
      </c>
      <c r="M159" s="31" t="n">
        <v>240.525</v>
      </c>
      <c r="N159" s="31" t="n">
        <v>240.525</v>
      </c>
      <c r="O159" s="31" t="n">
        <v>240.525</v>
      </c>
      <c r="P159" s="32">
        <f>SUM(D159:O159)</f>
        <v/>
      </c>
    </row>
    <row r="160">
      <c r="A160" s="24" t="inlineStr">
        <is>
          <t>Wheat, excluding durum</t>
        </is>
      </c>
      <c r="B160" s="25" t="inlineStr">
        <is>
          <t>Food</t>
        </is>
      </c>
      <c r="C160" s="26" t="inlineStr">
        <is>
          <t>22-23</t>
        </is>
      </c>
      <c r="D160" s="31" t="n">
        <v>246.16</v>
      </c>
      <c r="E160" s="31" t="n">
        <v>246.16</v>
      </c>
      <c r="F160" s="31" t="n">
        <v>246.16</v>
      </c>
      <c r="G160" s="31" t="n">
        <v>246.16</v>
      </c>
      <c r="H160" s="31" t="n">
        <v>246.16</v>
      </c>
      <c r="I160" s="31" t="n">
        <v>228.6</v>
      </c>
      <c r="J160" s="31" t="n">
        <v>228.6</v>
      </c>
      <c r="K160" s="31" t="n">
        <v>228.6</v>
      </c>
      <c r="L160" s="31" t="n">
        <v>237.4250000000001</v>
      </c>
      <c r="M160" s="31" t="n">
        <v>237.4250000000001</v>
      </c>
      <c r="N160" s="31" t="n">
        <v>237.4250000000001</v>
      </c>
      <c r="O160" s="31" t="n">
        <v>237.4250000000001</v>
      </c>
      <c r="P160" s="32">
        <f>SUM(D160:O160)</f>
        <v/>
      </c>
    </row>
    <row r="161">
      <c r="A161" s="24" t="inlineStr">
        <is>
          <t>Wheat, excluding durum</t>
        </is>
      </c>
      <c r="B161" s="25" t="inlineStr">
        <is>
          <t>Food</t>
        </is>
      </c>
      <c r="C161" s="26" t="inlineStr">
        <is>
          <t>23-24</t>
        </is>
      </c>
      <c r="D161" s="31" t="n">
        <v>253.46</v>
      </c>
      <c r="E161" s="31" t="n">
        <v>253.46</v>
      </c>
      <c r="F161" s="31" t="n">
        <v>253.46</v>
      </c>
      <c r="G161" s="31" t="n">
        <v>253.46</v>
      </c>
      <c r="H161" s="31" t="n">
        <v>253.46</v>
      </c>
      <c r="I161" s="31" t="n">
        <v>227.1</v>
      </c>
      <c r="J161" s="31" t="n">
        <v>227.1</v>
      </c>
      <c r="K161" s="31" t="n">
        <v>227.1</v>
      </c>
      <c r="L161" s="31" t="n">
        <v>242.2</v>
      </c>
      <c r="M161" s="31" t="n">
        <v>242.2</v>
      </c>
      <c r="N161" s="31" t="n">
        <v>242.2</v>
      </c>
      <c r="O161" s="31" t="n">
        <v>242.2</v>
      </c>
      <c r="P161" s="32">
        <f>SUM(D161:O161)</f>
        <v/>
      </c>
    </row>
    <row r="162">
      <c r="A162" s="24" t="inlineStr">
        <is>
          <t>Wheat, excluding durum</t>
        </is>
      </c>
      <c r="B162" s="25" t="inlineStr">
        <is>
          <t>Food</t>
        </is>
      </c>
      <c r="C162" s="26" t="inlineStr">
        <is>
          <t>24-25</t>
        </is>
      </c>
      <c r="D162" s="31" t="n">
        <v>243.5</v>
      </c>
      <c r="E162" s="31" t="n">
        <v>243.5</v>
      </c>
      <c r="F162" s="31" t="n">
        <v>243.5</v>
      </c>
      <c r="G162" s="31" t="n">
        <v>243.5</v>
      </c>
      <c r="H162" s="31" t="n">
        <v>243.5</v>
      </c>
      <c r="I162" s="31" t="n">
        <v>236.2</v>
      </c>
      <c r="J162" s="31" t="n">
        <v>236.2</v>
      </c>
      <c r="K162" s="31" t="n">
        <v>236.2</v>
      </c>
      <c r="L162" s="31" t="n">
        <v>254.6</v>
      </c>
      <c r="M162" s="31" t="n">
        <v>254.6</v>
      </c>
      <c r="N162" s="31" t="n">
        <v>254.6</v>
      </c>
      <c r="O162" s="31" t="n">
        <v>254.6</v>
      </c>
      <c r="P162" s="32">
        <f>SUM(D162:O162)</f>
        <v/>
      </c>
    </row>
    <row r="163">
      <c r="A163" s="24" t="inlineStr">
        <is>
          <t>Wheat, excluding durum</t>
        </is>
      </c>
      <c r="B163" s="25" t="inlineStr">
        <is>
          <t>Industrial</t>
        </is>
      </c>
      <c r="C163" s="26" t="inlineStr">
        <is>
          <t>02-03</t>
        </is>
      </c>
      <c r="D163" s="31" t="n">
        <v>9.6</v>
      </c>
      <c r="E163" s="31" t="n">
        <v>9.6</v>
      </c>
      <c r="F163" s="31" t="n">
        <v>9.6</v>
      </c>
      <c r="G163" s="31" t="n">
        <v>9.6</v>
      </c>
      <c r="H163" s="31" t="n">
        <v>9.6</v>
      </c>
      <c r="I163" s="31" t="n">
        <v>8.666666666666666</v>
      </c>
      <c r="J163" s="31" t="n">
        <v>8.666666666666666</v>
      </c>
      <c r="K163" s="31" t="n">
        <v>8.666666666666666</v>
      </c>
      <c r="L163" s="31" t="n">
        <v>8.75</v>
      </c>
      <c r="M163" s="31" t="n">
        <v>8.75</v>
      </c>
      <c r="N163" s="31" t="n">
        <v>8.75</v>
      </c>
      <c r="O163" s="31" t="n">
        <v>8.75</v>
      </c>
      <c r="P163" s="32">
        <f>SUM(D163:O163)</f>
        <v/>
      </c>
    </row>
    <row r="164">
      <c r="A164" s="24" t="inlineStr">
        <is>
          <t>Wheat, excluding durum</t>
        </is>
      </c>
      <c r="B164" s="25" t="inlineStr">
        <is>
          <t>Industrial</t>
        </is>
      </c>
      <c r="C164" s="26" t="inlineStr">
        <is>
          <t>03-04</t>
        </is>
      </c>
      <c r="D164" s="31" t="n">
        <v>10.2</v>
      </c>
      <c r="E164" s="31" t="n">
        <v>10.2</v>
      </c>
      <c r="F164" s="31" t="n">
        <v>10.2</v>
      </c>
      <c r="G164" s="31" t="n">
        <v>10.2</v>
      </c>
      <c r="H164" s="31" t="n">
        <v>10.2</v>
      </c>
      <c r="I164" s="31" t="n">
        <v>9</v>
      </c>
      <c r="J164" s="31" t="n">
        <v>9</v>
      </c>
      <c r="K164" s="31" t="n">
        <v>9</v>
      </c>
      <c r="L164" s="31" t="n">
        <v>10.25</v>
      </c>
      <c r="M164" s="31" t="n">
        <v>10.25</v>
      </c>
      <c r="N164" s="31" t="n">
        <v>10.25</v>
      </c>
      <c r="O164" s="31" t="n">
        <v>10.25</v>
      </c>
      <c r="P164" s="32">
        <f>SUM(D164:O164)</f>
        <v/>
      </c>
    </row>
    <row r="165">
      <c r="A165" s="24" t="inlineStr">
        <is>
          <t>Wheat, excluding durum</t>
        </is>
      </c>
      <c r="B165" s="25" t="inlineStr">
        <is>
          <t>Industrial</t>
        </is>
      </c>
      <c r="C165" s="26" t="inlineStr">
        <is>
          <t>04-05</t>
        </is>
      </c>
      <c r="D165" s="31" t="n">
        <v>11</v>
      </c>
      <c r="E165" s="31" t="n">
        <v>11</v>
      </c>
      <c r="F165" s="31" t="n">
        <v>11</v>
      </c>
      <c r="G165" s="31" t="n">
        <v>11</v>
      </c>
      <c r="H165" s="31" t="n">
        <v>11</v>
      </c>
      <c r="I165" s="31" t="n">
        <v>11.33333333333333</v>
      </c>
      <c r="J165" s="31" t="n">
        <v>11.33333333333333</v>
      </c>
      <c r="K165" s="31" t="n">
        <v>11.33333333333333</v>
      </c>
      <c r="L165" s="31" t="n">
        <v>11.25</v>
      </c>
      <c r="M165" s="31" t="n">
        <v>11.25</v>
      </c>
      <c r="N165" s="31" t="n">
        <v>11.25</v>
      </c>
      <c r="O165" s="31" t="n">
        <v>11.25</v>
      </c>
      <c r="P165" s="32">
        <f>SUM(D165:O165)</f>
        <v/>
      </c>
    </row>
    <row r="166">
      <c r="A166" s="24" t="inlineStr">
        <is>
          <t>Wheat, excluding durum</t>
        </is>
      </c>
      <c r="B166" s="25" t="inlineStr">
        <is>
          <t>Industrial</t>
        </is>
      </c>
      <c r="C166" s="26" t="inlineStr">
        <is>
          <t>05-06</t>
        </is>
      </c>
      <c r="D166" s="31" t="n">
        <v>14.2</v>
      </c>
      <c r="E166" s="31" t="n">
        <v>14.2</v>
      </c>
      <c r="F166" s="31" t="n">
        <v>14.2</v>
      </c>
      <c r="G166" s="31" t="n">
        <v>14.2</v>
      </c>
      <c r="H166" s="31" t="n">
        <v>14.2</v>
      </c>
      <c r="I166" s="31" t="n">
        <v>15.66666666666667</v>
      </c>
      <c r="J166" s="31" t="n">
        <v>15.66666666666667</v>
      </c>
      <c r="K166" s="31" t="n">
        <v>15.66666666666667</v>
      </c>
      <c r="L166" s="31" t="n">
        <v>15</v>
      </c>
      <c r="M166" s="31" t="n">
        <v>15</v>
      </c>
      <c r="N166" s="31" t="n">
        <v>15</v>
      </c>
      <c r="O166" s="31" t="n">
        <v>15</v>
      </c>
      <c r="P166" s="32">
        <f>SUM(D166:O166)</f>
        <v/>
      </c>
    </row>
    <row r="167">
      <c r="A167" s="24" t="inlineStr">
        <is>
          <t>Wheat, excluding durum</t>
        </is>
      </c>
      <c r="B167" s="25" t="inlineStr">
        <is>
          <t>Industrial</t>
        </is>
      </c>
      <c r="C167" s="26" t="inlineStr">
        <is>
          <t>06-07</t>
        </is>
      </c>
      <c r="D167" s="31" t="n">
        <v>26.6</v>
      </c>
      <c r="E167" s="31" t="n">
        <v>26.6</v>
      </c>
      <c r="F167" s="31" t="n">
        <v>26.6</v>
      </c>
      <c r="G167" s="31" t="n">
        <v>26.6</v>
      </c>
      <c r="H167" s="31" t="n">
        <v>26.6</v>
      </c>
      <c r="I167" s="31" t="n">
        <v>47</v>
      </c>
      <c r="J167" s="31" t="n">
        <v>47</v>
      </c>
      <c r="K167" s="31" t="n">
        <v>47</v>
      </c>
      <c r="L167" s="31" t="n">
        <v>34.25</v>
      </c>
      <c r="M167" s="31" t="n">
        <v>34.25</v>
      </c>
      <c r="N167" s="31" t="n">
        <v>34.25</v>
      </c>
      <c r="O167" s="31" t="n">
        <v>34.25</v>
      </c>
      <c r="P167" s="32">
        <f>SUM(D167:O167)</f>
        <v/>
      </c>
    </row>
    <row r="168">
      <c r="A168" s="24" t="inlineStr">
        <is>
          <t>Wheat, excluding durum</t>
        </is>
      </c>
      <c r="B168" s="25" t="inlineStr">
        <is>
          <t>Industrial</t>
        </is>
      </c>
      <c r="C168" s="26" t="inlineStr">
        <is>
          <t>07-08</t>
        </is>
      </c>
      <c r="D168" s="31" t="n">
        <v>35.8</v>
      </c>
      <c r="E168" s="31" t="n">
        <v>35.8</v>
      </c>
      <c r="F168" s="31" t="n">
        <v>35.8</v>
      </c>
      <c r="G168" s="31" t="n">
        <v>35.8</v>
      </c>
      <c r="H168" s="31" t="n">
        <v>35.8</v>
      </c>
      <c r="I168" s="31" t="n">
        <v>37.33333333333334</v>
      </c>
      <c r="J168" s="31" t="n">
        <v>37.33333333333334</v>
      </c>
      <c r="K168" s="31" t="n">
        <v>37.33333333333334</v>
      </c>
      <c r="L168" s="31" t="n">
        <v>25.75</v>
      </c>
      <c r="M168" s="31" t="n">
        <v>25.75</v>
      </c>
      <c r="N168" s="31" t="n">
        <v>25.75</v>
      </c>
      <c r="O168" s="31" t="n">
        <v>25.75</v>
      </c>
      <c r="P168" s="32">
        <f>SUM(D168:O168)</f>
        <v/>
      </c>
    </row>
    <row r="169">
      <c r="A169" s="24" t="inlineStr">
        <is>
          <t>Wheat, excluding durum</t>
        </is>
      </c>
      <c r="B169" s="25" t="inlineStr">
        <is>
          <t>Industrial</t>
        </is>
      </c>
      <c r="C169" s="26" t="inlineStr">
        <is>
          <t>08-09</t>
        </is>
      </c>
      <c r="D169" s="31" t="n">
        <v>47.2</v>
      </c>
      <c r="E169" s="31" t="n">
        <v>47.2</v>
      </c>
      <c r="F169" s="31" t="n">
        <v>47.2</v>
      </c>
      <c r="G169" s="31" t="n">
        <v>47.2</v>
      </c>
      <c r="H169" s="31" t="n">
        <v>47.2</v>
      </c>
      <c r="I169" s="31" t="n">
        <v>55.66666666666666</v>
      </c>
      <c r="J169" s="31" t="n">
        <v>55.66666666666666</v>
      </c>
      <c r="K169" s="31" t="n">
        <v>55.66666666666666</v>
      </c>
      <c r="L169" s="31" t="n">
        <v>60.75</v>
      </c>
      <c r="M169" s="31" t="n">
        <v>60.75</v>
      </c>
      <c r="N169" s="31" t="n">
        <v>60.75</v>
      </c>
      <c r="O169" s="31" t="n">
        <v>60.75</v>
      </c>
      <c r="P169" s="32">
        <f>SUM(D169:O169)</f>
        <v/>
      </c>
    </row>
    <row r="170">
      <c r="A170" s="24" t="inlineStr">
        <is>
          <t>Wheat, excluding durum</t>
        </is>
      </c>
      <c r="B170" s="25" t="inlineStr">
        <is>
          <t>Industrial</t>
        </is>
      </c>
      <c r="C170" s="26" t="inlineStr">
        <is>
          <t>09-10</t>
        </is>
      </c>
      <c r="D170" s="31" t="n">
        <v>82.59999999999999</v>
      </c>
      <c r="E170" s="31" t="n">
        <v>82.59999999999999</v>
      </c>
      <c r="F170" s="31" t="n">
        <v>82.59999999999999</v>
      </c>
      <c r="G170" s="31" t="n">
        <v>82.59999999999999</v>
      </c>
      <c r="H170" s="31" t="n">
        <v>82.59999999999999</v>
      </c>
      <c r="I170" s="31" t="n">
        <v>5.666666666666667</v>
      </c>
      <c r="J170" s="31" t="n">
        <v>5.666666666666667</v>
      </c>
      <c r="K170" s="31" t="n">
        <v>5.666666666666667</v>
      </c>
      <c r="L170" s="31" t="n">
        <v>74.75</v>
      </c>
      <c r="M170" s="31" t="n">
        <v>74.75</v>
      </c>
      <c r="N170" s="31" t="n">
        <v>74.75</v>
      </c>
      <c r="O170" s="31" t="n">
        <v>74.75</v>
      </c>
      <c r="P170" s="32">
        <f>SUM(D170:O170)</f>
        <v/>
      </c>
    </row>
    <row r="171">
      <c r="A171" s="24" t="inlineStr">
        <is>
          <t>Wheat, excluding durum</t>
        </is>
      </c>
      <c r="B171" s="25" t="inlineStr">
        <is>
          <t>Industrial</t>
        </is>
      </c>
      <c r="C171" s="26" t="inlineStr">
        <is>
          <t>10-11</t>
        </is>
      </c>
      <c r="D171" s="31" t="n">
        <v>93.59999999999999</v>
      </c>
      <c r="E171" s="31" t="n">
        <v>93.59999999999999</v>
      </c>
      <c r="F171" s="31" t="n">
        <v>93.59999999999999</v>
      </c>
      <c r="G171" s="31" t="n">
        <v>93.59999999999999</v>
      </c>
      <c r="H171" s="31" t="n">
        <v>93.59999999999999</v>
      </c>
      <c r="I171" s="31" t="n">
        <v>60.33333333333334</v>
      </c>
      <c r="J171" s="31" t="n">
        <v>60.33333333333334</v>
      </c>
      <c r="K171" s="31" t="n">
        <v>60.33333333333334</v>
      </c>
      <c r="L171" s="31" t="n">
        <v>42.75</v>
      </c>
      <c r="M171" s="31" t="n">
        <v>42.75</v>
      </c>
      <c r="N171" s="31" t="n">
        <v>42.75</v>
      </c>
      <c r="O171" s="31" t="n">
        <v>42.75</v>
      </c>
      <c r="P171" s="32">
        <f>SUM(D171:O171)</f>
        <v/>
      </c>
    </row>
    <row r="172">
      <c r="A172" s="24" t="inlineStr">
        <is>
          <t>Wheat, excluding durum</t>
        </is>
      </c>
      <c r="B172" s="25" t="inlineStr">
        <is>
          <t>Industrial</t>
        </is>
      </c>
      <c r="C172" s="26" t="inlineStr">
        <is>
          <t>11-12</t>
        </is>
      </c>
      <c r="D172" s="31" t="n">
        <v>82.59999999999999</v>
      </c>
      <c r="E172" s="31" t="n">
        <v>82.59999999999999</v>
      </c>
      <c r="F172" s="31" t="n">
        <v>82.59999999999999</v>
      </c>
      <c r="G172" s="31" t="n">
        <v>82.59999999999999</v>
      </c>
      <c r="H172" s="31" t="n">
        <v>82.59999999999999</v>
      </c>
      <c r="I172" s="31" t="n">
        <v>85.66666666666667</v>
      </c>
      <c r="J172" s="31" t="n">
        <v>85.66666666666667</v>
      </c>
      <c r="K172" s="31" t="n">
        <v>85.66666666666667</v>
      </c>
      <c r="L172" s="31" t="n">
        <v>94.5</v>
      </c>
      <c r="M172" s="31" t="n">
        <v>94.5</v>
      </c>
      <c r="N172" s="31" t="n">
        <v>94.5</v>
      </c>
      <c r="O172" s="31" t="n">
        <v>94.5</v>
      </c>
      <c r="P172" s="32">
        <f>SUM(D172:O172)</f>
        <v/>
      </c>
    </row>
    <row r="173">
      <c r="A173" s="24" t="inlineStr">
        <is>
          <t>Wheat, excluding durum</t>
        </is>
      </c>
      <c r="B173" s="25" t="inlineStr">
        <is>
          <t>Industrial</t>
        </is>
      </c>
      <c r="C173" s="26" t="inlineStr">
        <is>
          <t>12-13</t>
        </is>
      </c>
      <c r="D173" s="31" t="n">
        <v>79.40000000000001</v>
      </c>
      <c r="E173" s="31" t="n">
        <v>79.40000000000001</v>
      </c>
      <c r="F173" s="31" t="n">
        <v>79.40000000000001</v>
      </c>
      <c r="G173" s="31" t="n">
        <v>79.40000000000001</v>
      </c>
      <c r="H173" s="31" t="n">
        <v>79.40000000000001</v>
      </c>
      <c r="I173" s="31" t="n">
        <v>40.33333333333334</v>
      </c>
      <c r="J173" s="31" t="n">
        <v>40.33333333333334</v>
      </c>
      <c r="K173" s="31" t="n">
        <v>40.33333333333334</v>
      </c>
      <c r="L173" s="31" t="n">
        <v>66.25</v>
      </c>
      <c r="M173" s="31" t="n">
        <v>66.25</v>
      </c>
      <c r="N173" s="31" t="n">
        <v>66.25</v>
      </c>
      <c r="O173" s="31" t="n">
        <v>66.25</v>
      </c>
      <c r="P173" s="32">
        <f>SUM(D173:O173)</f>
        <v/>
      </c>
    </row>
    <row r="174">
      <c r="A174" s="24" t="inlineStr">
        <is>
          <t>Wheat, excluding durum</t>
        </is>
      </c>
      <c r="B174" s="25" t="inlineStr">
        <is>
          <t>Industrial</t>
        </is>
      </c>
      <c r="C174" s="26" t="inlineStr">
        <is>
          <t>13-14</t>
        </is>
      </c>
      <c r="D174" s="31" t="n">
        <v>76.40000000000001</v>
      </c>
      <c r="E174" s="31" t="n">
        <v>76.40000000000001</v>
      </c>
      <c r="F174" s="31" t="n">
        <v>76.40000000000001</v>
      </c>
      <c r="G174" s="31" t="n">
        <v>76.40000000000001</v>
      </c>
      <c r="H174" s="31" t="n">
        <v>76.40000000000001</v>
      </c>
      <c r="I174" s="31" t="n">
        <v>79</v>
      </c>
      <c r="J174" s="31" t="n">
        <v>79</v>
      </c>
      <c r="K174" s="31" t="n">
        <v>79</v>
      </c>
      <c r="L174" s="31" t="n">
        <v>65</v>
      </c>
      <c r="M174" s="31" t="n">
        <v>65</v>
      </c>
      <c r="N174" s="31" t="n">
        <v>65</v>
      </c>
      <c r="O174" s="31" t="n">
        <v>65</v>
      </c>
      <c r="P174" s="32">
        <f>SUM(D174:O174)</f>
        <v/>
      </c>
    </row>
    <row r="175">
      <c r="A175" s="24" t="inlineStr">
        <is>
          <t>Wheat, excluding durum</t>
        </is>
      </c>
      <c r="B175" s="25" t="inlineStr">
        <is>
          <t>Industrial</t>
        </is>
      </c>
      <c r="C175" s="26" t="inlineStr">
        <is>
          <t>14-15</t>
        </is>
      </c>
      <c r="D175" s="31" t="n">
        <v>69.40000000000001</v>
      </c>
      <c r="E175" s="31" t="n">
        <v>69.40000000000001</v>
      </c>
      <c r="F175" s="31" t="n">
        <v>69.40000000000001</v>
      </c>
      <c r="G175" s="31" t="n">
        <v>69.40000000000001</v>
      </c>
      <c r="H175" s="31" t="n">
        <v>69.40000000000001</v>
      </c>
      <c r="I175" s="31" t="n">
        <v>68.66666666666667</v>
      </c>
      <c r="J175" s="31" t="n">
        <v>68.66666666666667</v>
      </c>
      <c r="K175" s="31" t="n">
        <v>68.66666666666667</v>
      </c>
      <c r="L175" s="31" t="n">
        <v>62</v>
      </c>
      <c r="M175" s="31" t="n">
        <v>62</v>
      </c>
      <c r="N175" s="31" t="n">
        <v>62</v>
      </c>
      <c r="O175" s="31" t="n">
        <v>62</v>
      </c>
      <c r="P175" s="32">
        <f>SUM(D175:O175)</f>
        <v/>
      </c>
    </row>
    <row r="176">
      <c r="A176" s="24" t="inlineStr">
        <is>
          <t>Wheat, excluding durum</t>
        </is>
      </c>
      <c r="B176" s="25" t="inlineStr">
        <is>
          <t>Industrial</t>
        </is>
      </c>
      <c r="C176" s="26" t="inlineStr">
        <is>
          <t>15-16</t>
        </is>
      </c>
      <c r="D176" s="31" t="n">
        <v>77.40000000000001</v>
      </c>
      <c r="E176" s="31" t="n">
        <v>77.40000000000001</v>
      </c>
      <c r="F176" s="31" t="n">
        <v>77.40000000000001</v>
      </c>
      <c r="G176" s="31" t="n">
        <v>77.40000000000001</v>
      </c>
      <c r="H176" s="31" t="n">
        <v>77.40000000000001</v>
      </c>
      <c r="I176" s="31" t="n">
        <v>40</v>
      </c>
      <c r="J176" s="31" t="n">
        <v>40</v>
      </c>
      <c r="K176" s="31" t="n">
        <v>40</v>
      </c>
      <c r="L176" s="31" t="n">
        <v>39.25</v>
      </c>
      <c r="M176" s="31" t="n">
        <v>39.25</v>
      </c>
      <c r="N176" s="31" t="n">
        <v>39.25</v>
      </c>
      <c r="O176" s="31" t="n">
        <v>39.25</v>
      </c>
      <c r="P176" s="32">
        <f>SUM(D176:O176)</f>
        <v/>
      </c>
    </row>
    <row r="177">
      <c r="A177" s="24" t="inlineStr">
        <is>
          <t>Wheat, excluding durum</t>
        </is>
      </c>
      <c r="B177" s="25" t="inlineStr">
        <is>
          <t>Industrial</t>
        </is>
      </c>
      <c r="C177" s="26" t="inlineStr">
        <is>
          <t>16-17</t>
        </is>
      </c>
      <c r="D177" s="31" t="n">
        <v>66.2</v>
      </c>
      <c r="E177" s="31" t="n">
        <v>66.2</v>
      </c>
      <c r="F177" s="31" t="n">
        <v>66.2</v>
      </c>
      <c r="G177" s="31" t="n">
        <v>66.2</v>
      </c>
      <c r="H177" s="31" t="n">
        <v>66.2</v>
      </c>
      <c r="I177" s="31" t="n">
        <v>62.33333333333334</v>
      </c>
      <c r="J177" s="31" t="n">
        <v>62.33333333333334</v>
      </c>
      <c r="K177" s="31" t="n">
        <v>62.33333333333334</v>
      </c>
      <c r="L177" s="31" t="n">
        <v>53</v>
      </c>
      <c r="M177" s="31" t="n">
        <v>53</v>
      </c>
      <c r="N177" s="31" t="n">
        <v>53</v>
      </c>
      <c r="O177" s="31" t="n">
        <v>53</v>
      </c>
      <c r="P177" s="32">
        <f>SUM(D177:O177)</f>
        <v/>
      </c>
    </row>
    <row r="178">
      <c r="A178" s="24" t="inlineStr">
        <is>
          <t>Wheat, excluding durum</t>
        </is>
      </c>
      <c r="B178" s="25" t="inlineStr">
        <is>
          <t>Industrial</t>
        </is>
      </c>
      <c r="C178" s="26" t="inlineStr">
        <is>
          <t>17-18</t>
        </is>
      </c>
      <c r="D178" s="31" t="n">
        <v>47</v>
      </c>
      <c r="E178" s="31" t="n">
        <v>47</v>
      </c>
      <c r="F178" s="31" t="n">
        <v>47</v>
      </c>
      <c r="G178" s="31" t="n">
        <v>47</v>
      </c>
      <c r="H178" s="31" t="n">
        <v>47</v>
      </c>
      <c r="I178" s="31" t="n">
        <v>47</v>
      </c>
      <c r="J178" s="31" t="n">
        <v>47</v>
      </c>
      <c r="K178" s="31" t="n">
        <v>47</v>
      </c>
      <c r="L178" s="31" t="n">
        <v>46.75</v>
      </c>
      <c r="M178" s="31" t="n">
        <v>46.75</v>
      </c>
      <c r="N178" s="31" t="n">
        <v>46.75</v>
      </c>
      <c r="O178" s="31" t="n">
        <v>46.75</v>
      </c>
      <c r="P178" s="32">
        <f>SUM(D178:O178)</f>
        <v/>
      </c>
    </row>
    <row r="179">
      <c r="A179" s="24" t="inlineStr">
        <is>
          <t>Wheat, excluding durum</t>
        </is>
      </c>
      <c r="B179" s="25" t="inlineStr">
        <is>
          <t>Industrial</t>
        </is>
      </c>
      <c r="C179" s="26" t="inlineStr">
        <is>
          <t>18-19</t>
        </is>
      </c>
      <c r="D179" s="31" t="n">
        <v>40</v>
      </c>
      <c r="E179" s="31" t="n">
        <v>40</v>
      </c>
      <c r="F179" s="31" t="n">
        <v>40</v>
      </c>
      <c r="G179" s="31" t="n">
        <v>40</v>
      </c>
      <c r="H179" s="31" t="n">
        <v>40</v>
      </c>
      <c r="I179" s="31" t="n">
        <v>43.70000000000001</v>
      </c>
      <c r="J179" s="31" t="n">
        <v>43.70000000000001</v>
      </c>
      <c r="K179" s="31" t="n">
        <v>43.70000000000001</v>
      </c>
      <c r="L179" s="31" t="n">
        <v>42.1</v>
      </c>
      <c r="M179" s="31" t="n">
        <v>42.1</v>
      </c>
      <c r="N179" s="31" t="n">
        <v>42.1</v>
      </c>
      <c r="O179" s="31" t="n">
        <v>42.1</v>
      </c>
      <c r="P179" s="32">
        <f>SUM(D179:O179)</f>
        <v/>
      </c>
    </row>
    <row r="180">
      <c r="A180" s="24" t="inlineStr">
        <is>
          <t>Wheat, excluding durum</t>
        </is>
      </c>
      <c r="B180" s="25" t="inlineStr">
        <is>
          <t>Industrial</t>
        </is>
      </c>
      <c r="C180" s="26" t="inlineStr">
        <is>
          <t>19-20</t>
        </is>
      </c>
      <c r="D180" s="31" t="n">
        <v>54.22000000000001</v>
      </c>
      <c r="E180" s="31" t="n">
        <v>54.22000000000001</v>
      </c>
      <c r="F180" s="31" t="n">
        <v>54.22000000000001</v>
      </c>
      <c r="G180" s="31" t="n">
        <v>54.22000000000001</v>
      </c>
      <c r="H180" s="31" t="n">
        <v>54.22000000000001</v>
      </c>
      <c r="I180" s="31" t="n">
        <v>44.79999999999999</v>
      </c>
      <c r="J180" s="31" t="n">
        <v>44.79999999999999</v>
      </c>
      <c r="K180" s="31" t="n">
        <v>44.79999999999999</v>
      </c>
      <c r="L180" s="31" t="n">
        <v>39.94999999999999</v>
      </c>
      <c r="M180" s="31" t="n">
        <v>39.94999999999999</v>
      </c>
      <c r="N180" s="31" t="n">
        <v>39.94999999999999</v>
      </c>
      <c r="O180" s="31" t="n">
        <v>39.94999999999999</v>
      </c>
      <c r="P180" s="32">
        <f>SUM(D180:O180)</f>
        <v/>
      </c>
    </row>
    <row r="181">
      <c r="A181" s="24" t="inlineStr">
        <is>
          <t>Wheat, excluding durum</t>
        </is>
      </c>
      <c r="B181" s="25" t="inlineStr">
        <is>
          <t>Industrial</t>
        </is>
      </c>
      <c r="C181" s="26" t="inlineStr">
        <is>
          <t>20-21</t>
        </is>
      </c>
      <c r="D181" s="31" t="n">
        <v>40.12</v>
      </c>
      <c r="E181" s="31" t="n">
        <v>40.12</v>
      </c>
      <c r="F181" s="31" t="n">
        <v>40.12</v>
      </c>
      <c r="G181" s="31" t="n">
        <v>40.12</v>
      </c>
      <c r="H181" s="31" t="n">
        <v>40.12</v>
      </c>
      <c r="I181" s="31" t="n">
        <v>46.13333333333333</v>
      </c>
      <c r="J181" s="31" t="n">
        <v>46.13333333333333</v>
      </c>
      <c r="K181" s="31" t="n">
        <v>46.13333333333333</v>
      </c>
      <c r="L181" s="31" t="n">
        <v>36.075</v>
      </c>
      <c r="M181" s="31" t="n">
        <v>36.075</v>
      </c>
      <c r="N181" s="31" t="n">
        <v>36.075</v>
      </c>
      <c r="O181" s="31" t="n">
        <v>36.075</v>
      </c>
      <c r="P181" s="32">
        <f>SUM(D181:O181)</f>
        <v/>
      </c>
    </row>
    <row r="182">
      <c r="A182" s="24" t="inlineStr">
        <is>
          <t>Wheat, excluding durum</t>
        </is>
      </c>
      <c r="B182" s="25" t="inlineStr">
        <is>
          <t>Industrial</t>
        </is>
      </c>
      <c r="C182" s="26" t="inlineStr">
        <is>
          <t>21-22</t>
        </is>
      </c>
      <c r="D182" s="31" t="n">
        <v>40.96</v>
      </c>
      <c r="E182" s="31" t="n">
        <v>40.96</v>
      </c>
      <c r="F182" s="31" t="n">
        <v>40.96</v>
      </c>
      <c r="G182" s="31" t="n">
        <v>40.96</v>
      </c>
      <c r="H182" s="31" t="n">
        <v>40.96</v>
      </c>
      <c r="I182" s="31" t="n">
        <v>25.73333333333333</v>
      </c>
      <c r="J182" s="31" t="n">
        <v>25.73333333333333</v>
      </c>
      <c r="K182" s="31" t="n">
        <v>25.73333333333333</v>
      </c>
      <c r="L182" s="31" t="n">
        <v>24.425</v>
      </c>
      <c r="M182" s="31" t="n">
        <v>24.425</v>
      </c>
      <c r="N182" s="31" t="n">
        <v>24.425</v>
      </c>
      <c r="O182" s="31" t="n">
        <v>24.425</v>
      </c>
      <c r="P182" s="32">
        <f>SUM(D182:O182)</f>
        <v/>
      </c>
    </row>
    <row r="183">
      <c r="A183" s="24" t="inlineStr">
        <is>
          <t>Wheat, excluding durum</t>
        </is>
      </c>
      <c r="B183" s="25" t="inlineStr">
        <is>
          <t>Industrial</t>
        </is>
      </c>
      <c r="C183" s="26" t="inlineStr">
        <is>
          <t>22-23</t>
        </is>
      </c>
      <c r="D183" s="31" t="n">
        <v>34.32</v>
      </c>
      <c r="E183" s="31" t="n">
        <v>34.32</v>
      </c>
      <c r="F183" s="31" t="n">
        <v>34.32</v>
      </c>
      <c r="G183" s="31" t="n">
        <v>34.32</v>
      </c>
      <c r="H183" s="31" t="n">
        <v>34.32</v>
      </c>
      <c r="I183" s="31" t="n">
        <v>30.40000000000001</v>
      </c>
      <c r="J183" s="31" t="n">
        <v>30.40000000000001</v>
      </c>
      <c r="K183" s="31" t="n">
        <v>30.40000000000001</v>
      </c>
      <c r="L183" s="31" t="n">
        <v>31.72499999999999</v>
      </c>
      <c r="M183" s="31" t="n">
        <v>31.72499999999999</v>
      </c>
      <c r="N183" s="31" t="n">
        <v>31.72499999999999</v>
      </c>
      <c r="O183" s="31" t="n">
        <v>31.72499999999999</v>
      </c>
      <c r="P183" s="32">
        <f>SUM(D183:O183)</f>
        <v/>
      </c>
    </row>
    <row r="184">
      <c r="A184" s="24" t="inlineStr">
        <is>
          <t>Wheat, excluding durum</t>
        </is>
      </c>
      <c r="B184" s="25" t="inlineStr">
        <is>
          <t>Industrial</t>
        </is>
      </c>
      <c r="C184" s="26" t="inlineStr">
        <is>
          <t>23-24</t>
        </is>
      </c>
      <c r="D184" s="31" t="n">
        <v>35.48</v>
      </c>
      <c r="E184" s="31" t="n">
        <v>35.48</v>
      </c>
      <c r="F184" s="31" t="n">
        <v>35.48</v>
      </c>
      <c r="G184" s="31" t="n">
        <v>35.48</v>
      </c>
      <c r="H184" s="31" t="n">
        <v>35.48</v>
      </c>
      <c r="I184" s="31" t="n">
        <v>28.56666666666668</v>
      </c>
      <c r="J184" s="31" t="n">
        <v>28.56666666666668</v>
      </c>
      <c r="K184" s="31" t="n">
        <v>28.56666666666668</v>
      </c>
      <c r="L184" s="31" t="n">
        <v>23.39999999999999</v>
      </c>
      <c r="M184" s="31" t="n">
        <v>23.39999999999999</v>
      </c>
      <c r="N184" s="31" t="n">
        <v>23.39999999999999</v>
      </c>
      <c r="O184" s="31" t="n">
        <v>23.39999999999999</v>
      </c>
      <c r="P184" s="32">
        <f>SUM(D184:O184)</f>
        <v/>
      </c>
    </row>
    <row r="185">
      <c r="A185" s="24" t="inlineStr">
        <is>
          <t>Wheat, excluding durum</t>
        </is>
      </c>
      <c r="B185" s="25" t="inlineStr">
        <is>
          <t>Industrial</t>
        </is>
      </c>
      <c r="C185" s="26" t="inlineStr">
        <is>
          <t>24-25</t>
        </is>
      </c>
      <c r="D185" s="31" t="n">
        <v>29.16</v>
      </c>
      <c r="E185" s="31" t="n">
        <v>29.16</v>
      </c>
      <c r="F185" s="31" t="n">
        <v>29.16</v>
      </c>
      <c r="G185" s="31" t="n">
        <v>29.16</v>
      </c>
      <c r="H185" s="31" t="n">
        <v>29.16</v>
      </c>
      <c r="I185" s="31" t="n">
        <v>28.09999999999999</v>
      </c>
      <c r="J185" s="31" t="n">
        <v>28.09999999999999</v>
      </c>
      <c r="K185" s="31" t="n">
        <v>28.09999999999999</v>
      </c>
      <c r="L185" s="31" t="n">
        <v>31.475</v>
      </c>
      <c r="M185" s="31" t="n">
        <v>31.475</v>
      </c>
      <c r="N185" s="31" t="n">
        <v>31.475</v>
      </c>
      <c r="O185" s="31" t="n">
        <v>31.475</v>
      </c>
      <c r="P185" s="32">
        <f>SUM(D185:O185)</f>
        <v/>
      </c>
    </row>
    <row r="186">
      <c r="A186" s="24" t="inlineStr">
        <is>
          <t>Wheat, excluding durum</t>
        </is>
      </c>
      <c r="B186" s="25" t="inlineStr">
        <is>
          <t>Seed</t>
        </is>
      </c>
      <c r="C186" s="26" t="inlineStr">
        <is>
          <t>02-03</t>
        </is>
      </c>
      <c r="D186" s="31" t="n">
        <v>0</v>
      </c>
      <c r="E186" s="31" t="n">
        <v>0</v>
      </c>
      <c r="F186" s="31" t="n">
        <v>0</v>
      </c>
      <c r="G186" s="31" t="n">
        <v>0</v>
      </c>
      <c r="H186" s="31" t="n">
        <v>0</v>
      </c>
      <c r="I186" s="31" t="n">
        <v>0</v>
      </c>
      <c r="J186" s="31" t="n">
        <v>0</v>
      </c>
      <c r="K186" s="31" t="n">
        <v>0</v>
      </c>
      <c r="L186" s="31" t="n">
        <v>0</v>
      </c>
      <c r="M186" s="31" t="n">
        <v>0</v>
      </c>
      <c r="N186" s="31" t="n">
        <v>0</v>
      </c>
      <c r="O186" s="31" t="n">
        <v>0</v>
      </c>
      <c r="P186" s="32">
        <f>SUM(D186:O186)</f>
        <v/>
      </c>
    </row>
    <row r="187">
      <c r="A187" s="24" t="inlineStr">
        <is>
          <t>Wheat, excluding durum</t>
        </is>
      </c>
      <c r="B187" s="25" t="inlineStr">
        <is>
          <t>Seed</t>
        </is>
      </c>
      <c r="C187" s="26" t="inlineStr">
        <is>
          <t>03-04</t>
        </is>
      </c>
      <c r="D187" s="31" t="n">
        <v>0</v>
      </c>
      <c r="E187" s="31" t="n">
        <v>0</v>
      </c>
      <c r="F187" s="31" t="n">
        <v>0</v>
      </c>
      <c r="G187" s="31" t="n">
        <v>0</v>
      </c>
      <c r="H187" s="31" t="n">
        <v>0</v>
      </c>
      <c r="I187" s="31" t="n">
        <v>0</v>
      </c>
      <c r="J187" s="31" t="n">
        <v>0</v>
      </c>
      <c r="K187" s="31" t="n">
        <v>0</v>
      </c>
      <c r="L187" s="31" t="n">
        <v>0</v>
      </c>
      <c r="M187" s="31" t="n">
        <v>0</v>
      </c>
      <c r="N187" s="31" t="n">
        <v>0</v>
      </c>
      <c r="O187" s="31" t="n">
        <v>0</v>
      </c>
      <c r="P187" s="32">
        <f>SUM(D187:O187)</f>
        <v/>
      </c>
    </row>
    <row r="188">
      <c r="A188" s="24" t="inlineStr">
        <is>
          <t>Wheat, excluding durum</t>
        </is>
      </c>
      <c r="B188" s="25" t="inlineStr">
        <is>
          <t>Seed</t>
        </is>
      </c>
      <c r="C188" s="26" t="inlineStr">
        <is>
          <t>04-05</t>
        </is>
      </c>
      <c r="D188" s="31" t="n">
        <v>0</v>
      </c>
      <c r="E188" s="31" t="n">
        <v>0</v>
      </c>
      <c r="F188" s="31" t="n">
        <v>0</v>
      </c>
      <c r="G188" s="31" t="n">
        <v>0</v>
      </c>
      <c r="H188" s="31" t="n">
        <v>0</v>
      </c>
      <c r="I188" s="31" t="n">
        <v>0</v>
      </c>
      <c r="J188" s="31" t="n">
        <v>0</v>
      </c>
      <c r="K188" s="31" t="n">
        <v>0</v>
      </c>
      <c r="L188" s="31" t="n">
        <v>0</v>
      </c>
      <c r="M188" s="31" t="n">
        <v>0</v>
      </c>
      <c r="N188" s="31" t="n">
        <v>0</v>
      </c>
      <c r="O188" s="31" t="n">
        <v>0</v>
      </c>
      <c r="P188" s="32">
        <f>SUM(D188:O188)</f>
        <v/>
      </c>
    </row>
    <row r="189">
      <c r="A189" s="24" t="inlineStr">
        <is>
          <t>Wheat, excluding durum</t>
        </is>
      </c>
      <c r="B189" s="25" t="inlineStr">
        <is>
          <t>Seed</t>
        </is>
      </c>
      <c r="C189" s="26" t="inlineStr">
        <is>
          <t>05-06</t>
        </is>
      </c>
      <c r="D189" s="31" t="n">
        <v>0</v>
      </c>
      <c r="E189" s="31" t="n">
        <v>0</v>
      </c>
      <c r="F189" s="31" t="n">
        <v>0</v>
      </c>
      <c r="G189" s="31" t="n">
        <v>0</v>
      </c>
      <c r="H189" s="31" t="n">
        <v>0</v>
      </c>
      <c r="I189" s="31" t="n">
        <v>0</v>
      </c>
      <c r="J189" s="31" t="n">
        <v>0</v>
      </c>
      <c r="K189" s="31" t="n">
        <v>0</v>
      </c>
      <c r="L189" s="31" t="n">
        <v>0</v>
      </c>
      <c r="M189" s="31" t="n">
        <v>0</v>
      </c>
      <c r="N189" s="31" t="n">
        <v>0</v>
      </c>
      <c r="O189" s="31" t="n">
        <v>0</v>
      </c>
      <c r="P189" s="32">
        <f>SUM(D189:O189)</f>
        <v/>
      </c>
    </row>
    <row r="190">
      <c r="A190" s="24" t="inlineStr">
        <is>
          <t>Wheat, excluding durum</t>
        </is>
      </c>
      <c r="B190" s="25" t="inlineStr">
        <is>
          <t>Seed</t>
        </is>
      </c>
      <c r="C190" s="26" t="inlineStr">
        <is>
          <t>06-07</t>
        </is>
      </c>
      <c r="D190" s="31" t="n">
        <v>0</v>
      </c>
      <c r="E190" s="31" t="n">
        <v>0</v>
      </c>
      <c r="F190" s="31" t="n">
        <v>0</v>
      </c>
      <c r="G190" s="31" t="n">
        <v>0</v>
      </c>
      <c r="H190" s="31" t="n">
        <v>0</v>
      </c>
      <c r="I190" s="31" t="n">
        <v>0</v>
      </c>
      <c r="J190" s="31" t="n">
        <v>0</v>
      </c>
      <c r="K190" s="31" t="n">
        <v>0</v>
      </c>
      <c r="L190" s="31" t="n">
        <v>0</v>
      </c>
      <c r="M190" s="31" t="n">
        <v>0</v>
      </c>
      <c r="N190" s="31" t="n">
        <v>0</v>
      </c>
      <c r="O190" s="31" t="n">
        <v>0</v>
      </c>
      <c r="P190" s="32">
        <f>SUM(D190:O190)</f>
        <v/>
      </c>
    </row>
    <row r="191">
      <c r="A191" s="24" t="inlineStr">
        <is>
          <t>Wheat, excluding durum</t>
        </is>
      </c>
      <c r="B191" s="25" t="inlineStr">
        <is>
          <t>Seed</t>
        </is>
      </c>
      <c r="C191" s="26" t="inlineStr">
        <is>
          <t>07-08</t>
        </is>
      </c>
      <c r="D191" s="31" t="n">
        <v>0</v>
      </c>
      <c r="E191" s="31" t="n">
        <v>0</v>
      </c>
      <c r="F191" s="31" t="n">
        <v>0</v>
      </c>
      <c r="G191" s="31" t="n">
        <v>0</v>
      </c>
      <c r="H191" s="31" t="n">
        <v>0</v>
      </c>
      <c r="I191" s="31" t="n">
        <v>0</v>
      </c>
      <c r="J191" s="31" t="n">
        <v>0</v>
      </c>
      <c r="K191" s="31" t="n">
        <v>0</v>
      </c>
      <c r="L191" s="31" t="n">
        <v>0</v>
      </c>
      <c r="M191" s="31" t="n">
        <v>0</v>
      </c>
      <c r="N191" s="31" t="n">
        <v>0</v>
      </c>
      <c r="O191" s="31" t="n">
        <v>0</v>
      </c>
      <c r="P191" s="32">
        <f>SUM(D191:O191)</f>
        <v/>
      </c>
    </row>
    <row r="192">
      <c r="A192" s="24" t="inlineStr">
        <is>
          <t>Wheat, excluding durum</t>
        </is>
      </c>
      <c r="B192" s="25" t="inlineStr">
        <is>
          <t>Seed</t>
        </is>
      </c>
      <c r="C192" s="26" t="inlineStr">
        <is>
          <t>08-09</t>
        </is>
      </c>
      <c r="D192" s="31" t="n">
        <v>0</v>
      </c>
      <c r="E192" s="31" t="n">
        <v>0</v>
      </c>
      <c r="F192" s="31" t="n">
        <v>0</v>
      </c>
      <c r="G192" s="31" t="n">
        <v>0</v>
      </c>
      <c r="H192" s="31" t="n">
        <v>0</v>
      </c>
      <c r="I192" s="31" t="n">
        <v>0</v>
      </c>
      <c r="J192" s="31" t="n">
        <v>0</v>
      </c>
      <c r="K192" s="31" t="n">
        <v>0</v>
      </c>
      <c r="L192" s="31" t="n">
        <v>0</v>
      </c>
      <c r="M192" s="31" t="n">
        <v>0</v>
      </c>
      <c r="N192" s="31" t="n">
        <v>0</v>
      </c>
      <c r="O192" s="31" t="n">
        <v>0</v>
      </c>
      <c r="P192" s="32">
        <f>SUM(D192:O192)</f>
        <v/>
      </c>
    </row>
    <row r="193">
      <c r="A193" s="24" t="inlineStr">
        <is>
          <t>Wheat, excluding durum</t>
        </is>
      </c>
      <c r="B193" s="25" t="inlineStr">
        <is>
          <t>Seed</t>
        </is>
      </c>
      <c r="C193" s="26" t="inlineStr">
        <is>
          <t>09-10</t>
        </is>
      </c>
      <c r="D193" s="31" t="n">
        <v>0</v>
      </c>
      <c r="E193" s="31" t="n">
        <v>0</v>
      </c>
      <c r="F193" s="31" t="n">
        <v>0</v>
      </c>
      <c r="G193" s="31" t="n">
        <v>0</v>
      </c>
      <c r="H193" s="31" t="n">
        <v>0</v>
      </c>
      <c r="I193" s="31" t="n">
        <v>0</v>
      </c>
      <c r="J193" s="31" t="n">
        <v>0</v>
      </c>
      <c r="K193" s="31" t="n">
        <v>0</v>
      </c>
      <c r="L193" s="31" t="n">
        <v>0</v>
      </c>
      <c r="M193" s="31" t="n">
        <v>0</v>
      </c>
      <c r="N193" s="31" t="n">
        <v>0</v>
      </c>
      <c r="O193" s="31" t="n">
        <v>0</v>
      </c>
      <c r="P193" s="32">
        <f>SUM(D193:O193)</f>
        <v/>
      </c>
    </row>
    <row r="194">
      <c r="A194" s="24" t="inlineStr">
        <is>
          <t>Wheat, excluding durum</t>
        </is>
      </c>
      <c r="B194" s="25" t="inlineStr">
        <is>
          <t>Seed</t>
        </is>
      </c>
      <c r="C194" s="26" t="inlineStr">
        <is>
          <t>10-11</t>
        </is>
      </c>
      <c r="D194" s="31" t="n">
        <v>0</v>
      </c>
      <c r="E194" s="31" t="n">
        <v>0</v>
      </c>
      <c r="F194" s="31" t="n">
        <v>0</v>
      </c>
      <c r="G194" s="31" t="n">
        <v>0</v>
      </c>
      <c r="H194" s="31" t="n">
        <v>0</v>
      </c>
      <c r="I194" s="31" t="n">
        <v>0</v>
      </c>
      <c r="J194" s="31" t="n">
        <v>0</v>
      </c>
      <c r="K194" s="31" t="n">
        <v>0</v>
      </c>
      <c r="L194" s="31" t="n">
        <v>0</v>
      </c>
      <c r="M194" s="31" t="n">
        <v>0</v>
      </c>
      <c r="N194" s="31" t="n">
        <v>0</v>
      </c>
      <c r="O194" s="31" t="n">
        <v>0</v>
      </c>
      <c r="P194" s="32">
        <f>SUM(D194:O194)</f>
        <v/>
      </c>
    </row>
    <row r="195">
      <c r="A195" s="24" t="inlineStr">
        <is>
          <t>Wheat, excluding durum</t>
        </is>
      </c>
      <c r="B195" s="25" t="inlineStr">
        <is>
          <t>Seed</t>
        </is>
      </c>
      <c r="C195" s="26" t="inlineStr">
        <is>
          <t>11-12</t>
        </is>
      </c>
      <c r="D195" s="31" t="n">
        <v>0</v>
      </c>
      <c r="E195" s="31" t="n">
        <v>0</v>
      </c>
      <c r="F195" s="31" t="n">
        <v>0</v>
      </c>
      <c r="G195" s="31" t="n">
        <v>0</v>
      </c>
      <c r="H195" s="31" t="n">
        <v>0</v>
      </c>
      <c r="I195" s="31" t="n">
        <v>0</v>
      </c>
      <c r="J195" s="31" t="n">
        <v>0</v>
      </c>
      <c r="K195" s="31" t="n">
        <v>0</v>
      </c>
      <c r="L195" s="31" t="n">
        <v>0</v>
      </c>
      <c r="M195" s="31" t="n">
        <v>0</v>
      </c>
      <c r="N195" s="31" t="n">
        <v>0</v>
      </c>
      <c r="O195" s="31" t="n">
        <v>0</v>
      </c>
      <c r="P195" s="32">
        <f>SUM(D195:O195)</f>
        <v/>
      </c>
    </row>
    <row r="196">
      <c r="A196" s="24" t="inlineStr">
        <is>
          <t>Wheat, excluding durum</t>
        </is>
      </c>
      <c r="B196" s="25" t="inlineStr">
        <is>
          <t>Seed</t>
        </is>
      </c>
      <c r="C196" s="26" t="inlineStr">
        <is>
          <t>12-13</t>
        </is>
      </c>
      <c r="D196" s="31" t="n">
        <v>0</v>
      </c>
      <c r="E196" s="31" t="n">
        <v>0</v>
      </c>
      <c r="F196" s="31" t="n">
        <v>0</v>
      </c>
      <c r="G196" s="31" t="n">
        <v>0</v>
      </c>
      <c r="H196" s="31" t="n">
        <v>0</v>
      </c>
      <c r="I196" s="31" t="n">
        <v>0</v>
      </c>
      <c r="J196" s="31" t="n">
        <v>0</v>
      </c>
      <c r="K196" s="31" t="n">
        <v>0</v>
      </c>
      <c r="L196" s="31" t="n">
        <v>0</v>
      </c>
      <c r="M196" s="31" t="n">
        <v>0</v>
      </c>
      <c r="N196" s="31" t="n">
        <v>0</v>
      </c>
      <c r="O196" s="31" t="n">
        <v>0</v>
      </c>
      <c r="P196" s="32">
        <f>SUM(D196:O196)</f>
        <v/>
      </c>
    </row>
    <row r="197">
      <c r="A197" s="24" t="inlineStr">
        <is>
          <t>Wheat, excluding durum</t>
        </is>
      </c>
      <c r="B197" s="25" t="inlineStr">
        <is>
          <t>Seed</t>
        </is>
      </c>
      <c r="C197" s="26" t="inlineStr">
        <is>
          <t>13-14</t>
        </is>
      </c>
      <c r="D197" s="31" t="n">
        <v>0</v>
      </c>
      <c r="E197" s="31" t="n">
        <v>0</v>
      </c>
      <c r="F197" s="31" t="n">
        <v>0</v>
      </c>
      <c r="G197" s="31" t="n">
        <v>0</v>
      </c>
      <c r="H197" s="31" t="n">
        <v>0</v>
      </c>
      <c r="I197" s="31" t="n">
        <v>0</v>
      </c>
      <c r="J197" s="31" t="n">
        <v>0</v>
      </c>
      <c r="K197" s="31" t="n">
        <v>0</v>
      </c>
      <c r="L197" s="31" t="n">
        <v>0</v>
      </c>
      <c r="M197" s="31" t="n">
        <v>0</v>
      </c>
      <c r="N197" s="31" t="n">
        <v>0</v>
      </c>
      <c r="O197" s="31" t="n">
        <v>0</v>
      </c>
      <c r="P197" s="32">
        <f>SUM(D197:O197)</f>
        <v/>
      </c>
    </row>
    <row r="198">
      <c r="A198" s="24" t="inlineStr">
        <is>
          <t>Wheat, excluding durum</t>
        </is>
      </c>
      <c r="B198" s="25" t="inlineStr">
        <is>
          <t>Seed</t>
        </is>
      </c>
      <c r="C198" s="26" t="inlineStr">
        <is>
          <t>14-15</t>
        </is>
      </c>
      <c r="D198" s="31" t="n">
        <v>0</v>
      </c>
      <c r="E198" s="31" t="n">
        <v>0</v>
      </c>
      <c r="F198" s="31" t="n">
        <v>0</v>
      </c>
      <c r="G198" s="31" t="n">
        <v>0</v>
      </c>
      <c r="H198" s="31" t="n">
        <v>0</v>
      </c>
      <c r="I198" s="31" t="n">
        <v>0</v>
      </c>
      <c r="J198" s="31" t="n">
        <v>0</v>
      </c>
      <c r="K198" s="31" t="n">
        <v>0</v>
      </c>
      <c r="L198" s="31" t="n">
        <v>0</v>
      </c>
      <c r="M198" s="31" t="n">
        <v>0</v>
      </c>
      <c r="N198" s="31" t="n">
        <v>0</v>
      </c>
      <c r="O198" s="31" t="n">
        <v>0</v>
      </c>
      <c r="P198" s="32">
        <f>SUM(D198:O198)</f>
        <v/>
      </c>
    </row>
    <row r="199">
      <c r="A199" s="24" t="inlineStr">
        <is>
          <t>Wheat, excluding durum</t>
        </is>
      </c>
      <c r="B199" s="25" t="inlineStr">
        <is>
          <t>Seed</t>
        </is>
      </c>
      <c r="C199" s="26" t="inlineStr">
        <is>
          <t>15-16</t>
        </is>
      </c>
      <c r="D199" s="31" t="n">
        <v>0</v>
      </c>
      <c r="E199" s="31" t="n">
        <v>0</v>
      </c>
      <c r="F199" s="31" t="n">
        <v>0</v>
      </c>
      <c r="G199" s="31" t="n">
        <v>0</v>
      </c>
      <c r="H199" s="31" t="n">
        <v>0</v>
      </c>
      <c r="I199" s="31" t="n">
        <v>0</v>
      </c>
      <c r="J199" s="31" t="n">
        <v>0</v>
      </c>
      <c r="K199" s="31" t="n">
        <v>0</v>
      </c>
      <c r="L199" s="31" t="n">
        <v>0</v>
      </c>
      <c r="M199" s="31" t="n">
        <v>0</v>
      </c>
      <c r="N199" s="31" t="n">
        <v>0</v>
      </c>
      <c r="O199" s="31" t="n">
        <v>0</v>
      </c>
      <c r="P199" s="32">
        <f>SUM(D199:O199)</f>
        <v/>
      </c>
    </row>
    <row r="200">
      <c r="A200" s="24" t="inlineStr">
        <is>
          <t>Wheat, excluding durum</t>
        </is>
      </c>
      <c r="B200" s="25" t="inlineStr">
        <is>
          <t>Seed</t>
        </is>
      </c>
      <c r="C200" s="26" t="inlineStr">
        <is>
          <t>16-17</t>
        </is>
      </c>
      <c r="D200" s="31" t="n">
        <v>0</v>
      </c>
      <c r="E200" s="31" t="n">
        <v>0</v>
      </c>
      <c r="F200" s="31" t="n">
        <v>0</v>
      </c>
      <c r="G200" s="31" t="n">
        <v>0</v>
      </c>
      <c r="H200" s="31" t="n">
        <v>0</v>
      </c>
      <c r="I200" s="31" t="n">
        <v>0</v>
      </c>
      <c r="J200" s="31" t="n">
        <v>0</v>
      </c>
      <c r="K200" s="31" t="n">
        <v>0</v>
      </c>
      <c r="L200" s="31" t="n">
        <v>0</v>
      </c>
      <c r="M200" s="31" t="n">
        <v>0</v>
      </c>
      <c r="N200" s="31" t="n">
        <v>0</v>
      </c>
      <c r="O200" s="31" t="n">
        <v>0</v>
      </c>
      <c r="P200" s="32">
        <f>SUM(D200:O200)</f>
        <v/>
      </c>
    </row>
    <row r="201">
      <c r="A201" s="24" t="inlineStr">
        <is>
          <t>Wheat, excluding durum</t>
        </is>
      </c>
      <c r="B201" s="25" t="inlineStr">
        <is>
          <t>Seed</t>
        </is>
      </c>
      <c r="C201" s="26" t="inlineStr">
        <is>
          <t>17-18</t>
        </is>
      </c>
      <c r="D201" s="31" t="n">
        <v>0</v>
      </c>
      <c r="E201" s="31" t="n">
        <v>0</v>
      </c>
      <c r="F201" s="31" t="n">
        <v>0</v>
      </c>
      <c r="G201" s="31" t="n">
        <v>0</v>
      </c>
      <c r="H201" s="31" t="n">
        <v>0</v>
      </c>
      <c r="I201" s="31" t="n">
        <v>0</v>
      </c>
      <c r="J201" s="31" t="n">
        <v>0</v>
      </c>
      <c r="K201" s="31" t="n">
        <v>0</v>
      </c>
      <c r="L201" s="31" t="n">
        <v>0</v>
      </c>
      <c r="M201" s="31" t="n">
        <v>0</v>
      </c>
      <c r="N201" s="31" t="n">
        <v>0</v>
      </c>
      <c r="O201" s="31" t="n">
        <v>0</v>
      </c>
      <c r="P201" s="32">
        <f>SUM(D201:O201)</f>
        <v/>
      </c>
    </row>
    <row r="202">
      <c r="A202" s="24" t="inlineStr">
        <is>
          <t>Wheat, excluding durum</t>
        </is>
      </c>
      <c r="B202" s="25" t="inlineStr">
        <is>
          <t>Seed</t>
        </is>
      </c>
      <c r="C202" s="26" t="inlineStr">
        <is>
          <t>18-19</t>
        </is>
      </c>
      <c r="D202" s="31" t="n">
        <v>0</v>
      </c>
      <c r="E202" s="31" t="n">
        <v>0</v>
      </c>
      <c r="F202" s="31" t="n">
        <v>0</v>
      </c>
      <c r="G202" s="31" t="n">
        <v>0</v>
      </c>
      <c r="H202" s="31" t="n">
        <v>0</v>
      </c>
      <c r="I202" s="31" t="n">
        <v>0</v>
      </c>
      <c r="J202" s="31" t="n">
        <v>0</v>
      </c>
      <c r="K202" s="31" t="n">
        <v>0</v>
      </c>
      <c r="L202" s="31" t="n">
        <v>0</v>
      </c>
      <c r="M202" s="31" t="n">
        <v>0</v>
      </c>
      <c r="N202" s="31" t="n">
        <v>0</v>
      </c>
      <c r="O202" s="31" t="n">
        <v>0</v>
      </c>
      <c r="P202" s="32">
        <f>SUM(D202:O202)</f>
        <v/>
      </c>
    </row>
    <row r="203">
      <c r="A203" s="24" t="inlineStr">
        <is>
          <t>Wheat, excluding durum</t>
        </is>
      </c>
      <c r="B203" s="25" t="inlineStr">
        <is>
          <t>Seed</t>
        </is>
      </c>
      <c r="C203" s="26" t="inlineStr">
        <is>
          <t>19-20</t>
        </is>
      </c>
      <c r="D203" s="31" t="n">
        <v>0</v>
      </c>
      <c r="E203" s="31" t="n">
        <v>0</v>
      </c>
      <c r="F203" s="31" t="n">
        <v>0</v>
      </c>
      <c r="G203" s="31" t="n">
        <v>0</v>
      </c>
      <c r="H203" s="31" t="n">
        <v>0</v>
      </c>
      <c r="I203" s="31" t="n">
        <v>0</v>
      </c>
      <c r="J203" s="31" t="n">
        <v>0</v>
      </c>
      <c r="K203" s="31" t="n">
        <v>0</v>
      </c>
      <c r="L203" s="31" t="n">
        <v>0</v>
      </c>
      <c r="M203" s="31" t="n">
        <v>0</v>
      </c>
      <c r="N203" s="31" t="n">
        <v>0</v>
      </c>
      <c r="O203" s="31" t="n">
        <v>0</v>
      </c>
      <c r="P203" s="32">
        <f>SUM(D203:O203)</f>
        <v/>
      </c>
    </row>
    <row r="204">
      <c r="A204" s="24" t="inlineStr">
        <is>
          <t>Wheat, excluding durum</t>
        </is>
      </c>
      <c r="B204" s="25" t="inlineStr">
        <is>
          <t>Seed</t>
        </is>
      </c>
      <c r="C204" s="26" t="inlineStr">
        <is>
          <t>20-21</t>
        </is>
      </c>
      <c r="D204" s="31" t="n">
        <v>0</v>
      </c>
      <c r="E204" s="31" t="n">
        <v>0</v>
      </c>
      <c r="F204" s="31" t="n">
        <v>0</v>
      </c>
      <c r="G204" s="31" t="n">
        <v>0</v>
      </c>
      <c r="H204" s="31" t="n">
        <v>0</v>
      </c>
      <c r="I204" s="31" t="n">
        <v>0</v>
      </c>
      <c r="J204" s="31" t="n">
        <v>0</v>
      </c>
      <c r="K204" s="31" t="n">
        <v>0</v>
      </c>
      <c r="L204" s="31" t="n">
        <v>0</v>
      </c>
      <c r="M204" s="31" t="n">
        <v>0</v>
      </c>
      <c r="N204" s="31" t="n">
        <v>0</v>
      </c>
      <c r="O204" s="31" t="n">
        <v>0</v>
      </c>
      <c r="P204" s="32">
        <f>SUM(D204:O204)</f>
        <v/>
      </c>
    </row>
    <row r="205">
      <c r="A205" s="24" t="inlineStr">
        <is>
          <t>Wheat, excluding durum</t>
        </is>
      </c>
      <c r="B205" s="25" t="inlineStr">
        <is>
          <t>Seed</t>
        </is>
      </c>
      <c r="C205" s="26" t="inlineStr">
        <is>
          <t>21-22</t>
        </is>
      </c>
      <c r="D205" s="31" t="n">
        <v>0</v>
      </c>
      <c r="E205" s="31" t="n">
        <v>0</v>
      </c>
      <c r="F205" s="31" t="n">
        <v>0</v>
      </c>
      <c r="G205" s="31" t="n">
        <v>0</v>
      </c>
      <c r="H205" s="31" t="n">
        <v>0</v>
      </c>
      <c r="I205" s="31" t="n">
        <v>0</v>
      </c>
      <c r="J205" s="31" t="n">
        <v>0</v>
      </c>
      <c r="K205" s="31" t="n">
        <v>0</v>
      </c>
      <c r="L205" s="31" t="n">
        <v>0</v>
      </c>
      <c r="M205" s="31" t="n">
        <v>0</v>
      </c>
      <c r="N205" s="31" t="n">
        <v>0</v>
      </c>
      <c r="O205" s="31" t="n">
        <v>0</v>
      </c>
      <c r="P205" s="32">
        <f>SUM(D205:O205)</f>
        <v/>
      </c>
    </row>
    <row r="206">
      <c r="A206" s="24" t="inlineStr">
        <is>
          <t>Wheat, excluding durum</t>
        </is>
      </c>
      <c r="B206" s="25" t="inlineStr">
        <is>
          <t>Seed</t>
        </is>
      </c>
      <c r="C206" s="26" t="inlineStr">
        <is>
          <t>22-23</t>
        </is>
      </c>
      <c r="D206" s="31" t="n">
        <v>0</v>
      </c>
      <c r="E206" s="31" t="n">
        <v>0</v>
      </c>
      <c r="F206" s="31" t="n">
        <v>0</v>
      </c>
      <c r="G206" s="31" t="n">
        <v>0</v>
      </c>
      <c r="H206" s="31" t="n">
        <v>0</v>
      </c>
      <c r="I206" s="31" t="n">
        <v>0</v>
      </c>
      <c r="J206" s="31" t="n">
        <v>0</v>
      </c>
      <c r="K206" s="31" t="n">
        <v>0</v>
      </c>
      <c r="L206" s="31" t="n">
        <v>0</v>
      </c>
      <c r="M206" s="31" t="n">
        <v>0</v>
      </c>
      <c r="N206" s="31" t="n">
        <v>0</v>
      </c>
      <c r="O206" s="31" t="n">
        <v>0</v>
      </c>
      <c r="P206" s="32">
        <f>SUM(D206:O206)</f>
        <v/>
      </c>
    </row>
    <row r="207">
      <c r="A207" s="24" t="inlineStr">
        <is>
          <t>Wheat, excluding durum</t>
        </is>
      </c>
      <c r="B207" s="25" t="inlineStr">
        <is>
          <t>Seed</t>
        </is>
      </c>
      <c r="C207" s="26" t="inlineStr">
        <is>
          <t>23-24</t>
        </is>
      </c>
      <c r="D207" s="31" t="n">
        <v>0</v>
      </c>
      <c r="E207" s="31" t="n">
        <v>0</v>
      </c>
      <c r="F207" s="31" t="n">
        <v>0</v>
      </c>
      <c r="G207" s="31" t="n">
        <v>0</v>
      </c>
      <c r="H207" s="31" t="n">
        <v>0</v>
      </c>
      <c r="I207" s="31" t="n">
        <v>0</v>
      </c>
      <c r="J207" s="31" t="n">
        <v>0</v>
      </c>
      <c r="K207" s="31" t="n">
        <v>0</v>
      </c>
      <c r="L207" s="31" t="n">
        <v>0</v>
      </c>
      <c r="M207" s="31" t="n">
        <v>0</v>
      </c>
      <c r="N207" s="31" t="n">
        <v>0</v>
      </c>
      <c r="O207" s="31" t="n">
        <v>0</v>
      </c>
      <c r="P207" s="32">
        <f>SUM(D207:O207)</f>
        <v/>
      </c>
    </row>
    <row r="208">
      <c r="A208" s="24" t="inlineStr">
        <is>
          <t>Wheat, excluding durum</t>
        </is>
      </c>
      <c r="B208" s="25" t="inlineStr">
        <is>
          <t>Seed</t>
        </is>
      </c>
      <c r="C208" s="26" t="inlineStr">
        <is>
          <t>24-25</t>
        </is>
      </c>
      <c r="D208" s="31" t="n">
        <v>0</v>
      </c>
      <c r="E208" s="31" t="n">
        <v>0</v>
      </c>
      <c r="F208" s="31" t="n">
        <v>0</v>
      </c>
      <c r="G208" s="31" t="n">
        <v>0</v>
      </c>
      <c r="H208" s="31" t="n">
        <v>0</v>
      </c>
      <c r="I208" s="31" t="n">
        <v>0</v>
      </c>
      <c r="J208" s="31" t="n">
        <v>0</v>
      </c>
      <c r="K208" s="31" t="n">
        <v>0</v>
      </c>
      <c r="L208" s="31" t="n">
        <v>0</v>
      </c>
      <c r="M208" s="31" t="n">
        <v>0</v>
      </c>
      <c r="N208" s="31" t="n">
        <v>0</v>
      </c>
      <c r="O208" s="31" t="n">
        <v>0</v>
      </c>
      <c r="P208" s="32">
        <f>SUM(D208:O208)</f>
        <v/>
      </c>
    </row>
    <row r="209">
      <c r="A209" s="24" t="inlineStr">
        <is>
          <t>Wheat, excluding durum</t>
        </is>
      </c>
      <c r="B209" s="25" t="inlineStr">
        <is>
          <t>Food &amp; Processing</t>
        </is>
      </c>
      <c r="C209" s="26" t="inlineStr">
        <is>
          <t>02-03</t>
        </is>
      </c>
      <c r="D209" s="31" t="n">
        <v>248.52</v>
      </c>
      <c r="E209" s="31" t="n">
        <v>248.52</v>
      </c>
      <c r="F209" s="31" t="n">
        <v>248.52</v>
      </c>
      <c r="G209" s="31" t="n">
        <v>248.52</v>
      </c>
      <c r="H209" s="31" t="n">
        <v>248.52</v>
      </c>
      <c r="I209" s="31" t="n">
        <v>223.3333333333333</v>
      </c>
      <c r="J209" s="31" t="n">
        <v>223.3333333333333</v>
      </c>
      <c r="K209" s="31" t="n">
        <v>223.3333333333333</v>
      </c>
      <c r="L209" s="31" t="n">
        <v>220.95</v>
      </c>
      <c r="M209" s="31" t="n">
        <v>220.95</v>
      </c>
      <c r="N209" s="31" t="n">
        <v>220.95</v>
      </c>
      <c r="O209" s="31" t="n">
        <v>220.95</v>
      </c>
      <c r="P209" s="32">
        <f>SUM(D209:O209)</f>
        <v/>
      </c>
    </row>
    <row r="210">
      <c r="A210" s="24" t="inlineStr">
        <is>
          <t>Wheat, excluding durum</t>
        </is>
      </c>
      <c r="B210" s="25" t="inlineStr">
        <is>
          <t>Food &amp; Processing</t>
        </is>
      </c>
      <c r="C210" s="26" t="inlineStr">
        <is>
          <t>03-04</t>
        </is>
      </c>
      <c r="D210" s="31" t="n">
        <v>240.84</v>
      </c>
      <c r="E210" s="31" t="n">
        <v>240.84</v>
      </c>
      <c r="F210" s="31" t="n">
        <v>240.84</v>
      </c>
      <c r="G210" s="31" t="n">
        <v>240.84</v>
      </c>
      <c r="H210" s="31" t="n">
        <v>240.84</v>
      </c>
      <c r="I210" s="31" t="n">
        <v>219.5</v>
      </c>
      <c r="J210" s="31" t="n">
        <v>219.5</v>
      </c>
      <c r="K210" s="31" t="n">
        <v>219.5</v>
      </c>
      <c r="L210" s="31" t="n">
        <v>228.075</v>
      </c>
      <c r="M210" s="31" t="n">
        <v>228.075</v>
      </c>
      <c r="N210" s="31" t="n">
        <v>228.075</v>
      </c>
      <c r="O210" s="31" t="n">
        <v>228.075</v>
      </c>
      <c r="P210" s="32">
        <f>SUM(D210:O210)</f>
        <v/>
      </c>
    </row>
    <row r="211">
      <c r="A211" s="24" t="inlineStr">
        <is>
          <t>Wheat, excluding durum</t>
        </is>
      </c>
      <c r="B211" s="25" t="inlineStr">
        <is>
          <t>Food &amp; Processing</t>
        </is>
      </c>
      <c r="C211" s="26" t="inlineStr">
        <is>
          <t>04-05</t>
        </is>
      </c>
      <c r="D211" s="31" t="n">
        <v>240.48</v>
      </c>
      <c r="E211" s="31" t="n">
        <v>240.48</v>
      </c>
      <c r="F211" s="31" t="n">
        <v>240.48</v>
      </c>
      <c r="G211" s="31" t="n">
        <v>240.48</v>
      </c>
      <c r="H211" s="31" t="n">
        <v>240.48</v>
      </c>
      <c r="I211" s="31" t="n">
        <v>229.0333333333333</v>
      </c>
      <c r="J211" s="31" t="n">
        <v>229.0333333333333</v>
      </c>
      <c r="K211" s="31" t="n">
        <v>229.0333333333333</v>
      </c>
      <c r="L211" s="31" t="n">
        <v>238.75</v>
      </c>
      <c r="M211" s="31" t="n">
        <v>238.75</v>
      </c>
      <c r="N211" s="31" t="n">
        <v>238.75</v>
      </c>
      <c r="O211" s="31" t="n">
        <v>238.75</v>
      </c>
      <c r="P211" s="32">
        <f>SUM(D211:O211)</f>
        <v/>
      </c>
    </row>
    <row r="212">
      <c r="A212" s="24" t="inlineStr">
        <is>
          <t>Wheat, excluding durum</t>
        </is>
      </c>
      <c r="B212" s="25" t="inlineStr">
        <is>
          <t>Food &amp; Processing</t>
        </is>
      </c>
      <c r="C212" s="26" t="inlineStr">
        <is>
          <t>05-06</t>
        </is>
      </c>
      <c r="D212" s="31" t="n">
        <v>257.38</v>
      </c>
      <c r="E212" s="31" t="n">
        <v>257.38</v>
      </c>
      <c r="F212" s="31" t="n">
        <v>257.38</v>
      </c>
      <c r="G212" s="31" t="n">
        <v>257.38</v>
      </c>
      <c r="H212" s="31" t="n">
        <v>257.38</v>
      </c>
      <c r="I212" s="31" t="n">
        <v>226.8666666666666</v>
      </c>
      <c r="J212" s="31" t="n">
        <v>226.8666666666666</v>
      </c>
      <c r="K212" s="31" t="n">
        <v>226.8666666666666</v>
      </c>
      <c r="L212" s="31" t="n">
        <v>238.125</v>
      </c>
      <c r="M212" s="31" t="n">
        <v>238.125</v>
      </c>
      <c r="N212" s="31" t="n">
        <v>238.125</v>
      </c>
      <c r="O212" s="31" t="n">
        <v>238.125</v>
      </c>
      <c r="P212" s="32">
        <f>SUM(D212:O212)</f>
        <v/>
      </c>
    </row>
    <row r="213">
      <c r="A213" s="24" t="inlineStr">
        <is>
          <t>Wheat, excluding durum</t>
        </is>
      </c>
      <c r="B213" s="25" t="inlineStr">
        <is>
          <t>Food &amp; Processing</t>
        </is>
      </c>
      <c r="C213" s="26" t="inlineStr">
        <is>
          <t>06-07</t>
        </is>
      </c>
      <c r="D213" s="31" t="n">
        <v>265.94</v>
      </c>
      <c r="E213" s="31" t="n">
        <v>265.94</v>
      </c>
      <c r="F213" s="31" t="n">
        <v>265.94</v>
      </c>
      <c r="G213" s="31" t="n">
        <v>265.94</v>
      </c>
      <c r="H213" s="31" t="n">
        <v>265.94</v>
      </c>
      <c r="I213" s="31" t="n">
        <v>267.5</v>
      </c>
      <c r="J213" s="31" t="n">
        <v>267.5</v>
      </c>
      <c r="K213" s="31" t="n">
        <v>267.5</v>
      </c>
      <c r="L213" s="31" t="n">
        <v>245.45</v>
      </c>
      <c r="M213" s="31" t="n">
        <v>245.45</v>
      </c>
      <c r="N213" s="31" t="n">
        <v>245.45</v>
      </c>
      <c r="O213" s="31" t="n">
        <v>245.45</v>
      </c>
      <c r="P213" s="32">
        <f>SUM(D213:O213)</f>
        <v/>
      </c>
    </row>
    <row r="214">
      <c r="A214" s="24" t="inlineStr">
        <is>
          <t>Wheat, excluding durum</t>
        </is>
      </c>
      <c r="B214" s="25" t="inlineStr">
        <is>
          <t>Food &amp; Processing</t>
        </is>
      </c>
      <c r="C214" s="26" t="inlineStr">
        <is>
          <t>07-08</t>
        </is>
      </c>
      <c r="D214" s="31" t="n">
        <v>265.7</v>
      </c>
      <c r="E214" s="31" t="n">
        <v>265.7</v>
      </c>
      <c r="F214" s="31" t="n">
        <v>265.7</v>
      </c>
      <c r="G214" s="31" t="n">
        <v>265.7</v>
      </c>
      <c r="H214" s="31" t="n">
        <v>265.7</v>
      </c>
      <c r="I214" s="31" t="n">
        <v>243.5333333333333</v>
      </c>
      <c r="J214" s="31" t="n">
        <v>243.5333333333333</v>
      </c>
      <c r="K214" s="31" t="n">
        <v>243.5333333333333</v>
      </c>
      <c r="L214" s="31" t="n">
        <v>240.8000000000001</v>
      </c>
      <c r="M214" s="31" t="n">
        <v>240.8000000000001</v>
      </c>
      <c r="N214" s="31" t="n">
        <v>240.8000000000001</v>
      </c>
      <c r="O214" s="31" t="n">
        <v>240.8000000000001</v>
      </c>
      <c r="P214" s="32">
        <f>SUM(D214:O214)</f>
        <v/>
      </c>
    </row>
    <row r="215">
      <c r="A215" s="24" t="inlineStr">
        <is>
          <t>Wheat, excluding durum</t>
        </is>
      </c>
      <c r="B215" s="25" t="inlineStr">
        <is>
          <t>Food &amp; Processing</t>
        </is>
      </c>
      <c r="C215" s="26" t="inlineStr">
        <is>
          <t>08-09</t>
        </is>
      </c>
      <c r="D215" s="31" t="n">
        <v>260.64</v>
      </c>
      <c r="E215" s="31" t="n">
        <v>260.64</v>
      </c>
      <c r="F215" s="31" t="n">
        <v>260.64</v>
      </c>
      <c r="G215" s="31" t="n">
        <v>260.64</v>
      </c>
      <c r="H215" s="31" t="n">
        <v>260.64</v>
      </c>
      <c r="I215" s="31" t="n">
        <v>251.8666666666666</v>
      </c>
      <c r="J215" s="31" t="n">
        <v>251.8666666666666</v>
      </c>
      <c r="K215" s="31" t="n">
        <v>251.8666666666666</v>
      </c>
      <c r="L215" s="31" t="n">
        <v>274.1</v>
      </c>
      <c r="M215" s="31" t="n">
        <v>274.1</v>
      </c>
      <c r="N215" s="31" t="n">
        <v>274.1</v>
      </c>
      <c r="O215" s="31" t="n">
        <v>274.1</v>
      </c>
      <c r="P215" s="32">
        <f>SUM(D215:O215)</f>
        <v/>
      </c>
    </row>
    <row r="216">
      <c r="A216" s="24" t="inlineStr">
        <is>
          <t>Wheat, excluding durum</t>
        </is>
      </c>
      <c r="B216" s="25" t="inlineStr">
        <is>
          <t>Food &amp; Processing</t>
        </is>
      </c>
      <c r="C216" s="26" t="inlineStr">
        <is>
          <t>09-10</t>
        </is>
      </c>
      <c r="D216" s="31" t="n">
        <v>306.32</v>
      </c>
      <c r="E216" s="31" t="n">
        <v>306.32</v>
      </c>
      <c r="F216" s="31" t="n">
        <v>306.32</v>
      </c>
      <c r="G216" s="31" t="n">
        <v>306.32</v>
      </c>
      <c r="H216" s="31" t="n">
        <v>306.32</v>
      </c>
      <c r="I216" s="31" t="n">
        <v>205.6666666666667</v>
      </c>
      <c r="J216" s="31" t="n">
        <v>205.6666666666667</v>
      </c>
      <c r="K216" s="31" t="n">
        <v>205.6666666666667</v>
      </c>
      <c r="L216" s="31" t="n">
        <v>287.5500000000001</v>
      </c>
      <c r="M216" s="31" t="n">
        <v>287.5500000000001</v>
      </c>
      <c r="N216" s="31" t="n">
        <v>287.5500000000001</v>
      </c>
      <c r="O216" s="31" t="n">
        <v>287.5500000000001</v>
      </c>
      <c r="P216" s="32">
        <f>SUM(D216:O216)</f>
        <v/>
      </c>
    </row>
    <row r="217">
      <c r="A217" s="24" t="inlineStr">
        <is>
          <t>Wheat, excluding durum</t>
        </is>
      </c>
      <c r="B217" s="25" t="inlineStr">
        <is>
          <t>Food &amp; Processing</t>
        </is>
      </c>
      <c r="C217" s="26" t="inlineStr">
        <is>
          <t>10-11</t>
        </is>
      </c>
      <c r="D217" s="31" t="n">
        <v>314.46</v>
      </c>
      <c r="E217" s="31" t="n">
        <v>314.46</v>
      </c>
      <c r="F217" s="31" t="n">
        <v>314.46</v>
      </c>
      <c r="G217" s="31" t="n">
        <v>314.46</v>
      </c>
      <c r="H217" s="31" t="n">
        <v>314.46</v>
      </c>
      <c r="I217" s="31" t="n">
        <v>261.1333333333334</v>
      </c>
      <c r="J217" s="31" t="n">
        <v>261.1333333333334</v>
      </c>
      <c r="K217" s="31" t="n">
        <v>261.1333333333334</v>
      </c>
      <c r="L217" s="31" t="n">
        <v>250.85</v>
      </c>
      <c r="M217" s="31" t="n">
        <v>250.85</v>
      </c>
      <c r="N217" s="31" t="n">
        <v>250.85</v>
      </c>
      <c r="O217" s="31" t="n">
        <v>250.85</v>
      </c>
      <c r="P217" s="32">
        <f>SUM(D217:O217)</f>
        <v/>
      </c>
    </row>
    <row r="218">
      <c r="A218" s="24" t="inlineStr">
        <is>
          <t>Wheat, excluding durum</t>
        </is>
      </c>
      <c r="B218" s="25" t="inlineStr">
        <is>
          <t>Food &amp; Processing</t>
        </is>
      </c>
      <c r="C218" s="26" t="inlineStr">
        <is>
          <t>11-12</t>
        </is>
      </c>
      <c r="D218" s="31" t="n">
        <v>297.82</v>
      </c>
      <c r="E218" s="31" t="n">
        <v>297.82</v>
      </c>
      <c r="F218" s="31" t="n">
        <v>297.82</v>
      </c>
      <c r="G218" s="31" t="n">
        <v>297.82</v>
      </c>
      <c r="H218" s="31" t="n">
        <v>297.82</v>
      </c>
      <c r="I218" s="31" t="n">
        <v>281</v>
      </c>
      <c r="J218" s="31" t="n">
        <v>281</v>
      </c>
      <c r="K218" s="31" t="n">
        <v>281</v>
      </c>
      <c r="L218" s="31" t="n">
        <v>301.825</v>
      </c>
      <c r="M218" s="31" t="n">
        <v>301.825</v>
      </c>
      <c r="N218" s="31" t="n">
        <v>301.825</v>
      </c>
      <c r="O218" s="31" t="n">
        <v>301.825</v>
      </c>
      <c r="P218" s="32">
        <f>SUM(D218:O218)</f>
        <v/>
      </c>
    </row>
    <row r="219">
      <c r="A219" s="24" t="inlineStr">
        <is>
          <t>Wheat, excluding durum</t>
        </is>
      </c>
      <c r="B219" s="25" t="inlineStr">
        <is>
          <t>Food &amp; Processing</t>
        </is>
      </c>
      <c r="C219" s="26" t="inlineStr">
        <is>
          <t>12-13</t>
        </is>
      </c>
      <c r="D219" s="31" t="n">
        <v>294.72</v>
      </c>
      <c r="E219" s="31" t="n">
        <v>294.72</v>
      </c>
      <c r="F219" s="31" t="n">
        <v>294.72</v>
      </c>
      <c r="G219" s="31" t="n">
        <v>294.72</v>
      </c>
      <c r="H219" s="31" t="n">
        <v>294.72</v>
      </c>
      <c r="I219" s="31" t="n">
        <v>233.3333333333333</v>
      </c>
      <c r="J219" s="31" t="n">
        <v>233.3333333333333</v>
      </c>
      <c r="K219" s="31" t="n">
        <v>233.3333333333333</v>
      </c>
      <c r="L219" s="31" t="n">
        <v>278.2</v>
      </c>
      <c r="M219" s="31" t="n">
        <v>278.2</v>
      </c>
      <c r="N219" s="31" t="n">
        <v>278.2</v>
      </c>
      <c r="O219" s="31" t="n">
        <v>278.2</v>
      </c>
      <c r="P219" s="32">
        <f>SUM(D219:O219)</f>
        <v/>
      </c>
    </row>
    <row r="220">
      <c r="A220" s="24" t="inlineStr">
        <is>
          <t>Wheat, excluding durum</t>
        </is>
      </c>
      <c r="B220" s="25" t="inlineStr">
        <is>
          <t>Food &amp; Processing</t>
        </is>
      </c>
      <c r="C220" s="26" t="inlineStr">
        <is>
          <t>13-14</t>
        </is>
      </c>
      <c r="D220" s="31" t="n">
        <v>290.5</v>
      </c>
      <c r="E220" s="31" t="n">
        <v>290.5</v>
      </c>
      <c r="F220" s="31" t="n">
        <v>290.5</v>
      </c>
      <c r="G220" s="31" t="n">
        <v>290.5</v>
      </c>
      <c r="H220" s="31" t="n">
        <v>290.5</v>
      </c>
      <c r="I220" s="31" t="n">
        <v>277.0333333333333</v>
      </c>
      <c r="J220" s="31" t="n">
        <v>277.0333333333333</v>
      </c>
      <c r="K220" s="31" t="n">
        <v>277.0333333333333</v>
      </c>
      <c r="L220" s="31" t="n">
        <v>285.775</v>
      </c>
      <c r="M220" s="31" t="n">
        <v>285.775</v>
      </c>
      <c r="N220" s="31" t="n">
        <v>285.775</v>
      </c>
      <c r="O220" s="31" t="n">
        <v>285.775</v>
      </c>
      <c r="P220" s="32">
        <f>SUM(D220:O220)</f>
        <v/>
      </c>
    </row>
    <row r="221">
      <c r="A221" s="24" t="inlineStr">
        <is>
          <t>Wheat, excluding durum</t>
        </is>
      </c>
      <c r="B221" s="25" t="inlineStr">
        <is>
          <t>Food &amp; Processing</t>
        </is>
      </c>
      <c r="C221" s="26" t="inlineStr">
        <is>
          <t>14-15</t>
        </is>
      </c>
      <c r="D221" s="31" t="n">
        <v>275.78</v>
      </c>
      <c r="E221" s="31" t="n">
        <v>275.78</v>
      </c>
      <c r="F221" s="31" t="n">
        <v>275.78</v>
      </c>
      <c r="G221" s="31" t="n">
        <v>275.78</v>
      </c>
      <c r="H221" s="31" t="n">
        <v>275.78</v>
      </c>
      <c r="I221" s="31" t="n">
        <v>257.4666666666666</v>
      </c>
      <c r="J221" s="31" t="n">
        <v>257.4666666666666</v>
      </c>
      <c r="K221" s="31" t="n">
        <v>257.4666666666666</v>
      </c>
      <c r="L221" s="31" t="n">
        <v>281.15</v>
      </c>
      <c r="M221" s="31" t="n">
        <v>281.15</v>
      </c>
      <c r="N221" s="31" t="n">
        <v>281.15</v>
      </c>
      <c r="O221" s="31" t="n">
        <v>281.15</v>
      </c>
      <c r="P221" s="32">
        <f>SUM(D221:O221)</f>
        <v/>
      </c>
    </row>
    <row r="222">
      <c r="A222" s="24" t="inlineStr">
        <is>
          <t>Wheat, excluding durum</t>
        </is>
      </c>
      <c r="B222" s="25" t="inlineStr">
        <is>
          <t>Food &amp; Processing</t>
        </is>
      </c>
      <c r="C222" s="26" t="inlineStr">
        <is>
          <t>15-16</t>
        </is>
      </c>
      <c r="D222" s="31" t="n">
        <v>301.74</v>
      </c>
      <c r="E222" s="31" t="n">
        <v>301.74</v>
      </c>
      <c r="F222" s="31" t="n">
        <v>301.74</v>
      </c>
      <c r="G222" s="31" t="n">
        <v>301.74</v>
      </c>
      <c r="H222" s="31" t="n">
        <v>301.74</v>
      </c>
      <c r="I222" s="31" t="n">
        <v>247.8333333333333</v>
      </c>
      <c r="J222" s="31" t="n">
        <v>247.8333333333333</v>
      </c>
      <c r="K222" s="31" t="n">
        <v>247.8333333333333</v>
      </c>
      <c r="L222" s="31" t="n">
        <v>264.3</v>
      </c>
      <c r="M222" s="31" t="n">
        <v>264.3</v>
      </c>
      <c r="N222" s="31" t="n">
        <v>264.3</v>
      </c>
      <c r="O222" s="31" t="n">
        <v>264.3</v>
      </c>
      <c r="P222" s="32">
        <f>SUM(D222:O222)</f>
        <v/>
      </c>
    </row>
    <row r="223">
      <c r="A223" s="24" t="inlineStr">
        <is>
          <t>Wheat, excluding durum</t>
        </is>
      </c>
      <c r="B223" s="25" t="inlineStr">
        <is>
          <t>Food &amp; Processing</t>
        </is>
      </c>
      <c r="C223" s="26" t="inlineStr">
        <is>
          <t>16-17</t>
        </is>
      </c>
      <c r="D223" s="31" t="n">
        <v>285.74</v>
      </c>
      <c r="E223" s="31" t="n">
        <v>285.74</v>
      </c>
      <c r="F223" s="31" t="n">
        <v>285.74</v>
      </c>
      <c r="G223" s="31" t="n">
        <v>285.74</v>
      </c>
      <c r="H223" s="31" t="n">
        <v>285.74</v>
      </c>
      <c r="I223" s="31" t="n">
        <v>263.0333333333333</v>
      </c>
      <c r="J223" s="31" t="n">
        <v>263.0333333333333</v>
      </c>
      <c r="K223" s="31" t="n">
        <v>263.0333333333333</v>
      </c>
      <c r="L223" s="31" t="n">
        <v>261.175</v>
      </c>
      <c r="M223" s="31" t="n">
        <v>261.175</v>
      </c>
      <c r="N223" s="31" t="n">
        <v>261.175</v>
      </c>
      <c r="O223" s="31" t="n">
        <v>261.175</v>
      </c>
      <c r="P223" s="32">
        <f>SUM(D223:O223)</f>
        <v/>
      </c>
    </row>
    <row r="224">
      <c r="A224" s="24" t="inlineStr">
        <is>
          <t>Wheat, excluding durum</t>
        </is>
      </c>
      <c r="B224" s="25" t="inlineStr">
        <is>
          <t>Food &amp; Processing</t>
        </is>
      </c>
      <c r="C224" s="26" t="inlineStr">
        <is>
          <t>17-18</t>
        </is>
      </c>
      <c r="D224" s="31" t="n">
        <v>276.1</v>
      </c>
      <c r="E224" s="31" t="n">
        <v>276.1</v>
      </c>
      <c r="F224" s="31" t="n">
        <v>276.1</v>
      </c>
      <c r="G224" s="31" t="n">
        <v>276.1</v>
      </c>
      <c r="H224" s="31" t="n">
        <v>276.1</v>
      </c>
      <c r="I224" s="31" t="n">
        <v>260.7333333333333</v>
      </c>
      <c r="J224" s="31" t="n">
        <v>260.7333333333333</v>
      </c>
      <c r="K224" s="31" t="n">
        <v>260.7333333333333</v>
      </c>
      <c r="L224" s="31" t="n">
        <v>262.25</v>
      </c>
      <c r="M224" s="31" t="n">
        <v>262.25</v>
      </c>
      <c r="N224" s="31" t="n">
        <v>262.25</v>
      </c>
      <c r="O224" s="31" t="n">
        <v>262.25</v>
      </c>
      <c r="P224" s="32">
        <f>SUM(D224:O224)</f>
        <v/>
      </c>
    </row>
    <row r="225">
      <c r="A225" s="24" t="inlineStr">
        <is>
          <t>Wheat, excluding durum</t>
        </is>
      </c>
      <c r="B225" s="25" t="inlineStr">
        <is>
          <t>Food &amp; Processing</t>
        </is>
      </c>
      <c r="C225" s="26" t="inlineStr">
        <is>
          <t>18-19</t>
        </is>
      </c>
      <c r="D225" s="31" t="n">
        <v>277.8</v>
      </c>
      <c r="E225" s="31" t="n">
        <v>277.8</v>
      </c>
      <c r="F225" s="31" t="n">
        <v>277.8</v>
      </c>
      <c r="G225" s="31" t="n">
        <v>277.8</v>
      </c>
      <c r="H225" s="31" t="n">
        <v>277.8</v>
      </c>
      <c r="I225" s="31" t="n">
        <v>267.3333333333333</v>
      </c>
      <c r="J225" s="31" t="n">
        <v>267.3333333333333</v>
      </c>
      <c r="K225" s="31" t="n">
        <v>267.3333333333333</v>
      </c>
      <c r="L225" s="31" t="n">
        <v>275.65</v>
      </c>
      <c r="M225" s="31" t="n">
        <v>275.65</v>
      </c>
      <c r="N225" s="31" t="n">
        <v>275.65</v>
      </c>
      <c r="O225" s="31" t="n">
        <v>275.65</v>
      </c>
      <c r="P225" s="32">
        <f>SUM(D225:O225)</f>
        <v/>
      </c>
    </row>
    <row r="226">
      <c r="A226" s="24" t="inlineStr">
        <is>
          <t>Wheat, excluding durum</t>
        </is>
      </c>
      <c r="B226" s="25" t="inlineStr">
        <is>
          <t>Food &amp; Processing</t>
        </is>
      </c>
      <c r="C226" s="26" t="inlineStr">
        <is>
          <t>19-20</t>
        </is>
      </c>
      <c r="D226" s="31" t="n">
        <v>291.7</v>
      </c>
      <c r="E226" s="31" t="n">
        <v>291.7</v>
      </c>
      <c r="F226" s="31" t="n">
        <v>291.7</v>
      </c>
      <c r="G226" s="31" t="n">
        <v>291.7</v>
      </c>
      <c r="H226" s="31" t="n">
        <v>291.7</v>
      </c>
      <c r="I226" s="31" t="n">
        <v>274.5333333333333</v>
      </c>
      <c r="J226" s="31" t="n">
        <v>274.5333333333333</v>
      </c>
      <c r="K226" s="31" t="n">
        <v>274.5333333333333</v>
      </c>
      <c r="L226" s="31" t="n">
        <v>271.775</v>
      </c>
      <c r="M226" s="31" t="n">
        <v>271.775</v>
      </c>
      <c r="N226" s="31" t="n">
        <v>271.775</v>
      </c>
      <c r="O226" s="31" t="n">
        <v>271.775</v>
      </c>
      <c r="P226" s="32">
        <f>SUM(D226:O226)</f>
        <v/>
      </c>
    </row>
    <row r="227">
      <c r="A227" s="24" t="inlineStr">
        <is>
          <t>Wheat, excluding durum</t>
        </is>
      </c>
      <c r="B227" s="25" t="inlineStr">
        <is>
          <t>Food &amp; Processing</t>
        </is>
      </c>
      <c r="C227" s="26" t="inlineStr">
        <is>
          <t>20-21</t>
        </is>
      </c>
      <c r="D227" s="31" t="n">
        <v>284.88</v>
      </c>
      <c r="E227" s="31" t="n">
        <v>284.88</v>
      </c>
      <c r="F227" s="31" t="n">
        <v>284.88</v>
      </c>
      <c r="G227" s="31" t="n">
        <v>284.88</v>
      </c>
      <c r="H227" s="31" t="n">
        <v>284.88</v>
      </c>
      <c r="I227" s="31" t="n">
        <v>262.4333333333334</v>
      </c>
      <c r="J227" s="31" t="n">
        <v>262.4333333333334</v>
      </c>
      <c r="K227" s="31" t="n">
        <v>262.4333333333334</v>
      </c>
      <c r="L227" s="31" t="n">
        <v>263.35</v>
      </c>
      <c r="M227" s="31" t="n">
        <v>263.35</v>
      </c>
      <c r="N227" s="31" t="n">
        <v>263.35</v>
      </c>
      <c r="O227" s="31" t="n">
        <v>263.35</v>
      </c>
      <c r="P227" s="32">
        <f>SUM(D227:O227)</f>
        <v/>
      </c>
    </row>
    <row r="228">
      <c r="A228" s="24" t="inlineStr">
        <is>
          <t>Wheat, excluding durum</t>
        </is>
      </c>
      <c r="B228" s="25" t="inlineStr">
        <is>
          <t>Food &amp; Processing</t>
        </is>
      </c>
      <c r="C228" s="26" t="inlineStr">
        <is>
          <t>21-22</t>
        </is>
      </c>
      <c r="D228" s="31" t="n">
        <v>283.68</v>
      </c>
      <c r="E228" s="31" t="n">
        <v>283.68</v>
      </c>
      <c r="F228" s="31" t="n">
        <v>283.68</v>
      </c>
      <c r="G228" s="31" t="n">
        <v>283.68</v>
      </c>
      <c r="H228" s="31" t="n">
        <v>283.68</v>
      </c>
      <c r="I228" s="31" t="n">
        <v>257.3666666666667</v>
      </c>
      <c r="J228" s="31" t="n">
        <v>257.3666666666667</v>
      </c>
      <c r="K228" s="31" t="n">
        <v>257.3666666666667</v>
      </c>
      <c r="L228" s="31" t="n">
        <v>264.95</v>
      </c>
      <c r="M228" s="31" t="n">
        <v>264.95</v>
      </c>
      <c r="N228" s="31" t="n">
        <v>264.95</v>
      </c>
      <c r="O228" s="31" t="n">
        <v>264.95</v>
      </c>
      <c r="P228" s="32">
        <f>SUM(D228:O228)</f>
        <v/>
      </c>
    </row>
    <row r="229">
      <c r="A229" s="24" t="inlineStr">
        <is>
          <t>Wheat, excluding durum</t>
        </is>
      </c>
      <c r="B229" s="25" t="inlineStr">
        <is>
          <t>Food &amp; Processing</t>
        </is>
      </c>
      <c r="C229" s="26" t="inlineStr">
        <is>
          <t>22-23</t>
        </is>
      </c>
      <c r="D229" s="31" t="n">
        <v>280.48</v>
      </c>
      <c r="E229" s="31" t="n">
        <v>280.48</v>
      </c>
      <c r="F229" s="31" t="n">
        <v>280.48</v>
      </c>
      <c r="G229" s="31" t="n">
        <v>280.48</v>
      </c>
      <c r="H229" s="31" t="n">
        <v>280.48</v>
      </c>
      <c r="I229" s="31" t="n">
        <v>259</v>
      </c>
      <c r="J229" s="31" t="n">
        <v>259</v>
      </c>
      <c r="K229" s="31" t="n">
        <v>259</v>
      </c>
      <c r="L229" s="31" t="n">
        <v>269.1500000000001</v>
      </c>
      <c r="M229" s="31" t="n">
        <v>269.1500000000001</v>
      </c>
      <c r="N229" s="31" t="n">
        <v>269.1500000000001</v>
      </c>
      <c r="O229" s="31" t="n">
        <v>269.1500000000001</v>
      </c>
      <c r="P229" s="32">
        <f>SUM(D229:O229)</f>
        <v/>
      </c>
    </row>
    <row r="230">
      <c r="A230" s="24" t="inlineStr">
        <is>
          <t>Wheat, excluding durum</t>
        </is>
      </c>
      <c r="B230" s="25" t="inlineStr">
        <is>
          <t>Food &amp; Processing</t>
        </is>
      </c>
      <c r="C230" s="26" t="inlineStr">
        <is>
          <t>23-24</t>
        </is>
      </c>
      <c r="D230" s="31" t="n">
        <v>288.94</v>
      </c>
      <c r="E230" s="31" t="n">
        <v>288.94</v>
      </c>
      <c r="F230" s="31" t="n">
        <v>288.94</v>
      </c>
      <c r="G230" s="31" t="n">
        <v>288.94</v>
      </c>
      <c r="H230" s="31" t="n">
        <v>288.94</v>
      </c>
      <c r="I230" s="31" t="n">
        <v>255.6666666666667</v>
      </c>
      <c r="J230" s="31" t="n">
        <v>255.6666666666667</v>
      </c>
      <c r="K230" s="31" t="n">
        <v>255.6666666666667</v>
      </c>
      <c r="L230" s="31" t="n">
        <v>265.6</v>
      </c>
      <c r="M230" s="31" t="n">
        <v>265.6</v>
      </c>
      <c r="N230" s="31" t="n">
        <v>265.6</v>
      </c>
      <c r="O230" s="31" t="n">
        <v>265.6</v>
      </c>
      <c r="P230" s="32">
        <f>SUM(D230:O230)</f>
        <v/>
      </c>
    </row>
    <row r="231">
      <c r="A231" s="24" t="inlineStr">
        <is>
          <t>Wheat, excluding durum</t>
        </is>
      </c>
      <c r="B231" s="25" t="inlineStr">
        <is>
          <t>Food &amp; Processing</t>
        </is>
      </c>
      <c r="C231" s="26" t="inlineStr">
        <is>
          <t>24-25</t>
        </is>
      </c>
      <c r="D231" s="31" t="n">
        <v>272.66</v>
      </c>
      <c r="E231" s="31" t="n">
        <v>272.66</v>
      </c>
      <c r="F231" s="31" t="n">
        <v>272.66</v>
      </c>
      <c r="G231" s="31" t="n">
        <v>272.66</v>
      </c>
      <c r="H231" s="31" t="n">
        <v>272.66</v>
      </c>
      <c r="I231" s="31" t="n">
        <v>264.3</v>
      </c>
      <c r="J231" s="31" t="n">
        <v>264.3</v>
      </c>
      <c r="K231" s="31" t="n">
        <v>264.3</v>
      </c>
      <c r="L231" s="31" t="n">
        <v>286.075</v>
      </c>
      <c r="M231" s="31" t="n">
        <v>286.075</v>
      </c>
      <c r="N231" s="31" t="n">
        <v>286.075</v>
      </c>
      <c r="O231" s="31" t="n">
        <v>286.075</v>
      </c>
      <c r="P231" s="32">
        <f>SUM(D231:O231)</f>
        <v/>
      </c>
    </row>
    <row r="232">
      <c r="A232" s="24" t="inlineStr">
        <is>
          <t>Wheat, excluding durum</t>
        </is>
      </c>
      <c r="B232" s="25" t="inlineStr">
        <is>
          <t>FSR</t>
        </is>
      </c>
      <c r="C232" s="26" t="inlineStr">
        <is>
          <t>02-03</t>
        </is>
      </c>
      <c r="D232" s="31" t="n">
        <v>311.735</v>
      </c>
      <c r="E232" s="31" t="n">
        <v>311.735</v>
      </c>
      <c r="F232" s="31" t="n">
        <v>311.735</v>
      </c>
      <c r="G232" s="31" t="n">
        <v>311.735</v>
      </c>
      <c r="H232" s="31" t="n">
        <v>311.735</v>
      </c>
      <c r="I232" s="31" t="n">
        <v>293.775</v>
      </c>
      <c r="J232" s="31" t="n">
        <v>293.775</v>
      </c>
      <c r="K232" s="31" t="n">
        <v>293.775</v>
      </c>
      <c r="L232" s="31" t="n">
        <v>468.85</v>
      </c>
      <c r="M232" s="31" t="n">
        <v>468.85</v>
      </c>
      <c r="N232" s="31" t="n">
        <v>468.85</v>
      </c>
      <c r="O232" s="31" t="n">
        <v>468.85</v>
      </c>
      <c r="P232" s="32">
        <f>SUM(D232:O232)</f>
        <v/>
      </c>
    </row>
    <row r="233">
      <c r="A233" s="24" t="inlineStr">
        <is>
          <t>Wheat, excluding durum</t>
        </is>
      </c>
      <c r="B233" s="25" t="inlineStr">
        <is>
          <t>FSR</t>
        </is>
      </c>
      <c r="C233" s="26" t="inlineStr">
        <is>
          <t>03-04</t>
        </is>
      </c>
      <c r="D233" s="31" t="n">
        <v>259.485</v>
      </c>
      <c r="E233" s="31" t="n">
        <v>259.485</v>
      </c>
      <c r="F233" s="31" t="n">
        <v>259.485</v>
      </c>
      <c r="G233" s="31" t="n">
        <v>259.485</v>
      </c>
      <c r="H233" s="31" t="n">
        <v>259.485</v>
      </c>
      <c r="I233" s="31" t="n">
        <v>242.725</v>
      </c>
      <c r="J233" s="31" t="n">
        <v>242.725</v>
      </c>
      <c r="K233" s="31" t="n">
        <v>242.725</v>
      </c>
      <c r="L233" s="31" t="n">
        <v>412.225</v>
      </c>
      <c r="M233" s="31" t="n">
        <v>412.225</v>
      </c>
      <c r="N233" s="31" t="n">
        <v>412.225</v>
      </c>
      <c r="O233" s="31" t="n">
        <v>412.225</v>
      </c>
      <c r="P233" s="32">
        <f>SUM(D233:O233)</f>
        <v/>
      </c>
    </row>
    <row r="234">
      <c r="A234" s="24" t="inlineStr">
        <is>
          <t>Wheat, excluding durum</t>
        </is>
      </c>
      <c r="B234" s="25" t="inlineStr">
        <is>
          <t>FSR</t>
        </is>
      </c>
      <c r="C234" s="26" t="inlineStr">
        <is>
          <t>04-05</t>
        </is>
      </c>
      <c r="D234" s="31" t="n">
        <v>316.07</v>
      </c>
      <c r="E234" s="31" t="n">
        <v>316.07</v>
      </c>
      <c r="F234" s="31" t="n">
        <v>316.07</v>
      </c>
      <c r="G234" s="31" t="n">
        <v>316.07</v>
      </c>
      <c r="H234" s="31" t="n">
        <v>316.07</v>
      </c>
      <c r="I234" s="31" t="n">
        <v>301.45</v>
      </c>
      <c r="J234" s="31" t="n">
        <v>301.45</v>
      </c>
      <c r="K234" s="31" t="n">
        <v>301.45</v>
      </c>
      <c r="L234" s="31" t="n">
        <v>464.775</v>
      </c>
      <c r="M234" s="31" t="n">
        <v>464.775</v>
      </c>
      <c r="N234" s="31" t="n">
        <v>464.775</v>
      </c>
      <c r="O234" s="31" t="n">
        <v>464.775</v>
      </c>
      <c r="P234" s="32">
        <f>SUM(D234:O234)</f>
        <v/>
      </c>
    </row>
    <row r="235">
      <c r="A235" s="24" t="inlineStr">
        <is>
          <t>Wheat, excluding durum</t>
        </is>
      </c>
      <c r="B235" s="25" t="inlineStr">
        <is>
          <t>FSR</t>
        </is>
      </c>
      <c r="C235" s="26" t="inlineStr">
        <is>
          <t>05-06</t>
        </is>
      </c>
      <c r="D235" s="31" t="n">
        <v>328.04</v>
      </c>
      <c r="E235" s="31" t="n">
        <v>328.04</v>
      </c>
      <c r="F235" s="31" t="n">
        <v>328.04</v>
      </c>
      <c r="G235" s="31" t="n">
        <v>328.04</v>
      </c>
      <c r="H235" s="31" t="n">
        <v>328.04</v>
      </c>
      <c r="I235" s="31" t="n">
        <v>308.1</v>
      </c>
      <c r="J235" s="31" t="n">
        <v>308.1</v>
      </c>
      <c r="K235" s="31" t="n">
        <v>308.1</v>
      </c>
      <c r="L235" s="31" t="n">
        <v>489.225</v>
      </c>
      <c r="M235" s="31" t="n">
        <v>489.225</v>
      </c>
      <c r="N235" s="31" t="n">
        <v>489.225</v>
      </c>
      <c r="O235" s="31" t="n">
        <v>489.225</v>
      </c>
      <c r="P235" s="32">
        <f>SUM(D235:O235)</f>
        <v/>
      </c>
    </row>
    <row r="236">
      <c r="A236" s="24" t="inlineStr">
        <is>
          <t>Wheat, excluding durum</t>
        </is>
      </c>
      <c r="B236" s="25" t="inlineStr">
        <is>
          <t>FSR</t>
        </is>
      </c>
      <c r="C236" s="26" t="inlineStr">
        <is>
          <t>06-07</t>
        </is>
      </c>
      <c r="D236" s="31" t="n">
        <v>353.395</v>
      </c>
      <c r="E236" s="31" t="n">
        <v>353.395</v>
      </c>
      <c r="F236" s="31" t="n">
        <v>353.395</v>
      </c>
      <c r="G236" s="31" t="n">
        <v>353.395</v>
      </c>
      <c r="H236" s="31" t="n">
        <v>353.395</v>
      </c>
      <c r="I236" s="31" t="n">
        <v>334.775</v>
      </c>
      <c r="J236" s="31" t="n">
        <v>334.775</v>
      </c>
      <c r="K236" s="31" t="n">
        <v>334.775</v>
      </c>
      <c r="L236" s="31" t="n">
        <v>481.475</v>
      </c>
      <c r="M236" s="31" t="n">
        <v>481.475</v>
      </c>
      <c r="N236" s="31" t="n">
        <v>481.475</v>
      </c>
      <c r="O236" s="31" t="n">
        <v>481.475</v>
      </c>
      <c r="P236" s="32">
        <f>SUM(D236:O236)</f>
        <v/>
      </c>
    </row>
    <row r="237">
      <c r="A237" s="24" t="inlineStr">
        <is>
          <t>Wheat, excluding durum</t>
        </is>
      </c>
      <c r="B237" s="25" t="inlineStr">
        <is>
          <t>FSR</t>
        </is>
      </c>
      <c r="C237" s="26" t="inlineStr">
        <is>
          <t>07-08</t>
        </is>
      </c>
      <c r="D237" s="31" t="n">
        <v>195.8666666666667</v>
      </c>
      <c r="E237" s="31" t="n">
        <v>195.8666666666667</v>
      </c>
      <c r="F237" s="31" t="n">
        <v>195.8666666666667</v>
      </c>
      <c r="G237" s="31" t="n">
        <v>195.8666666666667</v>
      </c>
      <c r="H237" s="31" t="n">
        <v>195.8666666666667</v>
      </c>
      <c r="I237" s="31" t="n">
        <v>166.1666666666667</v>
      </c>
      <c r="J237" s="31" t="n">
        <v>166.1666666666667</v>
      </c>
      <c r="K237" s="31" t="n">
        <v>166.1666666666667</v>
      </c>
      <c r="L237" s="31" t="n">
        <v>324.4916666666667</v>
      </c>
      <c r="M237" s="31" t="n">
        <v>324.4916666666667</v>
      </c>
      <c r="N237" s="31" t="n">
        <v>324.4916666666667</v>
      </c>
      <c r="O237" s="31" t="n">
        <v>324.4916666666667</v>
      </c>
      <c r="P237" s="32">
        <f>SUM(D237:O237)</f>
        <v/>
      </c>
    </row>
    <row r="238">
      <c r="A238" s="24" t="inlineStr">
        <is>
          <t>Wheat, excluding durum</t>
        </is>
      </c>
      <c r="B238" s="25" t="inlineStr">
        <is>
          <t>FSR</t>
        </is>
      </c>
      <c r="C238" s="26" t="inlineStr">
        <is>
          <t>08-09</t>
        </is>
      </c>
      <c r="D238" s="31" t="n">
        <v>285.5033333333333</v>
      </c>
      <c r="E238" s="31" t="n">
        <v>285.5033333333333</v>
      </c>
      <c r="F238" s="31" t="n">
        <v>285.5033333333333</v>
      </c>
      <c r="G238" s="31" t="n">
        <v>285.5033333333333</v>
      </c>
      <c r="H238" s="31" t="n">
        <v>285.5033333333333</v>
      </c>
      <c r="I238" s="31" t="n">
        <v>261.5833333333333</v>
      </c>
      <c r="J238" s="31" t="n">
        <v>261.5833333333333</v>
      </c>
      <c r="K238" s="31" t="n">
        <v>261.5833333333333</v>
      </c>
      <c r="L238" s="31" t="n">
        <v>426.2083333333334</v>
      </c>
      <c r="M238" s="31" t="n">
        <v>426.2083333333334</v>
      </c>
      <c r="N238" s="31" t="n">
        <v>426.2083333333334</v>
      </c>
      <c r="O238" s="31" t="n">
        <v>426.2083333333334</v>
      </c>
      <c r="P238" s="32">
        <f>SUM(D238:O238)</f>
        <v/>
      </c>
    </row>
    <row r="239">
      <c r="A239" s="24" t="inlineStr">
        <is>
          <t>Wheat, excluding durum</t>
        </is>
      </c>
      <c r="B239" s="25" t="inlineStr">
        <is>
          <t>FSR</t>
        </is>
      </c>
      <c r="C239" s="26" t="inlineStr">
        <is>
          <t>09-10</t>
        </is>
      </c>
      <c r="D239" s="31" t="n">
        <v>231.51</v>
      </c>
      <c r="E239" s="31" t="n">
        <v>231.51</v>
      </c>
      <c r="F239" s="31" t="n">
        <v>231.51</v>
      </c>
      <c r="G239" s="31" t="n">
        <v>231.51</v>
      </c>
      <c r="H239" s="31" t="n">
        <v>231.51</v>
      </c>
      <c r="I239" s="31" t="n">
        <v>214.55</v>
      </c>
      <c r="J239" s="31" t="n">
        <v>214.55</v>
      </c>
      <c r="K239" s="31" t="n">
        <v>214.55</v>
      </c>
      <c r="L239" s="31" t="n">
        <v>374.15</v>
      </c>
      <c r="M239" s="31" t="n">
        <v>374.15</v>
      </c>
      <c r="N239" s="31" t="n">
        <v>374.15</v>
      </c>
      <c r="O239" s="31" t="n">
        <v>374.15</v>
      </c>
      <c r="P239" s="32">
        <f>SUM(D239:O239)</f>
        <v/>
      </c>
    </row>
    <row r="240">
      <c r="A240" s="24" t="inlineStr">
        <is>
          <t>Wheat, excluding durum</t>
        </is>
      </c>
      <c r="B240" s="25" t="inlineStr">
        <is>
          <t>FSR</t>
        </is>
      </c>
      <c r="C240" s="26" t="inlineStr">
        <is>
          <t>10-11</t>
        </is>
      </c>
      <c r="D240" s="31" t="n">
        <v>238.0733333333333</v>
      </c>
      <c r="E240" s="31" t="n">
        <v>238.0733333333333</v>
      </c>
      <c r="F240" s="31" t="n">
        <v>238.0733333333333</v>
      </c>
      <c r="G240" s="31" t="n">
        <v>238.0733333333333</v>
      </c>
      <c r="H240" s="31" t="n">
        <v>238.0733333333333</v>
      </c>
      <c r="I240" s="31" t="n">
        <v>217.7333333333333</v>
      </c>
      <c r="J240" s="31" t="n">
        <v>217.7333333333333</v>
      </c>
      <c r="K240" s="31" t="n">
        <v>217.7333333333333</v>
      </c>
      <c r="L240" s="31" t="n">
        <v>369.5333333333333</v>
      </c>
      <c r="M240" s="31" t="n">
        <v>369.5333333333333</v>
      </c>
      <c r="N240" s="31" t="n">
        <v>369.5333333333333</v>
      </c>
      <c r="O240" s="31" t="n">
        <v>369.5333333333333</v>
      </c>
      <c r="P240" s="32">
        <f>SUM(D240:O240)</f>
        <v/>
      </c>
    </row>
    <row r="241">
      <c r="A241" s="24" t="inlineStr">
        <is>
          <t>Wheat, excluding durum</t>
        </is>
      </c>
      <c r="B241" s="25" t="inlineStr">
        <is>
          <t>FSR</t>
        </is>
      </c>
      <c r="C241" s="26" t="inlineStr">
        <is>
          <t>11-12</t>
        </is>
      </c>
      <c r="D241" s="31" t="n">
        <v>381.1566666666667</v>
      </c>
      <c r="E241" s="31" t="n">
        <v>381.1566666666667</v>
      </c>
      <c r="F241" s="31" t="n">
        <v>381.1566666666667</v>
      </c>
      <c r="G241" s="31" t="n">
        <v>381.1566666666667</v>
      </c>
      <c r="H241" s="31" t="n">
        <v>381.1566666666667</v>
      </c>
      <c r="I241" s="31" t="n">
        <v>358.7166666666667</v>
      </c>
      <c r="J241" s="31" t="n">
        <v>358.7166666666667</v>
      </c>
      <c r="K241" s="31" t="n">
        <v>358.7166666666667</v>
      </c>
      <c r="L241" s="31" t="n">
        <v>521.8416666666667</v>
      </c>
      <c r="M241" s="31" t="n">
        <v>521.8416666666667</v>
      </c>
      <c r="N241" s="31" t="n">
        <v>521.8416666666667</v>
      </c>
      <c r="O241" s="31" t="n">
        <v>521.8416666666667</v>
      </c>
      <c r="P241" s="32">
        <f>SUM(D241:O241)</f>
        <v/>
      </c>
    </row>
    <row r="242">
      <c r="A242" s="24" t="inlineStr">
        <is>
          <t>Wheat, excluding durum</t>
        </is>
      </c>
      <c r="B242" s="25" t="inlineStr">
        <is>
          <t>FSR</t>
        </is>
      </c>
      <c r="C242" s="26" t="inlineStr">
        <is>
          <t>12-13</t>
        </is>
      </c>
      <c r="D242" s="31" t="n">
        <v>327.7316666666666</v>
      </c>
      <c r="E242" s="31" t="n">
        <v>327.7316666666666</v>
      </c>
      <c r="F242" s="31" t="n">
        <v>327.7316666666666</v>
      </c>
      <c r="G242" s="31" t="n">
        <v>327.7316666666666</v>
      </c>
      <c r="H242" s="31" t="n">
        <v>327.7316666666666</v>
      </c>
      <c r="I242" s="31" t="n">
        <v>303.7916666666666</v>
      </c>
      <c r="J242" s="31" t="n">
        <v>303.7916666666666</v>
      </c>
      <c r="K242" s="31" t="n">
        <v>303.7916666666666</v>
      </c>
      <c r="L242" s="31" t="n">
        <v>487.2166666666666</v>
      </c>
      <c r="M242" s="31" t="n">
        <v>487.2166666666666</v>
      </c>
      <c r="N242" s="31" t="n">
        <v>487.2166666666666</v>
      </c>
      <c r="O242" s="31" t="n">
        <v>487.2166666666666</v>
      </c>
      <c r="P242" s="32">
        <f>SUM(D242:O242)</f>
        <v/>
      </c>
    </row>
    <row r="243">
      <c r="A243" s="24" t="inlineStr">
        <is>
          <t>Wheat, excluding durum</t>
        </is>
      </c>
      <c r="B243" s="25" t="inlineStr">
        <is>
          <t>FSR</t>
        </is>
      </c>
      <c r="C243" s="26" t="inlineStr">
        <is>
          <t>13-14</t>
        </is>
      </c>
      <c r="D243" s="31" t="n">
        <v>340.365</v>
      </c>
      <c r="E243" s="31" t="n">
        <v>340.365</v>
      </c>
      <c r="F243" s="31" t="n">
        <v>340.365</v>
      </c>
      <c r="G243" s="31" t="n">
        <v>340.365</v>
      </c>
      <c r="H243" s="31" t="n">
        <v>340.365</v>
      </c>
      <c r="I243" s="31" t="n">
        <v>319.125</v>
      </c>
      <c r="J243" s="31" t="n">
        <v>319.125</v>
      </c>
      <c r="K243" s="31" t="n">
        <v>319.125</v>
      </c>
      <c r="L243" s="31" t="n">
        <v>487.225</v>
      </c>
      <c r="M243" s="31" t="n">
        <v>487.225</v>
      </c>
      <c r="N243" s="31" t="n">
        <v>487.225</v>
      </c>
      <c r="O243" s="31" t="n">
        <v>487.225</v>
      </c>
      <c r="P243" s="32">
        <f>SUM(D243:O243)</f>
        <v/>
      </c>
    </row>
    <row r="244">
      <c r="A244" s="24" t="inlineStr">
        <is>
          <t>Wheat, excluding durum</t>
        </is>
      </c>
      <c r="B244" s="25" t="inlineStr">
        <is>
          <t>FSR</t>
        </is>
      </c>
      <c r="C244" s="26" t="inlineStr">
        <is>
          <t>14-15</t>
        </is>
      </c>
      <c r="D244" s="31" t="n">
        <v>354.225</v>
      </c>
      <c r="E244" s="31" t="n">
        <v>354.225</v>
      </c>
      <c r="F244" s="31" t="n">
        <v>354.225</v>
      </c>
      <c r="G244" s="31" t="n">
        <v>354.225</v>
      </c>
      <c r="H244" s="31" t="n">
        <v>354.225</v>
      </c>
      <c r="I244" s="31" t="n">
        <v>339.325</v>
      </c>
      <c r="J244" s="31" t="n">
        <v>339.325</v>
      </c>
      <c r="K244" s="31" t="n">
        <v>339.325</v>
      </c>
      <c r="L244" s="31" t="n">
        <v>504.7000000000001</v>
      </c>
      <c r="M244" s="31" t="n">
        <v>504.7000000000001</v>
      </c>
      <c r="N244" s="31" t="n">
        <v>504.7000000000001</v>
      </c>
      <c r="O244" s="31" t="n">
        <v>504.7000000000001</v>
      </c>
      <c r="P244" s="32">
        <f>SUM(D244:O244)</f>
        <v/>
      </c>
    </row>
    <row r="245">
      <c r="A245" s="24" t="inlineStr">
        <is>
          <t>Wheat, excluding durum</t>
        </is>
      </c>
      <c r="B245" s="25" t="inlineStr">
        <is>
          <t>FSR</t>
        </is>
      </c>
      <c r="C245" s="26" t="inlineStr">
        <is>
          <t>15-16</t>
        </is>
      </c>
      <c r="D245" s="31" t="n">
        <v>286.0233333333333</v>
      </c>
      <c r="E245" s="31" t="n">
        <v>286.0233333333333</v>
      </c>
      <c r="F245" s="31" t="n">
        <v>286.0233333333333</v>
      </c>
      <c r="G245" s="31" t="n">
        <v>286.0233333333333</v>
      </c>
      <c r="H245" s="31" t="n">
        <v>286.0233333333333</v>
      </c>
      <c r="I245" s="31" t="n">
        <v>267.1833333333333</v>
      </c>
      <c r="J245" s="31" t="n">
        <v>267.1833333333333</v>
      </c>
      <c r="K245" s="31" t="n">
        <v>267.1833333333333</v>
      </c>
      <c r="L245" s="31" t="n">
        <v>417.2583333333333</v>
      </c>
      <c r="M245" s="31" t="n">
        <v>417.2583333333333</v>
      </c>
      <c r="N245" s="31" t="n">
        <v>417.2583333333333</v>
      </c>
      <c r="O245" s="31" t="n">
        <v>417.2583333333333</v>
      </c>
      <c r="P245" s="32">
        <f>SUM(D245:O245)</f>
        <v/>
      </c>
    </row>
    <row r="246">
      <c r="A246" s="24" t="inlineStr">
        <is>
          <t>Wheat, excluding durum</t>
        </is>
      </c>
      <c r="B246" s="25" t="inlineStr">
        <is>
          <t>FSR</t>
        </is>
      </c>
      <c r="C246" s="26" t="inlineStr">
        <is>
          <t>16-17</t>
        </is>
      </c>
      <c r="D246" s="31" t="n">
        <v>339.685</v>
      </c>
      <c r="E246" s="31" t="n">
        <v>339.685</v>
      </c>
      <c r="F246" s="31" t="n">
        <v>339.685</v>
      </c>
      <c r="G246" s="31" t="n">
        <v>339.685</v>
      </c>
      <c r="H246" s="31" t="n">
        <v>339.685</v>
      </c>
      <c r="I246" s="31" t="n">
        <v>322.125</v>
      </c>
      <c r="J246" s="31" t="n">
        <v>322.125</v>
      </c>
      <c r="K246" s="31" t="n">
        <v>322.125</v>
      </c>
      <c r="L246" s="31" t="n">
        <v>475.725</v>
      </c>
      <c r="M246" s="31" t="n">
        <v>475.725</v>
      </c>
      <c r="N246" s="31" t="n">
        <v>475.725</v>
      </c>
      <c r="O246" s="31" t="n">
        <v>475.725</v>
      </c>
      <c r="P246" s="32">
        <f>SUM(D246:O246)</f>
        <v/>
      </c>
    </row>
    <row r="247">
      <c r="A247" s="24" t="inlineStr">
        <is>
          <t>Wheat, excluding durum</t>
        </is>
      </c>
      <c r="B247" s="25" t="inlineStr">
        <is>
          <t>FSR</t>
        </is>
      </c>
      <c r="C247" s="26" t="inlineStr">
        <is>
          <t>17-18</t>
        </is>
      </c>
      <c r="D247" s="31" t="n">
        <v>332.78</v>
      </c>
      <c r="E247" s="31" t="n">
        <v>332.78</v>
      </c>
      <c r="F247" s="31" t="n">
        <v>332.78</v>
      </c>
      <c r="G247" s="31" t="n">
        <v>332.78</v>
      </c>
      <c r="H247" s="31" t="n">
        <v>332.78</v>
      </c>
      <c r="I247" s="31" t="n">
        <v>316.8</v>
      </c>
      <c r="J247" s="31" t="n">
        <v>316.8</v>
      </c>
      <c r="K247" s="31" t="n">
        <v>316.8</v>
      </c>
      <c r="L247" s="31" t="n">
        <v>485.2000000000001</v>
      </c>
      <c r="M247" s="31" t="n">
        <v>485.2000000000001</v>
      </c>
      <c r="N247" s="31" t="n">
        <v>485.2000000000001</v>
      </c>
      <c r="O247" s="31" t="n">
        <v>485.2000000000001</v>
      </c>
      <c r="P247" s="32">
        <f>SUM(D247:O247)</f>
        <v/>
      </c>
    </row>
    <row r="248">
      <c r="A248" s="24" t="inlineStr">
        <is>
          <t>Wheat, excluding durum</t>
        </is>
      </c>
      <c r="B248" s="25" t="inlineStr">
        <is>
          <t>FSR</t>
        </is>
      </c>
      <c r="C248" s="26" t="inlineStr">
        <is>
          <t>18-19</t>
        </is>
      </c>
      <c r="D248" s="31" t="n">
        <v>336.3166666666667</v>
      </c>
      <c r="E248" s="31" t="n">
        <v>336.3166666666667</v>
      </c>
      <c r="F248" s="31" t="n">
        <v>336.3166666666667</v>
      </c>
      <c r="G248" s="31" t="n">
        <v>336.3166666666667</v>
      </c>
      <c r="H248" s="31" t="n">
        <v>336.3166666666667</v>
      </c>
      <c r="I248" s="31" t="n">
        <v>320.5166666666667</v>
      </c>
      <c r="J248" s="31" t="n">
        <v>320.5166666666667</v>
      </c>
      <c r="K248" s="31" t="n">
        <v>320.5166666666667</v>
      </c>
      <c r="L248" s="31" t="n">
        <v>502.7666666666667</v>
      </c>
      <c r="M248" s="31" t="n">
        <v>502.7666666666667</v>
      </c>
      <c r="N248" s="31" t="n">
        <v>502.7666666666667</v>
      </c>
      <c r="O248" s="31" t="n">
        <v>502.7666666666667</v>
      </c>
      <c r="P248" s="32">
        <f>SUM(D248:O248)</f>
        <v/>
      </c>
    </row>
    <row r="249">
      <c r="A249" s="24" t="inlineStr">
        <is>
          <t>Wheat, excluding durum</t>
        </is>
      </c>
      <c r="B249" s="25" t="inlineStr">
        <is>
          <t>FSR</t>
        </is>
      </c>
      <c r="C249" s="26" t="inlineStr">
        <is>
          <t>19-20</t>
        </is>
      </c>
      <c r="D249" s="31" t="n">
        <v>385.2633333333334</v>
      </c>
      <c r="E249" s="31" t="n">
        <v>385.2633333333334</v>
      </c>
      <c r="F249" s="31" t="n">
        <v>385.2633333333334</v>
      </c>
      <c r="G249" s="31" t="n">
        <v>385.2633333333334</v>
      </c>
      <c r="H249" s="31" t="n">
        <v>385.2633333333334</v>
      </c>
      <c r="I249" s="31" t="n">
        <v>366.8833333333334</v>
      </c>
      <c r="J249" s="31" t="n">
        <v>366.8833333333334</v>
      </c>
      <c r="K249" s="31" t="n">
        <v>366.8833333333334</v>
      </c>
      <c r="L249" s="31" t="n">
        <v>541.8333333333334</v>
      </c>
      <c r="M249" s="31" t="n">
        <v>541.8333333333334</v>
      </c>
      <c r="N249" s="31" t="n">
        <v>541.8333333333334</v>
      </c>
      <c r="O249" s="31" t="n">
        <v>541.8333333333334</v>
      </c>
      <c r="P249" s="32">
        <f>SUM(D249:O249)</f>
        <v/>
      </c>
    </row>
    <row r="250">
      <c r="A250" s="24" t="inlineStr">
        <is>
          <t>Wheat, excluding durum</t>
        </is>
      </c>
      <c r="B250" s="25" t="inlineStr">
        <is>
          <t>FSR</t>
        </is>
      </c>
      <c r="C250" s="26" t="inlineStr">
        <is>
          <t>20-21</t>
        </is>
      </c>
      <c r="D250" s="31" t="n">
        <v>358.3033333333333</v>
      </c>
      <c r="E250" s="31" t="n">
        <v>358.3033333333333</v>
      </c>
      <c r="F250" s="31" t="n">
        <v>358.3033333333333</v>
      </c>
      <c r="G250" s="31" t="n">
        <v>358.3033333333333</v>
      </c>
      <c r="H250" s="31" t="n">
        <v>358.3033333333333</v>
      </c>
      <c r="I250" s="31" t="n">
        <v>338.5833333333333</v>
      </c>
      <c r="J250" s="31" t="n">
        <v>338.5833333333333</v>
      </c>
      <c r="K250" s="31" t="n">
        <v>338.5833333333333</v>
      </c>
      <c r="L250" s="31" t="n">
        <v>494.5583333333333</v>
      </c>
      <c r="M250" s="31" t="n">
        <v>494.5583333333333</v>
      </c>
      <c r="N250" s="31" t="n">
        <v>494.5583333333333</v>
      </c>
      <c r="O250" s="31" t="n">
        <v>494.5583333333333</v>
      </c>
      <c r="P250" s="32">
        <f>SUM(D250:O250)</f>
        <v/>
      </c>
    </row>
    <row r="251">
      <c r="A251" s="24" t="inlineStr">
        <is>
          <t>Wheat, excluding durum</t>
        </is>
      </c>
      <c r="B251" s="25" t="inlineStr">
        <is>
          <t>FSR</t>
        </is>
      </c>
      <c r="C251" s="26" t="inlineStr">
        <is>
          <t>21-22</t>
        </is>
      </c>
      <c r="D251" s="31" t="n">
        <v>409.1016666666667</v>
      </c>
      <c r="E251" s="31" t="n">
        <v>409.1016666666667</v>
      </c>
      <c r="F251" s="31" t="n">
        <v>409.1016666666667</v>
      </c>
      <c r="G251" s="31" t="n">
        <v>409.1016666666667</v>
      </c>
      <c r="H251" s="31" t="n">
        <v>409.1016666666667</v>
      </c>
      <c r="I251" s="31" t="n">
        <v>393.3416666666667</v>
      </c>
      <c r="J251" s="31" t="n">
        <v>393.3416666666667</v>
      </c>
      <c r="K251" s="31" t="n">
        <v>393.3416666666667</v>
      </c>
      <c r="L251" s="31" t="n">
        <v>568.0666666666667</v>
      </c>
      <c r="M251" s="31" t="n">
        <v>568.0666666666667</v>
      </c>
      <c r="N251" s="31" t="n">
        <v>568.0666666666667</v>
      </c>
      <c r="O251" s="31" t="n">
        <v>568.0666666666667</v>
      </c>
      <c r="P251" s="32">
        <f>SUM(D251:O251)</f>
        <v/>
      </c>
    </row>
    <row r="252">
      <c r="A252" s="24" t="inlineStr">
        <is>
          <t>Wheat, excluding durum</t>
        </is>
      </c>
      <c r="B252" s="25" t="inlineStr">
        <is>
          <t>FSR</t>
        </is>
      </c>
      <c r="C252" s="26" t="inlineStr">
        <is>
          <t>22-23</t>
        </is>
      </c>
      <c r="D252" s="31" t="n">
        <v>273.7183333333334</v>
      </c>
      <c r="E252" s="31" t="n">
        <v>273.7183333333334</v>
      </c>
      <c r="F252" s="31" t="n">
        <v>273.7183333333334</v>
      </c>
      <c r="G252" s="31" t="n">
        <v>273.7183333333334</v>
      </c>
      <c r="H252" s="31" t="n">
        <v>273.7183333333334</v>
      </c>
      <c r="I252" s="31" t="n">
        <v>252.4583333333333</v>
      </c>
      <c r="J252" s="31" t="n">
        <v>252.4583333333333</v>
      </c>
      <c r="K252" s="31" t="n">
        <v>252.4583333333333</v>
      </c>
      <c r="L252" s="31" t="n">
        <v>437.1083333333333</v>
      </c>
      <c r="M252" s="31" t="n">
        <v>437.1083333333333</v>
      </c>
      <c r="N252" s="31" t="n">
        <v>437.1083333333333</v>
      </c>
      <c r="O252" s="31" t="n">
        <v>437.1083333333333</v>
      </c>
      <c r="P252" s="32">
        <f>SUM(D252:O252)</f>
        <v/>
      </c>
    </row>
    <row r="253">
      <c r="A253" s="24" t="inlineStr">
        <is>
          <t>Wheat, excluding durum</t>
        </is>
      </c>
      <c r="B253" s="25" t="inlineStr">
        <is>
          <t>FSR</t>
        </is>
      </c>
      <c r="C253" s="26" t="inlineStr">
        <is>
          <t>23-24</t>
        </is>
      </c>
      <c r="D253" s="31" t="n">
        <v>339.2816666666666</v>
      </c>
      <c r="E253" s="31" t="n">
        <v>339.2816666666666</v>
      </c>
      <c r="F253" s="31" t="n">
        <v>339.2816666666666</v>
      </c>
      <c r="G253" s="31" t="n">
        <v>339.2816666666666</v>
      </c>
      <c r="H253" s="31" t="n">
        <v>339.2816666666666</v>
      </c>
      <c r="I253" s="31" t="n">
        <v>322.1416666666667</v>
      </c>
      <c r="J253" s="31" t="n">
        <v>322.1416666666667</v>
      </c>
      <c r="K253" s="31" t="n">
        <v>322.1416666666667</v>
      </c>
      <c r="L253" s="31" t="n">
        <v>505.2416666666667</v>
      </c>
      <c r="M253" s="31" t="n">
        <v>505.2416666666667</v>
      </c>
      <c r="N253" s="31" t="n">
        <v>505.2416666666667</v>
      </c>
      <c r="O253" s="31" t="n">
        <v>505.2416666666667</v>
      </c>
      <c r="P253" s="32">
        <f>SUM(D253:O253)</f>
        <v/>
      </c>
    </row>
    <row r="254">
      <c r="A254" s="24" t="inlineStr">
        <is>
          <t>Wheat, excluding durum</t>
        </is>
      </c>
      <c r="B254" s="25" t="inlineStr">
        <is>
          <t>FSR</t>
        </is>
      </c>
      <c r="C254" s="26" t="inlineStr">
        <is>
          <t>24-25</t>
        </is>
      </c>
      <c r="D254" s="31" t="n">
        <v>267.4866666666667</v>
      </c>
      <c r="E254" s="31" t="n">
        <v>267.4866666666667</v>
      </c>
      <c r="F254" s="31" t="n">
        <v>267.4866666666667</v>
      </c>
      <c r="G254" s="31" t="n">
        <v>267.4866666666667</v>
      </c>
      <c r="H254" s="31" t="n">
        <v>267.4866666666667</v>
      </c>
      <c r="I254" s="31" t="n">
        <v>247.6666666666666</v>
      </c>
      <c r="J254" s="31" t="n">
        <v>247.6666666666666</v>
      </c>
      <c r="K254" s="31" t="n">
        <v>247.6666666666666</v>
      </c>
      <c r="L254" s="31" t="n">
        <v>429.5416666666666</v>
      </c>
      <c r="M254" s="31" t="n">
        <v>429.5416666666666</v>
      </c>
      <c r="N254" s="31" t="n">
        <v>429.5416666666666</v>
      </c>
      <c r="O254" s="31" t="n">
        <v>429.5416666666666</v>
      </c>
      <c r="P254" s="32">
        <f>SUM(D254:O254)</f>
        <v/>
      </c>
    </row>
    <row r="255">
      <c r="A255" s="24" t="inlineStr">
        <is>
          <t>Wheat, excluding durum</t>
        </is>
      </c>
      <c r="B255" s="25" t="inlineStr">
        <is>
          <t>STOCKS</t>
        </is>
      </c>
      <c r="C255" s="26" t="inlineStr">
        <is>
          <t>02-03</t>
        </is>
      </c>
      <c r="D255" s="31" t="n">
        <v>16151.675</v>
      </c>
      <c r="E255" s="31" t="n">
        <v>15063.948</v>
      </c>
      <c r="F255" s="31" t="n">
        <v>13947.305</v>
      </c>
      <c r="G255" s="31" t="n">
        <v>12866.386</v>
      </c>
      <c r="H255" s="31" t="n">
        <v>11815.781</v>
      </c>
      <c r="I255" s="31" t="n">
        <v>10976.048</v>
      </c>
      <c r="J255" s="31" t="n">
        <v>10111.689</v>
      </c>
      <c r="K255" s="31" t="n">
        <v>9248.088000000003</v>
      </c>
      <c r="L255" s="31" t="n">
        <v>7962.742000000002</v>
      </c>
      <c r="M255" s="31" t="n">
        <v>6678.452000000001</v>
      </c>
      <c r="N255" s="31" t="n">
        <v>5392.77</v>
      </c>
      <c r="O255" s="31" t="n">
        <v>4106.552</v>
      </c>
      <c r="P255" s="32">
        <f>O255</f>
        <v/>
      </c>
    </row>
    <row r="256">
      <c r="A256" s="24" t="inlineStr">
        <is>
          <t>Wheat, excluding durum</t>
        </is>
      </c>
      <c r="B256" s="25" t="inlineStr">
        <is>
          <t>STOCKS</t>
        </is>
      </c>
      <c r="C256" s="26" t="inlineStr">
        <is>
          <t>03-04</t>
        </is>
      </c>
      <c r="D256" s="31" t="n">
        <v>21432.351</v>
      </c>
      <c r="E256" s="31" t="n">
        <v>19924.308</v>
      </c>
      <c r="F256" s="31" t="n">
        <v>18414.015</v>
      </c>
      <c r="G256" s="31" t="n">
        <v>16902.70199999999</v>
      </c>
      <c r="H256" s="31" t="n">
        <v>15391.12899999999</v>
      </c>
      <c r="I256" s="31" t="n">
        <v>14092.03733333333</v>
      </c>
      <c r="J256" s="31" t="n">
        <v>12793.20566666666</v>
      </c>
      <c r="K256" s="31" t="n">
        <v>11494.20199999999</v>
      </c>
      <c r="L256" s="31" t="n">
        <v>9673.568999999989</v>
      </c>
      <c r="M256" s="31" t="n">
        <v>7852.815999999988</v>
      </c>
      <c r="N256" s="31" t="n">
        <v>6031.972999999988</v>
      </c>
      <c r="O256" s="31" t="n">
        <v>4211.063999999988</v>
      </c>
      <c r="P256" s="32">
        <f>O256</f>
        <v/>
      </c>
    </row>
    <row r="257">
      <c r="A257" s="24" t="inlineStr">
        <is>
          <t>Wheat, excluding durum</t>
        </is>
      </c>
      <c r="B257" s="25" t="inlineStr">
        <is>
          <t>STOCKS</t>
        </is>
      </c>
      <c r="C257" s="26" t="inlineStr">
        <is>
          <t>04-05</t>
        </is>
      </c>
      <c r="D257" s="31" t="n">
        <v>22654.86199999998</v>
      </c>
      <c r="E257" s="31" t="n">
        <v>21105.18999999999</v>
      </c>
      <c r="F257" s="31" t="n">
        <v>19555.16399999999</v>
      </c>
      <c r="G257" s="31" t="n">
        <v>18003.91199999999</v>
      </c>
      <c r="H257" s="31" t="n">
        <v>16452.34199999999</v>
      </c>
      <c r="I257" s="31" t="n">
        <v>14928.59066666666</v>
      </c>
      <c r="J257" s="31" t="n">
        <v>13404.67533333332</v>
      </c>
      <c r="K257" s="31" t="n">
        <v>11881.08199999999</v>
      </c>
      <c r="L257" s="31" t="n">
        <v>10269.30499999999</v>
      </c>
      <c r="M257" s="31" t="n">
        <v>8657.56799999999</v>
      </c>
      <c r="N257" s="31" t="n">
        <v>7046.530999999992</v>
      </c>
      <c r="O257" s="31" t="n">
        <v>5435.037999999991</v>
      </c>
      <c r="P257" s="32">
        <f>O257</f>
        <v/>
      </c>
    </row>
    <row r="258">
      <c r="A258" s="24" t="inlineStr">
        <is>
          <t>Wheat, excluding durum</t>
        </is>
      </c>
      <c r="B258" s="25" t="inlineStr">
        <is>
          <t>STOCKS</t>
        </is>
      </c>
      <c r="C258" s="26" t="inlineStr">
        <is>
          <t>05-06</t>
        </is>
      </c>
      <c r="D258" s="31" t="n">
        <v>23873.432</v>
      </c>
      <c r="E258" s="31" t="n">
        <v>22477.65</v>
      </c>
      <c r="F258" s="31" t="n">
        <v>21081.27</v>
      </c>
      <c r="G258" s="31" t="n">
        <v>19683.66999999999</v>
      </c>
      <c r="H258" s="31" t="n">
        <v>18285.94999999999</v>
      </c>
      <c r="I258" s="31" t="n">
        <v>16906.08799999999</v>
      </c>
      <c r="J258" s="31" t="n">
        <v>15525.89599999999</v>
      </c>
      <c r="K258" s="31" t="n">
        <v>14145.85799999999</v>
      </c>
      <c r="L258" s="31" t="n">
        <v>12214.77499999998</v>
      </c>
      <c r="M258" s="31" t="n">
        <v>10283.89599999998</v>
      </c>
      <c r="N258" s="31" t="n">
        <v>8353.826999999983</v>
      </c>
      <c r="O258" s="31" t="n">
        <v>6423.969999999983</v>
      </c>
      <c r="P258" s="32">
        <f>O258</f>
        <v/>
      </c>
    </row>
    <row r="259">
      <c r="A259" s="24" t="inlineStr">
        <is>
          <t>Wheat, excluding durum</t>
        </is>
      </c>
      <c r="B259" s="25" t="inlineStr">
        <is>
          <t>STOCKS</t>
        </is>
      </c>
      <c r="C259" s="26" t="inlineStr">
        <is>
          <t>06-07</t>
        </is>
      </c>
      <c r="D259" s="31" t="n">
        <v>26399.87899999998</v>
      </c>
      <c r="E259" s="31" t="n">
        <v>24456.53999999999</v>
      </c>
      <c r="F259" s="31" t="n">
        <v>22510.72299999999</v>
      </c>
      <c r="G259" s="31" t="n">
        <v>20563.93</v>
      </c>
      <c r="H259" s="31" t="n">
        <v>18617.181</v>
      </c>
      <c r="I259" s="31" t="n">
        <v>17015.65466666666</v>
      </c>
      <c r="J259" s="31" t="n">
        <v>15413.72033333333</v>
      </c>
      <c r="K259" s="31" t="n">
        <v>13811.518</v>
      </c>
      <c r="L259" s="31" t="n">
        <v>11760.42399999999</v>
      </c>
      <c r="M259" s="31" t="n">
        <v>9709.821999999989</v>
      </c>
      <c r="N259" s="31" t="n">
        <v>7659.253999999987</v>
      </c>
      <c r="O259" s="31" t="n">
        <v>5608.143999999987</v>
      </c>
      <c r="P259" s="32">
        <f>O259</f>
        <v/>
      </c>
    </row>
    <row r="260">
      <c r="A260" s="24" t="inlineStr">
        <is>
          <t>Wheat, excluding durum</t>
        </is>
      </c>
      <c r="B260" s="25" t="inlineStr">
        <is>
          <t>STOCKS</t>
        </is>
      </c>
      <c r="C260" s="26" t="inlineStr">
        <is>
          <t>07-08</t>
        </is>
      </c>
      <c r="D260" s="31" t="n">
        <v>20414.74733333332</v>
      </c>
      <c r="E260" s="31" t="n">
        <v>18815.19466666665</v>
      </c>
      <c r="F260" s="31" t="n">
        <v>17213.42199999998</v>
      </c>
      <c r="G260" s="31" t="n">
        <v>15611.58133333332</v>
      </c>
      <c r="H260" s="31" t="n">
        <v>14009.00066666665</v>
      </c>
      <c r="I260" s="31" t="n">
        <v>12728.01066666665</v>
      </c>
      <c r="J260" s="31" t="n">
        <v>11446.67466666665</v>
      </c>
      <c r="K260" s="31" t="n">
        <v>10166.27266666665</v>
      </c>
      <c r="L260" s="31" t="n">
        <v>8514.327999999983</v>
      </c>
      <c r="M260" s="31" t="n">
        <v>6862.301333333318</v>
      </c>
      <c r="N260" s="31" t="n">
        <v>5209.554666666651</v>
      </c>
      <c r="O260" s="31" t="n">
        <v>3557.421999999984</v>
      </c>
      <c r="P260" s="32">
        <f>O260</f>
        <v/>
      </c>
    </row>
    <row r="261">
      <c r="A261" s="24" t="inlineStr">
        <is>
          <t>Wheat, excluding durum</t>
        </is>
      </c>
      <c r="B261" s="25" t="inlineStr">
        <is>
          <t>STOCKS</t>
        </is>
      </c>
      <c r="C261" s="26" t="inlineStr">
        <is>
          <t>08-09</t>
        </is>
      </c>
      <c r="D261" s="31" t="n">
        <v>24974.79266666665</v>
      </c>
      <c r="E261" s="31" t="n">
        <v>23292.67133333332</v>
      </c>
      <c r="F261" s="31" t="n">
        <v>21608.76399999998</v>
      </c>
      <c r="G261" s="31" t="n">
        <v>19924.27866666664</v>
      </c>
      <c r="H261" s="31" t="n">
        <v>18239.43733333331</v>
      </c>
      <c r="I261" s="31" t="n">
        <v>16523.57866666664</v>
      </c>
      <c r="J261" s="31" t="n">
        <v>14808.09999999997</v>
      </c>
      <c r="K261" s="31" t="n">
        <v>13092.8333333333</v>
      </c>
      <c r="L261" s="31" t="n">
        <v>10980.95799999997</v>
      </c>
      <c r="M261" s="31" t="n">
        <v>8869.756666666637</v>
      </c>
      <c r="N261" s="31" t="n">
        <v>6755.569333333304</v>
      </c>
      <c r="O261" s="31" t="n">
        <v>4641.695999999971</v>
      </c>
      <c r="P261" s="32">
        <f>O261</f>
        <v/>
      </c>
    </row>
    <row r="262">
      <c r="A262" s="24" t="inlineStr">
        <is>
          <t>Wheat, excluding durum</t>
        </is>
      </c>
      <c r="B262" s="25" t="inlineStr">
        <is>
          <t>STOCKS</t>
        </is>
      </c>
      <c r="C262" s="26" t="inlineStr">
        <is>
          <t>09-10</t>
        </is>
      </c>
      <c r="D262" s="31" t="n">
        <v>24505.10599999997</v>
      </c>
      <c r="E262" s="31" t="n">
        <v>22809.27399999998</v>
      </c>
      <c r="F262" s="31" t="n">
        <v>21107.07199999998</v>
      </c>
      <c r="G262" s="31" t="n">
        <v>19405.62999999998</v>
      </c>
      <c r="H262" s="31" t="n">
        <v>17692.04999999998</v>
      </c>
      <c r="I262" s="31" t="n">
        <v>16125.20266666665</v>
      </c>
      <c r="J262" s="31" t="n">
        <v>14558.04533333332</v>
      </c>
      <c r="K262" s="31" t="n">
        <v>12991.15799999998</v>
      </c>
      <c r="L262" s="31" t="n">
        <v>11005.02599999998</v>
      </c>
      <c r="M262" s="31" t="n">
        <v>9018.241999999986</v>
      </c>
      <c r="N262" s="31" t="n">
        <v>7032.255999999987</v>
      </c>
      <c r="O262" s="31" t="n">
        <v>5048.965999999988</v>
      </c>
      <c r="P262" s="32">
        <f>O262</f>
        <v/>
      </c>
    </row>
    <row r="263">
      <c r="A263" s="24" t="inlineStr">
        <is>
          <t>Wheat, excluding durum</t>
        </is>
      </c>
      <c r="B263" s="25" t="inlineStr">
        <is>
          <t>STOCKS</t>
        </is>
      </c>
      <c r="C263" s="26" t="inlineStr">
        <is>
          <t>10-11</t>
        </is>
      </c>
      <c r="D263" s="31" t="n">
        <v>23712.11666666665</v>
      </c>
      <c r="E263" s="31" t="n">
        <v>22102.00333333332</v>
      </c>
      <c r="F263" s="31" t="n">
        <v>20489.17399999999</v>
      </c>
      <c r="G263" s="31" t="n">
        <v>18876.60466666666</v>
      </c>
      <c r="H263" s="31" t="n">
        <v>17264.46733333333</v>
      </c>
      <c r="I263" s="31" t="n">
        <v>15933.20933333333</v>
      </c>
      <c r="J263" s="31" t="n">
        <v>14601.48733333333</v>
      </c>
      <c r="K263" s="31" t="n">
        <v>13270.05533333333</v>
      </c>
      <c r="L263" s="31" t="n">
        <v>11399.07099999999</v>
      </c>
      <c r="M263" s="31" t="n">
        <v>9527.890666666661</v>
      </c>
      <c r="N263" s="31" t="n">
        <v>7656.436333333328</v>
      </c>
      <c r="O263" s="31" t="n">
        <v>5793.687999999995</v>
      </c>
      <c r="P263" s="32">
        <f>O263</f>
        <v/>
      </c>
    </row>
    <row r="264">
      <c r="A264" s="24" t="inlineStr">
        <is>
          <t>Wheat, excluding durum</t>
        </is>
      </c>
      <c r="B264" s="25" t="inlineStr">
        <is>
          <t>STOCKS</t>
        </is>
      </c>
      <c r="C264" s="26" t="inlineStr">
        <is>
          <t>11-12</t>
        </is>
      </c>
      <c r="D264" s="31" t="n">
        <v>25048.21733333333</v>
      </c>
      <c r="E264" s="31" t="n">
        <v>23187.56266666667</v>
      </c>
      <c r="F264" s="31" t="n">
        <v>21324.92000000001</v>
      </c>
      <c r="G264" s="31" t="n">
        <v>19466.70733333334</v>
      </c>
      <c r="H264" s="31" t="n">
        <v>17604.11866666668</v>
      </c>
      <c r="I264" s="31" t="n">
        <v>15799.71200000001</v>
      </c>
      <c r="J264" s="31" t="n">
        <v>14006.97433333334</v>
      </c>
      <c r="K264" s="31" t="n">
        <v>12212.82866666668</v>
      </c>
      <c r="L264" s="31" t="n">
        <v>10269.67200000001</v>
      </c>
      <c r="M264" s="31" t="n">
        <v>8325.092333333338</v>
      </c>
      <c r="N264" s="31" t="n">
        <v>6389.403666666671</v>
      </c>
      <c r="O264" s="31" t="n">
        <v>4445.797000000004</v>
      </c>
      <c r="P264" s="32">
        <f>O264</f>
        <v/>
      </c>
    </row>
    <row r="265">
      <c r="A265" s="24" t="inlineStr">
        <is>
          <t>Wheat, excluding durum</t>
        </is>
      </c>
      <c r="B265" s="25" t="inlineStr">
        <is>
          <t>STOCKS</t>
        </is>
      </c>
      <c r="C265" s="26" t="inlineStr">
        <is>
          <t>12-13</t>
        </is>
      </c>
      <c r="D265" s="31" t="n">
        <v>25224.12833333334</v>
      </c>
      <c r="E265" s="31" t="n">
        <v>23383.55866666667</v>
      </c>
      <c r="F265" s="31" t="n">
        <v>21542.851</v>
      </c>
      <c r="G265" s="31" t="n">
        <v>19701.29333333333</v>
      </c>
      <c r="H265" s="31" t="n">
        <v>17859.20466666666</v>
      </c>
      <c r="I265" s="31" t="n">
        <v>16088.53366666666</v>
      </c>
      <c r="J265" s="31" t="n">
        <v>14317.62566666666</v>
      </c>
      <c r="K265" s="31" t="n">
        <v>12546.84866666666</v>
      </c>
      <c r="L265" s="31" t="n">
        <v>10403.08999999999</v>
      </c>
      <c r="M265" s="31" t="n">
        <v>8259.528333333325</v>
      </c>
      <c r="N265" s="31" t="n">
        <v>6128.427666666659</v>
      </c>
      <c r="O265" s="31" t="n">
        <v>3985.235999999994</v>
      </c>
      <c r="P265" s="32">
        <f>O265</f>
        <v/>
      </c>
    </row>
    <row r="266">
      <c r="A266" s="24" t="inlineStr">
        <is>
          <t>Wheat, excluding durum</t>
        </is>
      </c>
      <c r="B266" s="25" t="inlineStr">
        <is>
          <t>STOCKS</t>
        </is>
      </c>
      <c r="C266" s="26" t="inlineStr">
        <is>
          <t>13-14</t>
        </is>
      </c>
      <c r="D266" s="31" t="n">
        <v>33052.108</v>
      </c>
      <c r="E266" s="31" t="n">
        <v>31035.351</v>
      </c>
      <c r="F266" s="31" t="n">
        <v>29016.786</v>
      </c>
      <c r="G266" s="31" t="n">
        <v>26997.994</v>
      </c>
      <c r="H266" s="31" t="n">
        <v>24984.69</v>
      </c>
      <c r="I266" s="31" t="n">
        <v>23033.50866666666</v>
      </c>
      <c r="J266" s="31" t="n">
        <v>21082.60133333333</v>
      </c>
      <c r="K266" s="31" t="n">
        <v>19135.13</v>
      </c>
      <c r="L266" s="31" t="n">
        <v>16520.188</v>
      </c>
      <c r="M266" s="31" t="n">
        <v>13898.952</v>
      </c>
      <c r="N266" s="31" t="n">
        <v>11279.242</v>
      </c>
      <c r="O266" s="31" t="n">
        <v>8658.619999999995</v>
      </c>
      <c r="P266" s="32">
        <f>O266</f>
        <v/>
      </c>
    </row>
    <row r="267">
      <c r="A267" s="24" t="inlineStr">
        <is>
          <t>Wheat, excluding durum</t>
        </is>
      </c>
      <c r="B267" s="25" t="inlineStr">
        <is>
          <t>STOCKS</t>
        </is>
      </c>
      <c r="C267" s="26" t="inlineStr">
        <is>
          <t>14-15</t>
        </is>
      </c>
      <c r="D267" s="31" t="n">
        <v>30773.14099999999</v>
      </c>
      <c r="E267" s="31" t="n">
        <v>28638.83099999999</v>
      </c>
      <c r="F267" s="31" t="n">
        <v>26500.32499999999</v>
      </c>
      <c r="G267" s="31" t="n">
        <v>24368.50599999999</v>
      </c>
      <c r="H267" s="31" t="n">
        <v>22307.13999999999</v>
      </c>
      <c r="I267" s="31" t="n">
        <v>20390.01099999999</v>
      </c>
      <c r="J267" s="31" t="n">
        <v>18470.72299999999</v>
      </c>
      <c r="K267" s="31" t="n">
        <v>16555.40499999998</v>
      </c>
      <c r="L267" s="31" t="n">
        <v>13966.55999999998</v>
      </c>
      <c r="M267" s="31" t="n">
        <v>11377.95899999998</v>
      </c>
      <c r="N267" s="31" t="n">
        <v>8785.911999999982</v>
      </c>
      <c r="O267" s="31" t="n">
        <v>6197.486999999984</v>
      </c>
      <c r="P267" s="32">
        <f>O267</f>
        <v/>
      </c>
    </row>
    <row r="268">
      <c r="A268" s="24" t="inlineStr">
        <is>
          <t>Wheat, excluding durum</t>
        </is>
      </c>
      <c r="B268" s="25" t="inlineStr">
        <is>
          <t>STOCKS</t>
        </is>
      </c>
      <c r="C268" s="26" t="inlineStr">
        <is>
          <t>15-16</t>
        </is>
      </c>
      <c r="D268" s="31" t="n">
        <v>26328.87766666665</v>
      </c>
      <c r="E268" s="31" t="n">
        <v>24195.44633333331</v>
      </c>
      <c r="F268" s="31" t="n">
        <v>22070.23799999998</v>
      </c>
      <c r="G268" s="31" t="n">
        <v>19936.20466666664</v>
      </c>
      <c r="H268" s="31" t="n">
        <v>17802.1753333333</v>
      </c>
      <c r="I268" s="31" t="n">
        <v>16058.6363333333</v>
      </c>
      <c r="J268" s="31" t="n">
        <v>14315.36533333331</v>
      </c>
      <c r="K268" s="31" t="n">
        <v>12570.79733333331</v>
      </c>
      <c r="L268" s="31" t="n">
        <v>10460.74299999997</v>
      </c>
      <c r="M268" s="31" t="n">
        <v>8355.00266666664</v>
      </c>
      <c r="N268" s="31" t="n">
        <v>6252.889333333307</v>
      </c>
      <c r="O268" s="31" t="n">
        <v>4151.000999999975</v>
      </c>
      <c r="P268" s="32">
        <f>O268</f>
        <v/>
      </c>
    </row>
    <row r="269">
      <c r="A269" s="24" t="inlineStr">
        <is>
          <t>Wheat, excluding durum</t>
        </is>
      </c>
      <c r="B269" s="25" t="inlineStr">
        <is>
          <t>STOCKS</t>
        </is>
      </c>
      <c r="C269" s="26" t="inlineStr">
        <is>
          <t>16-17</t>
        </is>
      </c>
      <c r="D269" s="31" t="n">
        <v>26672.07799999997</v>
      </c>
      <c r="E269" s="31" t="n">
        <v>24815.95999999996</v>
      </c>
      <c r="F269" s="31" t="n">
        <v>22963.19299999996</v>
      </c>
      <c r="G269" s="31" t="n">
        <v>21105.16799999995</v>
      </c>
      <c r="H269" s="31" t="n">
        <v>19246.69299999995</v>
      </c>
      <c r="I269" s="31" t="n">
        <v>17556.23033333328</v>
      </c>
      <c r="J269" s="31" t="n">
        <v>15867.98266666661</v>
      </c>
      <c r="K269" s="31" t="n">
        <v>14176.32399999995</v>
      </c>
      <c r="L269" s="31" t="n">
        <v>11926.94199999995</v>
      </c>
      <c r="M269" s="31" t="n">
        <v>9675.159999999947</v>
      </c>
      <c r="N269" s="31" t="n">
        <v>7433.874999999949</v>
      </c>
      <c r="O269" s="31" t="n">
        <v>5181.893999999949</v>
      </c>
      <c r="P269" s="32">
        <f>O269</f>
        <v/>
      </c>
    </row>
    <row r="270">
      <c r="A270" s="24" t="inlineStr">
        <is>
          <t>Wheat, excluding durum</t>
        </is>
      </c>
      <c r="B270" s="25" t="inlineStr">
        <is>
          <t>STOCKS</t>
        </is>
      </c>
      <c r="C270" s="26" t="inlineStr">
        <is>
          <t>17-18</t>
        </is>
      </c>
      <c r="D270" s="31" t="n">
        <v>28565.78399999995</v>
      </c>
      <c r="E270" s="31" t="n">
        <v>26534.33699999996</v>
      </c>
      <c r="F270" s="31" t="n">
        <v>24500.55999999996</v>
      </c>
      <c r="G270" s="31" t="n">
        <v>22467.29899999996</v>
      </c>
      <c r="H270" s="31" t="n">
        <v>20431.26599999996</v>
      </c>
      <c r="I270" s="31" t="n">
        <v>18415.09366666663</v>
      </c>
      <c r="J270" s="31" t="n">
        <v>16400.3363333333</v>
      </c>
      <c r="K270" s="31" t="n">
        <v>14388.02699999996</v>
      </c>
      <c r="L270" s="31" t="n">
        <v>12125.53699999997</v>
      </c>
      <c r="M270" s="31" t="n">
        <v>9862.253999999964</v>
      </c>
      <c r="N270" s="31" t="n">
        <v>7597.294999999964</v>
      </c>
      <c r="O270" s="31" t="n">
        <v>5336.107999999964</v>
      </c>
      <c r="P270" s="32">
        <f>O270</f>
        <v/>
      </c>
    </row>
    <row r="271">
      <c r="A271" s="24" t="inlineStr">
        <is>
          <t>Wheat, excluding durum</t>
        </is>
      </c>
      <c r="B271" s="25" t="inlineStr">
        <is>
          <t>STOCKS</t>
        </is>
      </c>
      <c r="C271" s="26" t="inlineStr">
        <is>
          <t>18-19</t>
        </is>
      </c>
      <c r="D271" s="31" t="n">
        <v>29589.2463333333</v>
      </c>
      <c r="E271" s="31" t="n">
        <v>27273.72566666664</v>
      </c>
      <c r="F271" s="31" t="n">
        <v>24958.18299999997</v>
      </c>
      <c r="G271" s="31" t="n">
        <v>22639.4963333333</v>
      </c>
      <c r="H271" s="31" t="n">
        <v>20320.93866666664</v>
      </c>
      <c r="I271" s="31" t="n">
        <v>18272.20499999997</v>
      </c>
      <c r="J271" s="31" t="n">
        <v>16224.1043333333</v>
      </c>
      <c r="K271" s="31" t="n">
        <v>14179.52866666664</v>
      </c>
      <c r="L271" s="31" t="n">
        <v>11699.61099999997</v>
      </c>
      <c r="M271" s="31" t="n">
        <v>9224.842333333305</v>
      </c>
      <c r="N271" s="31" t="n">
        <v>6763.377666666639</v>
      </c>
      <c r="O271" s="31" t="n">
        <v>4289.125999999972</v>
      </c>
      <c r="P271" s="32">
        <f>O271</f>
        <v/>
      </c>
    </row>
    <row r="272">
      <c r="A272" s="24" t="inlineStr">
        <is>
          <t>Wheat, excluding durum</t>
        </is>
      </c>
      <c r="B272" s="25" t="inlineStr">
        <is>
          <t>STOCKS</t>
        </is>
      </c>
      <c r="C272" s="26" t="inlineStr">
        <is>
          <t>19-20</t>
        </is>
      </c>
      <c r="D272" s="31" t="n">
        <v>29899.97066666664</v>
      </c>
      <c r="E272" s="31" t="n">
        <v>27854.72033333331</v>
      </c>
      <c r="F272" s="31" t="n">
        <v>25807.02299999997</v>
      </c>
      <c r="G272" s="31" t="n">
        <v>23759.62066666664</v>
      </c>
      <c r="H272" s="31" t="n">
        <v>21714.6533333333</v>
      </c>
      <c r="I272" s="31" t="n">
        <v>19816.26466666664</v>
      </c>
      <c r="J272" s="31" t="n">
        <v>17920.13899999997</v>
      </c>
      <c r="K272" s="31" t="n">
        <v>16028.0293333333</v>
      </c>
      <c r="L272" s="31" t="n">
        <v>13240.86899999997</v>
      </c>
      <c r="M272" s="31" t="n">
        <v>10439.49566666663</v>
      </c>
      <c r="N272" s="31" t="n">
        <v>7642.241333333297</v>
      </c>
      <c r="O272" s="31" t="n">
        <v>4843.062999999964</v>
      </c>
      <c r="P272" s="32">
        <f>O272</f>
        <v/>
      </c>
    </row>
    <row r="273">
      <c r="A273" s="24" t="inlineStr">
        <is>
          <t>Wheat, excluding durum</t>
        </is>
      </c>
      <c r="B273" s="25" t="inlineStr">
        <is>
          <t>STOCKS</t>
        </is>
      </c>
      <c r="C273" s="26" t="inlineStr">
        <is>
          <t>20-21</t>
        </is>
      </c>
      <c r="D273" s="31" t="n">
        <v>31303.05266666664</v>
      </c>
      <c r="E273" s="31" t="n">
        <v>28892.97033333331</v>
      </c>
      <c r="F273" s="31" t="n">
        <v>26482.08499999997</v>
      </c>
      <c r="G273" s="31" t="n">
        <v>24069.39366666664</v>
      </c>
      <c r="H273" s="31" t="n">
        <v>21658.1343333333</v>
      </c>
      <c r="I273" s="31" t="n">
        <v>19369.02666666664</v>
      </c>
      <c r="J273" s="31" t="n">
        <v>17081.37199999997</v>
      </c>
      <c r="K273" s="31" t="n">
        <v>14793.6373333333</v>
      </c>
      <c r="L273" s="31" t="n">
        <v>12385.22899999997</v>
      </c>
      <c r="M273" s="31" t="n">
        <v>10024.09266666664</v>
      </c>
      <c r="N273" s="31" t="n">
        <v>7620.812333333301</v>
      </c>
      <c r="O273" s="31" t="n">
        <v>5220.773999999969</v>
      </c>
      <c r="P273" s="32">
        <f>O273</f>
        <v/>
      </c>
    </row>
    <row r="274">
      <c r="A274" s="24" t="inlineStr">
        <is>
          <t>Wheat, excluding durum</t>
        </is>
      </c>
      <c r="B274" s="25" t="inlineStr">
        <is>
          <t>STOCKS</t>
        </is>
      </c>
      <c r="C274" s="26" t="inlineStr">
        <is>
          <t>21-22</t>
        </is>
      </c>
      <c r="D274" s="31" t="n">
        <v>22868.0133333333</v>
      </c>
      <c r="E274" s="31" t="n">
        <v>21128.93066666664</v>
      </c>
      <c r="F274" s="31" t="n">
        <v>19391.26299999997</v>
      </c>
      <c r="G274" s="31" t="n">
        <v>17643.5723333333</v>
      </c>
      <c r="H274" s="31" t="n">
        <v>15890.96566666664</v>
      </c>
      <c r="I274" s="31" t="n">
        <v>14282.5943333333</v>
      </c>
      <c r="J274" s="31" t="n">
        <v>12672.93499999997</v>
      </c>
      <c r="K274" s="31" t="n">
        <v>11069.10566666663</v>
      </c>
      <c r="L274" s="31" t="n">
        <v>9220.215999999968</v>
      </c>
      <c r="M274" s="31" t="n">
        <v>7369.327333333302</v>
      </c>
      <c r="N274" s="31" t="n">
        <v>5516.709666666635</v>
      </c>
      <c r="O274" s="31" t="n">
        <v>3662.764999999969</v>
      </c>
      <c r="P274" s="32">
        <f>O274</f>
        <v/>
      </c>
    </row>
    <row r="275">
      <c r="A275" s="24" t="inlineStr">
        <is>
          <t>Wheat, excluding durum</t>
        </is>
      </c>
      <c r="B275" s="25" t="inlineStr">
        <is>
          <t>STOCKS</t>
        </is>
      </c>
      <c r="C275" s="26" t="inlineStr">
        <is>
          <t>22-23</t>
        </is>
      </c>
      <c r="D275" s="31" t="n">
        <v>30523.34166666664</v>
      </c>
      <c r="E275" s="31" t="n">
        <v>28327.84433333331</v>
      </c>
      <c r="F275" s="31" t="n">
        <v>26097.62799999997</v>
      </c>
      <c r="G275" s="31" t="n">
        <v>23866.73766666664</v>
      </c>
      <c r="H275" s="31" t="n">
        <v>21635.30233333331</v>
      </c>
      <c r="I275" s="31" t="n">
        <v>19256.64533333331</v>
      </c>
      <c r="J275" s="31" t="n">
        <v>16878.32533333331</v>
      </c>
      <c r="K275" s="31" t="n">
        <v>14500.94733333331</v>
      </c>
      <c r="L275" s="31" t="n">
        <v>12177.23399999998</v>
      </c>
      <c r="M275" s="31" t="n">
        <v>9853.342666666646</v>
      </c>
      <c r="N275" s="31" t="n">
        <v>7531.372333333313</v>
      </c>
      <c r="O275" s="31" t="n">
        <v>5208.475999999979</v>
      </c>
      <c r="P275" s="32">
        <f>O275</f>
        <v/>
      </c>
    </row>
    <row r="276">
      <c r="A276" s="24" t="inlineStr">
        <is>
          <t>Wheat, excluding durum</t>
        </is>
      </c>
      <c r="B276" s="25" t="inlineStr">
        <is>
          <t>STOCKS</t>
        </is>
      </c>
      <c r="C276" s="26" t="inlineStr">
        <is>
          <t>23-24</t>
        </is>
      </c>
      <c r="D276" s="31" t="n">
        <v>31876.4383333333</v>
      </c>
      <c r="E276" s="31" t="n">
        <v>29395.72466666664</v>
      </c>
      <c r="F276" s="31" t="n">
        <v>26895.55599999998</v>
      </c>
      <c r="G276" s="31" t="n">
        <v>24394.86733333332</v>
      </c>
      <c r="H276" s="31" t="n">
        <v>21897.13166666665</v>
      </c>
      <c r="I276" s="31" t="n">
        <v>19652.92133333332</v>
      </c>
      <c r="J276" s="31" t="n">
        <v>17408.836</v>
      </c>
      <c r="K276" s="31" t="n">
        <v>15164.36366666666</v>
      </c>
      <c r="L276" s="31" t="n">
        <v>12554.278</v>
      </c>
      <c r="M276" s="31" t="n">
        <v>9942.812333333331</v>
      </c>
      <c r="N276" s="31" t="n">
        <v>7331.762666666664</v>
      </c>
      <c r="O276" s="31" t="n">
        <v>4721.077999999998</v>
      </c>
      <c r="P276" s="32">
        <f>O276</f>
        <v/>
      </c>
    </row>
    <row r="277">
      <c r="A277" s="24" t="inlineStr">
        <is>
          <t>Wheat, excluding durum</t>
        </is>
      </c>
      <c r="B277" s="25" t="inlineStr">
        <is>
          <t>STOCKS</t>
        </is>
      </c>
      <c r="C277" s="26" t="inlineStr">
        <is>
          <t>24-25</t>
        </is>
      </c>
      <c r="D277" s="31" t="n">
        <v>31948.31433333334</v>
      </c>
      <c r="E277" s="31" t="n">
        <v>29613.33866666667</v>
      </c>
      <c r="F277" s="31" t="n">
        <v>27292.678</v>
      </c>
      <c r="G277" s="31" t="n">
        <v>24961.84333333334</v>
      </c>
      <c r="H277" s="31" t="n">
        <v>22631.28966666667</v>
      </c>
      <c r="I277" s="31" t="n">
        <v>20247.34733333334</v>
      </c>
      <c r="J277" s="31" t="n">
        <v>17861.149</v>
      </c>
      <c r="K277" s="31" t="n">
        <v>15476.00266666667</v>
      </c>
      <c r="L277" s="31" t="n">
        <v>12553.911</v>
      </c>
      <c r="M277" s="31" t="n">
        <v>9631.984333333336</v>
      </c>
      <c r="N277" s="31" t="n">
        <v>6711.483666666669</v>
      </c>
      <c r="O277" s="31" t="n">
        <v>3808.442000000001</v>
      </c>
      <c r="P277" s="32">
        <f>O277</f>
        <v/>
      </c>
    </row>
  </sheetData>
  <autoFilter ref="A1:P277"/>
  <conditionalFormatting sqref="D20:P20">
    <cfRule type="cellIs" priority="1" operator="equal" dxfId="1">
      <formula>0</formula>
    </cfRule>
    <cfRule type="cellIs" priority="2" operator="notEqual" dxfId="0">
      <formula>0</formula>
    </cfRule>
  </conditionalFormatting>
  <conditionalFormatting sqref="D38:P38">
    <cfRule type="cellIs" priority="27" operator="equal" dxfId="1">
      <formula>0</formula>
    </cfRule>
    <cfRule type="cellIs" priority="28" operator="notEqual" dxfId="0">
      <formula>0</formula>
    </cfRule>
  </conditionalFormatting>
  <conditionalFormatting sqref="D56:P56">
    <cfRule type="cellIs" priority="53" operator="equal" dxfId="1">
      <formula>0</formula>
    </cfRule>
    <cfRule type="cellIs" priority="54" operator="notEqual" dxfId="0">
      <formula>0</formula>
    </cfRule>
  </conditionalFormatting>
  <conditionalFormatting sqref="D74:P74">
    <cfRule type="cellIs" priority="79" operator="equal" dxfId="1">
      <formula>0</formula>
    </cfRule>
    <cfRule type="cellIs" priority="80" operator="notEqual" dxfId="0">
      <formula>0</formula>
    </cfRule>
  </conditionalFormatting>
  <conditionalFormatting sqref="D92:P92">
    <cfRule type="cellIs" priority="105" operator="equal" dxfId="1">
      <formula>0</formula>
    </cfRule>
    <cfRule type="cellIs" priority="106" operator="notEqual" dxfId="0">
      <formula>0</formula>
    </cfRule>
  </conditionalFormatting>
  <conditionalFormatting sqref="D110:P110">
    <cfRule type="cellIs" priority="131" operator="equal" dxfId="1">
      <formula>0</formula>
    </cfRule>
    <cfRule type="cellIs" priority="132" operator="notEqual" dxfId="0">
      <formula>0</formula>
    </cfRule>
  </conditionalFormatting>
  <conditionalFormatting sqref="D128:P128">
    <cfRule type="cellIs" priority="157" operator="equal" dxfId="1">
      <formula>0</formula>
    </cfRule>
    <cfRule type="cellIs" priority="158" operator="notEqual" dxfId="0">
      <formula>0</formula>
    </cfRule>
  </conditionalFormatting>
  <conditionalFormatting sqref="D146:P146">
    <cfRule type="cellIs" priority="183" operator="equal" dxfId="1">
      <formula>0</formula>
    </cfRule>
    <cfRule type="cellIs" priority="184" operator="notEqual" dxfId="0">
      <formula>0</formula>
    </cfRule>
  </conditionalFormatting>
  <conditionalFormatting sqref="D164:P164">
    <cfRule type="cellIs" priority="209" operator="equal" dxfId="1">
      <formula>0</formula>
    </cfRule>
    <cfRule type="cellIs" priority="210" operator="notEqual" dxfId="0">
      <formula>0</formula>
    </cfRule>
  </conditionalFormatting>
  <conditionalFormatting sqref="D182:P182">
    <cfRule type="cellIs" priority="235" operator="equal" dxfId="1">
      <formula>0</formula>
    </cfRule>
    <cfRule type="cellIs" priority="236" operator="notEqual" dxfId="0">
      <formula>0</formula>
    </cfRule>
  </conditionalFormatting>
  <conditionalFormatting sqref="D200:P200">
    <cfRule type="cellIs" priority="261" operator="equal" dxfId="1">
      <formula>0</formula>
    </cfRule>
    <cfRule type="cellIs" priority="262" operator="notEqual" dxfId="0">
      <formula>0</formula>
    </cfRule>
  </conditionalFormatting>
  <conditionalFormatting sqref="D218:P218">
    <cfRule type="cellIs" priority="287" operator="equal" dxfId="1">
      <formula>0</formula>
    </cfRule>
    <cfRule type="cellIs" priority="288" operator="notEqual" dxfId="0">
      <formula>0</formula>
    </cfRule>
  </conditionalFormatting>
  <conditionalFormatting sqref="D236:P236">
    <cfRule type="cellIs" priority="313" operator="equal" dxfId="1">
      <formula>0</formula>
    </cfRule>
    <cfRule type="cellIs" priority="314" operator="notEqual" dxfId="0">
      <formula>0</formula>
    </cfRule>
  </conditionalFormatting>
  <conditionalFormatting sqref="D254:P254">
    <cfRule type="cellIs" priority="339" operator="equal" dxfId="1">
      <formula>0</formula>
    </cfRule>
    <cfRule type="cellIs" priority="340" operator="notEqual" dxfId="0">
      <formula>0</formula>
    </cfRule>
  </conditionalFormatting>
  <conditionalFormatting sqref="D272:P272">
    <cfRule type="cellIs" priority="365" operator="equal" dxfId="1">
      <formula>0</formula>
    </cfRule>
    <cfRule type="cellIs" priority="366" operator="notEqual" dxfId="0">
      <formula>0</formula>
    </cfRule>
  </conditionalFormatting>
  <conditionalFormatting sqref="D290:P290">
    <cfRule type="cellIs" priority="391" operator="equal" dxfId="1">
      <formula>0</formula>
    </cfRule>
    <cfRule type="cellIs" priority="392" operator="notEqual" dxfId="0">
      <formula>0</formula>
    </cfRule>
  </conditionalFormatting>
  <conditionalFormatting sqref="D308:P308">
    <cfRule type="cellIs" priority="417" operator="equal" dxfId="1">
      <formula>0</formula>
    </cfRule>
    <cfRule type="cellIs" priority="418" operator="notEqual" dxfId="0">
      <formula>0</formula>
    </cfRule>
  </conditionalFormatting>
  <conditionalFormatting sqref="D326:P326">
    <cfRule type="cellIs" priority="443" operator="equal" dxfId="1">
      <formula>0</formula>
    </cfRule>
    <cfRule type="cellIs" priority="444" operator="notEqual" dxfId="0">
      <formula>0</formula>
    </cfRule>
  </conditionalFormatting>
  <conditionalFormatting sqref="D344:P344">
    <cfRule type="cellIs" priority="469" operator="equal" dxfId="1">
      <formula>0</formula>
    </cfRule>
    <cfRule type="cellIs" priority="470" operator="notEqual" dxfId="0">
      <formula>0</formula>
    </cfRule>
  </conditionalFormatting>
  <conditionalFormatting sqref="D362:P362">
    <cfRule type="cellIs" priority="495" operator="equal" dxfId="1">
      <formula>0</formula>
    </cfRule>
    <cfRule type="cellIs" priority="496" operator="notEqual" dxfId="0">
      <formula>0</formula>
    </cfRule>
  </conditionalFormatting>
  <conditionalFormatting sqref="D380:P380">
    <cfRule type="cellIs" priority="521" operator="equal" dxfId="1">
      <formula>0</formula>
    </cfRule>
    <cfRule type="cellIs" priority="522" operator="notEqual" dxfId="0">
      <formula>0</formula>
    </cfRule>
  </conditionalFormatting>
  <conditionalFormatting sqref="D398:P398">
    <cfRule type="cellIs" priority="547" operator="equal" dxfId="1">
      <formula>0</formula>
    </cfRule>
    <cfRule type="cellIs" priority="548" operator="notEqual" dxfId="0">
      <formula>0</formula>
    </cfRule>
  </conditionalFormatting>
  <conditionalFormatting sqref="D416:P416">
    <cfRule type="cellIs" priority="573" operator="equal" dxfId="1">
      <formula>0</formula>
    </cfRule>
    <cfRule type="cellIs" priority="574" operator="notEqual" dxfId="0">
      <formula>0</formula>
    </cfRule>
  </conditionalFormatting>
  <conditionalFormatting sqref="D434:P434">
    <cfRule type="cellIs" priority="599" operator="equal" dxfId="1">
      <formula>0</formula>
    </cfRule>
    <cfRule type="cellIs" priority="600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Q28" sqref="Q28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10" customWidth="1" style="17" min="4" max="27"/>
  </cols>
  <sheetData>
    <row r="1" ht="15.6" customHeight="1" s="46">
      <c r="A1" s="45" t="inlineStr">
        <is>
          <t>Wheat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8" t="inlineStr">
        <is>
          <t>2002-03</t>
        </is>
      </c>
      <c r="E2" s="18" t="inlineStr">
        <is>
          <t>2003-04</t>
        </is>
      </c>
      <c r="F2" s="18" t="inlineStr">
        <is>
          <t>2004-05</t>
        </is>
      </c>
      <c r="G2" s="18" t="inlineStr">
        <is>
          <t>2005-06</t>
        </is>
      </c>
      <c r="H2" s="18" t="inlineStr">
        <is>
          <t>2006-07</t>
        </is>
      </c>
      <c r="I2" s="18" t="inlineStr">
        <is>
          <t>2007-08</t>
        </is>
      </c>
      <c r="J2" s="18" t="inlineStr">
        <is>
          <t>2008-09</t>
        </is>
      </c>
      <c r="K2" s="18" t="inlineStr">
        <is>
          <t>2009-10</t>
        </is>
      </c>
      <c r="L2" s="18" t="inlineStr">
        <is>
          <t>2010-11</t>
        </is>
      </c>
      <c r="M2" s="18" t="inlineStr">
        <is>
          <t>2011-12</t>
        </is>
      </c>
      <c r="N2" s="18" t="inlineStr">
        <is>
          <t>2012-13</t>
        </is>
      </c>
      <c r="O2" s="18" t="inlineStr">
        <is>
          <t>2013-14</t>
        </is>
      </c>
      <c r="P2" s="18" t="inlineStr">
        <is>
          <t>2014-15</t>
        </is>
      </c>
      <c r="Q2" s="18" t="inlineStr">
        <is>
          <t>2015-16</t>
        </is>
      </c>
      <c r="R2" s="18" t="inlineStr">
        <is>
          <t>2016-17</t>
        </is>
      </c>
      <c r="S2" s="18" t="inlineStr">
        <is>
          <t>2017-18</t>
        </is>
      </c>
      <c r="T2" s="18" t="inlineStr">
        <is>
          <t>2018-19</t>
        </is>
      </c>
      <c r="U2" s="18" t="inlineStr">
        <is>
          <t>2019-20</t>
        </is>
      </c>
      <c r="V2" s="18" t="inlineStr">
        <is>
          <t>2020-21</t>
        </is>
      </c>
      <c r="W2" s="18" t="inlineStr">
        <is>
          <t>2021-22</t>
        </is>
      </c>
      <c r="X2" s="18" t="inlineStr">
        <is>
          <t>2022-23</t>
        </is>
      </c>
      <c r="Y2" s="18" t="inlineStr">
        <is>
          <t>2023-24</t>
        </is>
      </c>
      <c r="Z2" s="18" t="inlineStr">
        <is>
          <t>2024-25</t>
        </is>
      </c>
      <c r="AA2" s="18" t="inlineStr">
        <is>
          <t>2025-26</t>
        </is>
      </c>
    </row>
    <row r="3">
      <c r="A3" s="2" t="inlineStr">
        <is>
          <t>Wheat</t>
        </is>
      </c>
      <c r="B3" s="3" t="inlineStr">
        <is>
          <t>Planted Area</t>
        </is>
      </c>
      <c r="C3" s="12" t="inlineStr">
        <is>
          <t>MLN AC</t>
        </is>
      </c>
      <c r="D3" s="19">
        <f>Wheat_Mo!P3</f>
        <v/>
      </c>
      <c r="E3" s="19">
        <f>Wheat_Mo!P18</f>
        <v/>
      </c>
      <c r="F3" s="19">
        <f>Wheat_Mo!P33</f>
        <v/>
      </c>
      <c r="G3" s="19">
        <f>Wheat_Mo!P48</f>
        <v/>
      </c>
      <c r="H3" s="19">
        <f>Wheat_Mo!P63</f>
        <v/>
      </c>
      <c r="I3" s="19">
        <f>Wheat_Mo!P78</f>
        <v/>
      </c>
      <c r="J3" s="19">
        <f>Wheat_Mo!P93</f>
        <v/>
      </c>
      <c r="K3" s="19">
        <f>Wheat_Mo!P108</f>
        <v/>
      </c>
      <c r="L3" s="19">
        <f>Wheat_Mo!P123</f>
        <v/>
      </c>
      <c r="M3" s="19">
        <f>Wheat_Mo!P138</f>
        <v/>
      </c>
      <c r="N3" s="19">
        <f>Wheat_Mo!P153</f>
        <v/>
      </c>
      <c r="O3" s="19">
        <f>Wheat_Mo!P168</f>
        <v/>
      </c>
      <c r="P3" s="19">
        <f>Wheat_Mo!P183</f>
        <v/>
      </c>
      <c r="Q3" s="19">
        <f>Wheat_Mo!P198</f>
        <v/>
      </c>
      <c r="R3" s="19">
        <f>Wheat_Mo!P213</f>
        <v/>
      </c>
      <c r="S3" s="19">
        <f>Wheat_Mo!P228</f>
        <v/>
      </c>
      <c r="T3" s="19">
        <f>Wheat_Mo!P243</f>
        <v/>
      </c>
      <c r="U3" s="19">
        <f>Wheat_Mo!P258</f>
        <v/>
      </c>
      <c r="V3" s="19">
        <f>Wheat_Mo!P273</f>
        <v/>
      </c>
      <c r="W3" s="19">
        <f>Wheat_Mo!P288</f>
        <v/>
      </c>
      <c r="X3" s="19">
        <f>Wheat_Mo!P303</f>
        <v/>
      </c>
      <c r="Y3" s="19">
        <f>Wheat_Mo!P318</f>
        <v/>
      </c>
      <c r="Z3" s="19">
        <f>Wheat_Mo!P333</f>
        <v/>
      </c>
      <c r="AA3" s="19">
        <f>Wheat_Mo!P348</f>
        <v/>
      </c>
    </row>
    <row r="4">
      <c r="A4" s="2" t="inlineStr">
        <is>
          <t>Wheat</t>
        </is>
      </c>
      <c r="B4" s="3" t="inlineStr">
        <is>
          <t>Harvested Area</t>
        </is>
      </c>
      <c r="C4" s="12" t="inlineStr">
        <is>
          <t>MLN AC</t>
        </is>
      </c>
      <c r="D4" s="19">
        <f>Wheat_Mo!P4</f>
        <v/>
      </c>
      <c r="E4" s="19">
        <f>Wheat_Mo!P19</f>
        <v/>
      </c>
      <c r="F4" s="19">
        <f>Wheat_Mo!P34</f>
        <v/>
      </c>
      <c r="G4" s="19">
        <f>Wheat_Mo!P49</f>
        <v/>
      </c>
      <c r="H4" s="19">
        <f>Wheat_Mo!P64</f>
        <v/>
      </c>
      <c r="I4" s="19">
        <f>Wheat_Mo!P79</f>
        <v/>
      </c>
      <c r="J4" s="19">
        <f>Wheat_Mo!P94</f>
        <v/>
      </c>
      <c r="K4" s="19">
        <f>Wheat_Mo!P109</f>
        <v/>
      </c>
      <c r="L4" s="19">
        <f>Wheat_Mo!P124</f>
        <v/>
      </c>
      <c r="M4" s="19">
        <f>Wheat_Mo!P139</f>
        <v/>
      </c>
      <c r="N4" s="19">
        <f>Wheat_Mo!P154</f>
        <v/>
      </c>
      <c r="O4" s="19">
        <f>Wheat_Mo!P169</f>
        <v/>
      </c>
      <c r="P4" s="19">
        <f>Wheat_Mo!P184</f>
        <v/>
      </c>
      <c r="Q4" s="19">
        <f>Wheat_Mo!P199</f>
        <v/>
      </c>
      <c r="R4" s="19">
        <f>Wheat_Mo!P214</f>
        <v/>
      </c>
      <c r="S4" s="19">
        <f>Wheat_Mo!P229</f>
        <v/>
      </c>
      <c r="T4" s="19">
        <f>Wheat_Mo!P244</f>
        <v/>
      </c>
      <c r="U4" s="19">
        <f>Wheat_Mo!P259</f>
        <v/>
      </c>
      <c r="V4" s="19">
        <f>Wheat_Mo!P274</f>
        <v/>
      </c>
      <c r="W4" s="19">
        <f>Wheat_Mo!P289</f>
        <v/>
      </c>
      <c r="X4" s="19">
        <f>Wheat_Mo!P304</f>
        <v/>
      </c>
      <c r="Y4" s="19">
        <f>Wheat_Mo!P319</f>
        <v/>
      </c>
      <c r="Z4" s="19">
        <f>Wheat_Mo!P334</f>
        <v/>
      </c>
      <c r="AA4" s="19">
        <f>Wheat_Mo!P349</f>
        <v/>
      </c>
    </row>
    <row r="5">
      <c r="A5" s="2" t="inlineStr">
        <is>
          <t>Wheat</t>
        </is>
      </c>
      <c r="B5" s="3" t="inlineStr">
        <is>
          <t>Proportion Harvested</t>
        </is>
      </c>
      <c r="C5" s="12" t="inlineStr">
        <is>
          <t>%</t>
        </is>
      </c>
      <c r="D5" s="19">
        <f>IF(D3&lt;&gt;0,D4/D3,"")</f>
        <v/>
      </c>
      <c r="E5" s="19">
        <f>IF(E3&lt;&gt;0,E4/E3,"")</f>
        <v/>
      </c>
      <c r="F5" s="19">
        <f>IF(F3&lt;&gt;0,F4/F3,"")</f>
        <v/>
      </c>
      <c r="G5" s="19">
        <f>IF(G3&lt;&gt;0,G4/G3,"")</f>
        <v/>
      </c>
      <c r="H5" s="19">
        <f>IF(H3&lt;&gt;0,H4/H3,"")</f>
        <v/>
      </c>
      <c r="I5" s="19">
        <f>IF(I3&lt;&gt;0,I4/I3,"")</f>
        <v/>
      </c>
      <c r="J5" s="19">
        <f>IF(J3&lt;&gt;0,J4/J3,"")</f>
        <v/>
      </c>
      <c r="K5" s="19">
        <f>IF(K3&lt;&gt;0,K4/K3,"")</f>
        <v/>
      </c>
      <c r="L5" s="19">
        <f>IF(L3&lt;&gt;0,L4/L3,"")</f>
        <v/>
      </c>
      <c r="M5" s="19">
        <f>IF(M3&lt;&gt;0,M4/M3,"")</f>
        <v/>
      </c>
      <c r="N5" s="19">
        <f>IF(N3&lt;&gt;0,N4/N3,"")</f>
        <v/>
      </c>
      <c r="O5" s="19">
        <f>IF(O3&lt;&gt;0,O4/O3,"")</f>
        <v/>
      </c>
      <c r="P5" s="19">
        <f>IF(P3&lt;&gt;0,P4/P3,"")</f>
        <v/>
      </c>
      <c r="Q5" s="19">
        <f>IF(Q3&lt;&gt;0,Q4/Q3,"")</f>
        <v/>
      </c>
      <c r="R5" s="19">
        <f>IF(R3&lt;&gt;0,R4/R3,"")</f>
        <v/>
      </c>
      <c r="S5" s="19">
        <f>IF(S3&lt;&gt;0,S4/S3,"")</f>
        <v/>
      </c>
      <c r="T5" s="19">
        <f>IF(T3&lt;&gt;0,T4/T3,"")</f>
        <v/>
      </c>
      <c r="U5" s="19">
        <f>IF(U3&lt;&gt;0,U4/U3,"")</f>
        <v/>
      </c>
      <c r="V5" s="19">
        <f>IF(V3&lt;&gt;0,V4/V3,"")</f>
        <v/>
      </c>
      <c r="W5" s="19">
        <f>IF(W3&lt;&gt;0,W4/W3,"")</f>
        <v/>
      </c>
      <c r="X5" s="19">
        <f>IF(X3&lt;&gt;0,X4/X3,"")</f>
        <v/>
      </c>
      <c r="Y5" s="19">
        <f>IF(Y3&lt;&gt;0,Y4/Y3,"")</f>
        <v/>
      </c>
      <c r="Z5" s="19">
        <f>IF(Z3&lt;&gt;0,Z4/Z3,"")</f>
        <v/>
      </c>
      <c r="AA5" s="19">
        <f>IF(AA3&lt;&gt;0,AA4/AA3,"")</f>
        <v/>
      </c>
    </row>
    <row r="6">
      <c r="A6" s="2" t="inlineStr">
        <is>
          <t>Wheat</t>
        </is>
      </c>
      <c r="B6" s="3" t="inlineStr">
        <is>
          <t>Yield</t>
        </is>
      </c>
      <c r="C6" s="12" t="inlineStr">
        <is>
          <t>BU/AC</t>
        </is>
      </c>
      <c r="D6" s="19">
        <f>Wheat_Mo!O6</f>
        <v/>
      </c>
      <c r="E6" s="19">
        <f>Wheat_Mo!O21</f>
        <v/>
      </c>
      <c r="F6" s="19">
        <f>Wheat_Mo!O36</f>
        <v/>
      </c>
      <c r="G6" s="19">
        <f>Wheat_Mo!O51</f>
        <v/>
      </c>
      <c r="H6" s="19">
        <f>Wheat_Mo!O66</f>
        <v/>
      </c>
      <c r="I6" s="19">
        <f>Wheat_Mo!O81</f>
        <v/>
      </c>
      <c r="J6" s="19">
        <f>Wheat_Mo!O96</f>
        <v/>
      </c>
      <c r="K6" s="19">
        <f>Wheat_Mo!O111</f>
        <v/>
      </c>
      <c r="L6" s="19">
        <f>Wheat_Mo!O126</f>
        <v/>
      </c>
      <c r="M6" s="19">
        <f>Wheat_Mo!O141</f>
        <v/>
      </c>
      <c r="N6" s="19">
        <f>Wheat_Mo!O156</f>
        <v/>
      </c>
      <c r="O6" s="19">
        <f>Wheat_Mo!O171</f>
        <v/>
      </c>
      <c r="P6" s="19">
        <f>Wheat_Mo!O186</f>
        <v/>
      </c>
      <c r="Q6" s="19">
        <f>Wheat_Mo!O201</f>
        <v/>
      </c>
      <c r="R6" s="19">
        <f>Wheat_Mo!O216</f>
        <v/>
      </c>
      <c r="S6" s="19">
        <f>Wheat_Mo!O231</f>
        <v/>
      </c>
      <c r="T6" s="19">
        <f>Wheat_Mo!O246</f>
        <v/>
      </c>
      <c r="U6" s="19">
        <f>Wheat_Mo!O261</f>
        <v/>
      </c>
      <c r="V6" s="19">
        <f>Wheat_Mo!O276</f>
        <v/>
      </c>
      <c r="W6" s="19">
        <f>Wheat_Mo!O291</f>
        <v/>
      </c>
      <c r="X6" s="19">
        <f>Wheat_Mo!O306</f>
        <v/>
      </c>
      <c r="Y6" s="19">
        <f>Wheat_Mo!O321</f>
        <v/>
      </c>
      <c r="Z6" s="19">
        <f>Wheat_Mo!O336</f>
        <v/>
      </c>
      <c r="AA6" s="19">
        <f>Wheat_Mo!O351</f>
        <v/>
      </c>
    </row>
    <row r="7">
      <c r="A7" s="2" t="inlineStr">
        <is>
          <t>Wheat</t>
        </is>
      </c>
      <c r="B7" s="7" t="n"/>
      <c r="C7" s="7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</row>
    <row r="8">
      <c r="A8" s="2" t="inlineStr">
        <is>
          <t>Wheat</t>
        </is>
      </c>
      <c r="B8" s="8" t="inlineStr">
        <is>
          <t>Beginning Stocks</t>
        </is>
      </c>
      <c r="C8" s="2" t="inlineStr">
        <is>
          <t>KMT</t>
        </is>
      </c>
      <c r="D8" s="19">
        <f>Wheat_Mo!P8</f>
        <v/>
      </c>
      <c r="E8" s="19">
        <f>Wheat_Mo!P23</f>
        <v/>
      </c>
      <c r="F8" s="19">
        <f>Wheat_Mo!P38</f>
        <v/>
      </c>
      <c r="G8" s="19">
        <f>Wheat_Mo!P53</f>
        <v/>
      </c>
      <c r="H8" s="19">
        <f>Wheat_Mo!P68</f>
        <v/>
      </c>
      <c r="I8" s="19">
        <f>Wheat_Mo!P83</f>
        <v/>
      </c>
      <c r="J8" s="19">
        <f>Wheat_Mo!P98</f>
        <v/>
      </c>
      <c r="K8" s="19">
        <f>Wheat_Mo!P113</f>
        <v/>
      </c>
      <c r="L8" s="19">
        <f>Wheat_Mo!P128</f>
        <v/>
      </c>
      <c r="M8" s="19">
        <f>Wheat_Mo!P143</f>
        <v/>
      </c>
      <c r="N8" s="19">
        <f>Wheat_Mo!P158</f>
        <v/>
      </c>
      <c r="O8" s="19">
        <f>Wheat_Mo!P173</f>
        <v/>
      </c>
      <c r="P8" s="19">
        <f>Wheat_Mo!P188</f>
        <v/>
      </c>
      <c r="Q8" s="19">
        <f>Wheat_Mo!P203</f>
        <v/>
      </c>
      <c r="R8" s="19">
        <f>Wheat_Mo!P218</f>
        <v/>
      </c>
      <c r="S8" s="19">
        <f>Wheat_Mo!P233</f>
        <v/>
      </c>
      <c r="T8" s="19">
        <f>Wheat_Mo!P248</f>
        <v/>
      </c>
      <c r="U8" s="19">
        <f>Wheat_Mo!P263</f>
        <v/>
      </c>
      <c r="V8" s="19">
        <f>Wheat_Mo!P278</f>
        <v/>
      </c>
      <c r="W8" s="19" t="n"/>
      <c r="X8" s="19">
        <f>Wheat_Mo!P308</f>
        <v/>
      </c>
      <c r="Y8" s="19">
        <f>Wheat_Mo!P323</f>
        <v/>
      </c>
      <c r="Z8" s="19">
        <f>Wheat_Mo!P338</f>
        <v/>
      </c>
      <c r="AA8" s="19">
        <f>Wheat_Mo!P353</f>
        <v/>
      </c>
    </row>
    <row r="9">
      <c r="A9" s="2" t="inlineStr">
        <is>
          <t>Wheat</t>
        </is>
      </c>
      <c r="B9" s="8" t="inlineStr">
        <is>
          <t>Imports</t>
        </is>
      </c>
      <c r="C9" s="2" t="inlineStr">
        <is>
          <t>KMT</t>
        </is>
      </c>
      <c r="D9" s="19">
        <f>Wheat_Mo!P9</f>
        <v/>
      </c>
      <c r="E9" s="19">
        <f>Wheat_Mo!P24</f>
        <v/>
      </c>
      <c r="F9" s="19">
        <f>Wheat_Mo!P39</f>
        <v/>
      </c>
      <c r="G9" s="19">
        <f>Wheat_Mo!P54</f>
        <v/>
      </c>
      <c r="H9" s="19">
        <f>Wheat_Mo!P69</f>
        <v/>
      </c>
      <c r="I9" s="19">
        <f>Wheat_Mo!P84</f>
        <v/>
      </c>
      <c r="J9" s="19">
        <f>Wheat_Mo!P99</f>
        <v/>
      </c>
      <c r="K9" s="19">
        <f>Wheat_Mo!P114</f>
        <v/>
      </c>
      <c r="L9" s="19">
        <f>Wheat_Mo!P129</f>
        <v/>
      </c>
      <c r="M9" s="19">
        <f>Wheat_Mo!P144</f>
        <v/>
      </c>
      <c r="N9" s="19">
        <f>Wheat_Mo!P159</f>
        <v/>
      </c>
      <c r="O9" s="19">
        <f>Wheat_Mo!P174</f>
        <v/>
      </c>
      <c r="P9" s="19">
        <f>Wheat_Mo!P189</f>
        <v/>
      </c>
      <c r="Q9" s="19">
        <f>Wheat_Mo!P204</f>
        <v/>
      </c>
      <c r="R9" s="19">
        <f>Wheat_Mo!P219</f>
        <v/>
      </c>
      <c r="S9" s="19">
        <f>Wheat_Mo!P234</f>
        <v/>
      </c>
      <c r="T9" s="19">
        <f>Wheat_Mo!P249</f>
        <v/>
      </c>
      <c r="U9" s="19">
        <f>Wheat_Mo!P264</f>
        <v/>
      </c>
      <c r="V9" s="19">
        <f>Wheat_Mo!P279</f>
        <v/>
      </c>
      <c r="W9" s="19">
        <f>Wheat_Mo!P294</f>
        <v/>
      </c>
      <c r="X9" s="19">
        <f>Wheat_Mo!P309</f>
        <v/>
      </c>
      <c r="Y9" s="19">
        <f>Wheat_Mo!P324</f>
        <v/>
      </c>
      <c r="Z9" s="19">
        <f>Wheat_Mo!P339</f>
        <v/>
      </c>
      <c r="AA9" s="19">
        <f>Wheat_Mo!P354</f>
        <v/>
      </c>
    </row>
    <row r="10">
      <c r="A10" s="2" t="inlineStr">
        <is>
          <t>Wheat</t>
        </is>
      </c>
      <c r="B10" s="8" t="inlineStr">
        <is>
          <t>Production</t>
        </is>
      </c>
      <c r="C10" s="2" t="inlineStr">
        <is>
          <t>KMT</t>
        </is>
      </c>
      <c r="D10" s="19">
        <f>Wheat_Mo!P10</f>
        <v/>
      </c>
      <c r="E10" s="19">
        <f>Wheat_Mo!P25</f>
        <v/>
      </c>
      <c r="F10" s="19">
        <f>Wheat_Mo!P40</f>
        <v/>
      </c>
      <c r="G10" s="19">
        <f>Wheat_Mo!P55</f>
        <v/>
      </c>
      <c r="H10" s="19">
        <f>Wheat_Mo!P70</f>
        <v/>
      </c>
      <c r="I10" s="19">
        <f>Wheat_Mo!P85</f>
        <v/>
      </c>
      <c r="J10" s="19">
        <f>Wheat_Mo!P100</f>
        <v/>
      </c>
      <c r="K10" s="19">
        <f>Wheat_Mo!P115</f>
        <v/>
      </c>
      <c r="L10" s="19">
        <f>Wheat_Mo!P130</f>
        <v/>
      </c>
      <c r="M10" s="19">
        <f>Wheat_Mo!P145</f>
        <v/>
      </c>
      <c r="N10" s="19">
        <f>Wheat_Mo!P160</f>
        <v/>
      </c>
      <c r="O10" s="19">
        <f>Wheat_Mo!P175</f>
        <v/>
      </c>
      <c r="P10" s="19">
        <f>Wheat_Mo!P190</f>
        <v/>
      </c>
      <c r="Q10" s="19">
        <f>Wheat_Mo!P205</f>
        <v/>
      </c>
      <c r="R10" s="19">
        <f>Wheat_Mo!P220</f>
        <v/>
      </c>
      <c r="S10" s="19">
        <f>Wheat_Mo!P235</f>
        <v/>
      </c>
      <c r="T10" s="19">
        <f>Wheat_Mo!P250</f>
        <v/>
      </c>
      <c r="U10" s="19">
        <f>Wheat_Mo!P265</f>
        <v/>
      </c>
      <c r="V10" s="19">
        <f>Wheat_Mo!P280</f>
        <v/>
      </c>
      <c r="W10" s="19">
        <f>Wheat_Mo!P295</f>
        <v/>
      </c>
      <c r="X10" s="19">
        <f>Wheat_Mo!P310</f>
        <v/>
      </c>
      <c r="Y10" s="19">
        <f>Wheat_Mo!P325</f>
        <v/>
      </c>
      <c r="Z10" s="19">
        <f>Wheat_Mo!P340</f>
        <v/>
      </c>
      <c r="AA10" s="19">
        <f>Wheat_Mo!P355</f>
        <v/>
      </c>
    </row>
    <row r="11">
      <c r="A11" s="2" t="inlineStr">
        <is>
          <t>Wheat</t>
        </is>
      </c>
      <c r="B11" s="7" t="n"/>
      <c r="C11" s="7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</row>
    <row r="12">
      <c r="A12" s="2" t="inlineStr">
        <is>
          <t>Wheat</t>
        </is>
      </c>
      <c r="B12" s="8" t="inlineStr">
        <is>
          <t>Food</t>
        </is>
      </c>
      <c r="C12" s="2" t="inlineStr">
        <is>
          <t>KMT</t>
        </is>
      </c>
      <c r="D12" s="19">
        <f>Wheat_Mo!P12</f>
        <v/>
      </c>
      <c r="E12" s="19">
        <f>Wheat_Mo!P27</f>
        <v/>
      </c>
      <c r="F12" s="19">
        <f>Wheat_Mo!P42</f>
        <v/>
      </c>
      <c r="G12" s="19">
        <f>Wheat_Mo!P57</f>
        <v/>
      </c>
      <c r="H12" s="19">
        <f>Wheat_Mo!P72</f>
        <v/>
      </c>
      <c r="I12" s="19">
        <f>Wheat_Mo!P87</f>
        <v/>
      </c>
      <c r="J12" s="19">
        <f>Wheat_Mo!P102</f>
        <v/>
      </c>
      <c r="K12" s="19">
        <f>Wheat_Mo!P117</f>
        <v/>
      </c>
      <c r="L12" s="19">
        <f>Wheat_Mo!P132</f>
        <v/>
      </c>
      <c r="M12" s="19">
        <f>Wheat_Mo!P147</f>
        <v/>
      </c>
      <c r="N12" s="19">
        <f>Wheat_Mo!P162</f>
        <v/>
      </c>
      <c r="O12" s="19">
        <f>Wheat_Mo!P177</f>
        <v/>
      </c>
      <c r="P12" s="19">
        <f>Wheat_Mo!P192</f>
        <v/>
      </c>
      <c r="Q12" s="19">
        <f>Wheat_Mo!P207</f>
        <v/>
      </c>
      <c r="R12" s="19">
        <f>Wheat_Mo!P222</f>
        <v/>
      </c>
      <c r="S12" s="19">
        <f>Wheat_Mo!P237</f>
        <v/>
      </c>
      <c r="T12" s="19">
        <f>Wheat_Mo!P252</f>
        <v/>
      </c>
      <c r="U12" s="19">
        <f>Wheat_Mo!P267</f>
        <v/>
      </c>
      <c r="V12" s="19">
        <f>Wheat_Mo!P282</f>
        <v/>
      </c>
      <c r="W12" s="19">
        <f>Wheat_Mo!P297</f>
        <v/>
      </c>
      <c r="X12" s="19">
        <f>Wheat_Mo!P312</f>
        <v/>
      </c>
      <c r="Y12" s="19">
        <f>Wheat_Mo!P327</f>
        <v/>
      </c>
      <c r="Z12" s="19">
        <f>Wheat_Mo!P342</f>
        <v/>
      </c>
      <c r="AA12" s="19">
        <f>Wheat_Mo!P357</f>
        <v/>
      </c>
    </row>
    <row r="13">
      <c r="A13" s="2" t="inlineStr">
        <is>
          <t>Wheat</t>
        </is>
      </c>
      <c r="B13" s="8" t="inlineStr">
        <is>
          <t>Industrial</t>
        </is>
      </c>
      <c r="C13" s="2" t="inlineStr">
        <is>
          <t>KMT</t>
        </is>
      </c>
      <c r="D13" s="19">
        <f>Wheat_Mo!P13</f>
        <v/>
      </c>
      <c r="E13" s="19">
        <f>Wheat_Mo!P28</f>
        <v/>
      </c>
      <c r="F13" s="19">
        <f>Wheat_Mo!P43</f>
        <v/>
      </c>
      <c r="G13" s="19">
        <f>Wheat_Mo!P58</f>
        <v/>
      </c>
      <c r="H13" s="19">
        <f>Wheat_Mo!P73</f>
        <v/>
      </c>
      <c r="I13" s="19">
        <f>Wheat_Mo!P88</f>
        <v/>
      </c>
      <c r="J13" s="19">
        <f>Wheat_Mo!P103</f>
        <v/>
      </c>
      <c r="K13" s="19">
        <f>Wheat_Mo!P118</f>
        <v/>
      </c>
      <c r="L13" s="19">
        <f>Wheat_Mo!P133</f>
        <v/>
      </c>
      <c r="M13" s="19">
        <f>Wheat_Mo!P148</f>
        <v/>
      </c>
      <c r="N13" s="19">
        <f>Wheat_Mo!P163</f>
        <v/>
      </c>
      <c r="O13" s="19">
        <f>Wheat_Mo!P178</f>
        <v/>
      </c>
      <c r="P13" s="19">
        <f>Wheat_Mo!P193</f>
        <v/>
      </c>
      <c r="Q13" s="19">
        <f>Wheat_Mo!P208</f>
        <v/>
      </c>
      <c r="R13" s="19">
        <f>Wheat_Mo!P223</f>
        <v/>
      </c>
      <c r="S13" s="19">
        <f>Wheat_Mo!P238</f>
        <v/>
      </c>
      <c r="T13" s="19">
        <f>Wheat_Mo!P253</f>
        <v/>
      </c>
      <c r="U13" s="19">
        <f>Wheat_Mo!P268</f>
        <v/>
      </c>
      <c r="V13" s="19">
        <f>Wheat_Mo!P283</f>
        <v/>
      </c>
      <c r="W13" s="19">
        <f>Wheat_Mo!P298</f>
        <v/>
      </c>
      <c r="X13" s="19">
        <f>Wheat_Mo!P313</f>
        <v/>
      </c>
      <c r="Y13" s="19">
        <f>Wheat_Mo!P328</f>
        <v/>
      </c>
      <c r="Z13" s="19">
        <f>Wheat_Mo!P343</f>
        <v/>
      </c>
      <c r="AA13" s="19">
        <f>Wheat_Mo!P358</f>
        <v/>
      </c>
    </row>
    <row r="14">
      <c r="A14" s="2" t="inlineStr">
        <is>
          <t>Wheat</t>
        </is>
      </c>
      <c r="B14" s="8" t="inlineStr">
        <is>
          <t>FSR</t>
        </is>
      </c>
      <c r="C14" s="2" t="inlineStr">
        <is>
          <t>KMT</t>
        </is>
      </c>
      <c r="D14" s="19">
        <f>Wheat_Mo!P14</f>
        <v/>
      </c>
      <c r="E14" s="19">
        <f>Wheat_Mo!P29</f>
        <v/>
      </c>
      <c r="F14" s="19">
        <f>Wheat_Mo!P44</f>
        <v/>
      </c>
      <c r="G14" s="19">
        <f>Wheat_Mo!P59</f>
        <v/>
      </c>
      <c r="H14" s="19">
        <f>Wheat_Mo!P74</f>
        <v/>
      </c>
      <c r="I14" s="19">
        <f>Wheat_Mo!P89</f>
        <v/>
      </c>
      <c r="J14" s="19">
        <f>Wheat_Mo!P104</f>
        <v/>
      </c>
      <c r="K14" s="19">
        <f>Wheat_Mo!P119</f>
        <v/>
      </c>
      <c r="L14" s="19">
        <f>Wheat_Mo!P134</f>
        <v/>
      </c>
      <c r="M14" s="19">
        <f>Wheat_Mo!P149</f>
        <v/>
      </c>
      <c r="N14" s="19">
        <f>Wheat_Mo!P164</f>
        <v/>
      </c>
      <c r="O14" s="19">
        <f>Wheat_Mo!P179</f>
        <v/>
      </c>
      <c r="P14" s="19">
        <f>Wheat_Mo!P194</f>
        <v/>
      </c>
      <c r="Q14" s="19">
        <f>Wheat_Mo!P209</f>
        <v/>
      </c>
      <c r="R14" s="19">
        <f>Wheat_Mo!P224</f>
        <v/>
      </c>
      <c r="S14" s="19">
        <f>Wheat_Mo!P239</f>
        <v/>
      </c>
      <c r="T14" s="19">
        <f>Wheat_Mo!P254</f>
        <v/>
      </c>
      <c r="U14" s="19">
        <f>Wheat_Mo!P269</f>
        <v/>
      </c>
      <c r="V14" s="19">
        <f>Wheat_Mo!P284</f>
        <v/>
      </c>
      <c r="W14" s="19">
        <f>Wheat_Mo!P299</f>
        <v/>
      </c>
      <c r="X14" s="19">
        <f>Wheat_Mo!P314</f>
        <v/>
      </c>
      <c r="Y14" s="19">
        <f>Wheat_Mo!P329</f>
        <v/>
      </c>
      <c r="Z14" s="19">
        <f>Wheat_Mo!P344</f>
        <v/>
      </c>
      <c r="AA14" s="19">
        <f>Wheat_Mo!P359</f>
        <v/>
      </c>
    </row>
    <row r="15">
      <c r="A15" s="2" t="inlineStr">
        <is>
          <t>Wheat</t>
        </is>
      </c>
      <c r="B15" s="8" t="inlineStr">
        <is>
          <t>Exports</t>
        </is>
      </c>
      <c r="C15" s="2" t="inlineStr">
        <is>
          <t>KMT</t>
        </is>
      </c>
      <c r="D15" s="19">
        <f>Wheat_Mo!P15</f>
        <v/>
      </c>
      <c r="E15" s="19">
        <f>Wheat_Mo!P30</f>
        <v/>
      </c>
      <c r="F15" s="19">
        <f>Wheat_Mo!P45</f>
        <v/>
      </c>
      <c r="G15" s="19">
        <f>Wheat_Mo!P60</f>
        <v/>
      </c>
      <c r="H15" s="19">
        <f>Wheat_Mo!P75</f>
        <v/>
      </c>
      <c r="I15" s="19">
        <f>Wheat_Mo!P90</f>
        <v/>
      </c>
      <c r="J15" s="19">
        <f>Wheat_Mo!P105</f>
        <v/>
      </c>
      <c r="K15" s="19">
        <f>Wheat_Mo!P120</f>
        <v/>
      </c>
      <c r="L15" s="19">
        <f>Wheat_Mo!P135</f>
        <v/>
      </c>
      <c r="M15" s="19">
        <f>Wheat_Mo!P150</f>
        <v/>
      </c>
      <c r="N15" s="19">
        <f>Wheat_Mo!P165</f>
        <v/>
      </c>
      <c r="O15" s="19">
        <f>Wheat_Mo!P180</f>
        <v/>
      </c>
      <c r="P15" s="19">
        <f>Wheat_Mo!P195</f>
        <v/>
      </c>
      <c r="Q15" s="19">
        <f>Wheat_Mo!P210</f>
        <v/>
      </c>
      <c r="R15" s="19">
        <f>Wheat_Mo!P225</f>
        <v/>
      </c>
      <c r="S15" s="19">
        <f>Wheat_Mo!P240</f>
        <v/>
      </c>
      <c r="T15" s="19">
        <f>Wheat_Mo!P255</f>
        <v/>
      </c>
      <c r="U15" s="19">
        <f>Wheat_Mo!P270</f>
        <v/>
      </c>
      <c r="V15" s="19">
        <f>Wheat_Mo!P285</f>
        <v/>
      </c>
      <c r="W15" s="19">
        <f>Wheat_Mo!P300</f>
        <v/>
      </c>
      <c r="X15" s="19">
        <f>Wheat_Mo!P315</f>
        <v/>
      </c>
      <c r="Y15" s="19">
        <f>Wheat_Mo!P330</f>
        <v/>
      </c>
      <c r="Z15" s="19">
        <f>Wheat_Mo!P345</f>
        <v/>
      </c>
      <c r="AA15" s="19">
        <f>Wheat_Mo!P360</f>
        <v/>
      </c>
    </row>
    <row r="16">
      <c r="A16" s="2" t="inlineStr">
        <is>
          <t>Wheat</t>
        </is>
      </c>
      <c r="B16" s="7" t="n"/>
      <c r="C16" s="7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</row>
    <row r="17">
      <c r="A17" s="2" t="inlineStr">
        <is>
          <t>Wheat</t>
        </is>
      </c>
      <c r="B17" s="8" t="inlineStr">
        <is>
          <t>Ending Stocks</t>
        </is>
      </c>
      <c r="C17" s="2" t="inlineStr">
        <is>
          <t>KMT</t>
        </is>
      </c>
      <c r="D17" s="19">
        <f>Wheat_Mo!P17</f>
        <v/>
      </c>
      <c r="E17" s="19">
        <f>Wheat_Mo!P32</f>
        <v/>
      </c>
      <c r="F17" s="19">
        <f>Wheat_Mo!P47</f>
        <v/>
      </c>
      <c r="G17" s="19">
        <f>Wheat_Mo!P62</f>
        <v/>
      </c>
      <c r="H17" s="19">
        <f>Wheat_Mo!P77</f>
        <v/>
      </c>
      <c r="I17" s="19">
        <f>Wheat_Mo!P92</f>
        <v/>
      </c>
      <c r="J17" s="19">
        <f>Wheat_Mo!P107</f>
        <v/>
      </c>
      <c r="K17" s="19">
        <f>Wheat_Mo!P122</f>
        <v/>
      </c>
      <c r="L17" s="19">
        <f>Wheat_Mo!P137</f>
        <v/>
      </c>
      <c r="M17" s="19">
        <f>Wheat_Mo!P152</f>
        <v/>
      </c>
      <c r="N17" s="19">
        <f>Wheat_Mo!P167</f>
        <v/>
      </c>
      <c r="O17" s="19">
        <f>Wheat_Mo!P182</f>
        <v/>
      </c>
      <c r="P17" s="19">
        <f>Wheat_Mo!P197</f>
        <v/>
      </c>
      <c r="Q17" s="19">
        <f>Wheat_Mo!P212</f>
        <v/>
      </c>
      <c r="R17" s="19">
        <f>Wheat_Mo!P227</f>
        <v/>
      </c>
      <c r="S17" s="19">
        <f>Wheat_Mo!P242</f>
        <v/>
      </c>
      <c r="T17" s="19">
        <f>Wheat_Mo!P257</f>
        <v/>
      </c>
      <c r="U17" s="19">
        <f>Wheat_Mo!P272</f>
        <v/>
      </c>
      <c r="V17" s="19">
        <f>Wheat_Mo!P287</f>
        <v/>
      </c>
      <c r="W17" s="19">
        <f>Wheat_Mo!P302</f>
        <v/>
      </c>
      <c r="X17" s="19">
        <f>Wheat_Mo!P317</f>
        <v/>
      </c>
      <c r="Y17" s="19">
        <f>Wheat_Mo!P332</f>
        <v/>
      </c>
      <c r="Z17" s="19">
        <f>Wheat_Mo!P347</f>
        <v/>
      </c>
      <c r="AA17" s="19">
        <f>Wheat_Mo!P362</f>
        <v/>
      </c>
    </row>
    <row r="18">
      <c r="A18" s="2" t="inlineStr">
        <is>
          <t>Wheat</t>
        </is>
      </c>
      <c r="B18" s="3" t="inlineStr">
        <is>
          <t>Stocks-to-Use</t>
        </is>
      </c>
      <c r="C18" s="12" t="inlineStr">
        <is>
          <t>%</t>
        </is>
      </c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</row>
    <row r="19">
      <c r="A19" s="2" t="inlineStr">
        <is>
          <t>Wheat</t>
        </is>
      </c>
      <c r="B19" s="3" t="inlineStr">
        <is>
          <t>STU Days</t>
        </is>
      </c>
      <c r="C19" s="12" t="inlineStr">
        <is>
          <t>Days</t>
        </is>
      </c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</row>
    <row r="20">
      <c r="A20" s="2" t="inlineStr">
        <is>
          <t>Wheat</t>
        </is>
      </c>
      <c r="B20" s="11" t="inlineStr">
        <is>
          <t>CHECK</t>
        </is>
      </c>
      <c r="C20" s="15" t="inlineStr">
        <is>
          <t>KMT</t>
        </is>
      </c>
      <c r="D20" s="22">
        <f>D8+D10+D9-D12-D13-D14-D15-D17</f>
        <v/>
      </c>
      <c r="E20" s="22">
        <f>E8+E10+E9-E12-E13-E14-E15-E17</f>
        <v/>
      </c>
      <c r="F20" s="22">
        <f>F8+F10+F9-F12-F13-F14-F15-F17</f>
        <v/>
      </c>
      <c r="G20" s="22">
        <f>G8+G10+G9-G12-G13-G14-G15-G17</f>
        <v/>
      </c>
      <c r="H20" s="22">
        <f>H8+H10+H9-H12-H13-H14-H15-H17</f>
        <v/>
      </c>
      <c r="I20" s="22">
        <f>I8+I10+I9-I12-I13-I14-I15-I17</f>
        <v/>
      </c>
      <c r="J20" s="22">
        <f>J8+J10+J9-J12-J13-J14-J15-J17</f>
        <v/>
      </c>
      <c r="K20" s="22">
        <f>K8+K10+K9-K12-K13-K14-K15-K17</f>
        <v/>
      </c>
      <c r="L20" s="22">
        <f>L8+L10+L9-L12-L13-L14-L15-L17</f>
        <v/>
      </c>
      <c r="M20" s="22">
        <f>M8+M10+M9-M12-M13-M14-M15-M17</f>
        <v/>
      </c>
      <c r="N20" s="22">
        <f>N8+N10+N9-N12-N13-N14-N15-N17</f>
        <v/>
      </c>
      <c r="O20" s="22">
        <f>O8+O10+O9-O12-O13-O14-O15-O17</f>
        <v/>
      </c>
      <c r="P20" s="22">
        <f>P8+P10+P9-P12-P13-P14-P15-P17</f>
        <v/>
      </c>
      <c r="Q20" s="22">
        <f>Q8+Q10+Q9-Q12-Q13-Q14-Q15-Q17</f>
        <v/>
      </c>
      <c r="R20" s="22">
        <f>R8+R10+R9-R12-R13-R14-R15-R17</f>
        <v/>
      </c>
      <c r="S20" s="22">
        <f>S8+S10+S9-S12-S13-S14-S15-S17</f>
        <v/>
      </c>
      <c r="T20" s="22">
        <f>T8+T10+T9-T12-T13-T14-T15-T17</f>
        <v/>
      </c>
      <c r="U20" s="22">
        <f>U8+U10+U9-U12-U13-U14-U15-U17</f>
        <v/>
      </c>
      <c r="V20" s="22">
        <f>V8+V10+V9-V12-V13-V14-V15-V17</f>
        <v/>
      </c>
      <c r="W20" s="22">
        <f>W8+W10+W9-W12-W13-W14-W15-W17</f>
        <v/>
      </c>
      <c r="X20" s="22">
        <f>X8+X10+X9-X12-X13-X14-X15-X17</f>
        <v/>
      </c>
      <c r="Y20" s="22">
        <f>Y8+Y10+Y9-Y12-Y13-Y14-Y15-Y17</f>
        <v/>
      </c>
      <c r="Z20" s="22">
        <f>Z8+Z10+Z9-Z12-Z13-Z14-Z15-Z17</f>
        <v/>
      </c>
      <c r="AA20" s="22">
        <f>AA8+AA10+AA9-AA12-AA13-AA14-AA15-AA17</f>
        <v/>
      </c>
    </row>
  </sheetData>
  <mergeCells count="1">
    <mergeCell ref="A1:C1"/>
  </mergeCells>
  <conditionalFormatting sqref="D20:AA20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27"/>
  </cols>
  <sheetData>
    <row r="1" ht="15.6" customHeight="1" s="46">
      <c r="A1" s="45" t="inlineStr">
        <is>
          <t>Durum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" t="inlineStr">
        <is>
          <t>2002-03</t>
        </is>
      </c>
      <c r="E2" s="1" t="inlineStr">
        <is>
          <t>2003-04</t>
        </is>
      </c>
      <c r="F2" s="1" t="inlineStr">
        <is>
          <t>2004-05</t>
        </is>
      </c>
      <c r="G2" s="1" t="inlineStr">
        <is>
          <t>2005-06</t>
        </is>
      </c>
      <c r="H2" s="1" t="inlineStr">
        <is>
          <t>2006-07</t>
        </is>
      </c>
      <c r="I2" s="1" t="inlineStr">
        <is>
          <t>2007-08</t>
        </is>
      </c>
      <c r="J2" s="1" t="inlineStr">
        <is>
          <t>2008-09</t>
        </is>
      </c>
      <c r="K2" s="1" t="inlineStr">
        <is>
          <t>2009-10</t>
        </is>
      </c>
      <c r="L2" s="1" t="inlineStr">
        <is>
          <t>2010-11</t>
        </is>
      </c>
      <c r="M2" s="1" t="inlineStr">
        <is>
          <t>2011-12</t>
        </is>
      </c>
      <c r="N2" s="1" t="inlineStr">
        <is>
          <t>2012-13</t>
        </is>
      </c>
      <c r="O2" s="1" t="inlineStr">
        <is>
          <t>2013-14</t>
        </is>
      </c>
      <c r="P2" s="1" t="inlineStr">
        <is>
          <t>2014-15</t>
        </is>
      </c>
      <c r="Q2" s="1" t="inlineStr">
        <is>
          <t>2015-16</t>
        </is>
      </c>
      <c r="R2" s="1" t="inlineStr">
        <is>
          <t>2016-17</t>
        </is>
      </c>
      <c r="S2" s="1" t="inlineStr">
        <is>
          <t>2017-18</t>
        </is>
      </c>
      <c r="T2" s="1" t="inlineStr">
        <is>
          <t>2018-19</t>
        </is>
      </c>
      <c r="U2" s="1" t="inlineStr">
        <is>
          <t>2019-20</t>
        </is>
      </c>
      <c r="V2" s="1" t="inlineStr">
        <is>
          <t>2020-21</t>
        </is>
      </c>
      <c r="W2" s="1" t="inlineStr">
        <is>
          <t>2021-22</t>
        </is>
      </c>
      <c r="X2" s="1" t="inlineStr">
        <is>
          <t>2022-23</t>
        </is>
      </c>
      <c r="Y2" s="1" t="inlineStr">
        <is>
          <t>2023-24</t>
        </is>
      </c>
      <c r="Z2" s="1" t="inlineStr">
        <is>
          <t>2024-25</t>
        </is>
      </c>
      <c r="AA2" s="1" t="inlineStr">
        <is>
          <t>2025-26</t>
        </is>
      </c>
    </row>
    <row r="3">
      <c r="A3" s="2" t="inlineStr">
        <is>
          <t>Durum</t>
        </is>
      </c>
      <c r="B3" s="3" t="inlineStr">
        <is>
          <t>Planted Area</t>
        </is>
      </c>
      <c r="C3" s="12" t="inlineStr">
        <is>
          <t>MLN AC</t>
        </is>
      </c>
      <c r="D3" s="9">
        <f>Durum_Mo!P3</f>
        <v/>
      </c>
      <c r="E3" s="9">
        <f>Durum_Mo!P18</f>
        <v/>
      </c>
      <c r="F3" s="9">
        <f>Durum_Mo!P33</f>
        <v/>
      </c>
      <c r="G3" s="9">
        <f>Durum_Mo!P48</f>
        <v/>
      </c>
      <c r="H3" s="9">
        <f>Durum_Mo!P63</f>
        <v/>
      </c>
      <c r="I3" s="9">
        <f>Durum_Mo!P78</f>
        <v/>
      </c>
      <c r="J3" s="9">
        <f>Durum_Mo!P93</f>
        <v/>
      </c>
      <c r="K3" s="9">
        <f>Durum_Mo!P108</f>
        <v/>
      </c>
      <c r="L3" s="9">
        <f>Durum_Mo!P123</f>
        <v/>
      </c>
      <c r="M3" s="9">
        <f>Durum_Mo!P138</f>
        <v/>
      </c>
      <c r="N3" s="9">
        <f>Durum_Mo!P153</f>
        <v/>
      </c>
      <c r="O3" s="9">
        <f>Durum_Mo!P168</f>
        <v/>
      </c>
      <c r="P3" s="9">
        <f>Durum_Mo!P183</f>
        <v/>
      </c>
      <c r="Q3" s="9">
        <f>Durum_Mo!P198</f>
        <v/>
      </c>
      <c r="R3" s="9">
        <f>Durum_Mo!P213</f>
        <v/>
      </c>
      <c r="S3" s="9">
        <f>Durum_Mo!P228</f>
        <v/>
      </c>
      <c r="T3" s="9">
        <f>Durum_Mo!P243</f>
        <v/>
      </c>
      <c r="U3" s="9">
        <f>Durum_Mo!P258</f>
        <v/>
      </c>
      <c r="V3" s="9">
        <f>Durum_Mo!P273</f>
        <v/>
      </c>
      <c r="W3" s="9">
        <f>Durum_Mo!P288</f>
        <v/>
      </c>
      <c r="X3" s="9">
        <f>Durum_Mo!P303</f>
        <v/>
      </c>
      <c r="Y3" s="9">
        <f>Durum_Mo!P318</f>
        <v/>
      </c>
      <c r="Z3" s="9">
        <f>Durum_Mo!P333</f>
        <v/>
      </c>
      <c r="AA3" s="9">
        <f>Durum_Mo!P348</f>
        <v/>
      </c>
    </row>
    <row r="4">
      <c r="A4" s="2" t="inlineStr">
        <is>
          <t>Durum</t>
        </is>
      </c>
      <c r="B4" s="3" t="inlineStr">
        <is>
          <t>Harvested Area</t>
        </is>
      </c>
      <c r="C4" s="12" t="inlineStr">
        <is>
          <t>MLN AC</t>
        </is>
      </c>
      <c r="D4" s="9">
        <f>Durum_Mo!P4</f>
        <v/>
      </c>
      <c r="E4" s="9">
        <f>Durum_Mo!P19</f>
        <v/>
      </c>
      <c r="F4" s="9">
        <f>Durum_Mo!P34</f>
        <v/>
      </c>
      <c r="G4" s="9">
        <f>Durum_Mo!P49</f>
        <v/>
      </c>
      <c r="H4" s="9">
        <f>Durum_Mo!P64</f>
        <v/>
      </c>
      <c r="I4" s="9">
        <f>Durum_Mo!P79</f>
        <v/>
      </c>
      <c r="J4" s="9">
        <f>Durum_Mo!P94</f>
        <v/>
      </c>
      <c r="K4" s="9">
        <f>Durum_Mo!P109</f>
        <v/>
      </c>
      <c r="L4" s="9">
        <f>Durum_Mo!P124</f>
        <v/>
      </c>
      <c r="M4" s="9">
        <f>Durum_Mo!P139</f>
        <v/>
      </c>
      <c r="N4" s="9">
        <f>Durum_Mo!P154</f>
        <v/>
      </c>
      <c r="O4" s="9">
        <f>Durum_Mo!P169</f>
        <v/>
      </c>
      <c r="P4" s="9">
        <f>Durum_Mo!P184</f>
        <v/>
      </c>
      <c r="Q4" s="9">
        <f>Durum_Mo!P199</f>
        <v/>
      </c>
      <c r="R4" s="9">
        <f>Durum_Mo!P214</f>
        <v/>
      </c>
      <c r="S4" s="9">
        <f>Durum_Mo!P229</f>
        <v/>
      </c>
      <c r="T4" s="9">
        <f>Durum_Mo!P244</f>
        <v/>
      </c>
      <c r="U4" s="9">
        <f>Durum_Mo!P259</f>
        <v/>
      </c>
      <c r="V4" s="9">
        <f>Durum_Mo!P274</f>
        <v/>
      </c>
      <c r="W4" s="9">
        <f>Durum_Mo!P289</f>
        <v/>
      </c>
      <c r="X4" s="9">
        <f>Durum_Mo!P304</f>
        <v/>
      </c>
      <c r="Y4" s="9">
        <f>Durum_Mo!P319</f>
        <v/>
      </c>
      <c r="Z4" s="9">
        <f>Durum_Mo!P334</f>
        <v/>
      </c>
      <c r="AA4" s="9">
        <f>Durum_Mo!P349</f>
        <v/>
      </c>
    </row>
    <row r="5">
      <c r="A5" s="2" t="inlineStr">
        <is>
          <t>Durum</t>
        </is>
      </c>
      <c r="B5" s="3" t="inlineStr">
        <is>
          <t>Proportion Harvested</t>
        </is>
      </c>
      <c r="C5" s="12" t="inlineStr">
        <is>
          <t>%</t>
        </is>
      </c>
      <c r="D5" s="13">
        <f>IF(D3&lt;&gt;0,D4/D3,"")</f>
        <v/>
      </c>
      <c r="E5" s="13">
        <f>IF(E3&lt;&gt;0,E4/E3,"")</f>
        <v/>
      </c>
      <c r="F5" s="13">
        <f>IF(F3&lt;&gt;0,F4/F3,"")</f>
        <v/>
      </c>
      <c r="G5" s="13">
        <f>IF(G3&lt;&gt;0,G4/G3,"")</f>
        <v/>
      </c>
      <c r="H5" s="13">
        <f>IF(H3&lt;&gt;0,H4/H3,"")</f>
        <v/>
      </c>
      <c r="I5" s="13">
        <f>IF(I3&lt;&gt;0,I4/I3,"")</f>
        <v/>
      </c>
      <c r="J5" s="13">
        <f>IF(J3&lt;&gt;0,J4/J3,"")</f>
        <v/>
      </c>
      <c r="K5" s="13">
        <f>IF(K3&lt;&gt;0,K4/K3,"")</f>
        <v/>
      </c>
      <c r="L5" s="13">
        <f>IF(L3&lt;&gt;0,L4/L3,"")</f>
        <v/>
      </c>
      <c r="M5" s="13">
        <f>IF(M3&lt;&gt;0,M4/M3,"")</f>
        <v/>
      </c>
      <c r="N5" s="13">
        <f>IF(N3&lt;&gt;0,N4/N3,"")</f>
        <v/>
      </c>
      <c r="O5" s="13">
        <f>IF(O3&lt;&gt;0,O4/O3,"")</f>
        <v/>
      </c>
      <c r="P5" s="13">
        <f>IF(P3&lt;&gt;0,P4/P3,"")</f>
        <v/>
      </c>
      <c r="Q5" s="13">
        <f>IF(Q3&lt;&gt;0,Q4/Q3,"")</f>
        <v/>
      </c>
      <c r="R5" s="13">
        <f>IF(R3&lt;&gt;0,R4/R3,"")</f>
        <v/>
      </c>
      <c r="S5" s="13">
        <f>IF(S3&lt;&gt;0,S4/S3,"")</f>
        <v/>
      </c>
      <c r="T5" s="13">
        <f>IF(T3&lt;&gt;0,T4/T3,"")</f>
        <v/>
      </c>
      <c r="U5" s="13">
        <f>IF(U3&lt;&gt;0,U4/U3,"")</f>
        <v/>
      </c>
      <c r="V5" s="13">
        <f>IF(V3&lt;&gt;0,V4/V3,"")</f>
        <v/>
      </c>
      <c r="W5" s="13">
        <f>IF(W3&lt;&gt;0,W4/W3,"")</f>
        <v/>
      </c>
      <c r="X5" s="13">
        <f>IF(X3&lt;&gt;0,X4/X3,"")</f>
        <v/>
      </c>
      <c r="Y5" s="13">
        <f>IF(Y3&lt;&gt;0,Y4/Y3,"")</f>
        <v/>
      </c>
      <c r="Z5" s="13">
        <f>IF(Z3&lt;&gt;0,Z4/Z3,"")</f>
        <v/>
      </c>
      <c r="AA5" s="13">
        <f>IF(AA3&lt;&gt;0,AA4/AA3,"")</f>
        <v/>
      </c>
    </row>
    <row r="6">
      <c r="A6" s="2" t="inlineStr">
        <is>
          <t>Durum</t>
        </is>
      </c>
      <c r="B6" s="3" t="inlineStr">
        <is>
          <t>Yield</t>
        </is>
      </c>
      <c r="C6" s="12" t="inlineStr">
        <is>
          <t>BU/AC</t>
        </is>
      </c>
      <c r="D6" s="14">
        <f>Durum_Mo!O6</f>
        <v/>
      </c>
      <c r="E6" s="14">
        <f>Durum_Mo!O21</f>
        <v/>
      </c>
      <c r="F6" s="14">
        <f>Durum_Mo!O36</f>
        <v/>
      </c>
      <c r="G6" s="14">
        <f>Durum_Mo!O51</f>
        <v/>
      </c>
      <c r="H6" s="14">
        <f>Durum_Mo!O66</f>
        <v/>
      </c>
      <c r="I6" s="14">
        <f>Durum_Mo!O81</f>
        <v/>
      </c>
      <c r="J6" s="14">
        <f>Durum_Mo!O96</f>
        <v/>
      </c>
      <c r="K6" s="14">
        <f>Durum_Mo!O111</f>
        <v/>
      </c>
      <c r="L6" s="14">
        <f>Durum_Mo!O126</f>
        <v/>
      </c>
      <c r="M6" s="14">
        <f>Durum_Mo!O141</f>
        <v/>
      </c>
      <c r="N6" s="14">
        <f>Durum_Mo!O156</f>
        <v/>
      </c>
      <c r="O6" s="14">
        <f>Durum_Mo!O171</f>
        <v/>
      </c>
      <c r="P6" s="14">
        <f>Durum_Mo!O186</f>
        <v/>
      </c>
      <c r="Q6" s="14">
        <f>Durum_Mo!O201</f>
        <v/>
      </c>
      <c r="R6" s="14">
        <f>Durum_Mo!O216</f>
        <v/>
      </c>
      <c r="S6" s="14">
        <f>Durum_Mo!O231</f>
        <v/>
      </c>
      <c r="T6" s="14">
        <f>Durum_Mo!O246</f>
        <v/>
      </c>
      <c r="U6" s="14">
        <f>Durum_Mo!O261</f>
        <v/>
      </c>
      <c r="V6" s="14">
        <f>Durum_Mo!O276</f>
        <v/>
      </c>
      <c r="W6" s="14">
        <f>Durum_Mo!O291</f>
        <v/>
      </c>
      <c r="X6" s="14">
        <f>Durum_Mo!O306</f>
        <v/>
      </c>
      <c r="Y6" s="14">
        <f>Durum_Mo!O321</f>
        <v/>
      </c>
      <c r="Z6" s="14">
        <f>Durum_Mo!O336</f>
        <v/>
      </c>
      <c r="AA6" s="14">
        <f>Durum_Mo!O351</f>
        <v/>
      </c>
    </row>
    <row r="7">
      <c r="A7" s="2" t="inlineStr">
        <is>
          <t>Durum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2" t="inlineStr">
        <is>
          <t>Durum</t>
        </is>
      </c>
      <c r="B8" s="8" t="inlineStr">
        <is>
          <t>Beginning Stocks</t>
        </is>
      </c>
      <c r="C8" s="2" t="inlineStr">
        <is>
          <t>KMT</t>
        </is>
      </c>
      <c r="D8" s="9">
        <f>Durum_Mo!P8</f>
        <v/>
      </c>
      <c r="E8" s="9">
        <f>Durum_Mo!P23</f>
        <v/>
      </c>
      <c r="F8" s="9">
        <f>Durum_Mo!P38</f>
        <v/>
      </c>
      <c r="G8" s="9">
        <f>Durum_Mo!P53</f>
        <v/>
      </c>
      <c r="H8" s="9">
        <f>Durum_Mo!P68</f>
        <v/>
      </c>
      <c r="I8" s="9">
        <f>Durum_Mo!P83</f>
        <v/>
      </c>
      <c r="J8" s="9">
        <f>Durum_Mo!P98</f>
        <v/>
      </c>
      <c r="K8" s="9">
        <f>Durum_Mo!P113</f>
        <v/>
      </c>
      <c r="L8" s="9">
        <f>Durum_Mo!P128</f>
        <v/>
      </c>
      <c r="M8" s="9">
        <f>Durum_Mo!P143</f>
        <v/>
      </c>
      <c r="N8" s="9">
        <f>Durum_Mo!P158</f>
        <v/>
      </c>
      <c r="O8" s="9">
        <f>Durum_Mo!P173</f>
        <v/>
      </c>
      <c r="P8" s="9">
        <f>Durum_Mo!P188</f>
        <v/>
      </c>
      <c r="Q8" s="9">
        <f>Durum_Mo!P203</f>
        <v/>
      </c>
      <c r="R8" s="9">
        <f>Durum_Mo!P218</f>
        <v/>
      </c>
      <c r="S8" s="9">
        <f>Durum_Mo!P233</f>
        <v/>
      </c>
      <c r="T8" s="9">
        <f>Durum_Mo!P248</f>
        <v/>
      </c>
      <c r="U8" s="9">
        <f>Durum_Mo!P263</f>
        <v/>
      </c>
      <c r="V8" s="9">
        <f>Durum_Mo!P278</f>
        <v/>
      </c>
      <c r="W8" s="9">
        <f>Durum_Mo!P293</f>
        <v/>
      </c>
      <c r="X8" s="9">
        <f>Durum_Mo!P308</f>
        <v/>
      </c>
      <c r="Y8" s="9">
        <f>Durum_Mo!P323</f>
        <v/>
      </c>
      <c r="Z8" s="9">
        <f>Durum_Mo!P338</f>
        <v/>
      </c>
      <c r="AA8" s="9">
        <f>Durum_Mo!P353</f>
        <v/>
      </c>
    </row>
    <row r="9">
      <c r="A9" s="2" t="inlineStr">
        <is>
          <t>Durum</t>
        </is>
      </c>
      <c r="B9" s="8" t="inlineStr">
        <is>
          <t>Imports</t>
        </is>
      </c>
      <c r="C9" s="2" t="inlineStr">
        <is>
          <t>KMT</t>
        </is>
      </c>
      <c r="D9" s="9">
        <f>Durum_Mo!P9</f>
        <v/>
      </c>
      <c r="E9" s="9">
        <f>Durum_Mo!P24</f>
        <v/>
      </c>
      <c r="F9" s="9">
        <f>Durum_Mo!P39</f>
        <v/>
      </c>
      <c r="G9" s="9">
        <f>Durum_Mo!P54</f>
        <v/>
      </c>
      <c r="H9" s="9">
        <f>Durum_Mo!P69</f>
        <v/>
      </c>
      <c r="I9" s="9">
        <f>Durum_Mo!P84</f>
        <v/>
      </c>
      <c r="J9" s="9">
        <f>Durum_Mo!P99</f>
        <v/>
      </c>
      <c r="K9" s="9">
        <f>Durum_Mo!P114</f>
        <v/>
      </c>
      <c r="L9" s="9">
        <f>Durum_Mo!P129</f>
        <v/>
      </c>
      <c r="M9" s="9">
        <f>Durum_Mo!P144</f>
        <v/>
      </c>
      <c r="N9" s="9">
        <f>Durum_Mo!P159</f>
        <v/>
      </c>
      <c r="O9" s="9">
        <f>Durum_Mo!P174</f>
        <v/>
      </c>
      <c r="P9" s="9">
        <f>Durum_Mo!P189</f>
        <v/>
      </c>
      <c r="Q9" s="9">
        <f>Durum_Mo!P204</f>
        <v/>
      </c>
      <c r="R9" s="9">
        <f>Durum_Mo!P219</f>
        <v/>
      </c>
      <c r="S9" s="9">
        <f>Durum_Mo!P234</f>
        <v/>
      </c>
      <c r="T9" s="9">
        <f>Durum_Mo!P249</f>
        <v/>
      </c>
      <c r="U9" s="9">
        <f>Durum_Mo!P264</f>
        <v/>
      </c>
      <c r="V9" s="9">
        <f>Durum_Mo!P279</f>
        <v/>
      </c>
      <c r="W9" s="9">
        <f>Durum_Mo!P294</f>
        <v/>
      </c>
      <c r="X9" s="9">
        <f>Durum_Mo!P309</f>
        <v/>
      </c>
      <c r="Y9" s="9">
        <f>Durum_Mo!P324</f>
        <v/>
      </c>
      <c r="Z9" s="9">
        <f>Durum_Mo!P339</f>
        <v/>
      </c>
      <c r="AA9" s="9">
        <f>Durum_Mo!P354</f>
        <v/>
      </c>
    </row>
    <row r="10">
      <c r="A10" s="2" t="inlineStr">
        <is>
          <t>Durum</t>
        </is>
      </c>
      <c r="B10" s="8" t="inlineStr">
        <is>
          <t>Production</t>
        </is>
      </c>
      <c r="C10" s="2" t="inlineStr">
        <is>
          <t>KMT</t>
        </is>
      </c>
      <c r="D10" s="9">
        <f>Durum_Mo!P10</f>
        <v/>
      </c>
      <c r="E10" s="9">
        <f>Durum_Mo!P25</f>
        <v/>
      </c>
      <c r="F10" s="9">
        <f>Durum_Mo!P40</f>
        <v/>
      </c>
      <c r="G10" s="9">
        <f>Durum_Mo!P55</f>
        <v/>
      </c>
      <c r="H10" s="9">
        <f>Durum_Mo!P70</f>
        <v/>
      </c>
      <c r="I10" s="9">
        <f>Durum_Mo!P85</f>
        <v/>
      </c>
      <c r="J10" s="9">
        <f>Durum_Mo!P100</f>
        <v/>
      </c>
      <c r="K10" s="9">
        <f>Durum_Mo!P115</f>
        <v/>
      </c>
      <c r="L10" s="9">
        <f>Durum_Mo!P130</f>
        <v/>
      </c>
      <c r="M10" s="9">
        <f>Durum_Mo!P145</f>
        <v/>
      </c>
      <c r="N10" s="9">
        <f>Durum_Mo!P160</f>
        <v/>
      </c>
      <c r="O10" s="9">
        <f>Durum_Mo!P175</f>
        <v/>
      </c>
      <c r="P10" s="9">
        <f>Durum_Mo!P190</f>
        <v/>
      </c>
      <c r="Q10" s="9">
        <f>Durum_Mo!P205</f>
        <v/>
      </c>
      <c r="R10" s="9">
        <f>Durum_Mo!P220</f>
        <v/>
      </c>
      <c r="S10" s="9">
        <f>Durum_Mo!P235</f>
        <v/>
      </c>
      <c r="T10" s="9">
        <f>Durum_Mo!P250</f>
        <v/>
      </c>
      <c r="U10" s="9">
        <f>Durum_Mo!P265</f>
        <v/>
      </c>
      <c r="V10" s="9">
        <f>Durum_Mo!P280</f>
        <v/>
      </c>
      <c r="W10" s="9">
        <f>Durum_Mo!P295</f>
        <v/>
      </c>
      <c r="X10" s="9">
        <f>Durum_Mo!P310</f>
        <v/>
      </c>
      <c r="Y10" s="9">
        <f>Durum_Mo!P325</f>
        <v/>
      </c>
      <c r="Z10" s="9">
        <f>Durum_Mo!P340</f>
        <v/>
      </c>
      <c r="AA10" s="9">
        <f>Durum_Mo!P355</f>
        <v/>
      </c>
    </row>
    <row r="11">
      <c r="A11" s="2" t="inlineStr">
        <is>
          <t>Durum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2" t="inlineStr">
        <is>
          <t>Durum</t>
        </is>
      </c>
      <c r="B12" s="8" t="inlineStr">
        <is>
          <t>Food</t>
        </is>
      </c>
      <c r="C12" s="2" t="inlineStr">
        <is>
          <t>KMT</t>
        </is>
      </c>
      <c r="D12" s="9">
        <f>Durum_Mo!P12</f>
        <v/>
      </c>
      <c r="E12" s="9">
        <f>Durum_Mo!P27</f>
        <v/>
      </c>
      <c r="F12" s="9">
        <f>Durum_Mo!P42</f>
        <v/>
      </c>
      <c r="G12" s="9">
        <f>Durum_Mo!P57</f>
        <v/>
      </c>
      <c r="H12" s="9">
        <f>Durum_Mo!P72</f>
        <v/>
      </c>
      <c r="I12" s="9">
        <f>Durum_Mo!P87</f>
        <v/>
      </c>
      <c r="J12" s="9">
        <f>Durum_Mo!P102</f>
        <v/>
      </c>
      <c r="K12" s="9">
        <f>Durum_Mo!P117</f>
        <v/>
      </c>
      <c r="L12" s="9">
        <f>Durum_Mo!P132</f>
        <v/>
      </c>
      <c r="M12" s="9">
        <f>Durum_Mo!P147</f>
        <v/>
      </c>
      <c r="N12" s="9">
        <f>Durum_Mo!P162</f>
        <v/>
      </c>
      <c r="O12" s="9">
        <f>Durum_Mo!P177</f>
        <v/>
      </c>
      <c r="P12" s="9">
        <f>Durum_Mo!P192</f>
        <v/>
      </c>
      <c r="Q12" s="9">
        <f>Durum_Mo!P207</f>
        <v/>
      </c>
      <c r="R12" s="9">
        <f>Durum_Mo!P222</f>
        <v/>
      </c>
      <c r="S12" s="9">
        <f>Durum_Mo!P237</f>
        <v/>
      </c>
      <c r="T12" s="9">
        <f>Durum_Mo!P252</f>
        <v/>
      </c>
      <c r="U12" s="9">
        <f>Durum_Mo!P267</f>
        <v/>
      </c>
      <c r="V12" s="9">
        <f>Durum_Mo!P282</f>
        <v/>
      </c>
      <c r="W12" s="9">
        <f>Durum_Mo!P297</f>
        <v/>
      </c>
      <c r="X12" s="9">
        <f>Durum_Mo!P312</f>
        <v/>
      </c>
      <c r="Y12" s="9">
        <f>Durum_Mo!P327</f>
        <v/>
      </c>
      <c r="Z12" s="9">
        <f>Durum_Mo!P342</f>
        <v/>
      </c>
      <c r="AA12" s="9">
        <f>Durum_Mo!P357</f>
        <v/>
      </c>
    </row>
    <row r="13">
      <c r="A13" s="2" t="inlineStr">
        <is>
          <t>Durum</t>
        </is>
      </c>
      <c r="B13" s="8" t="inlineStr">
        <is>
          <t>Industrial</t>
        </is>
      </c>
      <c r="C13" s="2" t="inlineStr">
        <is>
          <t>KMT</t>
        </is>
      </c>
      <c r="D13" s="9">
        <f>Durum_Mo!P13</f>
        <v/>
      </c>
      <c r="E13" s="9">
        <f>Durum_Mo!P28</f>
        <v/>
      </c>
      <c r="F13" s="9">
        <f>Durum_Mo!P43</f>
        <v/>
      </c>
      <c r="G13" s="9">
        <f>Durum_Mo!P58</f>
        <v/>
      </c>
      <c r="H13" s="9">
        <f>Durum_Mo!P73</f>
        <v/>
      </c>
      <c r="I13" s="9">
        <f>Durum_Mo!P88</f>
        <v/>
      </c>
      <c r="J13" s="9">
        <f>Durum_Mo!P103</f>
        <v/>
      </c>
      <c r="K13" s="9">
        <f>Durum_Mo!P118</f>
        <v/>
      </c>
      <c r="L13" s="9">
        <f>Durum_Mo!P133</f>
        <v/>
      </c>
      <c r="M13" s="9">
        <f>Durum_Mo!P148</f>
        <v/>
      </c>
      <c r="N13" s="9">
        <f>Durum_Mo!P163</f>
        <v/>
      </c>
      <c r="O13" s="9">
        <f>Durum_Mo!P178</f>
        <v/>
      </c>
      <c r="P13" s="9">
        <f>Durum_Mo!P193</f>
        <v/>
      </c>
      <c r="Q13" s="9">
        <f>Durum_Mo!P208</f>
        <v/>
      </c>
      <c r="R13" s="9">
        <f>Durum_Mo!P223</f>
        <v/>
      </c>
      <c r="S13" s="9">
        <f>Durum_Mo!P238</f>
        <v/>
      </c>
      <c r="T13" s="9">
        <f>Durum_Mo!P253</f>
        <v/>
      </c>
      <c r="U13" s="9">
        <f>Durum_Mo!P268</f>
        <v/>
      </c>
      <c r="V13" s="9">
        <f>Durum_Mo!P283</f>
        <v/>
      </c>
      <c r="W13" s="9">
        <f>Durum_Mo!P298</f>
        <v/>
      </c>
      <c r="X13" s="9">
        <f>Durum_Mo!P313</f>
        <v/>
      </c>
      <c r="Y13" s="9">
        <f>Durum_Mo!P328</f>
        <v/>
      </c>
      <c r="Z13" s="9">
        <f>Durum_Mo!P343</f>
        <v/>
      </c>
      <c r="AA13" s="9">
        <f>Durum_Mo!P358</f>
        <v/>
      </c>
    </row>
    <row r="14">
      <c r="A14" s="2" t="inlineStr">
        <is>
          <t>Durum</t>
        </is>
      </c>
      <c r="B14" s="8" t="inlineStr">
        <is>
          <t>FSR</t>
        </is>
      </c>
      <c r="C14" s="2" t="inlineStr">
        <is>
          <t>KMT</t>
        </is>
      </c>
      <c r="D14" s="9">
        <f>Durum_Mo!P14</f>
        <v/>
      </c>
      <c r="E14" s="9">
        <f>Durum_Mo!P29</f>
        <v/>
      </c>
      <c r="F14" s="9">
        <f>Durum_Mo!P44</f>
        <v/>
      </c>
      <c r="G14" s="9">
        <f>Durum_Mo!P59</f>
        <v/>
      </c>
      <c r="H14" s="9">
        <f>Durum_Mo!P74</f>
        <v/>
      </c>
      <c r="I14" s="9">
        <f>Durum_Mo!P89</f>
        <v/>
      </c>
      <c r="J14" s="9">
        <f>Durum_Mo!P104</f>
        <v/>
      </c>
      <c r="K14" s="9">
        <f>Durum_Mo!P119</f>
        <v/>
      </c>
      <c r="L14" s="9">
        <f>Durum_Mo!P134</f>
        <v/>
      </c>
      <c r="M14" s="9">
        <f>Durum_Mo!P149</f>
        <v/>
      </c>
      <c r="N14" s="9">
        <f>Durum_Mo!P164</f>
        <v/>
      </c>
      <c r="O14" s="9">
        <f>Durum_Mo!P179</f>
        <v/>
      </c>
      <c r="P14" s="9">
        <f>Durum_Mo!P194</f>
        <v/>
      </c>
      <c r="Q14" s="9">
        <f>Durum_Mo!P209</f>
        <v/>
      </c>
      <c r="R14" s="9">
        <f>Durum_Mo!P224</f>
        <v/>
      </c>
      <c r="S14" s="9">
        <f>Durum_Mo!P239</f>
        <v/>
      </c>
      <c r="T14" s="9">
        <f>Durum_Mo!P254</f>
        <v/>
      </c>
      <c r="U14" s="9">
        <f>Durum_Mo!P269</f>
        <v/>
      </c>
      <c r="V14" s="9">
        <f>Durum_Mo!P284</f>
        <v/>
      </c>
      <c r="W14" s="9">
        <f>Durum_Mo!P299</f>
        <v/>
      </c>
      <c r="X14" s="9">
        <f>Durum_Mo!P314</f>
        <v/>
      </c>
      <c r="Y14" s="9">
        <f>Durum_Mo!P329</f>
        <v/>
      </c>
      <c r="Z14" s="9">
        <f>Durum_Mo!P344</f>
        <v/>
      </c>
      <c r="AA14" s="9">
        <f>Durum_Mo!P359</f>
        <v/>
      </c>
    </row>
    <row r="15">
      <c r="A15" s="2" t="inlineStr">
        <is>
          <t>Durum</t>
        </is>
      </c>
      <c r="B15" s="8" t="inlineStr">
        <is>
          <t>Exports</t>
        </is>
      </c>
      <c r="C15" s="2" t="inlineStr">
        <is>
          <t>KMT</t>
        </is>
      </c>
      <c r="D15" s="9">
        <f>Durum_Mo!P15</f>
        <v/>
      </c>
      <c r="E15" s="9">
        <f>Durum_Mo!P30</f>
        <v/>
      </c>
      <c r="F15" s="9">
        <f>Durum_Mo!P45</f>
        <v/>
      </c>
      <c r="G15" s="9">
        <f>Durum_Mo!P60</f>
        <v/>
      </c>
      <c r="H15" s="9">
        <f>Durum_Mo!P75</f>
        <v/>
      </c>
      <c r="I15" s="9">
        <f>Durum_Mo!P90</f>
        <v/>
      </c>
      <c r="J15" s="9">
        <f>Durum_Mo!P105</f>
        <v/>
      </c>
      <c r="K15" s="9">
        <f>Durum_Mo!P120</f>
        <v/>
      </c>
      <c r="L15" s="9">
        <f>Durum_Mo!P135</f>
        <v/>
      </c>
      <c r="M15" s="9">
        <f>Durum_Mo!P150</f>
        <v/>
      </c>
      <c r="N15" s="9">
        <f>Durum_Mo!P165</f>
        <v/>
      </c>
      <c r="O15" s="9">
        <f>Durum_Mo!P180</f>
        <v/>
      </c>
      <c r="P15" s="9">
        <f>Durum_Mo!P195</f>
        <v/>
      </c>
      <c r="Q15" s="9">
        <f>Durum_Mo!P210</f>
        <v/>
      </c>
      <c r="R15" s="9">
        <f>Durum_Mo!P225</f>
        <v/>
      </c>
      <c r="S15" s="9">
        <f>Durum_Mo!P240</f>
        <v/>
      </c>
      <c r="T15" s="9">
        <f>Durum_Mo!P255</f>
        <v/>
      </c>
      <c r="U15" s="9">
        <f>Durum_Mo!P270</f>
        <v/>
      </c>
      <c r="V15" s="9">
        <f>Durum_Mo!P285</f>
        <v/>
      </c>
      <c r="W15" s="9">
        <f>Durum_Mo!P300</f>
        <v/>
      </c>
      <c r="X15" s="9">
        <f>Durum_Mo!P315</f>
        <v/>
      </c>
      <c r="Y15" s="9">
        <f>Durum_Mo!P330</f>
        <v/>
      </c>
      <c r="Z15" s="9">
        <f>Durum_Mo!P345</f>
        <v/>
      </c>
      <c r="AA15" s="9">
        <f>Durum_Mo!P360</f>
        <v/>
      </c>
    </row>
    <row r="16">
      <c r="A16" s="2" t="inlineStr">
        <is>
          <t>Durum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2" t="inlineStr">
        <is>
          <t>Durum</t>
        </is>
      </c>
      <c r="B17" s="8" t="inlineStr">
        <is>
          <t>Ending Stocks</t>
        </is>
      </c>
      <c r="C17" s="2" t="inlineStr">
        <is>
          <t>KMT</t>
        </is>
      </c>
      <c r="D17" s="9">
        <f>Durum_Mo!P17</f>
        <v/>
      </c>
      <c r="E17" s="9">
        <f>Durum_Mo!P32</f>
        <v/>
      </c>
      <c r="F17" s="9">
        <f>Durum_Mo!P47</f>
        <v/>
      </c>
      <c r="G17" s="9">
        <f>Durum_Mo!P62</f>
        <v/>
      </c>
      <c r="H17" s="9">
        <f>Durum_Mo!P77</f>
        <v/>
      </c>
      <c r="I17" s="9">
        <f>Durum_Mo!P92</f>
        <v/>
      </c>
      <c r="J17" s="9">
        <f>Durum_Mo!P107</f>
        <v/>
      </c>
      <c r="K17" s="9">
        <f>Durum_Mo!P122</f>
        <v/>
      </c>
      <c r="L17" s="9">
        <f>Durum_Mo!P137</f>
        <v/>
      </c>
      <c r="M17" s="9">
        <f>Durum_Mo!P152</f>
        <v/>
      </c>
      <c r="N17" s="9">
        <f>Durum_Mo!P167</f>
        <v/>
      </c>
      <c r="O17" s="9">
        <f>Durum_Mo!P182</f>
        <v/>
      </c>
      <c r="P17" s="9">
        <f>Durum_Mo!P197</f>
        <v/>
      </c>
      <c r="Q17" s="9">
        <f>Durum_Mo!P212</f>
        <v/>
      </c>
      <c r="R17" s="9">
        <f>Durum_Mo!P227</f>
        <v/>
      </c>
      <c r="S17" s="9">
        <f>Durum_Mo!P242</f>
        <v/>
      </c>
      <c r="T17" s="9">
        <f>Durum_Mo!P257</f>
        <v/>
      </c>
      <c r="U17" s="9">
        <f>Durum_Mo!P272</f>
        <v/>
      </c>
      <c r="V17" s="9">
        <f>Durum_Mo!P287</f>
        <v/>
      </c>
      <c r="W17" s="9">
        <f>Durum_Mo!P302</f>
        <v/>
      </c>
      <c r="X17" s="9">
        <f>Durum_Mo!P317</f>
        <v/>
      </c>
      <c r="Y17" s="9">
        <f>Durum_Mo!P332</f>
        <v/>
      </c>
      <c r="Z17" s="9">
        <f>Durum_Mo!P347</f>
        <v/>
      </c>
      <c r="AA17" s="9">
        <f>Durum_Mo!P362</f>
        <v/>
      </c>
    </row>
    <row r="18">
      <c r="A18" s="2" t="inlineStr">
        <is>
          <t>Durum</t>
        </is>
      </c>
      <c r="B18" s="3" t="inlineStr">
        <is>
          <t>Stocks-to-Use</t>
        </is>
      </c>
      <c r="C18" s="12" t="inlineStr">
        <is>
          <t>%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2" t="inlineStr">
        <is>
          <t>Durum</t>
        </is>
      </c>
      <c r="B19" s="3" t="inlineStr">
        <is>
          <t>STU Days</t>
        </is>
      </c>
      <c r="C19" s="12" t="inlineStr">
        <is>
          <t>Days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</row>
    <row r="20">
      <c r="A20" s="2" t="inlineStr">
        <is>
          <t>Durum</t>
        </is>
      </c>
      <c r="B20" s="11" t="inlineStr">
        <is>
          <t>CHECK</t>
        </is>
      </c>
      <c r="C20" s="15" t="inlineStr">
        <is>
          <t>KMT</t>
        </is>
      </c>
      <c r="D20" s="16">
        <f>D8+D10+D9-D12-D13-D14-D15-D17</f>
        <v/>
      </c>
      <c r="E20" s="16">
        <f>E8+E10+E9-E12-E13-E14-E15-E17</f>
        <v/>
      </c>
      <c r="F20" s="16">
        <f>F8+F10+F9-F12-F13-F14-F15-F17</f>
        <v/>
      </c>
      <c r="G20" s="16">
        <f>G8+G10+G9-G12-G13-G14-G15-G17</f>
        <v/>
      </c>
      <c r="H20" s="16">
        <f>H8+H10+H9-H12-H13-H14-H15-H17</f>
        <v/>
      </c>
      <c r="I20" s="16">
        <f>I8+I10+I9-I12-I13-I14-I15-I17</f>
        <v/>
      </c>
      <c r="J20" s="16">
        <f>J8+J10+J9-J12-J13-J14-J15-J17</f>
        <v/>
      </c>
      <c r="K20" s="16">
        <f>K8+K10+K9-K12-K13-K14-K15-K17</f>
        <v/>
      </c>
      <c r="L20" s="16">
        <f>L8+L10+L9-L12-L13-L14-L15-L17</f>
        <v/>
      </c>
      <c r="M20" s="16">
        <f>M8+M10+M9-M12-M13-M14-M15-M17</f>
        <v/>
      </c>
      <c r="N20" s="16">
        <f>N8+N10+N9-N12-N13-N14-N15-N17</f>
        <v/>
      </c>
      <c r="O20" s="16">
        <f>O8+O10+O9-O12-O13-O14-O15-O17</f>
        <v/>
      </c>
      <c r="P20" s="16">
        <f>P8+P10+P9-P12-P13-P14-P15-P17</f>
        <v/>
      </c>
      <c r="Q20" s="16">
        <f>Q8+Q10+Q9-Q12-Q13-Q14-Q15-Q17</f>
        <v/>
      </c>
      <c r="R20" s="16">
        <f>R8+R10+R9-R12-R13-R14-R15-R17</f>
        <v/>
      </c>
      <c r="S20" s="16">
        <f>S8+S10+S9-S12-S13-S14-S15-S17</f>
        <v/>
      </c>
      <c r="T20" s="16">
        <f>T8+T10+T9-T12-T13-T14-T15-T17</f>
        <v/>
      </c>
      <c r="U20" s="16">
        <f>U8+U10+U9-U12-U13-U14-U15-U17</f>
        <v/>
      </c>
      <c r="V20" s="16">
        <f>V8+V10+V9-V12-V13-V14-V15-V17</f>
        <v/>
      </c>
      <c r="W20" s="16">
        <f>W8+W10+W9-W12-W13-W14-W15-W17</f>
        <v/>
      </c>
      <c r="X20" s="16">
        <f>X8+X10+X9-X12-X13-X14-X15-X17</f>
        <v/>
      </c>
      <c r="Y20" s="16">
        <f>Y8+Y10+Y9-Y12-Y13-Y14-Y15-Y17</f>
        <v/>
      </c>
      <c r="Z20" s="16">
        <f>Z8+Z10+Z9-Z12-Z13-Z14-Z15-Z17</f>
        <v/>
      </c>
      <c r="AA20" s="16">
        <f>AA8+AA10+AA9-AA12-AA13-AA14-AA15-AA17</f>
        <v/>
      </c>
    </row>
  </sheetData>
  <mergeCells count="1">
    <mergeCell ref="A1:C1"/>
  </mergeCells>
  <conditionalFormatting sqref="D20:AA20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F12" sqref="F12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27"/>
  </cols>
  <sheetData>
    <row r="1" ht="15.6" customHeight="1" s="46">
      <c r="A1" s="45" t="inlineStr">
        <is>
          <t>Canola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" t="inlineStr">
        <is>
          <t>2002-03</t>
        </is>
      </c>
      <c r="E2" s="1" t="inlineStr">
        <is>
          <t>2003-04</t>
        </is>
      </c>
      <c r="F2" s="1" t="inlineStr">
        <is>
          <t>2004-05</t>
        </is>
      </c>
      <c r="G2" s="1" t="inlineStr">
        <is>
          <t>2005-06</t>
        </is>
      </c>
      <c r="H2" s="1" t="inlineStr">
        <is>
          <t>2006-07</t>
        </is>
      </c>
      <c r="I2" s="1" t="inlineStr">
        <is>
          <t>2007-08</t>
        </is>
      </c>
      <c r="J2" s="1" t="inlineStr">
        <is>
          <t>2008-09</t>
        </is>
      </c>
      <c r="K2" s="1" t="inlineStr">
        <is>
          <t>2009-10</t>
        </is>
      </c>
      <c r="L2" s="1" t="inlineStr">
        <is>
          <t>2010-11</t>
        </is>
      </c>
      <c r="M2" s="1" t="inlineStr">
        <is>
          <t>2011-12</t>
        </is>
      </c>
      <c r="N2" s="1" t="inlineStr">
        <is>
          <t>2012-13</t>
        </is>
      </c>
      <c r="O2" s="1" t="inlineStr">
        <is>
          <t>2013-14</t>
        </is>
      </c>
      <c r="P2" s="1" t="inlineStr">
        <is>
          <t>2014-15</t>
        </is>
      </c>
      <c r="Q2" s="1" t="inlineStr">
        <is>
          <t>2015-16</t>
        </is>
      </c>
      <c r="R2" s="1" t="inlineStr">
        <is>
          <t>2016-17</t>
        </is>
      </c>
      <c r="S2" s="1" t="inlineStr">
        <is>
          <t>2017-18</t>
        </is>
      </c>
      <c r="T2" s="1" t="inlineStr">
        <is>
          <t>2018-19</t>
        </is>
      </c>
      <c r="U2" s="1" t="inlineStr">
        <is>
          <t>2019-20</t>
        </is>
      </c>
      <c r="V2" s="1" t="inlineStr">
        <is>
          <t>2020-21</t>
        </is>
      </c>
      <c r="W2" s="1" t="inlineStr">
        <is>
          <t>2021-22</t>
        </is>
      </c>
      <c r="X2" s="1" t="inlineStr">
        <is>
          <t>2022-23</t>
        </is>
      </c>
      <c r="Y2" s="1" t="inlineStr">
        <is>
          <t>2023-24</t>
        </is>
      </c>
      <c r="Z2" s="1" t="inlineStr">
        <is>
          <t>2024-25</t>
        </is>
      </c>
      <c r="AA2" s="1" t="inlineStr">
        <is>
          <t>2025-26</t>
        </is>
      </c>
    </row>
    <row r="3">
      <c r="A3" s="2" t="inlineStr">
        <is>
          <t>Canola</t>
        </is>
      </c>
      <c r="B3" s="3" t="inlineStr">
        <is>
          <t>Planted Area</t>
        </is>
      </c>
      <c r="C3" s="12" t="inlineStr">
        <is>
          <t>MLN AC</t>
        </is>
      </c>
      <c r="D3" s="9">
        <f>Canola_Mo!P3</f>
        <v/>
      </c>
      <c r="E3" s="9">
        <f>Canola_Mo!P18</f>
        <v/>
      </c>
      <c r="F3" s="9">
        <f>Canola_Mo!P33</f>
        <v/>
      </c>
      <c r="G3" s="9">
        <f>Canola_Mo!P48</f>
        <v/>
      </c>
      <c r="H3" s="9">
        <f>Canola_Mo!P63</f>
        <v/>
      </c>
      <c r="I3" s="9">
        <f>Canola_Mo!P78</f>
        <v/>
      </c>
      <c r="J3" s="9">
        <f>Canola_Mo!P93</f>
        <v/>
      </c>
      <c r="K3" s="9">
        <f>Canola_Mo!P108</f>
        <v/>
      </c>
      <c r="L3" s="9">
        <f>Canola_Mo!P123</f>
        <v/>
      </c>
      <c r="M3" s="9">
        <f>Canola_Mo!P138</f>
        <v/>
      </c>
      <c r="N3" s="9">
        <f>Canola_Mo!P153</f>
        <v/>
      </c>
      <c r="O3" s="9">
        <f>Canola_Mo!P168</f>
        <v/>
      </c>
      <c r="P3" s="9">
        <f>Canola_Mo!P183</f>
        <v/>
      </c>
      <c r="Q3" s="9">
        <f>Canola_Mo!P198</f>
        <v/>
      </c>
      <c r="R3" s="9">
        <f>Canola_Mo!P213</f>
        <v/>
      </c>
      <c r="S3" s="9">
        <f>Canola_Mo!P228</f>
        <v/>
      </c>
      <c r="T3" s="9">
        <f>Canola_Mo!P243</f>
        <v/>
      </c>
      <c r="U3" s="9">
        <f>Canola_Mo!P258</f>
        <v/>
      </c>
      <c r="V3" s="9">
        <f>Canola_Mo!P273</f>
        <v/>
      </c>
      <c r="W3" s="9">
        <f>Canola_Mo!P288</f>
        <v/>
      </c>
      <c r="X3" s="9">
        <f>Canola_Mo!P303</f>
        <v/>
      </c>
      <c r="Y3" s="9">
        <f>Canola_Mo!P318</f>
        <v/>
      </c>
      <c r="Z3" s="9">
        <f>Canola_Mo!P333</f>
        <v/>
      </c>
      <c r="AA3" s="9">
        <f>Canola_Mo!P348</f>
        <v/>
      </c>
    </row>
    <row r="4">
      <c r="A4" s="2" t="inlineStr">
        <is>
          <t>Canola</t>
        </is>
      </c>
      <c r="B4" s="3" t="inlineStr">
        <is>
          <t>Harvested Area</t>
        </is>
      </c>
      <c r="C4" s="12" t="inlineStr">
        <is>
          <t>MLN AC</t>
        </is>
      </c>
      <c r="D4" s="9">
        <f>Canola_Mo!P4</f>
        <v/>
      </c>
      <c r="E4" s="9">
        <f>Canola_Mo!P19</f>
        <v/>
      </c>
      <c r="F4" s="9">
        <f>Canola_Mo!P34</f>
        <v/>
      </c>
      <c r="G4" s="9">
        <f>Canola_Mo!P49</f>
        <v/>
      </c>
      <c r="H4" s="9">
        <f>Canola_Mo!P64</f>
        <v/>
      </c>
      <c r="I4" s="9">
        <f>Canola_Mo!P79</f>
        <v/>
      </c>
      <c r="J4" s="9">
        <f>Canola_Mo!P94</f>
        <v/>
      </c>
      <c r="K4" s="9">
        <f>Canola_Mo!P109</f>
        <v/>
      </c>
      <c r="L4" s="9">
        <f>Canola_Mo!P124</f>
        <v/>
      </c>
      <c r="M4" s="9">
        <f>Canola_Mo!P139</f>
        <v/>
      </c>
      <c r="N4" s="9">
        <f>Canola_Mo!P154</f>
        <v/>
      </c>
      <c r="O4" s="9">
        <f>Canola_Mo!P169</f>
        <v/>
      </c>
      <c r="P4" s="9">
        <f>Canola_Mo!P184</f>
        <v/>
      </c>
      <c r="Q4" s="9">
        <f>Canola_Mo!P199</f>
        <v/>
      </c>
      <c r="R4" s="9">
        <f>Canola_Mo!P214</f>
        <v/>
      </c>
      <c r="S4" s="9">
        <f>Canola_Mo!P229</f>
        <v/>
      </c>
      <c r="T4" s="9">
        <f>Canola_Mo!P244</f>
        <v/>
      </c>
      <c r="U4" s="9">
        <f>Canola_Mo!P259</f>
        <v/>
      </c>
      <c r="V4" s="9">
        <f>Canola_Mo!P274</f>
        <v/>
      </c>
      <c r="W4" s="9">
        <f>Canola_Mo!P289</f>
        <v/>
      </c>
      <c r="X4" s="9">
        <f>Canola_Mo!P304</f>
        <v/>
      </c>
      <c r="Y4" s="9">
        <f>Canola_Mo!P319</f>
        <v/>
      </c>
      <c r="Z4" s="9">
        <f>Canola_Mo!P334</f>
        <v/>
      </c>
      <c r="AA4" s="9">
        <f>Canola_Mo!P349</f>
        <v/>
      </c>
    </row>
    <row r="5">
      <c r="A5" s="2" t="inlineStr">
        <is>
          <t>Canola</t>
        </is>
      </c>
      <c r="B5" s="3" t="inlineStr">
        <is>
          <t>Proportion Harvested</t>
        </is>
      </c>
      <c r="C5" s="12" t="inlineStr">
        <is>
          <t>%</t>
        </is>
      </c>
      <c r="D5" s="13">
        <f>IF(D3&lt;&gt;0,D4/D3,"")</f>
        <v/>
      </c>
      <c r="E5" s="13">
        <f>IF(E3&lt;&gt;0,E4/E3,"")</f>
        <v/>
      </c>
      <c r="F5" s="13">
        <f>IF(F3&lt;&gt;0,F4/F3,"")</f>
        <v/>
      </c>
      <c r="G5" s="13">
        <f>IF(G3&lt;&gt;0,G4/G3,"")</f>
        <v/>
      </c>
      <c r="H5" s="13">
        <f>IF(H3&lt;&gt;0,H4/H3,"")</f>
        <v/>
      </c>
      <c r="I5" s="13">
        <f>IF(I3&lt;&gt;0,I4/I3,"")</f>
        <v/>
      </c>
      <c r="J5" s="13">
        <f>IF(J3&lt;&gt;0,J4/J3,"")</f>
        <v/>
      </c>
      <c r="K5" s="13">
        <f>IF(K3&lt;&gt;0,K4/K3,"")</f>
        <v/>
      </c>
      <c r="L5" s="13">
        <f>IF(L3&lt;&gt;0,L4/L3,"")</f>
        <v/>
      </c>
      <c r="M5" s="13">
        <f>IF(M3&lt;&gt;0,M4/M3,"")</f>
        <v/>
      </c>
      <c r="N5" s="13">
        <f>IF(N3&lt;&gt;0,N4/N3,"")</f>
        <v/>
      </c>
      <c r="O5" s="13">
        <f>IF(O3&lt;&gt;0,O4/O3,"")</f>
        <v/>
      </c>
      <c r="P5" s="13">
        <f>IF(P3&lt;&gt;0,P4/P3,"")</f>
        <v/>
      </c>
      <c r="Q5" s="13">
        <f>IF(Q3&lt;&gt;0,Q4/Q3,"")</f>
        <v/>
      </c>
      <c r="R5" s="13">
        <f>IF(R3&lt;&gt;0,R4/R3,"")</f>
        <v/>
      </c>
      <c r="S5" s="13">
        <f>IF(S3&lt;&gt;0,S4/S3,"")</f>
        <v/>
      </c>
      <c r="T5" s="13">
        <f>IF(T3&lt;&gt;0,T4/T3,"")</f>
        <v/>
      </c>
      <c r="U5" s="13">
        <f>IF(U3&lt;&gt;0,U4/U3,"")</f>
        <v/>
      </c>
      <c r="V5" s="13">
        <f>IF(V3&lt;&gt;0,V4/V3,"")</f>
        <v/>
      </c>
      <c r="W5" s="13">
        <f>IF(W3&lt;&gt;0,W4/W3,"")</f>
        <v/>
      </c>
      <c r="X5" s="13">
        <f>IF(X3&lt;&gt;0,X4/X3,"")</f>
        <v/>
      </c>
      <c r="Y5" s="13">
        <f>IF(Y3&lt;&gt;0,Y4/Y3,"")</f>
        <v/>
      </c>
      <c r="Z5" s="13">
        <f>IF(Z3&lt;&gt;0,Z4/Z3,"")</f>
        <v/>
      </c>
      <c r="AA5" s="13">
        <f>IF(AA3&lt;&gt;0,AA4/AA3,"")</f>
        <v/>
      </c>
    </row>
    <row r="6">
      <c r="A6" s="2" t="inlineStr">
        <is>
          <t>Canola</t>
        </is>
      </c>
      <c r="B6" s="3" t="inlineStr">
        <is>
          <t>Yield</t>
        </is>
      </c>
      <c r="C6" s="12" t="inlineStr">
        <is>
          <t>BU/AC</t>
        </is>
      </c>
      <c r="D6" s="14">
        <f>Canola_Mo!O6</f>
        <v/>
      </c>
      <c r="E6" s="14">
        <f>Canola_Mo!O21</f>
        <v/>
      </c>
      <c r="F6" s="14">
        <f>Canola_Mo!O36</f>
        <v/>
      </c>
      <c r="G6" s="14">
        <f>Canola_Mo!O51</f>
        <v/>
      </c>
      <c r="H6" s="14">
        <f>Canola_Mo!O66</f>
        <v/>
      </c>
      <c r="I6" s="14">
        <f>Canola_Mo!O81</f>
        <v/>
      </c>
      <c r="J6" s="14">
        <f>Canola_Mo!O96</f>
        <v/>
      </c>
      <c r="K6" s="14">
        <f>Canola_Mo!O111</f>
        <v/>
      </c>
      <c r="L6" s="14">
        <f>Canola_Mo!O126</f>
        <v/>
      </c>
      <c r="M6" s="14">
        <f>Canola_Mo!O141</f>
        <v/>
      </c>
      <c r="N6" s="14">
        <f>Canola_Mo!O156</f>
        <v/>
      </c>
      <c r="O6" s="14">
        <f>Canola_Mo!O171</f>
        <v/>
      </c>
      <c r="P6" s="14">
        <f>Canola_Mo!O186</f>
        <v/>
      </c>
      <c r="Q6" s="14">
        <f>Canola_Mo!O201</f>
        <v/>
      </c>
      <c r="R6" s="14">
        <f>Canola_Mo!O216</f>
        <v/>
      </c>
      <c r="S6" s="14">
        <f>Canola_Mo!O231</f>
        <v/>
      </c>
      <c r="T6" s="14">
        <f>Canola_Mo!O246</f>
        <v/>
      </c>
      <c r="U6" s="14">
        <f>Canola_Mo!O261</f>
        <v/>
      </c>
      <c r="V6" s="14">
        <f>Canola_Mo!O276</f>
        <v/>
      </c>
      <c r="W6" s="14">
        <f>Canola_Mo!O291</f>
        <v/>
      </c>
      <c r="X6" s="14">
        <f>Canola_Mo!O306</f>
        <v/>
      </c>
      <c r="Y6" s="14">
        <f>Canola_Mo!O321</f>
        <v/>
      </c>
      <c r="Z6" s="14">
        <f>Canola_Mo!O336</f>
        <v/>
      </c>
      <c r="AA6" s="14">
        <f>Canola_Mo!O351</f>
        <v/>
      </c>
    </row>
    <row r="7">
      <c r="A7" s="2" t="inlineStr">
        <is>
          <t>Canola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2" t="inlineStr">
        <is>
          <t>Canola</t>
        </is>
      </c>
      <c r="B8" s="8" t="inlineStr">
        <is>
          <t>Beginning Stocks</t>
        </is>
      </c>
      <c r="C8" s="2" t="inlineStr">
        <is>
          <t>KMT</t>
        </is>
      </c>
      <c r="D8" s="9">
        <f>Canola_Mo!P8</f>
        <v/>
      </c>
      <c r="E8" s="9">
        <f>Canola_Mo!P23</f>
        <v/>
      </c>
      <c r="F8" s="9">
        <f>Canola_Mo!P38</f>
        <v/>
      </c>
      <c r="G8" s="9">
        <f>Canola_Mo!P53</f>
        <v/>
      </c>
      <c r="H8" s="9">
        <f>Canola_Mo!P68</f>
        <v/>
      </c>
      <c r="I8" s="9">
        <f>Canola_Mo!P83</f>
        <v/>
      </c>
      <c r="J8" s="9">
        <f>Canola_Mo!P98</f>
        <v/>
      </c>
      <c r="K8" s="9">
        <f>Canola_Mo!P113</f>
        <v/>
      </c>
      <c r="L8" s="9">
        <f>Canola_Mo!P128</f>
        <v/>
      </c>
      <c r="M8" s="9">
        <f>Canola_Mo!P143</f>
        <v/>
      </c>
      <c r="N8" s="9">
        <f>Canola_Mo!P158</f>
        <v/>
      </c>
      <c r="O8" s="9">
        <f>Canola_Mo!P173</f>
        <v/>
      </c>
      <c r="P8" s="9">
        <f>Canola_Mo!P188</f>
        <v/>
      </c>
      <c r="Q8" s="9">
        <f>Canola_Mo!P203</f>
        <v/>
      </c>
      <c r="R8" s="9">
        <f>Canola_Mo!P218</f>
        <v/>
      </c>
      <c r="S8" s="9">
        <f>Canola_Mo!P233</f>
        <v/>
      </c>
      <c r="T8" s="9">
        <f>Canola_Mo!P248</f>
        <v/>
      </c>
      <c r="U8" s="9">
        <f>Canola_Mo!P263</f>
        <v/>
      </c>
      <c r="V8" s="9">
        <f>Canola_Mo!P278</f>
        <v/>
      </c>
      <c r="W8" s="9">
        <f>Canola_Mo!P293</f>
        <v/>
      </c>
      <c r="X8" s="9">
        <f>Canola_Mo!P308</f>
        <v/>
      </c>
      <c r="Y8" s="9">
        <f>Canola_Mo!P323</f>
        <v/>
      </c>
      <c r="Z8" s="9">
        <f>Canola_Mo!P338</f>
        <v/>
      </c>
      <c r="AA8" s="9">
        <f>Canola_Mo!P353</f>
        <v/>
      </c>
    </row>
    <row r="9">
      <c r="A9" s="2" t="inlineStr">
        <is>
          <t>Canola</t>
        </is>
      </c>
      <c r="B9" s="8" t="inlineStr">
        <is>
          <t>Imports</t>
        </is>
      </c>
      <c r="C9" s="2" t="inlineStr">
        <is>
          <t>KMT</t>
        </is>
      </c>
      <c r="D9" s="9">
        <f>Canola_Mo!P9</f>
        <v/>
      </c>
      <c r="E9" s="9">
        <f>Canola_Mo!P24</f>
        <v/>
      </c>
      <c r="F9" s="9">
        <f>Canola_Mo!P39</f>
        <v/>
      </c>
      <c r="G9" s="9">
        <f>Canola_Mo!P54</f>
        <v/>
      </c>
      <c r="H9" s="9">
        <f>Canola_Mo!P69</f>
        <v/>
      </c>
      <c r="I9" s="9">
        <f>Canola_Mo!P84</f>
        <v/>
      </c>
      <c r="J9" s="9">
        <f>Canola_Mo!P99</f>
        <v/>
      </c>
      <c r="K9" s="9">
        <f>Canola_Mo!P114</f>
        <v/>
      </c>
      <c r="L9" s="9">
        <f>Canola_Mo!P129</f>
        <v/>
      </c>
      <c r="M9" s="9">
        <f>Canola_Mo!P144</f>
        <v/>
      </c>
      <c r="N9" s="9">
        <f>Canola_Mo!P159</f>
        <v/>
      </c>
      <c r="O9" s="9">
        <f>Canola_Mo!P174</f>
        <v/>
      </c>
      <c r="P9" s="9">
        <f>Canola_Mo!P189</f>
        <v/>
      </c>
      <c r="Q9" s="9">
        <f>Canola_Mo!P204</f>
        <v/>
      </c>
      <c r="R9" s="9">
        <f>Canola_Mo!P219</f>
        <v/>
      </c>
      <c r="S9" s="9">
        <f>Canola_Mo!P234</f>
        <v/>
      </c>
      <c r="T9" s="9">
        <f>Canola_Mo!P249</f>
        <v/>
      </c>
      <c r="U9" s="9">
        <f>Canola_Mo!P264</f>
        <v/>
      </c>
      <c r="V9" s="9">
        <f>Canola_Mo!P279</f>
        <v/>
      </c>
      <c r="W9" s="9">
        <f>Canola_Mo!P294</f>
        <v/>
      </c>
      <c r="X9" s="9">
        <f>Canola_Mo!P309</f>
        <v/>
      </c>
      <c r="Y9" s="9">
        <f>Canola_Mo!P324</f>
        <v/>
      </c>
      <c r="Z9" s="9">
        <f>Canola_Mo!P339</f>
        <v/>
      </c>
      <c r="AA9" s="9">
        <f>Canola_Mo!P354</f>
        <v/>
      </c>
    </row>
    <row r="10">
      <c r="A10" s="2" t="inlineStr">
        <is>
          <t>Canola</t>
        </is>
      </c>
      <c r="B10" s="8" t="inlineStr">
        <is>
          <t>Production</t>
        </is>
      </c>
      <c r="C10" s="2" t="inlineStr">
        <is>
          <t>KMT</t>
        </is>
      </c>
      <c r="D10" s="9">
        <f>Canola_Mo!P10</f>
        <v/>
      </c>
      <c r="E10" s="9">
        <f>Canola_Mo!P25</f>
        <v/>
      </c>
      <c r="F10" s="9">
        <f>Canola_Mo!P40</f>
        <v/>
      </c>
      <c r="G10" s="9">
        <f>Canola_Mo!P55</f>
        <v/>
      </c>
      <c r="H10" s="9">
        <f>Canola_Mo!P70</f>
        <v/>
      </c>
      <c r="I10" s="9">
        <f>Canola_Mo!P85</f>
        <v/>
      </c>
      <c r="J10" s="9">
        <f>Canola_Mo!P100</f>
        <v/>
      </c>
      <c r="K10" s="9">
        <f>Canola_Mo!P115</f>
        <v/>
      </c>
      <c r="L10" s="9">
        <f>Canola_Mo!P130</f>
        <v/>
      </c>
      <c r="M10" s="9">
        <f>Canola_Mo!P145</f>
        <v/>
      </c>
      <c r="N10" s="9">
        <f>Canola_Mo!P160</f>
        <v/>
      </c>
      <c r="O10" s="9">
        <f>Canola_Mo!P175</f>
        <v/>
      </c>
      <c r="P10" s="9">
        <f>Canola_Mo!P190</f>
        <v/>
      </c>
      <c r="Q10" s="9">
        <f>Canola_Mo!P205</f>
        <v/>
      </c>
      <c r="R10" s="9">
        <f>Canola_Mo!P220</f>
        <v/>
      </c>
      <c r="S10" s="9">
        <f>Canola_Mo!P235</f>
        <v/>
      </c>
      <c r="T10" s="9">
        <f>Canola_Mo!P250</f>
        <v/>
      </c>
      <c r="U10" s="9">
        <f>Canola_Mo!P265</f>
        <v/>
      </c>
      <c r="V10" s="9">
        <f>Canola_Mo!P280</f>
        <v/>
      </c>
      <c r="W10" s="9">
        <f>Canola_Mo!P295</f>
        <v/>
      </c>
      <c r="X10" s="9">
        <f>Canola_Mo!P310</f>
        <v/>
      </c>
      <c r="Y10" s="9">
        <f>Canola_Mo!P325</f>
        <v/>
      </c>
      <c r="Z10" s="9">
        <f>Canola_Mo!P340</f>
        <v/>
      </c>
      <c r="AA10" s="9">
        <f>Canola_Mo!P355</f>
        <v/>
      </c>
    </row>
    <row r="11">
      <c r="A11" s="2" t="inlineStr">
        <is>
          <t>Canola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2" t="inlineStr">
        <is>
          <t>Canola</t>
        </is>
      </c>
      <c r="B12" s="8" t="inlineStr">
        <is>
          <t>Food</t>
        </is>
      </c>
      <c r="C12" s="2" t="inlineStr">
        <is>
          <t>KMT</t>
        </is>
      </c>
      <c r="D12" s="9">
        <f>Canola_Mo!P12</f>
        <v/>
      </c>
      <c r="E12" s="9">
        <f>Canola_Mo!P27</f>
        <v/>
      </c>
      <c r="F12" s="9">
        <f>Canola_Mo!P42</f>
        <v/>
      </c>
      <c r="G12" s="9">
        <f>Canola_Mo!P57</f>
        <v/>
      </c>
      <c r="H12" s="9">
        <f>Canola_Mo!P72</f>
        <v/>
      </c>
      <c r="I12" s="9">
        <f>Canola_Mo!P87</f>
        <v/>
      </c>
      <c r="J12" s="9">
        <f>Canola_Mo!P102</f>
        <v/>
      </c>
      <c r="K12" s="9">
        <f>Canola_Mo!P117</f>
        <v/>
      </c>
      <c r="L12" s="9">
        <f>Canola_Mo!P132</f>
        <v/>
      </c>
      <c r="M12" s="9">
        <f>Canola_Mo!P147</f>
        <v/>
      </c>
      <c r="N12" s="9">
        <f>Canola_Mo!P162</f>
        <v/>
      </c>
      <c r="O12" s="9">
        <f>Canola_Mo!P177</f>
        <v/>
      </c>
      <c r="P12" s="9">
        <f>Canola_Mo!P192</f>
        <v/>
      </c>
      <c r="Q12" s="9">
        <f>Canola_Mo!P207</f>
        <v/>
      </c>
      <c r="R12" s="9">
        <f>Canola_Mo!P222</f>
        <v/>
      </c>
      <c r="S12" s="9">
        <f>Canola_Mo!P237</f>
        <v/>
      </c>
      <c r="T12" s="9">
        <f>Canola_Mo!P252</f>
        <v/>
      </c>
      <c r="U12" s="9">
        <f>Canola_Mo!P267</f>
        <v/>
      </c>
      <c r="V12" s="9">
        <f>Canola_Mo!P282</f>
        <v/>
      </c>
      <c r="W12" s="9">
        <f>Canola_Mo!P297</f>
        <v/>
      </c>
      <c r="X12" s="9">
        <f>Canola_Mo!P312</f>
        <v/>
      </c>
      <c r="Y12" s="9">
        <f>Canola_Mo!P327</f>
        <v/>
      </c>
      <c r="Z12" s="9">
        <f>Canola_Mo!P342</f>
        <v/>
      </c>
      <c r="AA12" s="9">
        <f>Canola_Mo!P357</f>
        <v/>
      </c>
    </row>
    <row r="13">
      <c r="A13" s="2" t="inlineStr">
        <is>
          <t>Canola</t>
        </is>
      </c>
      <c r="B13" s="8" t="inlineStr">
        <is>
          <t>Crush</t>
        </is>
      </c>
      <c r="C13" s="2" t="inlineStr">
        <is>
          <t>KMT</t>
        </is>
      </c>
      <c r="D13" s="9">
        <f>Canola_Mo!P13</f>
        <v/>
      </c>
      <c r="E13" s="9">
        <f>Canola_Mo!P28</f>
        <v/>
      </c>
      <c r="F13" s="9">
        <f>Canola_Mo!P43</f>
        <v/>
      </c>
      <c r="G13" s="9">
        <f>Canola_Mo!P58</f>
        <v/>
      </c>
      <c r="H13" s="9">
        <f>Canola_Mo!P73</f>
        <v/>
      </c>
      <c r="I13" s="9">
        <f>Canola_Mo!P88</f>
        <v/>
      </c>
      <c r="J13" s="9">
        <f>Canola_Mo!P103</f>
        <v/>
      </c>
      <c r="K13" s="9">
        <f>Canola_Mo!P118</f>
        <v/>
      </c>
      <c r="L13" s="9">
        <f>Canola_Mo!P133</f>
        <v/>
      </c>
      <c r="M13" s="9">
        <f>Canola_Mo!P148</f>
        <v/>
      </c>
      <c r="N13" s="9">
        <f>Canola_Mo!P163</f>
        <v/>
      </c>
      <c r="O13" s="9">
        <f>Canola_Mo!P178</f>
        <v/>
      </c>
      <c r="P13" s="9">
        <f>Canola_Mo!P193</f>
        <v/>
      </c>
      <c r="Q13" s="9">
        <f>Canola_Mo!P208</f>
        <v/>
      </c>
      <c r="R13" s="9">
        <f>Canola_Mo!P223</f>
        <v/>
      </c>
      <c r="S13" s="9">
        <f>Canola_Mo!P238</f>
        <v/>
      </c>
      <c r="T13" s="9">
        <f>Canola_Mo!P253</f>
        <v/>
      </c>
      <c r="U13" s="9">
        <f>Canola_Mo!P268</f>
        <v/>
      </c>
      <c r="V13" s="9">
        <f>Canola_Mo!P283</f>
        <v/>
      </c>
      <c r="W13" s="9">
        <f>Canola_Mo!P298</f>
        <v/>
      </c>
      <c r="X13" s="9">
        <f>Canola_Mo!P313</f>
        <v/>
      </c>
      <c r="Y13" s="9">
        <f>Canola_Mo!P328</f>
        <v/>
      </c>
      <c r="Z13" s="9">
        <f>Canola_Mo!P343</f>
        <v/>
      </c>
      <c r="AA13" s="9">
        <f>Canola_Mo!P358</f>
        <v/>
      </c>
    </row>
    <row r="14">
      <c r="A14" s="2" t="inlineStr">
        <is>
          <t>Canola</t>
        </is>
      </c>
      <c r="B14" s="8" t="inlineStr">
        <is>
          <t>FSR</t>
        </is>
      </c>
      <c r="C14" s="2" t="inlineStr">
        <is>
          <t>KMT</t>
        </is>
      </c>
      <c r="D14" s="9">
        <f>Canola_Mo!P14</f>
        <v/>
      </c>
      <c r="E14" s="9">
        <f>Canola_Mo!P29</f>
        <v/>
      </c>
      <c r="F14" s="9">
        <f>Canola_Mo!P44</f>
        <v/>
      </c>
      <c r="G14" s="9">
        <f>Canola_Mo!P59</f>
        <v/>
      </c>
      <c r="H14" s="9">
        <f>Canola_Mo!P74</f>
        <v/>
      </c>
      <c r="I14" s="9">
        <f>Canola_Mo!P89</f>
        <v/>
      </c>
      <c r="J14" s="9">
        <f>Canola_Mo!P104</f>
        <v/>
      </c>
      <c r="K14" s="9">
        <f>Canola_Mo!P119</f>
        <v/>
      </c>
      <c r="L14" s="9">
        <f>Canola_Mo!P134</f>
        <v/>
      </c>
      <c r="M14" s="9">
        <f>Canola_Mo!P149</f>
        <v/>
      </c>
      <c r="N14" s="9">
        <f>Canola_Mo!P164</f>
        <v/>
      </c>
      <c r="O14" s="9">
        <f>Canola_Mo!P179</f>
        <v/>
      </c>
      <c r="P14" s="9">
        <f>Canola_Mo!P194</f>
        <v/>
      </c>
      <c r="Q14" s="9">
        <f>Canola_Mo!P209</f>
        <v/>
      </c>
      <c r="R14" s="9">
        <f>Canola_Mo!P224</f>
        <v/>
      </c>
      <c r="S14" s="9">
        <f>Canola_Mo!P239</f>
        <v/>
      </c>
      <c r="T14" s="9">
        <f>Canola_Mo!P254</f>
        <v/>
      </c>
      <c r="U14" s="9">
        <f>Canola_Mo!P269</f>
        <v/>
      </c>
      <c r="V14" s="9">
        <f>Canola_Mo!P284</f>
        <v/>
      </c>
      <c r="W14" s="9">
        <f>Canola_Mo!P299</f>
        <v/>
      </c>
      <c r="X14" s="9">
        <f>Canola_Mo!P314</f>
        <v/>
      </c>
      <c r="Y14" s="9">
        <f>Canola_Mo!P329</f>
        <v/>
      </c>
      <c r="Z14" s="9">
        <f>Canola_Mo!P344</f>
        <v/>
      </c>
      <c r="AA14" s="9">
        <f>Canola_Mo!P359</f>
        <v/>
      </c>
    </row>
    <row r="15">
      <c r="A15" s="2" t="inlineStr">
        <is>
          <t>Canola</t>
        </is>
      </c>
      <c r="B15" s="8" t="inlineStr">
        <is>
          <t>Exports</t>
        </is>
      </c>
      <c r="C15" s="2" t="inlineStr">
        <is>
          <t>KMT</t>
        </is>
      </c>
      <c r="D15" s="9">
        <f>Canola_Mo!P15</f>
        <v/>
      </c>
      <c r="E15" s="9">
        <f>Canola_Mo!P30</f>
        <v/>
      </c>
      <c r="F15" s="9">
        <f>Canola_Mo!P45</f>
        <v/>
      </c>
      <c r="G15" s="9">
        <f>Canola_Mo!P60</f>
        <v/>
      </c>
      <c r="H15" s="9">
        <f>Canola_Mo!P75</f>
        <v/>
      </c>
      <c r="I15" s="9">
        <f>Canola_Mo!P90</f>
        <v/>
      </c>
      <c r="J15" s="9">
        <f>Canola_Mo!P105</f>
        <v/>
      </c>
      <c r="K15" s="9">
        <f>Canola_Mo!P120</f>
        <v/>
      </c>
      <c r="L15" s="9">
        <f>Canola_Mo!P135</f>
        <v/>
      </c>
      <c r="M15" s="9">
        <f>Canola_Mo!P150</f>
        <v/>
      </c>
      <c r="N15" s="9">
        <f>Canola_Mo!P165</f>
        <v/>
      </c>
      <c r="O15" s="9">
        <f>Canola_Mo!P180</f>
        <v/>
      </c>
      <c r="P15" s="9">
        <f>Canola_Mo!P195</f>
        <v/>
      </c>
      <c r="Q15" s="9">
        <f>Canola_Mo!P210</f>
        <v/>
      </c>
      <c r="R15" s="9">
        <f>Canola_Mo!P225</f>
        <v/>
      </c>
      <c r="S15" s="9">
        <f>Canola_Mo!P240</f>
        <v/>
      </c>
      <c r="T15" s="9">
        <f>Canola_Mo!P255</f>
        <v/>
      </c>
      <c r="U15" s="9">
        <f>Canola_Mo!P270</f>
        <v/>
      </c>
      <c r="V15" s="9">
        <f>Canola_Mo!P285</f>
        <v/>
      </c>
      <c r="W15" s="9">
        <f>Canola_Mo!P300</f>
        <v/>
      </c>
      <c r="X15" s="9">
        <f>Canola_Mo!P315</f>
        <v/>
      </c>
      <c r="Y15" s="9">
        <f>Canola_Mo!P330</f>
        <v/>
      </c>
      <c r="Z15" s="9">
        <f>Canola_Mo!P345</f>
        <v/>
      </c>
      <c r="AA15" s="9">
        <f>Canola_Mo!P360</f>
        <v/>
      </c>
    </row>
    <row r="16">
      <c r="A16" s="2" t="inlineStr">
        <is>
          <t>Canola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2" t="inlineStr">
        <is>
          <t>Canola</t>
        </is>
      </c>
      <c r="B17" s="8" t="inlineStr">
        <is>
          <t>Ending Stocks</t>
        </is>
      </c>
      <c r="C17" s="2" t="inlineStr">
        <is>
          <t>KMT</t>
        </is>
      </c>
      <c r="D17" s="9">
        <f>Canola_Mo!P17</f>
        <v/>
      </c>
      <c r="E17" s="9">
        <f>Canola_Mo!P32</f>
        <v/>
      </c>
      <c r="F17" s="9">
        <f>Canola_Mo!P47</f>
        <v/>
      </c>
      <c r="G17" s="9">
        <f>Canola_Mo!P62</f>
        <v/>
      </c>
      <c r="H17" s="9">
        <f>Canola_Mo!P77</f>
        <v/>
      </c>
      <c r="I17" s="9">
        <f>Canola_Mo!P92</f>
        <v/>
      </c>
      <c r="J17" s="9">
        <f>Canola_Mo!P107</f>
        <v/>
      </c>
      <c r="K17" s="9">
        <f>Canola_Mo!P122</f>
        <v/>
      </c>
      <c r="L17" s="9">
        <f>Canola_Mo!P137</f>
        <v/>
      </c>
      <c r="M17" s="9">
        <f>Canola_Mo!P152</f>
        <v/>
      </c>
      <c r="N17" s="9">
        <f>Canola_Mo!P167</f>
        <v/>
      </c>
      <c r="O17" s="9">
        <f>Canola_Mo!P182</f>
        <v/>
      </c>
      <c r="P17" s="9">
        <f>Canola_Mo!P197</f>
        <v/>
      </c>
      <c r="Q17" s="9">
        <f>Canola_Mo!P212</f>
        <v/>
      </c>
      <c r="R17" s="9">
        <f>Canola_Mo!P227</f>
        <v/>
      </c>
      <c r="S17" s="9">
        <f>Canola_Mo!P242</f>
        <v/>
      </c>
      <c r="T17" s="9">
        <f>Canola_Mo!P257</f>
        <v/>
      </c>
      <c r="U17" s="9">
        <f>Canola_Mo!P272</f>
        <v/>
      </c>
      <c r="V17" s="9">
        <f>Canola_Mo!P287</f>
        <v/>
      </c>
      <c r="W17" s="9">
        <f>Canola_Mo!P302</f>
        <v/>
      </c>
      <c r="X17" s="9">
        <f>Canola_Mo!P317</f>
        <v/>
      </c>
      <c r="Y17" s="9">
        <f>Canola_Mo!P332</f>
        <v/>
      </c>
      <c r="Z17" s="9">
        <f>Canola_Mo!P347</f>
        <v/>
      </c>
      <c r="AA17" s="9">
        <f>Canola_Mo!P362</f>
        <v/>
      </c>
    </row>
    <row r="18">
      <c r="A18" s="2" t="inlineStr">
        <is>
          <t>Canola</t>
        </is>
      </c>
      <c r="B18" s="3" t="inlineStr">
        <is>
          <t>Stocks-to-Use</t>
        </is>
      </c>
      <c r="C18" s="12" t="inlineStr">
        <is>
          <t>%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2" t="inlineStr">
        <is>
          <t>Canola</t>
        </is>
      </c>
      <c r="B19" s="3" t="inlineStr">
        <is>
          <t>STU Days</t>
        </is>
      </c>
      <c r="C19" s="12" t="inlineStr">
        <is>
          <t>Days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</row>
    <row r="20">
      <c r="A20" s="2" t="inlineStr">
        <is>
          <t>Canola</t>
        </is>
      </c>
      <c r="B20" s="11" t="inlineStr">
        <is>
          <t>CHECK</t>
        </is>
      </c>
      <c r="C20" s="15" t="inlineStr">
        <is>
          <t>KMT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</row>
  </sheetData>
  <mergeCells count="1">
    <mergeCell ref="A1:C1"/>
  </mergeCells>
  <conditionalFormatting sqref="D20:AA20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27"/>
  </cols>
  <sheetData>
    <row r="1" ht="15.6" customHeight="1" s="46">
      <c r="A1" s="45" t="inlineStr">
        <is>
          <t>Barley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" t="inlineStr">
        <is>
          <t>2002-03</t>
        </is>
      </c>
      <c r="E2" s="1" t="inlineStr">
        <is>
          <t>2003-04</t>
        </is>
      </c>
      <c r="F2" s="1" t="inlineStr">
        <is>
          <t>2004-05</t>
        </is>
      </c>
      <c r="G2" s="1" t="inlineStr">
        <is>
          <t>2005-06</t>
        </is>
      </c>
      <c r="H2" s="1" t="inlineStr">
        <is>
          <t>2006-07</t>
        </is>
      </c>
      <c r="I2" s="1" t="inlineStr">
        <is>
          <t>2007-08</t>
        </is>
      </c>
      <c r="J2" s="1" t="inlineStr">
        <is>
          <t>2008-09</t>
        </is>
      </c>
      <c r="K2" s="1" t="inlineStr">
        <is>
          <t>2009-10</t>
        </is>
      </c>
      <c r="L2" s="1" t="inlineStr">
        <is>
          <t>2010-11</t>
        </is>
      </c>
      <c r="M2" s="1" t="inlineStr">
        <is>
          <t>2011-12</t>
        </is>
      </c>
      <c r="N2" s="1" t="inlineStr">
        <is>
          <t>2012-13</t>
        </is>
      </c>
      <c r="O2" s="1" t="inlineStr">
        <is>
          <t>2013-14</t>
        </is>
      </c>
      <c r="P2" s="1" t="inlineStr">
        <is>
          <t>2014-15</t>
        </is>
      </c>
      <c r="Q2" s="1" t="inlineStr">
        <is>
          <t>2015-16</t>
        </is>
      </c>
      <c r="R2" s="1" t="inlineStr">
        <is>
          <t>2016-17</t>
        </is>
      </c>
      <c r="S2" s="1" t="inlineStr">
        <is>
          <t>2017-18</t>
        </is>
      </c>
      <c r="T2" s="1" t="inlineStr">
        <is>
          <t>2018-19</t>
        </is>
      </c>
      <c r="U2" s="1" t="inlineStr">
        <is>
          <t>2019-20</t>
        </is>
      </c>
      <c r="V2" s="1" t="inlineStr">
        <is>
          <t>2020-21</t>
        </is>
      </c>
      <c r="W2" s="1" t="inlineStr">
        <is>
          <t>2021-22</t>
        </is>
      </c>
      <c r="X2" s="1" t="inlineStr">
        <is>
          <t>2022-23</t>
        </is>
      </c>
      <c r="Y2" s="1" t="inlineStr">
        <is>
          <t>2023-24</t>
        </is>
      </c>
      <c r="Z2" s="1" t="inlineStr">
        <is>
          <t>2024-25</t>
        </is>
      </c>
      <c r="AA2" s="1" t="inlineStr">
        <is>
          <t>2025-26</t>
        </is>
      </c>
    </row>
    <row r="3">
      <c r="A3" s="2" t="inlineStr">
        <is>
          <t>Barley</t>
        </is>
      </c>
      <c r="B3" s="3" t="inlineStr">
        <is>
          <t>Planted Area</t>
        </is>
      </c>
      <c r="C3" s="12" t="inlineStr">
        <is>
          <t>MLN AC</t>
        </is>
      </c>
      <c r="D3" s="9">
        <f>Barley_Mo!P3</f>
        <v/>
      </c>
      <c r="E3" s="9">
        <f>Barley_Mo!P18</f>
        <v/>
      </c>
      <c r="F3" s="9">
        <f>Barley_Mo!P33</f>
        <v/>
      </c>
      <c r="G3" s="9">
        <f>Barley_Mo!P48</f>
        <v/>
      </c>
      <c r="H3" s="9">
        <f>Barley_Mo!P63</f>
        <v/>
      </c>
      <c r="I3" s="9">
        <f>Barley_Mo!P78</f>
        <v/>
      </c>
      <c r="J3" s="9">
        <f>Barley_Mo!P93</f>
        <v/>
      </c>
      <c r="K3" s="9">
        <f>Barley_Mo!P108</f>
        <v/>
      </c>
      <c r="L3" s="9">
        <f>Barley_Mo!P123</f>
        <v/>
      </c>
      <c r="M3" s="9">
        <f>Barley_Mo!P138</f>
        <v/>
      </c>
      <c r="N3" s="9">
        <f>Barley_Mo!P153</f>
        <v/>
      </c>
      <c r="O3" s="9">
        <f>Barley_Mo!P168</f>
        <v/>
      </c>
      <c r="P3" s="9">
        <f>Barley_Mo!P183</f>
        <v/>
      </c>
      <c r="Q3" s="9">
        <f>Barley_Mo!P198</f>
        <v/>
      </c>
      <c r="R3" s="9">
        <f>Barley_Mo!P213</f>
        <v/>
      </c>
      <c r="S3" s="9">
        <f>Barley_Mo!P228</f>
        <v/>
      </c>
      <c r="T3" s="9">
        <f>Barley_Mo!P243</f>
        <v/>
      </c>
      <c r="U3" s="9">
        <f>Barley_Mo!P258</f>
        <v/>
      </c>
      <c r="V3" s="9">
        <f>Barley_Mo!P273</f>
        <v/>
      </c>
      <c r="W3" s="9">
        <f>Barley_Mo!P288</f>
        <v/>
      </c>
      <c r="X3" s="9">
        <f>Barley_Mo!P303</f>
        <v/>
      </c>
      <c r="Y3" s="9">
        <f>Barley_Mo!P318</f>
        <v/>
      </c>
      <c r="Z3" s="9">
        <f>Barley_Mo!P333</f>
        <v/>
      </c>
      <c r="AA3" s="9">
        <f>Barley_Mo!P348</f>
        <v/>
      </c>
    </row>
    <row r="4">
      <c r="A4" s="2" t="inlineStr">
        <is>
          <t>Barley</t>
        </is>
      </c>
      <c r="B4" s="3" t="inlineStr">
        <is>
          <t>Harvested Area</t>
        </is>
      </c>
      <c r="C4" s="12" t="inlineStr">
        <is>
          <t>MLN AC</t>
        </is>
      </c>
      <c r="D4" s="9">
        <f>Barley_Mo!P4</f>
        <v/>
      </c>
      <c r="E4" s="9">
        <f>Barley_Mo!P19</f>
        <v/>
      </c>
      <c r="F4" s="9">
        <f>Barley_Mo!P34</f>
        <v/>
      </c>
      <c r="G4" s="9">
        <f>Barley_Mo!P49</f>
        <v/>
      </c>
      <c r="H4" s="9">
        <f>Barley_Mo!P64</f>
        <v/>
      </c>
      <c r="I4" s="9">
        <f>Barley_Mo!P79</f>
        <v/>
      </c>
      <c r="J4" s="9">
        <f>Barley_Mo!P94</f>
        <v/>
      </c>
      <c r="K4" s="9">
        <f>Barley_Mo!P109</f>
        <v/>
      </c>
      <c r="L4" s="9">
        <f>Barley_Mo!P124</f>
        <v/>
      </c>
      <c r="M4" s="9">
        <f>Barley_Mo!P139</f>
        <v/>
      </c>
      <c r="N4" s="9">
        <f>Barley_Mo!P154</f>
        <v/>
      </c>
      <c r="O4" s="9">
        <f>Barley_Mo!P169</f>
        <v/>
      </c>
      <c r="P4" s="9">
        <f>Barley_Mo!P184</f>
        <v/>
      </c>
      <c r="Q4" s="9">
        <f>Barley_Mo!P199</f>
        <v/>
      </c>
      <c r="R4" s="9">
        <f>Barley_Mo!P214</f>
        <v/>
      </c>
      <c r="S4" s="9">
        <f>Barley_Mo!P229</f>
        <v/>
      </c>
      <c r="T4" s="9">
        <f>Barley_Mo!P244</f>
        <v/>
      </c>
      <c r="U4" s="9">
        <f>Barley_Mo!P259</f>
        <v/>
      </c>
      <c r="V4" s="9">
        <f>Barley_Mo!P274</f>
        <v/>
      </c>
      <c r="W4" s="9">
        <f>Barley_Mo!P289</f>
        <v/>
      </c>
      <c r="X4" s="9">
        <f>Barley_Mo!P304</f>
        <v/>
      </c>
      <c r="Y4" s="9">
        <f>Barley_Mo!P319</f>
        <v/>
      </c>
      <c r="Z4" s="9">
        <f>Barley_Mo!P334</f>
        <v/>
      </c>
      <c r="AA4" s="9">
        <f>Barley_Mo!P349</f>
        <v/>
      </c>
    </row>
    <row r="5">
      <c r="A5" s="2" t="inlineStr">
        <is>
          <t>Barley</t>
        </is>
      </c>
      <c r="B5" s="3" t="inlineStr">
        <is>
          <t>Proportion Harvested</t>
        </is>
      </c>
      <c r="C5" s="12" t="inlineStr">
        <is>
          <t>%</t>
        </is>
      </c>
      <c r="D5" s="13">
        <f>IF(D3&lt;&gt;0,D4/D3,"")</f>
        <v/>
      </c>
      <c r="E5" s="13">
        <f>IF(E3&lt;&gt;0,E4/E3,"")</f>
        <v/>
      </c>
      <c r="F5" s="13">
        <f>IF(F3&lt;&gt;0,F4/F3,"")</f>
        <v/>
      </c>
      <c r="G5" s="13">
        <f>IF(G3&lt;&gt;0,G4/G3,"")</f>
        <v/>
      </c>
      <c r="H5" s="13">
        <f>IF(H3&lt;&gt;0,H4/H3,"")</f>
        <v/>
      </c>
      <c r="I5" s="13">
        <f>IF(I3&lt;&gt;0,I4/I3,"")</f>
        <v/>
      </c>
      <c r="J5" s="13">
        <f>IF(J3&lt;&gt;0,J4/J3,"")</f>
        <v/>
      </c>
      <c r="K5" s="13">
        <f>IF(K3&lt;&gt;0,K4/K3,"")</f>
        <v/>
      </c>
      <c r="L5" s="13">
        <f>IF(L3&lt;&gt;0,L4/L3,"")</f>
        <v/>
      </c>
      <c r="M5" s="13">
        <f>IF(M3&lt;&gt;0,M4/M3,"")</f>
        <v/>
      </c>
      <c r="N5" s="13">
        <f>IF(N3&lt;&gt;0,N4/N3,"")</f>
        <v/>
      </c>
      <c r="O5" s="13">
        <f>IF(O3&lt;&gt;0,O4/O3,"")</f>
        <v/>
      </c>
      <c r="P5" s="13">
        <f>IF(P3&lt;&gt;0,P4/P3,"")</f>
        <v/>
      </c>
      <c r="Q5" s="13">
        <f>IF(Q3&lt;&gt;0,Q4/Q3,"")</f>
        <v/>
      </c>
      <c r="R5" s="13">
        <f>IF(R3&lt;&gt;0,R4/R3,"")</f>
        <v/>
      </c>
      <c r="S5" s="13">
        <f>IF(S3&lt;&gt;0,S4/S3,"")</f>
        <v/>
      </c>
      <c r="T5" s="13">
        <f>IF(T3&lt;&gt;0,T4/T3,"")</f>
        <v/>
      </c>
      <c r="U5" s="13">
        <f>IF(U3&lt;&gt;0,U4/U3,"")</f>
        <v/>
      </c>
      <c r="V5" s="13">
        <f>IF(V3&lt;&gt;0,V4/V3,"")</f>
        <v/>
      </c>
      <c r="W5" s="13">
        <f>IF(W3&lt;&gt;0,W4/W3,"")</f>
        <v/>
      </c>
      <c r="X5" s="13">
        <f>IF(X3&lt;&gt;0,X4/X3,"")</f>
        <v/>
      </c>
      <c r="Y5" s="13">
        <f>IF(Y3&lt;&gt;0,Y4/Y3,"")</f>
        <v/>
      </c>
      <c r="Z5" s="13">
        <f>IF(Z3&lt;&gt;0,Z4/Z3,"")</f>
        <v/>
      </c>
      <c r="AA5" s="13">
        <f>IF(AA3&lt;&gt;0,AA4/AA3,"")</f>
        <v/>
      </c>
    </row>
    <row r="6">
      <c r="A6" s="2" t="inlineStr">
        <is>
          <t>Barley</t>
        </is>
      </c>
      <c r="B6" s="3" t="inlineStr">
        <is>
          <t>Yield</t>
        </is>
      </c>
      <c r="C6" s="12" t="inlineStr">
        <is>
          <t>BU/AC</t>
        </is>
      </c>
      <c r="D6" s="14">
        <f>Barley_Mo!O6</f>
        <v/>
      </c>
      <c r="E6" s="14">
        <f>Barley_Mo!O21</f>
        <v/>
      </c>
      <c r="F6" s="14">
        <f>Barley_Mo!O36</f>
        <v/>
      </c>
      <c r="G6" s="14">
        <f>Barley_Mo!O51</f>
        <v/>
      </c>
      <c r="H6" s="14">
        <f>Barley_Mo!O66</f>
        <v/>
      </c>
      <c r="I6" s="14">
        <f>Barley_Mo!O81</f>
        <v/>
      </c>
      <c r="J6" s="14">
        <f>Barley_Mo!O96</f>
        <v/>
      </c>
      <c r="K6" s="14">
        <f>Barley_Mo!O111</f>
        <v/>
      </c>
      <c r="L6" s="14">
        <f>Barley_Mo!O126</f>
        <v/>
      </c>
      <c r="M6" s="14">
        <f>Barley_Mo!O141</f>
        <v/>
      </c>
      <c r="N6" s="14">
        <f>Barley_Mo!O156</f>
        <v/>
      </c>
      <c r="O6" s="14">
        <f>Barley_Mo!O171</f>
        <v/>
      </c>
      <c r="P6" s="14">
        <f>Barley_Mo!O186</f>
        <v/>
      </c>
      <c r="Q6" s="14">
        <f>Barley_Mo!O201</f>
        <v/>
      </c>
      <c r="R6" s="14">
        <f>Barley_Mo!O216</f>
        <v/>
      </c>
      <c r="S6" s="14">
        <f>Barley_Mo!O231</f>
        <v/>
      </c>
      <c r="T6" s="14">
        <f>Barley_Mo!O246</f>
        <v/>
      </c>
      <c r="U6" s="14">
        <f>Barley_Mo!O261</f>
        <v/>
      </c>
      <c r="V6" s="14">
        <f>Barley_Mo!O276</f>
        <v/>
      </c>
      <c r="W6" s="14">
        <f>Barley_Mo!O291</f>
        <v/>
      </c>
      <c r="X6" s="14">
        <f>Barley_Mo!O306</f>
        <v/>
      </c>
      <c r="Y6" s="14">
        <f>Barley_Mo!O321</f>
        <v/>
      </c>
      <c r="Z6" s="14">
        <f>Barley_Mo!O336</f>
        <v/>
      </c>
      <c r="AA6" s="14">
        <f>Barley_Mo!O351</f>
        <v/>
      </c>
    </row>
    <row r="7">
      <c r="A7" s="2" t="inlineStr">
        <is>
          <t>Barley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2" t="inlineStr">
        <is>
          <t>Barley</t>
        </is>
      </c>
      <c r="B8" s="8" t="inlineStr">
        <is>
          <t>Beginning Stocks</t>
        </is>
      </c>
      <c r="C8" s="2" t="inlineStr">
        <is>
          <t>KMT</t>
        </is>
      </c>
      <c r="D8" s="9">
        <f>Barley_Mo!P8</f>
        <v/>
      </c>
      <c r="E8" s="9">
        <f>Barley_Mo!P23</f>
        <v/>
      </c>
      <c r="F8" s="9">
        <f>Barley_Mo!P38</f>
        <v/>
      </c>
      <c r="G8" s="9">
        <f>Barley_Mo!P53</f>
        <v/>
      </c>
      <c r="H8" s="9">
        <f>Barley_Mo!P68</f>
        <v/>
      </c>
      <c r="I8" s="9">
        <f>Barley_Mo!P83</f>
        <v/>
      </c>
      <c r="J8" s="9">
        <f>Barley_Mo!P98</f>
        <v/>
      </c>
      <c r="K8" s="9">
        <f>Barley_Mo!P113</f>
        <v/>
      </c>
      <c r="L8" s="9">
        <f>Barley_Mo!P128</f>
        <v/>
      </c>
      <c r="M8" s="9">
        <f>Barley_Mo!P143</f>
        <v/>
      </c>
      <c r="N8" s="9">
        <f>Barley_Mo!P158</f>
        <v/>
      </c>
      <c r="O8" s="9">
        <f>Barley_Mo!P173</f>
        <v/>
      </c>
      <c r="P8" s="9">
        <f>Barley_Mo!P188</f>
        <v/>
      </c>
      <c r="Q8" s="9">
        <f>Barley_Mo!P203</f>
        <v/>
      </c>
      <c r="R8" s="9">
        <f>Barley_Mo!P218</f>
        <v/>
      </c>
      <c r="S8" s="9">
        <f>Barley_Mo!P233</f>
        <v/>
      </c>
      <c r="T8" s="9">
        <f>Barley_Mo!P248</f>
        <v/>
      </c>
      <c r="U8" s="9">
        <f>Barley_Mo!P263</f>
        <v/>
      </c>
      <c r="V8" s="9">
        <f>Barley_Mo!P278</f>
        <v/>
      </c>
      <c r="W8" s="9">
        <f>Barley_Mo!P293</f>
        <v/>
      </c>
      <c r="X8" s="9">
        <f>Barley_Mo!P308</f>
        <v/>
      </c>
      <c r="Y8" s="9">
        <f>Barley_Mo!P323</f>
        <v/>
      </c>
      <c r="Z8" s="9">
        <f>Barley_Mo!P338</f>
        <v/>
      </c>
      <c r="AA8" s="9">
        <f>Barley_Mo!P353</f>
        <v/>
      </c>
    </row>
    <row r="9">
      <c r="A9" s="2" t="inlineStr">
        <is>
          <t>Barley</t>
        </is>
      </c>
      <c r="B9" s="8" t="inlineStr">
        <is>
          <t>Imports</t>
        </is>
      </c>
      <c r="C9" s="2" t="inlineStr">
        <is>
          <t>KMT</t>
        </is>
      </c>
      <c r="D9" s="9">
        <f>Barley_Mo!P9</f>
        <v/>
      </c>
      <c r="E9" s="9">
        <f>Barley_Mo!P24</f>
        <v/>
      </c>
      <c r="F9" s="9">
        <f>Barley_Mo!P39</f>
        <v/>
      </c>
      <c r="G9" s="9">
        <f>Barley_Mo!P54</f>
        <v/>
      </c>
      <c r="H9" s="9">
        <f>Barley_Mo!P69</f>
        <v/>
      </c>
      <c r="I9" s="9">
        <f>Barley_Mo!P84</f>
        <v/>
      </c>
      <c r="J9" s="9">
        <f>Barley_Mo!P99</f>
        <v/>
      </c>
      <c r="K9" s="9">
        <f>Barley_Mo!P114</f>
        <v/>
      </c>
      <c r="L9" s="9">
        <f>Barley_Mo!P129</f>
        <v/>
      </c>
      <c r="M9" s="9">
        <f>Barley_Mo!P144</f>
        <v/>
      </c>
      <c r="N9" s="9">
        <f>Barley_Mo!P159</f>
        <v/>
      </c>
      <c r="O9" s="9">
        <f>Barley_Mo!P174</f>
        <v/>
      </c>
      <c r="P9" s="9">
        <f>Barley_Mo!P189</f>
        <v/>
      </c>
      <c r="Q9" s="9">
        <f>Barley_Mo!P204</f>
        <v/>
      </c>
      <c r="R9" s="9">
        <f>Barley_Mo!P219</f>
        <v/>
      </c>
      <c r="S9" s="9">
        <f>Barley_Mo!P234</f>
        <v/>
      </c>
      <c r="T9" s="9">
        <f>Barley_Mo!P249</f>
        <v/>
      </c>
      <c r="U9" s="9">
        <f>Barley_Mo!P264</f>
        <v/>
      </c>
      <c r="V9" s="9">
        <f>Barley_Mo!P279</f>
        <v/>
      </c>
      <c r="W9" s="9">
        <f>Barley_Mo!P294</f>
        <v/>
      </c>
      <c r="X9" s="9">
        <f>Barley_Mo!P309</f>
        <v/>
      </c>
      <c r="Y9" s="9">
        <f>Barley_Mo!P324</f>
        <v/>
      </c>
      <c r="Z9" s="9">
        <f>Barley_Mo!P339</f>
        <v/>
      </c>
      <c r="AA9" s="9">
        <f>Barley_Mo!P354</f>
        <v/>
      </c>
    </row>
    <row r="10">
      <c r="A10" s="2" t="inlineStr">
        <is>
          <t>Barley</t>
        </is>
      </c>
      <c r="B10" s="8" t="inlineStr">
        <is>
          <t>Production</t>
        </is>
      </c>
      <c r="C10" s="2" t="inlineStr">
        <is>
          <t>KMT</t>
        </is>
      </c>
      <c r="D10" s="9">
        <f>Barley_Mo!P10</f>
        <v/>
      </c>
      <c r="E10" s="9">
        <f>Barley_Mo!P25</f>
        <v/>
      </c>
      <c r="F10" s="9">
        <f>Barley_Mo!P40</f>
        <v/>
      </c>
      <c r="G10" s="9">
        <f>Barley_Mo!P55</f>
        <v/>
      </c>
      <c r="H10" s="9">
        <f>Barley_Mo!P70</f>
        <v/>
      </c>
      <c r="I10" s="9">
        <f>Barley_Mo!P85</f>
        <v/>
      </c>
      <c r="J10" s="9">
        <f>Barley_Mo!P100</f>
        <v/>
      </c>
      <c r="K10" s="9">
        <f>Barley_Mo!P115</f>
        <v/>
      </c>
      <c r="L10" s="9">
        <f>Barley_Mo!P130</f>
        <v/>
      </c>
      <c r="M10" s="9">
        <f>Barley_Mo!P145</f>
        <v/>
      </c>
      <c r="N10" s="9">
        <f>Barley_Mo!P160</f>
        <v/>
      </c>
      <c r="O10" s="9">
        <f>Barley_Mo!P175</f>
        <v/>
      </c>
      <c r="P10" s="9">
        <f>Barley_Mo!P190</f>
        <v/>
      </c>
      <c r="Q10" s="9">
        <f>Barley_Mo!P205</f>
        <v/>
      </c>
      <c r="R10" s="9">
        <f>Barley_Mo!P220</f>
        <v/>
      </c>
      <c r="S10" s="9">
        <f>Barley_Mo!P235</f>
        <v/>
      </c>
      <c r="T10" s="9">
        <f>Barley_Mo!P250</f>
        <v/>
      </c>
      <c r="U10" s="9">
        <f>Barley_Mo!P265</f>
        <v/>
      </c>
      <c r="V10" s="9">
        <f>Barley_Mo!P280</f>
        <v/>
      </c>
      <c r="W10" s="9">
        <f>Barley_Mo!P295</f>
        <v/>
      </c>
      <c r="X10" s="9">
        <f>Barley_Mo!P310</f>
        <v/>
      </c>
      <c r="Y10" s="9">
        <f>Barley_Mo!P325</f>
        <v/>
      </c>
      <c r="Z10" s="9">
        <f>Barley_Mo!P340</f>
        <v/>
      </c>
      <c r="AA10" s="9">
        <f>Barley_Mo!P355</f>
        <v/>
      </c>
    </row>
    <row r="11">
      <c r="A11" s="2" t="inlineStr">
        <is>
          <t>Barley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2" t="inlineStr">
        <is>
          <t>Barley</t>
        </is>
      </c>
      <c r="B12" s="8" t="inlineStr">
        <is>
          <t>Food</t>
        </is>
      </c>
      <c r="C12" s="2" t="inlineStr">
        <is>
          <t>KMT</t>
        </is>
      </c>
      <c r="D12" s="9">
        <f>Barley_Mo!P12</f>
        <v/>
      </c>
      <c r="E12" s="9">
        <f>Barley_Mo!P27</f>
        <v/>
      </c>
      <c r="F12" s="9">
        <f>Barley_Mo!P42</f>
        <v/>
      </c>
      <c r="G12" s="9">
        <f>Barley_Mo!P57</f>
        <v/>
      </c>
      <c r="H12" s="9">
        <f>Barley_Mo!P72</f>
        <v/>
      </c>
      <c r="I12" s="9">
        <f>Barley_Mo!P87</f>
        <v/>
      </c>
      <c r="J12" s="9">
        <f>Barley_Mo!P102</f>
        <v/>
      </c>
      <c r="K12" s="9">
        <f>Barley_Mo!P117</f>
        <v/>
      </c>
      <c r="L12" s="9">
        <f>Barley_Mo!P132</f>
        <v/>
      </c>
      <c r="M12" s="9">
        <f>Barley_Mo!P147</f>
        <v/>
      </c>
      <c r="N12" s="9">
        <f>Barley_Mo!P162</f>
        <v/>
      </c>
      <c r="O12" s="9">
        <f>Barley_Mo!P177</f>
        <v/>
      </c>
      <c r="P12" s="9">
        <f>Barley_Mo!P192</f>
        <v/>
      </c>
      <c r="Q12" s="9">
        <f>Barley_Mo!P207</f>
        <v/>
      </c>
      <c r="R12" s="9">
        <f>Barley_Mo!P222</f>
        <v/>
      </c>
      <c r="S12" s="9">
        <f>Barley_Mo!P237</f>
        <v/>
      </c>
      <c r="T12" s="9">
        <f>Barley_Mo!P252</f>
        <v/>
      </c>
      <c r="U12" s="9">
        <f>Barley_Mo!P267</f>
        <v/>
      </c>
      <c r="V12" s="9">
        <f>Barley_Mo!P282</f>
        <v/>
      </c>
      <c r="W12" s="9">
        <f>Barley_Mo!P297</f>
        <v/>
      </c>
      <c r="X12" s="9">
        <f>Barley_Mo!P312</f>
        <v/>
      </c>
      <c r="Y12" s="9">
        <f>Barley_Mo!P327</f>
        <v/>
      </c>
      <c r="Z12" s="9">
        <f>Barley_Mo!P342</f>
        <v/>
      </c>
      <c r="AA12" s="9">
        <f>Barley_Mo!P357</f>
        <v/>
      </c>
    </row>
    <row r="13">
      <c r="A13" s="2" t="inlineStr">
        <is>
          <t>Barley</t>
        </is>
      </c>
      <c r="B13" s="8" t="inlineStr">
        <is>
          <t>Industrial</t>
        </is>
      </c>
      <c r="C13" s="2" t="inlineStr">
        <is>
          <t>KMT</t>
        </is>
      </c>
      <c r="D13" s="9">
        <f>Barley_Mo!P13</f>
        <v/>
      </c>
      <c r="E13" s="9">
        <f>Barley_Mo!P28</f>
        <v/>
      </c>
      <c r="F13" s="9">
        <f>Barley_Mo!P43</f>
        <v/>
      </c>
      <c r="G13" s="9">
        <f>Barley_Mo!P58</f>
        <v/>
      </c>
      <c r="H13" s="9">
        <f>Barley_Mo!P73</f>
        <v/>
      </c>
      <c r="I13" s="9">
        <f>Barley_Mo!P88</f>
        <v/>
      </c>
      <c r="J13" s="9">
        <f>Barley_Mo!P103</f>
        <v/>
      </c>
      <c r="K13" s="9">
        <f>Barley_Mo!P118</f>
        <v/>
      </c>
      <c r="L13" s="9">
        <f>Barley_Mo!P133</f>
        <v/>
      </c>
      <c r="M13" s="9">
        <f>Barley_Mo!P148</f>
        <v/>
      </c>
      <c r="N13" s="9">
        <f>Barley_Mo!P163</f>
        <v/>
      </c>
      <c r="O13" s="9">
        <f>Barley_Mo!P178</f>
        <v/>
      </c>
      <c r="P13" s="9">
        <f>Barley_Mo!P193</f>
        <v/>
      </c>
      <c r="Q13" s="9">
        <f>Barley_Mo!P208</f>
        <v/>
      </c>
      <c r="R13" s="9">
        <f>Barley_Mo!P223</f>
        <v/>
      </c>
      <c r="S13" s="9">
        <f>Barley_Mo!P238</f>
        <v/>
      </c>
      <c r="T13" s="9">
        <f>Barley_Mo!P253</f>
        <v/>
      </c>
      <c r="U13" s="9">
        <f>Barley_Mo!P268</f>
        <v/>
      </c>
      <c r="V13" s="9">
        <f>Barley_Mo!P283</f>
        <v/>
      </c>
      <c r="W13" s="9">
        <f>Barley_Mo!P298</f>
        <v/>
      </c>
      <c r="X13" s="9">
        <f>Barley_Mo!P313</f>
        <v/>
      </c>
      <c r="Y13" s="9">
        <f>Barley_Mo!P328</f>
        <v/>
      </c>
      <c r="Z13" s="9">
        <f>Barley_Mo!P343</f>
        <v/>
      </c>
      <c r="AA13" s="9">
        <f>Barley_Mo!P358</f>
        <v/>
      </c>
    </row>
    <row r="14">
      <c r="A14" s="2" t="inlineStr">
        <is>
          <t>Barley</t>
        </is>
      </c>
      <c r="B14" s="8" t="inlineStr">
        <is>
          <t>FSR</t>
        </is>
      </c>
      <c r="C14" s="2" t="inlineStr">
        <is>
          <t>KMT</t>
        </is>
      </c>
      <c r="D14" s="9">
        <f>Barley_Mo!P14</f>
        <v/>
      </c>
      <c r="E14" s="9">
        <f>Barley_Mo!P29</f>
        <v/>
      </c>
      <c r="F14" s="9">
        <f>Barley_Mo!P44</f>
        <v/>
      </c>
      <c r="G14" s="9">
        <f>Barley_Mo!P59</f>
        <v/>
      </c>
      <c r="H14" s="9">
        <f>Barley_Mo!P74</f>
        <v/>
      </c>
      <c r="I14" s="9">
        <f>Barley_Mo!P89</f>
        <v/>
      </c>
      <c r="J14" s="9">
        <f>Barley_Mo!P104</f>
        <v/>
      </c>
      <c r="K14" s="9">
        <f>Barley_Mo!P119</f>
        <v/>
      </c>
      <c r="L14" s="9">
        <f>Barley_Mo!P134</f>
        <v/>
      </c>
      <c r="M14" s="9">
        <f>Barley_Mo!P149</f>
        <v/>
      </c>
      <c r="N14" s="9">
        <f>Barley_Mo!P164</f>
        <v/>
      </c>
      <c r="O14" s="9">
        <f>Barley_Mo!P179</f>
        <v/>
      </c>
      <c r="P14" s="9">
        <f>Barley_Mo!P194</f>
        <v/>
      </c>
      <c r="Q14" s="9">
        <f>Barley_Mo!P209</f>
        <v/>
      </c>
      <c r="R14" s="9">
        <f>Barley_Mo!P224</f>
        <v/>
      </c>
      <c r="S14" s="9">
        <f>Barley_Mo!P239</f>
        <v/>
      </c>
      <c r="T14" s="9">
        <f>Barley_Mo!P254</f>
        <v/>
      </c>
      <c r="U14" s="9">
        <f>Barley_Mo!P269</f>
        <v/>
      </c>
      <c r="V14" s="9">
        <f>Barley_Mo!P284</f>
        <v/>
      </c>
      <c r="W14" s="9">
        <f>Barley_Mo!P299</f>
        <v/>
      </c>
      <c r="X14" s="9">
        <f>Barley_Mo!P314</f>
        <v/>
      </c>
      <c r="Y14" s="9">
        <f>Barley_Mo!P329</f>
        <v/>
      </c>
      <c r="Z14" s="9">
        <f>Barley_Mo!P344</f>
        <v/>
      </c>
      <c r="AA14" s="9">
        <f>Barley_Mo!P359</f>
        <v/>
      </c>
    </row>
    <row r="15">
      <c r="A15" s="2" t="inlineStr">
        <is>
          <t>Barley</t>
        </is>
      </c>
      <c r="B15" s="8" t="inlineStr">
        <is>
          <t>Exports</t>
        </is>
      </c>
      <c r="C15" s="2" t="inlineStr">
        <is>
          <t>KMT</t>
        </is>
      </c>
      <c r="D15" s="9">
        <f>Barley_Mo!P15</f>
        <v/>
      </c>
      <c r="E15" s="9">
        <f>Barley_Mo!P30</f>
        <v/>
      </c>
      <c r="F15" s="9">
        <f>Barley_Mo!P45</f>
        <v/>
      </c>
      <c r="G15" s="9">
        <f>Barley_Mo!P60</f>
        <v/>
      </c>
      <c r="H15" s="9">
        <f>Barley_Mo!P75</f>
        <v/>
      </c>
      <c r="I15" s="9">
        <f>Barley_Mo!P90</f>
        <v/>
      </c>
      <c r="J15" s="9">
        <f>Barley_Mo!P105</f>
        <v/>
      </c>
      <c r="K15" s="9">
        <f>Barley_Mo!P120</f>
        <v/>
      </c>
      <c r="L15" s="9">
        <f>Barley_Mo!P135</f>
        <v/>
      </c>
      <c r="M15" s="9">
        <f>Barley_Mo!P150</f>
        <v/>
      </c>
      <c r="N15" s="9">
        <f>Barley_Mo!P165</f>
        <v/>
      </c>
      <c r="O15" s="9">
        <f>Barley_Mo!P180</f>
        <v/>
      </c>
      <c r="P15" s="9">
        <f>Barley_Mo!P195</f>
        <v/>
      </c>
      <c r="Q15" s="9">
        <f>Barley_Mo!P210</f>
        <v/>
      </c>
      <c r="R15" s="9">
        <f>Barley_Mo!P225</f>
        <v/>
      </c>
      <c r="S15" s="9">
        <f>Barley_Mo!P240</f>
        <v/>
      </c>
      <c r="T15" s="9">
        <f>Barley_Mo!P255</f>
        <v/>
      </c>
      <c r="U15" s="9">
        <f>Barley_Mo!P270</f>
        <v/>
      </c>
      <c r="V15" s="9">
        <f>Barley_Mo!P285</f>
        <v/>
      </c>
      <c r="W15" s="9">
        <f>Barley_Mo!P300</f>
        <v/>
      </c>
      <c r="X15" s="9">
        <f>Barley_Mo!P315</f>
        <v/>
      </c>
      <c r="Y15" s="9">
        <f>Barley_Mo!P330</f>
        <v/>
      </c>
      <c r="Z15" s="9">
        <f>Barley_Mo!P345</f>
        <v/>
      </c>
      <c r="AA15" s="9">
        <f>Barley_Mo!P360</f>
        <v/>
      </c>
    </row>
    <row r="16">
      <c r="A16" s="2" t="inlineStr">
        <is>
          <t>Barley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2" t="inlineStr">
        <is>
          <t>Barley</t>
        </is>
      </c>
      <c r="B17" s="8" t="inlineStr">
        <is>
          <t>Ending Stocks</t>
        </is>
      </c>
      <c r="C17" s="2" t="inlineStr">
        <is>
          <t>KMT</t>
        </is>
      </c>
      <c r="D17" s="9">
        <f>Barley_Mo!P17</f>
        <v/>
      </c>
      <c r="E17" s="9">
        <f>Barley_Mo!P32</f>
        <v/>
      </c>
      <c r="F17" s="9">
        <f>Barley_Mo!P47</f>
        <v/>
      </c>
      <c r="G17" s="9">
        <f>Barley_Mo!P62</f>
        <v/>
      </c>
      <c r="H17" s="9">
        <f>Barley_Mo!P77</f>
        <v/>
      </c>
      <c r="I17" s="9">
        <f>Barley_Mo!P92</f>
        <v/>
      </c>
      <c r="J17" s="9">
        <f>Barley_Mo!P107</f>
        <v/>
      </c>
      <c r="K17" s="9">
        <f>Barley_Mo!P122</f>
        <v/>
      </c>
      <c r="L17" s="9">
        <f>Barley_Mo!P137</f>
        <v/>
      </c>
      <c r="M17" s="9">
        <f>Barley_Mo!P152</f>
        <v/>
      </c>
      <c r="N17" s="9">
        <f>Barley_Mo!P167</f>
        <v/>
      </c>
      <c r="O17" s="9">
        <f>Barley_Mo!P182</f>
        <v/>
      </c>
      <c r="P17" s="9">
        <f>Barley_Mo!P197</f>
        <v/>
      </c>
      <c r="Q17" s="9">
        <f>Barley_Mo!P212</f>
        <v/>
      </c>
      <c r="R17" s="9">
        <f>Barley_Mo!P227</f>
        <v/>
      </c>
      <c r="S17" s="9">
        <f>Barley_Mo!P242</f>
        <v/>
      </c>
      <c r="T17" s="9">
        <f>Barley_Mo!P257</f>
        <v/>
      </c>
      <c r="U17" s="9">
        <f>Barley_Mo!P272</f>
        <v/>
      </c>
      <c r="V17" s="9">
        <f>Barley_Mo!P287</f>
        <v/>
      </c>
      <c r="W17" s="9">
        <f>Barley_Mo!P302</f>
        <v/>
      </c>
      <c r="X17" s="9">
        <f>Barley_Mo!P317</f>
        <v/>
      </c>
      <c r="Y17" s="9">
        <f>Barley_Mo!P332</f>
        <v/>
      </c>
      <c r="Z17" s="9">
        <f>Barley_Mo!P347</f>
        <v/>
      </c>
      <c r="AA17" s="9">
        <f>Barley_Mo!P362</f>
        <v/>
      </c>
    </row>
    <row r="18">
      <c r="A18" s="2" t="inlineStr">
        <is>
          <t>Barley</t>
        </is>
      </c>
      <c r="B18" s="3" t="inlineStr">
        <is>
          <t>Stocks-to-Use</t>
        </is>
      </c>
      <c r="C18" s="12" t="inlineStr">
        <is>
          <t>%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2" t="inlineStr">
        <is>
          <t>Barley</t>
        </is>
      </c>
      <c r="B19" s="3" t="inlineStr">
        <is>
          <t>STU Days</t>
        </is>
      </c>
      <c r="C19" s="12" t="inlineStr">
        <is>
          <t>Days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</row>
    <row r="20">
      <c r="A20" s="2" t="inlineStr">
        <is>
          <t>Barley</t>
        </is>
      </c>
      <c r="B20" s="11" t="inlineStr">
        <is>
          <t>CHECK</t>
        </is>
      </c>
      <c r="C20" s="15" t="inlineStr">
        <is>
          <t>KMT</t>
        </is>
      </c>
      <c r="D20" s="16">
        <f>D8+D10+D9-D12-D13-D14-D15-D17</f>
        <v/>
      </c>
      <c r="E20" s="16">
        <f>E8+E10+E9-E12-E13-E14-E15-E17</f>
        <v/>
      </c>
      <c r="F20" s="16">
        <f>F8+F10+F9-F12-F13-F14-F15-F17</f>
        <v/>
      </c>
      <c r="G20" s="16">
        <f>G8+G10+G9-G12-G13-G14-G15-G17</f>
        <v/>
      </c>
      <c r="H20" s="16">
        <f>H8+H10+H9-H12-H13-H14-H15-H17</f>
        <v/>
      </c>
      <c r="I20" s="16">
        <f>I8+I10+I9-I12-I13-I14-I15-I17</f>
        <v/>
      </c>
      <c r="J20" s="16">
        <f>J8+J10+J9-J12-J13-J14-J15-J17</f>
        <v/>
      </c>
      <c r="K20" s="16">
        <f>K8+K10+K9-K12-K13-K14-K15-K17</f>
        <v/>
      </c>
      <c r="L20" s="16">
        <f>L8+L10+L9-L12-L13-L14-L15-L17</f>
        <v/>
      </c>
      <c r="M20" s="16">
        <f>M8+M10+M9-M12-M13-M14-M15-M17</f>
        <v/>
      </c>
      <c r="N20" s="16">
        <f>N8+N10+N9-N12-N13-N14-N15-N17</f>
        <v/>
      </c>
      <c r="O20" s="16">
        <f>O8+O10+O9-O12-O13-O14-O15-O17</f>
        <v/>
      </c>
      <c r="P20" s="16">
        <f>P8+P10+P9-P12-P13-P14-P15-P17</f>
        <v/>
      </c>
      <c r="Q20" s="16">
        <f>Q8+Q10+Q9-Q12-Q13-Q14-Q15-Q17</f>
        <v/>
      </c>
      <c r="R20" s="16">
        <f>R8+R10+R9-R12-R13-R14-R15-R17</f>
        <v/>
      </c>
      <c r="S20" s="16">
        <f>S8+S10+S9-S12-S13-S14-S15-S17</f>
        <v/>
      </c>
      <c r="T20" s="16">
        <f>T8+T10+T9-T12-T13-T14-T15-T17</f>
        <v/>
      </c>
      <c r="U20" s="16">
        <f>U8+U10+U9-U12-U13-U14-U15-U17</f>
        <v/>
      </c>
      <c r="V20" s="16">
        <f>V8+V10+V9-V12-V13-V14-V15-V17</f>
        <v/>
      </c>
      <c r="W20" s="16">
        <f>W8+W10+W9-W12-W13-W14-W15-W17</f>
        <v/>
      </c>
      <c r="X20" s="16">
        <f>X8+X10+X9-X12-X13-X14-X15-X17</f>
        <v/>
      </c>
      <c r="Y20" s="16">
        <f>Y8+Y10+Y9-Y12-Y13-Y14-Y15-Y17</f>
        <v/>
      </c>
      <c r="Z20" s="16">
        <f>Z8+Z10+Z9-Z12-Z13-Z14-Z15-Z17</f>
        <v/>
      </c>
      <c r="AA20" s="16">
        <f>AA8+AA10+AA9-AA12-AA13-AA14-AA15-AA17</f>
        <v/>
      </c>
    </row>
  </sheetData>
  <mergeCells count="1">
    <mergeCell ref="A1:C1"/>
  </mergeCells>
  <conditionalFormatting sqref="D20:AA20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27"/>
  </cols>
  <sheetData>
    <row r="1" ht="15.6" customHeight="1" s="46">
      <c r="A1" s="45" t="inlineStr">
        <is>
          <t>Oats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" t="inlineStr">
        <is>
          <t>2002-03</t>
        </is>
      </c>
      <c r="E2" s="1" t="inlineStr">
        <is>
          <t>2003-04</t>
        </is>
      </c>
      <c r="F2" s="1" t="inlineStr">
        <is>
          <t>2004-05</t>
        </is>
      </c>
      <c r="G2" s="1" t="inlineStr">
        <is>
          <t>2005-06</t>
        </is>
      </c>
      <c r="H2" s="1" t="inlineStr">
        <is>
          <t>2006-07</t>
        </is>
      </c>
      <c r="I2" s="1" t="inlineStr">
        <is>
          <t>2007-08</t>
        </is>
      </c>
      <c r="J2" s="1" t="inlineStr">
        <is>
          <t>2008-09</t>
        </is>
      </c>
      <c r="K2" s="1" t="inlineStr">
        <is>
          <t>2009-10</t>
        </is>
      </c>
      <c r="L2" s="1" t="inlineStr">
        <is>
          <t>2010-11</t>
        </is>
      </c>
      <c r="M2" s="1" t="inlineStr">
        <is>
          <t>2011-12</t>
        </is>
      </c>
      <c r="N2" s="1" t="inlineStr">
        <is>
          <t>2012-13</t>
        </is>
      </c>
      <c r="O2" s="1" t="inlineStr">
        <is>
          <t>2013-14</t>
        </is>
      </c>
      <c r="P2" s="1" t="inlineStr">
        <is>
          <t>2014-15</t>
        </is>
      </c>
      <c r="Q2" s="1" t="inlineStr">
        <is>
          <t>2015-16</t>
        </is>
      </c>
      <c r="R2" s="1" t="inlineStr">
        <is>
          <t>2016-17</t>
        </is>
      </c>
      <c r="S2" s="1" t="inlineStr">
        <is>
          <t>2017-18</t>
        </is>
      </c>
      <c r="T2" s="1" t="inlineStr">
        <is>
          <t>2018-19</t>
        </is>
      </c>
      <c r="U2" s="1" t="inlineStr">
        <is>
          <t>2019-20</t>
        </is>
      </c>
      <c r="V2" s="1" t="inlineStr">
        <is>
          <t>2020-21</t>
        </is>
      </c>
      <c r="W2" s="1" t="inlineStr">
        <is>
          <t>2021-22</t>
        </is>
      </c>
      <c r="X2" s="1" t="inlineStr">
        <is>
          <t>2022-23</t>
        </is>
      </c>
      <c r="Y2" s="1" t="inlineStr">
        <is>
          <t>2023-24</t>
        </is>
      </c>
      <c r="Z2" s="1" t="inlineStr">
        <is>
          <t>2024-25</t>
        </is>
      </c>
      <c r="AA2" s="1" t="inlineStr">
        <is>
          <t>2025-26</t>
        </is>
      </c>
    </row>
    <row r="3">
      <c r="A3" s="2" t="inlineStr">
        <is>
          <t>Oats</t>
        </is>
      </c>
      <c r="B3" s="3" t="inlineStr">
        <is>
          <t>Planted Area</t>
        </is>
      </c>
      <c r="C3" s="12" t="inlineStr">
        <is>
          <t>MLN AC</t>
        </is>
      </c>
      <c r="D3" s="9">
        <f>Oats_Mo!P3</f>
        <v/>
      </c>
      <c r="E3" s="9">
        <f>Oats_Mo!P18</f>
        <v/>
      </c>
      <c r="F3" s="9">
        <f>Oats_Mo!P33</f>
        <v/>
      </c>
      <c r="G3" s="9">
        <f>Oats_Mo!P48</f>
        <v/>
      </c>
      <c r="H3" s="9">
        <f>Oats_Mo!P63</f>
        <v/>
      </c>
      <c r="I3" s="9">
        <f>Oats_Mo!P78</f>
        <v/>
      </c>
      <c r="J3" s="9">
        <f>Oats_Mo!P93</f>
        <v/>
      </c>
      <c r="K3" s="9">
        <f>Oats_Mo!P108</f>
        <v/>
      </c>
      <c r="L3" s="9">
        <f>Oats_Mo!P123</f>
        <v/>
      </c>
      <c r="M3" s="9">
        <f>Oats_Mo!P138</f>
        <v/>
      </c>
      <c r="N3" s="9">
        <f>Oats_Mo!P153</f>
        <v/>
      </c>
      <c r="O3" s="9">
        <f>Oats_Mo!P168</f>
        <v/>
      </c>
      <c r="P3" s="9">
        <f>Oats_Mo!P183</f>
        <v/>
      </c>
      <c r="Q3" s="9">
        <f>Oats_Mo!P198</f>
        <v/>
      </c>
      <c r="R3" s="9">
        <f>Oats_Mo!P213</f>
        <v/>
      </c>
      <c r="S3" s="9">
        <f>Oats_Mo!P228</f>
        <v/>
      </c>
      <c r="T3" s="9">
        <f>Oats_Mo!P243</f>
        <v/>
      </c>
      <c r="U3" s="9">
        <f>Oats_Mo!P258</f>
        <v/>
      </c>
      <c r="V3" s="9">
        <f>Oats_Mo!P273</f>
        <v/>
      </c>
      <c r="W3" s="9">
        <f>Oats_Mo!P288</f>
        <v/>
      </c>
      <c r="X3" s="9">
        <f>Oats_Mo!P303</f>
        <v/>
      </c>
      <c r="Y3" s="9">
        <f>Oats_Mo!P318</f>
        <v/>
      </c>
      <c r="Z3" s="9">
        <f>Oats_Mo!P333</f>
        <v/>
      </c>
      <c r="AA3" s="9">
        <f>Oats_Mo!P348</f>
        <v/>
      </c>
    </row>
    <row r="4">
      <c r="A4" s="2" t="inlineStr">
        <is>
          <t>Oats</t>
        </is>
      </c>
      <c r="B4" s="3" t="inlineStr">
        <is>
          <t>Harvested Area</t>
        </is>
      </c>
      <c r="C4" s="12" t="inlineStr">
        <is>
          <t>MLN AC</t>
        </is>
      </c>
      <c r="D4" s="9">
        <f>Oats_Mo!P4</f>
        <v/>
      </c>
      <c r="E4" s="9">
        <f>Oats_Mo!P19</f>
        <v/>
      </c>
      <c r="F4" s="9">
        <f>Oats_Mo!P34</f>
        <v/>
      </c>
      <c r="G4" s="9">
        <f>Oats_Mo!P49</f>
        <v/>
      </c>
      <c r="H4" s="9">
        <f>Oats_Mo!P64</f>
        <v/>
      </c>
      <c r="I4" s="9">
        <f>Oats_Mo!P79</f>
        <v/>
      </c>
      <c r="J4" s="9">
        <f>Oats_Mo!P94</f>
        <v/>
      </c>
      <c r="K4" s="9">
        <f>Oats_Mo!P109</f>
        <v/>
      </c>
      <c r="L4" s="9">
        <f>Oats_Mo!P124</f>
        <v/>
      </c>
      <c r="M4" s="9">
        <f>Oats_Mo!P139</f>
        <v/>
      </c>
      <c r="N4" s="9">
        <f>Oats_Mo!P154</f>
        <v/>
      </c>
      <c r="O4" s="9">
        <f>Oats_Mo!P169</f>
        <v/>
      </c>
      <c r="P4" s="9">
        <f>Oats_Mo!P184</f>
        <v/>
      </c>
      <c r="Q4" s="9">
        <f>Oats_Mo!P199</f>
        <v/>
      </c>
      <c r="R4" s="9">
        <f>Oats_Mo!P214</f>
        <v/>
      </c>
      <c r="S4" s="9">
        <f>Oats_Mo!P229</f>
        <v/>
      </c>
      <c r="T4" s="9">
        <f>Oats_Mo!P244</f>
        <v/>
      </c>
      <c r="U4" s="9">
        <f>Oats_Mo!P259</f>
        <v/>
      </c>
      <c r="V4" s="9">
        <f>Oats_Mo!P274</f>
        <v/>
      </c>
      <c r="W4" s="9">
        <f>Oats_Mo!P289</f>
        <v/>
      </c>
      <c r="X4" s="9">
        <f>Oats_Mo!P304</f>
        <v/>
      </c>
      <c r="Y4" s="9">
        <f>Oats_Mo!P319</f>
        <v/>
      </c>
      <c r="Z4" s="9">
        <f>Oats_Mo!P334</f>
        <v/>
      </c>
      <c r="AA4" s="9">
        <f>Oats_Mo!P349</f>
        <v/>
      </c>
    </row>
    <row r="5">
      <c r="A5" s="2" t="inlineStr">
        <is>
          <t>Oats</t>
        </is>
      </c>
      <c r="B5" s="3" t="inlineStr">
        <is>
          <t>Proportion Harvested</t>
        </is>
      </c>
      <c r="C5" s="12" t="inlineStr">
        <is>
          <t>%</t>
        </is>
      </c>
      <c r="D5" s="13">
        <f>IF(D3&lt;&gt;0,D4/D3,"")</f>
        <v/>
      </c>
      <c r="E5" s="13">
        <f>IF(E3&lt;&gt;0,E4/E3,"")</f>
        <v/>
      </c>
      <c r="F5" s="13">
        <f>IF(F3&lt;&gt;0,F4/F3,"")</f>
        <v/>
      </c>
      <c r="G5" s="13">
        <f>IF(G3&lt;&gt;0,G4/G3,"")</f>
        <v/>
      </c>
      <c r="H5" s="13">
        <f>IF(H3&lt;&gt;0,H4/H3,"")</f>
        <v/>
      </c>
      <c r="I5" s="13">
        <f>IF(I3&lt;&gt;0,I4/I3,"")</f>
        <v/>
      </c>
      <c r="J5" s="13">
        <f>IF(J3&lt;&gt;0,J4/J3,"")</f>
        <v/>
      </c>
      <c r="K5" s="13">
        <f>IF(K3&lt;&gt;0,K4/K3,"")</f>
        <v/>
      </c>
      <c r="L5" s="13">
        <f>IF(L3&lt;&gt;0,L4/L3,"")</f>
        <v/>
      </c>
      <c r="M5" s="13">
        <f>IF(M3&lt;&gt;0,M4/M3,"")</f>
        <v/>
      </c>
      <c r="N5" s="13">
        <f>IF(N3&lt;&gt;0,N4/N3,"")</f>
        <v/>
      </c>
      <c r="O5" s="13">
        <f>IF(O3&lt;&gt;0,O4/O3,"")</f>
        <v/>
      </c>
      <c r="P5" s="13">
        <f>IF(P3&lt;&gt;0,P4/P3,"")</f>
        <v/>
      </c>
      <c r="Q5" s="13">
        <f>IF(Q3&lt;&gt;0,Q4/Q3,"")</f>
        <v/>
      </c>
      <c r="R5" s="13">
        <f>IF(R3&lt;&gt;0,R4/R3,"")</f>
        <v/>
      </c>
      <c r="S5" s="13">
        <f>IF(S3&lt;&gt;0,S4/S3,"")</f>
        <v/>
      </c>
      <c r="T5" s="13">
        <f>IF(T3&lt;&gt;0,T4/T3,"")</f>
        <v/>
      </c>
      <c r="U5" s="13">
        <f>IF(U3&lt;&gt;0,U4/U3,"")</f>
        <v/>
      </c>
      <c r="V5" s="13">
        <f>IF(V3&lt;&gt;0,V4/V3,"")</f>
        <v/>
      </c>
      <c r="W5" s="13">
        <f>IF(W3&lt;&gt;0,W4/W3,"")</f>
        <v/>
      </c>
      <c r="X5" s="13">
        <f>IF(X3&lt;&gt;0,X4/X3,"")</f>
        <v/>
      </c>
      <c r="Y5" s="13">
        <f>IF(Y3&lt;&gt;0,Y4/Y3,"")</f>
        <v/>
      </c>
      <c r="Z5" s="13">
        <f>IF(Z3&lt;&gt;0,Z4/Z3,"")</f>
        <v/>
      </c>
      <c r="AA5" s="13">
        <f>IF(AA3&lt;&gt;0,AA4/AA3,"")</f>
        <v/>
      </c>
    </row>
    <row r="6">
      <c r="A6" s="2" t="inlineStr">
        <is>
          <t>Oats</t>
        </is>
      </c>
      <c r="B6" s="3" t="inlineStr">
        <is>
          <t>Yield</t>
        </is>
      </c>
      <c r="C6" s="12" t="inlineStr">
        <is>
          <t>BU/AC</t>
        </is>
      </c>
      <c r="D6" s="14">
        <f>Oats_Mo!O6</f>
        <v/>
      </c>
      <c r="E6" s="14">
        <f>Oats_Mo!O21</f>
        <v/>
      </c>
      <c r="F6" s="14">
        <f>Oats_Mo!O36</f>
        <v/>
      </c>
      <c r="G6" s="14">
        <f>Oats_Mo!O51</f>
        <v/>
      </c>
      <c r="H6" s="14">
        <f>Oats_Mo!O66</f>
        <v/>
      </c>
      <c r="I6" s="14">
        <f>Oats_Mo!O81</f>
        <v/>
      </c>
      <c r="J6" s="14">
        <f>Oats_Mo!O96</f>
        <v/>
      </c>
      <c r="K6" s="14">
        <f>Oats_Mo!O111</f>
        <v/>
      </c>
      <c r="L6" s="14">
        <f>Oats_Mo!O126</f>
        <v/>
      </c>
      <c r="M6" s="14">
        <f>Oats_Mo!O141</f>
        <v/>
      </c>
      <c r="N6" s="14">
        <f>Oats_Mo!O156</f>
        <v/>
      </c>
      <c r="O6" s="14">
        <f>Oats_Mo!O171</f>
        <v/>
      </c>
      <c r="P6" s="14">
        <f>Oats_Mo!O186</f>
        <v/>
      </c>
      <c r="Q6" s="14">
        <f>Oats_Mo!O201</f>
        <v/>
      </c>
      <c r="R6" s="14">
        <f>Oats_Mo!O216</f>
        <v/>
      </c>
      <c r="S6" s="14">
        <f>Oats_Mo!O231</f>
        <v/>
      </c>
      <c r="T6" s="14">
        <f>Oats_Mo!O246</f>
        <v/>
      </c>
      <c r="U6" s="14">
        <f>Oats_Mo!O261</f>
        <v/>
      </c>
      <c r="V6" s="14">
        <f>Oats_Mo!O276</f>
        <v/>
      </c>
      <c r="W6" s="14">
        <f>Oats_Mo!O291</f>
        <v/>
      </c>
      <c r="X6" s="14">
        <f>Oats_Mo!O306</f>
        <v/>
      </c>
      <c r="Y6" s="14">
        <f>Oats_Mo!O321</f>
        <v/>
      </c>
      <c r="Z6" s="14">
        <f>Oats_Mo!O336</f>
        <v/>
      </c>
      <c r="AA6" s="14">
        <f>Oats_Mo!O351</f>
        <v/>
      </c>
    </row>
    <row r="7">
      <c r="A7" s="2" t="inlineStr">
        <is>
          <t>Oats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2" t="inlineStr">
        <is>
          <t>Oats</t>
        </is>
      </c>
      <c r="B8" s="8" t="inlineStr">
        <is>
          <t>Beginning Stocks</t>
        </is>
      </c>
      <c r="C8" s="2" t="inlineStr">
        <is>
          <t>KMT</t>
        </is>
      </c>
      <c r="D8" s="9">
        <f>Oats_Mo!P8</f>
        <v/>
      </c>
      <c r="E8" s="9">
        <f>Oats_Mo!P23</f>
        <v/>
      </c>
      <c r="F8" s="9">
        <f>Oats_Mo!P38</f>
        <v/>
      </c>
      <c r="G8" s="9">
        <f>Oats_Mo!P53</f>
        <v/>
      </c>
      <c r="H8" s="9">
        <f>Oats_Mo!P68</f>
        <v/>
      </c>
      <c r="I8" s="9">
        <f>Oats_Mo!P83</f>
        <v/>
      </c>
      <c r="J8" s="9">
        <f>Oats_Mo!P98</f>
        <v/>
      </c>
      <c r="K8" s="9">
        <f>Oats_Mo!P113</f>
        <v/>
      </c>
      <c r="L8" s="9">
        <f>Oats_Mo!P128</f>
        <v/>
      </c>
      <c r="M8" s="9">
        <f>Oats_Mo!P143</f>
        <v/>
      </c>
      <c r="N8" s="9">
        <f>Oats_Mo!P158</f>
        <v/>
      </c>
      <c r="O8" s="9">
        <f>Oats_Mo!P173</f>
        <v/>
      </c>
      <c r="P8" s="9">
        <f>Oats_Mo!P188</f>
        <v/>
      </c>
      <c r="Q8" s="9">
        <f>Oats_Mo!P203</f>
        <v/>
      </c>
      <c r="R8" s="9">
        <f>Oats_Mo!P218</f>
        <v/>
      </c>
      <c r="S8" s="9">
        <f>Oats_Mo!P233</f>
        <v/>
      </c>
      <c r="T8" s="9">
        <f>Oats_Mo!P248</f>
        <v/>
      </c>
      <c r="U8" s="9">
        <f>Oats_Mo!P263</f>
        <v/>
      </c>
      <c r="V8" s="9">
        <f>Oats_Mo!P278</f>
        <v/>
      </c>
      <c r="W8" s="9">
        <f>Oats_Mo!P293</f>
        <v/>
      </c>
      <c r="X8" s="9">
        <f>Oats_Mo!P308</f>
        <v/>
      </c>
      <c r="Y8" s="9">
        <f>Oats_Mo!P323</f>
        <v/>
      </c>
      <c r="Z8" s="9">
        <f>Oats_Mo!P338</f>
        <v/>
      </c>
      <c r="AA8" s="9">
        <f>Oats_Mo!P353</f>
        <v/>
      </c>
    </row>
    <row r="9">
      <c r="A9" s="2" t="inlineStr">
        <is>
          <t>Oats</t>
        </is>
      </c>
      <c r="B9" s="8" t="inlineStr">
        <is>
          <t>Imports</t>
        </is>
      </c>
      <c r="C9" s="2" t="inlineStr">
        <is>
          <t>KMT</t>
        </is>
      </c>
      <c r="D9" s="9">
        <f>Oats_Mo!P9</f>
        <v/>
      </c>
      <c r="E9" s="9">
        <f>Oats_Mo!P24</f>
        <v/>
      </c>
      <c r="F9" s="9">
        <f>Oats_Mo!P39</f>
        <v/>
      </c>
      <c r="G9" s="9">
        <f>Oats_Mo!P54</f>
        <v/>
      </c>
      <c r="H9" s="9">
        <f>Oats_Mo!P69</f>
        <v/>
      </c>
      <c r="I9" s="9">
        <f>Oats_Mo!P84</f>
        <v/>
      </c>
      <c r="J9" s="9">
        <f>Oats_Mo!P99</f>
        <v/>
      </c>
      <c r="K9" s="9">
        <f>Oats_Mo!P114</f>
        <v/>
      </c>
      <c r="L9" s="9">
        <f>Oats_Mo!P129</f>
        <v/>
      </c>
      <c r="M9" s="9">
        <f>Oats_Mo!P144</f>
        <v/>
      </c>
      <c r="N9" s="9">
        <f>Oats_Mo!P159</f>
        <v/>
      </c>
      <c r="O9" s="9">
        <f>Oats_Mo!P174</f>
        <v/>
      </c>
      <c r="P9" s="9">
        <f>Oats_Mo!P189</f>
        <v/>
      </c>
      <c r="Q9" s="9">
        <f>Oats_Mo!P204</f>
        <v/>
      </c>
      <c r="R9" s="9">
        <f>Oats_Mo!P219</f>
        <v/>
      </c>
      <c r="S9" s="9">
        <f>Oats_Mo!P234</f>
        <v/>
      </c>
      <c r="T9" s="9">
        <f>Oats_Mo!P249</f>
        <v/>
      </c>
      <c r="U9" s="9">
        <f>Oats_Mo!P264</f>
        <v/>
      </c>
      <c r="V9" s="9">
        <f>Oats_Mo!P279</f>
        <v/>
      </c>
      <c r="W9" s="9">
        <f>Oats_Mo!P294</f>
        <v/>
      </c>
      <c r="X9" s="9">
        <f>Oats_Mo!P309</f>
        <v/>
      </c>
      <c r="Y9" s="9">
        <f>Oats_Mo!P324</f>
        <v/>
      </c>
      <c r="Z9" s="9">
        <f>Oats_Mo!P339</f>
        <v/>
      </c>
      <c r="AA9" s="9">
        <f>Oats_Mo!P354</f>
        <v/>
      </c>
    </row>
    <row r="10">
      <c r="A10" s="2" t="inlineStr">
        <is>
          <t>Oats</t>
        </is>
      </c>
      <c r="B10" s="8" t="inlineStr">
        <is>
          <t>Production</t>
        </is>
      </c>
      <c r="C10" s="2" t="inlineStr">
        <is>
          <t>KMT</t>
        </is>
      </c>
      <c r="D10" s="9">
        <f>Oats_Mo!P10</f>
        <v/>
      </c>
      <c r="E10" s="9">
        <f>Oats_Mo!P25</f>
        <v/>
      </c>
      <c r="F10" s="9">
        <f>Oats_Mo!P40</f>
        <v/>
      </c>
      <c r="G10" s="9">
        <f>Oats_Mo!P55</f>
        <v/>
      </c>
      <c r="H10" s="9">
        <f>Oats_Mo!P70</f>
        <v/>
      </c>
      <c r="I10" s="9">
        <f>Oats_Mo!P85</f>
        <v/>
      </c>
      <c r="J10" s="9">
        <f>Oats_Mo!P100</f>
        <v/>
      </c>
      <c r="K10" s="9">
        <f>Oats_Mo!P115</f>
        <v/>
      </c>
      <c r="L10" s="9">
        <f>Oats_Mo!P130</f>
        <v/>
      </c>
      <c r="M10" s="9">
        <f>Oats_Mo!P145</f>
        <v/>
      </c>
      <c r="N10" s="9">
        <f>Oats_Mo!P160</f>
        <v/>
      </c>
      <c r="O10" s="9">
        <f>Oats_Mo!P175</f>
        <v/>
      </c>
      <c r="P10" s="9">
        <f>Oats_Mo!P190</f>
        <v/>
      </c>
      <c r="Q10" s="9">
        <f>Oats_Mo!P205</f>
        <v/>
      </c>
      <c r="R10" s="9">
        <f>Oats_Mo!P220</f>
        <v/>
      </c>
      <c r="S10" s="9">
        <f>Oats_Mo!P235</f>
        <v/>
      </c>
      <c r="T10" s="9">
        <f>Oats_Mo!P250</f>
        <v/>
      </c>
      <c r="U10" s="9">
        <f>Oats_Mo!P265</f>
        <v/>
      </c>
      <c r="V10" s="9">
        <f>Oats_Mo!P280</f>
        <v/>
      </c>
      <c r="W10" s="9">
        <f>Oats_Mo!P295</f>
        <v/>
      </c>
      <c r="X10" s="9">
        <f>Oats_Mo!P310</f>
        <v/>
      </c>
      <c r="Y10" s="9">
        <f>Oats_Mo!P325</f>
        <v/>
      </c>
      <c r="Z10" s="9">
        <f>Oats_Mo!P340</f>
        <v/>
      </c>
      <c r="AA10" s="9">
        <f>Oats_Mo!P355</f>
        <v/>
      </c>
    </row>
    <row r="11">
      <c r="A11" s="2" t="inlineStr">
        <is>
          <t>Oats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2" t="inlineStr">
        <is>
          <t>Oats</t>
        </is>
      </c>
      <c r="B12" s="8" t="inlineStr">
        <is>
          <t>Food</t>
        </is>
      </c>
      <c r="C12" s="2" t="inlineStr">
        <is>
          <t>KMT</t>
        </is>
      </c>
      <c r="D12" s="9">
        <f>Oats_Mo!P12</f>
        <v/>
      </c>
      <c r="E12" s="9">
        <f>Oats_Mo!P27</f>
        <v/>
      </c>
      <c r="F12" s="9">
        <f>Oats_Mo!P42</f>
        <v/>
      </c>
      <c r="G12" s="9">
        <f>Oats_Mo!P57</f>
        <v/>
      </c>
      <c r="H12" s="9">
        <f>Oats_Mo!P72</f>
        <v/>
      </c>
      <c r="I12" s="9">
        <f>Oats_Mo!P87</f>
        <v/>
      </c>
      <c r="J12" s="9">
        <f>Oats_Mo!P102</f>
        <v/>
      </c>
      <c r="K12" s="9">
        <f>Oats_Mo!P117</f>
        <v/>
      </c>
      <c r="L12" s="9">
        <f>Oats_Mo!P132</f>
        <v/>
      </c>
      <c r="M12" s="9">
        <f>Oats_Mo!P147</f>
        <v/>
      </c>
      <c r="N12" s="9">
        <f>Oats_Mo!P162</f>
        <v/>
      </c>
      <c r="O12" s="9">
        <f>Oats_Mo!P177</f>
        <v/>
      </c>
      <c r="P12" s="9">
        <f>Oats_Mo!P192</f>
        <v/>
      </c>
      <c r="Q12" s="9">
        <f>Oats_Mo!P207</f>
        <v/>
      </c>
      <c r="R12" s="9">
        <f>Oats_Mo!P222</f>
        <v/>
      </c>
      <c r="S12" s="9">
        <f>Oats_Mo!P237</f>
        <v/>
      </c>
      <c r="T12" s="9">
        <f>Oats_Mo!P252</f>
        <v/>
      </c>
      <c r="U12" s="9">
        <f>Oats_Mo!P267</f>
        <v/>
      </c>
      <c r="V12" s="9">
        <f>Oats_Mo!P282</f>
        <v/>
      </c>
      <c r="W12" s="9">
        <f>Oats_Mo!P297</f>
        <v/>
      </c>
      <c r="X12" s="9">
        <f>Oats_Mo!P312</f>
        <v/>
      </c>
      <c r="Y12" s="9">
        <f>Oats_Mo!P327</f>
        <v/>
      </c>
      <c r="Z12" s="9">
        <f>Oats_Mo!P342</f>
        <v/>
      </c>
      <c r="AA12" s="9">
        <f>Oats_Mo!P357</f>
        <v/>
      </c>
    </row>
    <row r="13">
      <c r="A13" s="2" t="inlineStr">
        <is>
          <t>Oats</t>
        </is>
      </c>
      <c r="B13" s="8" t="inlineStr">
        <is>
          <t>Industrial</t>
        </is>
      </c>
      <c r="C13" s="2" t="inlineStr">
        <is>
          <t>KMT</t>
        </is>
      </c>
      <c r="D13" s="9">
        <f>Oats_Mo!P13</f>
        <v/>
      </c>
      <c r="E13" s="9">
        <f>Oats_Mo!P28</f>
        <v/>
      </c>
      <c r="F13" s="9">
        <f>Oats_Mo!P43</f>
        <v/>
      </c>
      <c r="G13" s="9">
        <f>Oats_Mo!P58</f>
        <v/>
      </c>
      <c r="H13" s="9">
        <f>Oats_Mo!P73</f>
        <v/>
      </c>
      <c r="I13" s="9">
        <f>Oats_Mo!P88</f>
        <v/>
      </c>
      <c r="J13" s="9">
        <f>Oats_Mo!P103</f>
        <v/>
      </c>
      <c r="K13" s="9">
        <f>Oats_Mo!P118</f>
        <v/>
      </c>
      <c r="L13" s="9">
        <f>Oats_Mo!P133</f>
        <v/>
      </c>
      <c r="M13" s="9">
        <f>Oats_Mo!P148</f>
        <v/>
      </c>
      <c r="N13" s="9">
        <f>Oats_Mo!P163</f>
        <v/>
      </c>
      <c r="O13" s="9">
        <f>Oats_Mo!P178</f>
        <v/>
      </c>
      <c r="P13" s="9">
        <f>Oats_Mo!P193</f>
        <v/>
      </c>
      <c r="Q13" s="9">
        <f>Oats_Mo!P208</f>
        <v/>
      </c>
      <c r="R13" s="9">
        <f>Oats_Mo!P223</f>
        <v/>
      </c>
      <c r="S13" s="9">
        <f>Oats_Mo!P238</f>
        <v/>
      </c>
      <c r="T13" s="9">
        <f>Oats_Mo!P253</f>
        <v/>
      </c>
      <c r="U13" s="9">
        <f>Oats_Mo!P268</f>
        <v/>
      </c>
      <c r="V13" s="9">
        <f>Oats_Mo!P283</f>
        <v/>
      </c>
      <c r="W13" s="9">
        <f>Oats_Mo!P298</f>
        <v/>
      </c>
      <c r="X13" s="9">
        <f>Oats_Mo!P313</f>
        <v/>
      </c>
      <c r="Y13" s="9">
        <f>Oats_Mo!P328</f>
        <v/>
      </c>
      <c r="Z13" s="9">
        <f>Oats_Mo!P343</f>
        <v/>
      </c>
      <c r="AA13" s="9">
        <f>Oats_Mo!P358</f>
        <v/>
      </c>
    </row>
    <row r="14">
      <c r="A14" s="2" t="inlineStr">
        <is>
          <t>Oats</t>
        </is>
      </c>
      <c r="B14" s="8" t="inlineStr">
        <is>
          <t>FSR</t>
        </is>
      </c>
      <c r="C14" s="2" t="inlineStr">
        <is>
          <t>KMT</t>
        </is>
      </c>
      <c r="D14" s="9">
        <f>Oats_Mo!P14</f>
        <v/>
      </c>
      <c r="E14" s="9">
        <f>Oats_Mo!P29</f>
        <v/>
      </c>
      <c r="F14" s="9">
        <f>Oats_Mo!P44</f>
        <v/>
      </c>
      <c r="G14" s="9">
        <f>Oats_Mo!P59</f>
        <v/>
      </c>
      <c r="H14" s="9">
        <f>Oats_Mo!P74</f>
        <v/>
      </c>
      <c r="I14" s="9">
        <f>Oats_Mo!P89</f>
        <v/>
      </c>
      <c r="J14" s="9">
        <f>Oats_Mo!P104</f>
        <v/>
      </c>
      <c r="K14" s="9">
        <f>Oats_Mo!P119</f>
        <v/>
      </c>
      <c r="L14" s="9">
        <f>Oats_Mo!P134</f>
        <v/>
      </c>
      <c r="M14" s="9">
        <f>Oats_Mo!P149</f>
        <v/>
      </c>
      <c r="N14" s="9">
        <f>Oats_Mo!P164</f>
        <v/>
      </c>
      <c r="O14" s="9">
        <f>Oats_Mo!P179</f>
        <v/>
      </c>
      <c r="P14" s="9">
        <f>Oats_Mo!P194</f>
        <v/>
      </c>
      <c r="Q14" s="9">
        <f>Oats_Mo!P209</f>
        <v/>
      </c>
      <c r="R14" s="9">
        <f>Oats_Mo!P224</f>
        <v/>
      </c>
      <c r="S14" s="9">
        <f>Oats_Mo!P239</f>
        <v/>
      </c>
      <c r="T14" s="9">
        <f>Oats_Mo!P254</f>
        <v/>
      </c>
      <c r="U14" s="9">
        <f>Oats_Mo!P269</f>
        <v/>
      </c>
      <c r="V14" s="9">
        <f>Oats_Mo!P284</f>
        <v/>
      </c>
      <c r="W14" s="9">
        <f>Oats_Mo!P299</f>
        <v/>
      </c>
      <c r="X14" s="9">
        <f>Oats_Mo!P314</f>
        <v/>
      </c>
      <c r="Y14" s="9">
        <f>Oats_Mo!P329</f>
        <v/>
      </c>
      <c r="Z14" s="9">
        <f>Oats_Mo!P344</f>
        <v/>
      </c>
      <c r="AA14" s="9">
        <f>Oats_Mo!P359</f>
        <v/>
      </c>
    </row>
    <row r="15">
      <c r="A15" s="2" t="inlineStr">
        <is>
          <t>Oats</t>
        </is>
      </c>
      <c r="B15" s="8" t="inlineStr">
        <is>
          <t>Exports</t>
        </is>
      </c>
      <c r="C15" s="2" t="inlineStr">
        <is>
          <t>KMT</t>
        </is>
      </c>
      <c r="D15" s="9">
        <f>Oats_Mo!P15</f>
        <v/>
      </c>
      <c r="E15" s="9">
        <f>Oats_Mo!P30</f>
        <v/>
      </c>
      <c r="F15" s="9">
        <f>Oats_Mo!P45</f>
        <v/>
      </c>
      <c r="G15" s="9">
        <f>Oats_Mo!P60</f>
        <v/>
      </c>
      <c r="H15" s="9">
        <f>Oats_Mo!P75</f>
        <v/>
      </c>
      <c r="I15" s="9">
        <f>Oats_Mo!P90</f>
        <v/>
      </c>
      <c r="J15" s="9">
        <f>Oats_Mo!P105</f>
        <v/>
      </c>
      <c r="K15" s="9">
        <f>Oats_Mo!P120</f>
        <v/>
      </c>
      <c r="L15" s="9">
        <f>Oats_Mo!P135</f>
        <v/>
      </c>
      <c r="M15" s="9">
        <f>Oats_Mo!P150</f>
        <v/>
      </c>
      <c r="N15" s="9">
        <f>Oats_Mo!P165</f>
        <v/>
      </c>
      <c r="O15" s="9">
        <f>Oats_Mo!P180</f>
        <v/>
      </c>
      <c r="P15" s="9">
        <f>Oats_Mo!P195</f>
        <v/>
      </c>
      <c r="Q15" s="9">
        <f>Oats_Mo!P210</f>
        <v/>
      </c>
      <c r="R15" s="9">
        <f>Oats_Mo!P225</f>
        <v/>
      </c>
      <c r="S15" s="9">
        <f>Oats_Mo!P240</f>
        <v/>
      </c>
      <c r="T15" s="9">
        <f>Oats_Mo!P255</f>
        <v/>
      </c>
      <c r="U15" s="9">
        <f>Oats_Mo!P270</f>
        <v/>
      </c>
      <c r="V15" s="9">
        <f>Oats_Mo!P285</f>
        <v/>
      </c>
      <c r="W15" s="9">
        <f>Oats_Mo!P300</f>
        <v/>
      </c>
      <c r="X15" s="9">
        <f>Oats_Mo!P315</f>
        <v/>
      </c>
      <c r="Y15" s="9">
        <f>Oats_Mo!P330</f>
        <v/>
      </c>
      <c r="Z15" s="9">
        <f>Oats_Mo!P345</f>
        <v/>
      </c>
      <c r="AA15" s="9">
        <f>Oats_Mo!P360</f>
        <v/>
      </c>
    </row>
    <row r="16">
      <c r="A16" s="2" t="inlineStr">
        <is>
          <t>Oats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2" t="inlineStr">
        <is>
          <t>Oats</t>
        </is>
      </c>
      <c r="B17" s="8" t="inlineStr">
        <is>
          <t>Ending Stocks</t>
        </is>
      </c>
      <c r="C17" s="2" t="inlineStr">
        <is>
          <t>KMT</t>
        </is>
      </c>
      <c r="D17" s="9">
        <f>Oats_Mo!P17</f>
        <v/>
      </c>
      <c r="E17" s="9">
        <f>Oats_Mo!P32</f>
        <v/>
      </c>
      <c r="F17" s="9">
        <f>Oats_Mo!P47</f>
        <v/>
      </c>
      <c r="G17" s="9">
        <f>Oats_Mo!P62</f>
        <v/>
      </c>
      <c r="H17" s="9">
        <f>Oats_Mo!P77</f>
        <v/>
      </c>
      <c r="I17" s="9">
        <f>Oats_Mo!P92</f>
        <v/>
      </c>
      <c r="J17" s="9">
        <f>Oats_Mo!P107</f>
        <v/>
      </c>
      <c r="K17" s="9">
        <f>Oats_Mo!P122</f>
        <v/>
      </c>
      <c r="L17" s="9">
        <f>Oats_Mo!P137</f>
        <v/>
      </c>
      <c r="M17" s="9">
        <f>Oats_Mo!P152</f>
        <v/>
      </c>
      <c r="N17" s="9">
        <f>Oats_Mo!P167</f>
        <v/>
      </c>
      <c r="O17" s="9">
        <f>Oats_Mo!P182</f>
        <v/>
      </c>
      <c r="P17" s="9">
        <f>Oats_Mo!P197</f>
        <v/>
      </c>
      <c r="Q17" s="9">
        <f>Oats_Mo!P212</f>
        <v/>
      </c>
      <c r="R17" s="9">
        <f>Oats_Mo!P227</f>
        <v/>
      </c>
      <c r="S17" s="9">
        <f>Oats_Mo!P242</f>
        <v/>
      </c>
      <c r="T17" s="9">
        <f>Oats_Mo!P257</f>
        <v/>
      </c>
      <c r="U17" s="9">
        <f>Oats_Mo!P272</f>
        <v/>
      </c>
      <c r="V17" s="9">
        <f>Oats_Mo!P287</f>
        <v/>
      </c>
      <c r="W17" s="9">
        <f>Oats_Mo!P302</f>
        <v/>
      </c>
      <c r="X17" s="9">
        <f>Oats_Mo!P317</f>
        <v/>
      </c>
      <c r="Y17" s="9">
        <f>Oats_Mo!P332</f>
        <v/>
      </c>
      <c r="Z17" s="9">
        <f>Oats_Mo!P347</f>
        <v/>
      </c>
      <c r="AA17" s="9">
        <f>Oats_Mo!P362</f>
        <v/>
      </c>
    </row>
    <row r="18">
      <c r="A18" s="2" t="inlineStr">
        <is>
          <t>Oats</t>
        </is>
      </c>
      <c r="B18" s="3" t="inlineStr">
        <is>
          <t>Stocks-to-Use</t>
        </is>
      </c>
      <c r="C18" s="12" t="inlineStr">
        <is>
          <t>%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2" t="inlineStr">
        <is>
          <t>Oats</t>
        </is>
      </c>
      <c r="B19" s="3" t="inlineStr">
        <is>
          <t>STU Days</t>
        </is>
      </c>
      <c r="C19" s="12" t="inlineStr">
        <is>
          <t>Days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</row>
    <row r="20">
      <c r="A20" s="2" t="inlineStr">
        <is>
          <t>Oats</t>
        </is>
      </c>
      <c r="B20" s="11" t="inlineStr">
        <is>
          <t>CHECK</t>
        </is>
      </c>
      <c r="C20" s="15" t="inlineStr">
        <is>
          <t>KMT</t>
        </is>
      </c>
      <c r="D20" s="16">
        <f>D8+D10+D9-D12-D13-D14-D15-D17</f>
        <v/>
      </c>
      <c r="E20" s="16">
        <f>E8+E10+E9-E12-E13-E14-E15-E17</f>
        <v/>
      </c>
      <c r="F20" s="16">
        <f>F8+F10+F9-F12-F13-F14-F15-F17</f>
        <v/>
      </c>
      <c r="G20" s="16">
        <f>G8+G10+G9-G12-G13-G14-G15-G17</f>
        <v/>
      </c>
      <c r="H20" s="16">
        <f>H8+H10+H9-H12-H13-H14-H15-H17</f>
        <v/>
      </c>
      <c r="I20" s="16">
        <f>I8+I10+I9-I12-I13-I14-I15-I17</f>
        <v/>
      </c>
      <c r="J20" s="16">
        <f>J8+J10+J9-J12-J13-J14-J15-J17</f>
        <v/>
      </c>
      <c r="K20" s="16">
        <f>K8+K10+K9-K12-K13-K14-K15-K17</f>
        <v/>
      </c>
      <c r="L20" s="16">
        <f>L8+L10+L9-L12-L13-L14-L15-L17</f>
        <v/>
      </c>
      <c r="M20" s="16">
        <f>M8+M10+M9-M12-M13-M14-M15-M17</f>
        <v/>
      </c>
      <c r="N20" s="16">
        <f>N8+N10+N9-N12-N13-N14-N15-N17</f>
        <v/>
      </c>
      <c r="O20" s="16">
        <f>O8+O10+O9-O12-O13-O14-O15-O17</f>
        <v/>
      </c>
      <c r="P20" s="16">
        <f>P8+P10+P9-P12-P13-P14-P15-P17</f>
        <v/>
      </c>
      <c r="Q20" s="16">
        <f>Q8+Q10+Q9-Q12-Q13-Q14-Q15-Q17</f>
        <v/>
      </c>
      <c r="R20" s="16">
        <f>R8+R10+R9-R12-R13-R14-R15-R17</f>
        <v/>
      </c>
      <c r="S20" s="16">
        <f>S8+S10+S9-S12-S13-S14-S15-S17</f>
        <v/>
      </c>
      <c r="T20" s="16">
        <f>T8+T10+T9-T12-T13-T14-T15-T17</f>
        <v/>
      </c>
      <c r="U20" s="16">
        <f>U8+U10+U9-U12-U13-U14-U15-U17</f>
        <v/>
      </c>
      <c r="V20" s="16">
        <f>V8+V10+V9-V12-V13-V14-V15-V17</f>
        <v/>
      </c>
      <c r="W20" s="16">
        <f>W8+W10+W9-W12-W13-W14-W15-W17</f>
        <v/>
      </c>
      <c r="X20" s="16">
        <f>X8+X10+X9-X12-X13-X14-X15-X17</f>
        <v/>
      </c>
      <c r="Y20" s="16">
        <f>Y8+Y10+Y9-Y12-Y13-Y14-Y15-Y17</f>
        <v/>
      </c>
      <c r="Z20" s="16">
        <f>Z8+Z10+Z9-Z12-Z13-Z14-Z15-Z17</f>
        <v/>
      </c>
      <c r="AA20" s="16">
        <f>AA8+AA10+AA9-AA12-AA13-AA14-AA15-AA17</f>
        <v/>
      </c>
    </row>
  </sheetData>
  <mergeCells count="1">
    <mergeCell ref="A1:C1"/>
  </mergeCells>
  <conditionalFormatting sqref="D20:AA20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34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15"/>
    <col width="10" customWidth="1" style="46" min="16" max="16"/>
  </cols>
  <sheetData>
    <row r="1" ht="15.6" customHeight="1" s="46">
      <c r="A1" s="45" t="inlineStr">
        <is>
          <t>Soybeans</t>
        </is>
      </c>
    </row>
    <row r="2">
      <c r="A2" s="1" t="inlineStr">
        <is>
          <t>Commodity</t>
        </is>
      </c>
      <c r="B2" s="1" t="inlineStr">
        <is>
          <t>Metric</t>
        </is>
      </c>
      <c r="C2" s="1" t="inlineStr">
        <is>
          <t>Crop Year</t>
        </is>
      </c>
      <c r="D2" s="1" t="inlineStr">
        <is>
          <t>09</t>
        </is>
      </c>
      <c r="E2" s="1" t="inlineStr">
        <is>
          <t>10</t>
        </is>
      </c>
      <c r="F2" s="1" t="inlineStr">
        <is>
          <t>11</t>
        </is>
      </c>
      <c r="G2" s="1" t="inlineStr">
        <is>
          <t>12</t>
        </is>
      </c>
      <c r="H2" s="1" t="inlineStr">
        <is>
          <t>01</t>
        </is>
      </c>
      <c r="I2" s="1" t="inlineStr">
        <is>
          <t>02</t>
        </is>
      </c>
      <c r="J2" s="1" t="inlineStr">
        <is>
          <t>03</t>
        </is>
      </c>
      <c r="K2" s="1" t="inlineStr">
        <is>
          <t>04</t>
        </is>
      </c>
      <c r="L2" s="1" t="inlineStr">
        <is>
          <t>05</t>
        </is>
      </c>
      <c r="M2" s="1" t="inlineStr">
        <is>
          <t>06</t>
        </is>
      </c>
      <c r="N2" s="1" t="inlineStr">
        <is>
          <t>07</t>
        </is>
      </c>
      <c r="O2" s="1" t="inlineStr">
        <is>
          <t>08</t>
        </is>
      </c>
      <c r="P2" s="1" t="inlineStr">
        <is>
          <t>Total</t>
        </is>
      </c>
    </row>
    <row r="3">
      <c r="A3" s="2" t="inlineStr">
        <is>
          <t>Soybeans</t>
        </is>
      </c>
      <c r="B3" s="3" t="inlineStr">
        <is>
          <t>Planted Area</t>
        </is>
      </c>
      <c r="C3" s="2" t="inlineStr">
        <is>
          <t>2002-03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>
        <f>SUM(D3:O3)</f>
        <v/>
      </c>
    </row>
    <row r="4">
      <c r="A4" s="2" t="inlineStr">
        <is>
          <t>Soybeans</t>
        </is>
      </c>
      <c r="B4" s="3" t="inlineStr">
        <is>
          <t>Harvested Area</t>
        </is>
      </c>
      <c r="C4" s="2" t="inlineStr">
        <is>
          <t>2002-03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>
        <f>SUM(D4:O4)</f>
        <v/>
      </c>
    </row>
    <row r="5">
      <c r="A5" s="2" t="inlineStr">
        <is>
          <t>Soybeans</t>
        </is>
      </c>
      <c r="B5" s="3" t="inlineStr">
        <is>
          <t>Proportion Harvested</t>
        </is>
      </c>
      <c r="C5" s="2" t="inlineStr">
        <is>
          <t>2002-03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>
        <f>SUM(D5:O5)</f>
        <v/>
      </c>
    </row>
    <row r="6">
      <c r="A6" s="2" t="inlineStr">
        <is>
          <t>Soybeans</t>
        </is>
      </c>
      <c r="B6" s="3" t="inlineStr">
        <is>
          <t>Yield</t>
        </is>
      </c>
      <c r="C6" s="2" t="inlineStr">
        <is>
          <t>2002-03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>
        <f>SUM(D6:O6)</f>
        <v/>
      </c>
    </row>
    <row r="7">
      <c r="A7" s="2" t="inlineStr">
        <is>
          <t>Soybeans</t>
        </is>
      </c>
      <c r="B7" s="7" t="n"/>
      <c r="C7" s="2" t="inlineStr">
        <is>
          <t>2002-03</t>
        </is>
      </c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>
      <c r="A8" s="2" t="inlineStr">
        <is>
          <t>Soybeans</t>
        </is>
      </c>
      <c r="B8" s="8" t="inlineStr">
        <is>
          <t>Beginning Stocks</t>
        </is>
      </c>
      <c r="C8" s="2" t="inlineStr">
        <is>
          <t>2002-03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>
        <v>171.8</v>
      </c>
      <c r="O8" s="9" t="n"/>
      <c r="P8" s="10">
        <f>SUM(D8:O8)</f>
        <v/>
      </c>
    </row>
    <row r="9">
      <c r="A9" s="2" t="inlineStr">
        <is>
          <t>Soybeans</t>
        </is>
      </c>
      <c r="B9" s="8" t="inlineStr">
        <is>
          <t>Imports</t>
        </is>
      </c>
      <c r="C9" s="2" t="inlineStr">
        <is>
          <t>2002-03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>
        <v>651</v>
      </c>
      <c r="O9" s="9" t="n"/>
      <c r="P9" s="10">
        <f>SUM(D9:O9)</f>
        <v/>
      </c>
    </row>
    <row r="10">
      <c r="A10" s="2" t="inlineStr">
        <is>
          <t>Soybeans</t>
        </is>
      </c>
      <c r="B10" s="8" t="inlineStr">
        <is>
          <t>Production</t>
        </is>
      </c>
      <c r="C10" s="2" t="inlineStr">
        <is>
          <t>2002-03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>
        <v>2335.7</v>
      </c>
      <c r="O10" s="9" t="n"/>
      <c r="P10" s="10">
        <f>SUM(D10:O10)</f>
        <v/>
      </c>
    </row>
    <row r="11">
      <c r="A11" s="2" t="inlineStr">
        <is>
          <t>Soybeans</t>
        </is>
      </c>
      <c r="B11" s="7" t="n"/>
      <c r="C11" s="2" t="inlineStr">
        <is>
          <t>2002-03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2" t="inlineStr">
        <is>
          <t>Soybeans</t>
        </is>
      </c>
      <c r="B12" s="8" t="inlineStr">
        <is>
          <t>Food</t>
        </is>
      </c>
      <c r="C12" s="2" t="inlineStr">
        <is>
          <t>2002-03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>
        <v>418.8</v>
      </c>
      <c r="O12" s="9" t="n"/>
      <c r="P12" s="10">
        <f>SUM(D12:O12)</f>
        <v/>
      </c>
    </row>
    <row r="13">
      <c r="A13" s="2" t="inlineStr">
        <is>
          <t>Soybeans</t>
        </is>
      </c>
      <c r="B13" s="8" t="inlineStr">
        <is>
          <t>Crush</t>
        </is>
      </c>
      <c r="C13" s="2" t="inlineStr">
        <is>
          <t>2002-03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>
        <f>SUM(D13:O13)</f>
        <v/>
      </c>
    </row>
    <row r="14">
      <c r="A14" s="2" t="inlineStr">
        <is>
          <t>Soybeans</t>
        </is>
      </c>
      <c r="B14" s="8" t="inlineStr">
        <is>
          <t>FSR</t>
        </is>
      </c>
      <c r="C14" s="2" t="inlineStr">
        <is>
          <t>2002-03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>
        <v>1871.5</v>
      </c>
      <c r="O14" s="9" t="n"/>
      <c r="P14" s="10">
        <f>SUM(D14:O14)</f>
        <v/>
      </c>
    </row>
    <row r="15">
      <c r="A15" s="2" t="inlineStr">
        <is>
          <t>Soybeans</t>
        </is>
      </c>
      <c r="B15" s="8" t="inlineStr">
        <is>
          <t>Exports</t>
        </is>
      </c>
      <c r="C15" s="2" t="inlineStr">
        <is>
          <t>2002-03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>
        <v>723.2</v>
      </c>
      <c r="O15" s="9" t="n"/>
      <c r="P15" s="10">
        <f>SUM(D15:O15)</f>
        <v/>
      </c>
    </row>
    <row r="16">
      <c r="A16" s="2" t="inlineStr">
        <is>
          <t>Soybeans</t>
        </is>
      </c>
      <c r="B16" s="7" t="n"/>
      <c r="C16" s="2" t="inlineStr">
        <is>
          <t>2002-03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>
      <c r="A17" s="2" t="inlineStr">
        <is>
          <t>Soybeans</t>
        </is>
      </c>
      <c r="B17" s="8" t="inlineStr">
        <is>
          <t>Ending Stocks</t>
        </is>
      </c>
      <c r="C17" s="2" t="inlineStr">
        <is>
          <t>2002-03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>
        <v>145</v>
      </c>
      <c r="O17" s="9" t="n"/>
      <c r="P17" s="10">
        <f>SUM(D17:O17)</f>
        <v/>
      </c>
    </row>
    <row r="18">
      <c r="A18" s="2" t="inlineStr">
        <is>
          <t>Soybeans</t>
        </is>
      </c>
      <c r="B18" s="3" t="inlineStr">
        <is>
          <t>Stocks-to-Use</t>
        </is>
      </c>
      <c r="C18" s="2" t="inlineStr">
        <is>
          <t>2002-03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>
        <v>0.04811680769868923</v>
      </c>
      <c r="O18" s="5" t="n"/>
      <c r="P18" s="5">
        <f>SUM(D18:O18)</f>
        <v/>
      </c>
    </row>
    <row r="19">
      <c r="A19" s="2" t="inlineStr">
        <is>
          <t>Soybeans</t>
        </is>
      </c>
      <c r="B19" s="3" t="inlineStr">
        <is>
          <t>STU Days</t>
        </is>
      </c>
      <c r="C19" s="2" t="inlineStr">
        <is>
          <t>2002-03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>
        <v>17.56263481002157</v>
      </c>
      <c r="O19" s="10" t="n"/>
      <c r="P19" s="10">
        <f>SUM(D19:O19)</f>
        <v/>
      </c>
    </row>
    <row r="20">
      <c r="A20" s="2" t="inlineStr">
        <is>
          <t>Soybeans</t>
        </is>
      </c>
      <c r="B20" s="11" t="inlineStr">
        <is>
          <t>CHECK</t>
        </is>
      </c>
      <c r="C20" s="2" t="inlineStr">
        <is>
          <t>2002-03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>
        <v>-2.273736754432321e-13</v>
      </c>
      <c r="O20" s="9" t="n"/>
      <c r="P20" s="10">
        <f>SUM(D20:O20)</f>
        <v/>
      </c>
    </row>
    <row r="21">
      <c r="A21" s="2" t="inlineStr">
        <is>
          <t>Soybeans</t>
        </is>
      </c>
      <c r="B21" s="3" t="inlineStr">
        <is>
          <t>Planted Area</t>
        </is>
      </c>
      <c r="C21" s="2" t="inlineStr">
        <is>
          <t>2003-04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>
        <f>SUM(D21:O21)</f>
        <v/>
      </c>
    </row>
    <row r="22">
      <c r="A22" s="2" t="inlineStr">
        <is>
          <t>Soybeans</t>
        </is>
      </c>
      <c r="B22" s="3" t="inlineStr">
        <is>
          <t>Harvested Area</t>
        </is>
      </c>
      <c r="C22" s="2" t="inlineStr">
        <is>
          <t>2003-04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>
        <f>SUM(D22:O22)</f>
        <v/>
      </c>
    </row>
    <row r="23">
      <c r="A23" s="2" t="inlineStr">
        <is>
          <t>Soybeans</t>
        </is>
      </c>
      <c r="B23" s="3" t="inlineStr">
        <is>
          <t>Proportion Harvested</t>
        </is>
      </c>
      <c r="C23" s="2" t="inlineStr">
        <is>
          <t>2003-04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>
        <f>SUM(D23:O23)</f>
        <v/>
      </c>
    </row>
    <row r="24">
      <c r="A24" s="2" t="inlineStr">
        <is>
          <t>Soybeans</t>
        </is>
      </c>
      <c r="B24" s="3" t="inlineStr">
        <is>
          <t>Yield</t>
        </is>
      </c>
      <c r="C24" s="2" t="inlineStr">
        <is>
          <t>2003-04</t>
        </is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>
        <f>SUM(D24:O24)</f>
        <v/>
      </c>
    </row>
    <row r="25">
      <c r="A25" s="2" t="inlineStr">
        <is>
          <t>Soybeans</t>
        </is>
      </c>
      <c r="B25" s="7" t="n"/>
      <c r="C25" s="2" t="inlineStr">
        <is>
          <t>2003-04</t>
        </is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>
      <c r="A26" s="2" t="inlineStr">
        <is>
          <t>Soybeans</t>
        </is>
      </c>
      <c r="B26" s="8" t="inlineStr">
        <is>
          <t>Beginning Stocks</t>
        </is>
      </c>
      <c r="C26" s="2" t="inlineStr">
        <is>
          <t>2003-04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>
        <v>145</v>
      </c>
      <c r="O26" s="9" t="n"/>
      <c r="P26" s="10">
        <f>SUM(D26:O26)</f>
        <v/>
      </c>
    </row>
    <row r="27">
      <c r="A27" s="2" t="inlineStr">
        <is>
          <t>Soybeans</t>
        </is>
      </c>
      <c r="B27" s="8" t="inlineStr">
        <is>
          <t>Imports</t>
        </is>
      </c>
      <c r="C27" s="2" t="inlineStr">
        <is>
          <t>2003-04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>
        <v>586.7</v>
      </c>
      <c r="O27" s="9" t="n"/>
      <c r="P27" s="10">
        <f>SUM(D27:O27)</f>
        <v/>
      </c>
    </row>
    <row r="28">
      <c r="A28" s="2" t="inlineStr">
        <is>
          <t>Soybeans</t>
        </is>
      </c>
      <c r="B28" s="8" t="inlineStr">
        <is>
          <t>Production</t>
        </is>
      </c>
      <c r="C28" s="2" t="inlineStr">
        <is>
          <t>2003-04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>
        <v>2273.3</v>
      </c>
      <c r="O28" s="9" t="n"/>
      <c r="P28" s="10">
        <f>SUM(D28:O28)</f>
        <v/>
      </c>
    </row>
    <row r="29">
      <c r="A29" s="2" t="inlineStr">
        <is>
          <t>Soybeans</t>
        </is>
      </c>
      <c r="B29" s="7" t="n"/>
      <c r="C29" s="2" t="inlineStr">
        <is>
          <t>2003-04</t>
        </is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>
      <c r="A30" s="2" t="inlineStr">
        <is>
          <t>Soybeans</t>
        </is>
      </c>
      <c r="B30" s="8" t="inlineStr">
        <is>
          <t>Food</t>
        </is>
      </c>
      <c r="C30" s="2" t="inlineStr">
        <is>
          <t>2003-04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>
        <v>324.1</v>
      </c>
      <c r="O30" s="9" t="n"/>
      <c r="P30" s="10">
        <f>SUM(D30:O30)</f>
        <v/>
      </c>
    </row>
    <row r="31">
      <c r="A31" s="2" t="inlineStr">
        <is>
          <t>Soybeans</t>
        </is>
      </c>
      <c r="B31" s="8" t="inlineStr">
        <is>
          <t>Crush</t>
        </is>
      </c>
      <c r="C31" s="2" t="inlineStr">
        <is>
          <t>2003-04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10">
        <f>SUM(D31:O31)</f>
        <v/>
      </c>
    </row>
    <row r="32">
      <c r="A32" s="2" t="inlineStr">
        <is>
          <t>Soybeans</t>
        </is>
      </c>
      <c r="B32" s="8" t="inlineStr">
        <is>
          <t>FSR</t>
        </is>
      </c>
      <c r="C32" s="2" t="inlineStr">
        <is>
          <t>2003-04</t>
        </is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>
        <v>1627.3</v>
      </c>
      <c r="O32" s="9" t="n"/>
      <c r="P32" s="10">
        <f>SUM(D32:O32)</f>
        <v/>
      </c>
    </row>
    <row r="33">
      <c r="A33" s="2" t="inlineStr">
        <is>
          <t>Soybeans</t>
        </is>
      </c>
      <c r="B33" s="8" t="inlineStr">
        <is>
          <t>Exports</t>
        </is>
      </c>
      <c r="C33" s="2" t="inlineStr">
        <is>
          <t>2003-04</t>
        </is>
      </c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>
        <v>913.6</v>
      </c>
      <c r="O33" s="9" t="n"/>
      <c r="P33" s="10">
        <f>SUM(D33:O33)</f>
        <v/>
      </c>
    </row>
    <row r="34">
      <c r="A34" s="2" t="inlineStr">
        <is>
          <t>Soybeans</t>
        </is>
      </c>
      <c r="B34" s="7" t="n"/>
      <c r="C34" s="2" t="inlineStr">
        <is>
          <t>2003-04</t>
        </is>
      </c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  <row r="35">
      <c r="A35" s="2" t="inlineStr">
        <is>
          <t>Soybeans</t>
        </is>
      </c>
      <c r="B35" s="8" t="inlineStr">
        <is>
          <t>Ending Stocks</t>
        </is>
      </c>
      <c r="C35" s="2" t="inlineStr">
        <is>
          <t>2003-04</t>
        </is>
      </c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>
        <v>140</v>
      </c>
      <c r="O35" s="9" t="n"/>
      <c r="P35" s="10">
        <f>SUM(D35:O35)</f>
        <v/>
      </c>
    </row>
    <row r="36">
      <c r="A36" s="2" t="inlineStr">
        <is>
          <t>Soybeans</t>
        </is>
      </c>
      <c r="B36" s="3" t="inlineStr">
        <is>
          <t>Stocks-to-Use</t>
        </is>
      </c>
      <c r="C36" s="2" t="inlineStr">
        <is>
          <t>2003-04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>
        <v>0.04886561954624782</v>
      </c>
      <c r="O36" s="5" t="n"/>
      <c r="P36" s="5">
        <f>SUM(D36:O36)</f>
        <v/>
      </c>
    </row>
    <row r="37">
      <c r="A37" s="2" t="inlineStr">
        <is>
          <t>Soybeans</t>
        </is>
      </c>
      <c r="B37" s="3" t="inlineStr">
        <is>
          <t>STU Days</t>
        </is>
      </c>
      <c r="C37" s="2" t="inlineStr">
        <is>
          <t>2003-04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>
        <v>17.83595113438045</v>
      </c>
      <c r="O37" s="10" t="n"/>
      <c r="P37" s="10">
        <f>SUM(D37:O37)</f>
        <v/>
      </c>
    </row>
    <row r="38">
      <c r="A38" s="2" t="inlineStr">
        <is>
          <t>Soybeans</t>
        </is>
      </c>
      <c r="B38" s="11" t="inlineStr">
        <is>
          <t>CHECK</t>
        </is>
      </c>
      <c r="C38" s="2" t="inlineStr">
        <is>
          <t>2003-04</t>
        </is>
      </c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>
        <v>1.13686837721616e-13</v>
      </c>
      <c r="O38" s="9" t="n"/>
      <c r="P38" s="10">
        <f>SUM(D38:O38)</f>
        <v/>
      </c>
    </row>
    <row r="39">
      <c r="A39" s="2" t="inlineStr">
        <is>
          <t>Soybeans</t>
        </is>
      </c>
      <c r="B39" s="3" t="inlineStr">
        <is>
          <t>Planted Area</t>
        </is>
      </c>
      <c r="C39" s="2" t="inlineStr">
        <is>
          <t>2004-05</t>
        </is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>
        <f>SUM(D39:O39)</f>
        <v/>
      </c>
    </row>
    <row r="40">
      <c r="A40" s="2" t="inlineStr">
        <is>
          <t>Soybeans</t>
        </is>
      </c>
      <c r="B40" s="3" t="inlineStr">
        <is>
          <t>Harvested Area</t>
        </is>
      </c>
      <c r="C40" s="2" t="inlineStr">
        <is>
          <t>2004-05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>
        <f>SUM(D40:O40)</f>
        <v/>
      </c>
    </row>
    <row r="41">
      <c r="A41" s="2" t="inlineStr">
        <is>
          <t>Soybeans</t>
        </is>
      </c>
      <c r="B41" s="3" t="inlineStr">
        <is>
          <t>Proportion Harvested</t>
        </is>
      </c>
      <c r="C41" s="2" t="inlineStr">
        <is>
          <t>2004-05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>
        <f>SUM(D41:O41)</f>
        <v/>
      </c>
    </row>
    <row r="42">
      <c r="A42" s="2" t="inlineStr">
        <is>
          <t>Soybeans</t>
        </is>
      </c>
      <c r="B42" s="3" t="inlineStr">
        <is>
          <t>Yield</t>
        </is>
      </c>
      <c r="C42" s="2" t="inlineStr">
        <is>
          <t>2004-05</t>
        </is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>
        <f>SUM(D42:O42)</f>
        <v/>
      </c>
    </row>
    <row r="43">
      <c r="A43" s="2" t="inlineStr">
        <is>
          <t>Soybeans</t>
        </is>
      </c>
      <c r="B43" s="7" t="n"/>
      <c r="C43" s="2" t="inlineStr">
        <is>
          <t>2004-05</t>
        </is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</row>
    <row r="44">
      <c r="A44" s="2" t="inlineStr">
        <is>
          <t>Soybeans</t>
        </is>
      </c>
      <c r="B44" s="8" t="inlineStr">
        <is>
          <t>Beginning Stocks</t>
        </is>
      </c>
      <c r="C44" s="2" t="inlineStr">
        <is>
          <t>2004-05</t>
        </is>
      </c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>
        <v>140</v>
      </c>
      <c r="O44" s="9" t="n"/>
      <c r="P44" s="10">
        <f>SUM(D44:O44)</f>
        <v/>
      </c>
    </row>
    <row r="45">
      <c r="A45" s="2" t="inlineStr">
        <is>
          <t>Soybeans</t>
        </is>
      </c>
      <c r="B45" s="8" t="inlineStr">
        <is>
          <t>Imports</t>
        </is>
      </c>
      <c r="C45" s="2" t="inlineStr">
        <is>
          <t>2004-05</t>
        </is>
      </c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>
        <v>393.4</v>
      </c>
      <c r="O45" s="9" t="n"/>
      <c r="P45" s="10">
        <f>SUM(D45:O45)</f>
        <v/>
      </c>
    </row>
    <row r="46">
      <c r="A46" s="2" t="inlineStr">
        <is>
          <t>Soybeans</t>
        </is>
      </c>
      <c r="B46" s="8" t="inlineStr">
        <is>
          <t>Production</t>
        </is>
      </c>
      <c r="C46" s="2" t="inlineStr">
        <is>
          <t>2004-05</t>
        </is>
      </c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>
        <v>3043.9</v>
      </c>
      <c r="O46" s="9" t="n"/>
      <c r="P46" s="10">
        <f>SUM(D46:O46)</f>
        <v/>
      </c>
    </row>
    <row r="47">
      <c r="A47" s="2" t="inlineStr">
        <is>
          <t>Soybeans</t>
        </is>
      </c>
      <c r="B47" s="7" t="n"/>
      <c r="C47" s="2" t="inlineStr">
        <is>
          <t>2004-05</t>
        </is>
      </c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</row>
    <row r="48">
      <c r="A48" s="2" t="inlineStr">
        <is>
          <t>Soybeans</t>
        </is>
      </c>
      <c r="B48" s="8" t="inlineStr">
        <is>
          <t>Food</t>
        </is>
      </c>
      <c r="C48" s="2" t="inlineStr">
        <is>
          <t>2004-05</t>
        </is>
      </c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>
        <v>453.2</v>
      </c>
      <c r="O48" s="9" t="n"/>
      <c r="P48" s="10">
        <f>SUM(D48:O48)</f>
        <v/>
      </c>
    </row>
    <row r="49">
      <c r="A49" s="2" t="inlineStr">
        <is>
          <t>Soybeans</t>
        </is>
      </c>
      <c r="B49" s="8" t="inlineStr">
        <is>
          <t>Crush</t>
        </is>
      </c>
      <c r="C49" s="2" t="inlineStr">
        <is>
          <t>2004-05</t>
        </is>
      </c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10">
        <f>SUM(D49:O49)</f>
        <v/>
      </c>
    </row>
    <row r="50">
      <c r="A50" s="2" t="inlineStr">
        <is>
          <t>Soybeans</t>
        </is>
      </c>
      <c r="B50" s="8" t="inlineStr">
        <is>
          <t>FSR</t>
        </is>
      </c>
      <c r="C50" s="2" t="inlineStr">
        <is>
          <t>2004-05</t>
        </is>
      </c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>
        <v>1732.2</v>
      </c>
      <c r="O50" s="9" t="n"/>
      <c r="P50" s="10">
        <f>SUM(D50:O50)</f>
        <v/>
      </c>
    </row>
    <row r="51">
      <c r="A51" s="2" t="inlineStr">
        <is>
          <t>Soybeans</t>
        </is>
      </c>
      <c r="B51" s="8" t="inlineStr">
        <is>
          <t>Exports</t>
        </is>
      </c>
      <c r="C51" s="2" t="inlineStr">
        <is>
          <t>2004-05</t>
        </is>
      </c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>
        <v>1121.9</v>
      </c>
      <c r="O51" s="9" t="n"/>
      <c r="P51" s="10">
        <f>SUM(D51:O51)</f>
        <v/>
      </c>
    </row>
    <row r="52">
      <c r="A52" s="2" t="inlineStr">
        <is>
          <t>Soybeans</t>
        </is>
      </c>
      <c r="B52" s="7" t="n"/>
      <c r="C52" s="2" t="inlineStr">
        <is>
          <t>2004-05</t>
        </is>
      </c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</row>
    <row r="53">
      <c r="A53" s="2" t="inlineStr">
        <is>
          <t>Soybeans</t>
        </is>
      </c>
      <c r="B53" s="8" t="inlineStr">
        <is>
          <t>Ending Stocks</t>
        </is>
      </c>
      <c r="C53" s="2" t="inlineStr">
        <is>
          <t>2004-05</t>
        </is>
      </c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>
        <v>270</v>
      </c>
      <c r="O53" s="9" t="n"/>
      <c r="P53" s="10">
        <f>SUM(D53:O53)</f>
        <v/>
      </c>
    </row>
    <row r="54">
      <c r="A54" s="2" t="inlineStr">
        <is>
          <t>Soybeans</t>
        </is>
      </c>
      <c r="B54" s="3" t="inlineStr">
        <is>
          <t>Stocks-to-Use</t>
        </is>
      </c>
      <c r="C54" s="2" t="inlineStr">
        <is>
          <t>2004-05</t>
        </is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>
        <v>0.08163758957457745</v>
      </c>
      <c r="O54" s="5" t="n"/>
      <c r="P54" s="5">
        <f>SUM(D54:O54)</f>
        <v/>
      </c>
    </row>
    <row r="55">
      <c r="A55" s="2" t="inlineStr">
        <is>
          <t>Soybeans</t>
        </is>
      </c>
      <c r="B55" s="3" t="inlineStr">
        <is>
          <t>STU Days</t>
        </is>
      </c>
      <c r="C55" s="2" t="inlineStr">
        <is>
          <t>2004-05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>
        <v>29.79772019472077</v>
      </c>
      <c r="O55" s="10" t="n"/>
      <c r="P55" s="10">
        <f>SUM(D55:O55)</f>
        <v/>
      </c>
    </row>
    <row r="56">
      <c r="A56" s="2" t="inlineStr">
        <is>
          <t>Soybeans</t>
        </is>
      </c>
      <c r="B56" s="11" t="inlineStr">
        <is>
          <t>CHECK</t>
        </is>
      </c>
      <c r="C56" s="2" t="inlineStr">
        <is>
          <t>2004-05</t>
        </is>
      </c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>
        <v>2.273736754432321e-13</v>
      </c>
      <c r="O56" s="9" t="n"/>
      <c r="P56" s="10">
        <f>SUM(D56:O56)</f>
        <v/>
      </c>
    </row>
    <row r="57">
      <c r="A57" s="2" t="inlineStr">
        <is>
          <t>Soybeans</t>
        </is>
      </c>
      <c r="B57" s="3" t="inlineStr">
        <is>
          <t>Planted Area</t>
        </is>
      </c>
      <c r="C57" s="2" t="inlineStr">
        <is>
          <t>2005-06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>
        <f>SUM(D57:O57)</f>
        <v/>
      </c>
    </row>
    <row r="58">
      <c r="A58" s="2" t="inlineStr">
        <is>
          <t>Soybeans</t>
        </is>
      </c>
      <c r="B58" s="3" t="inlineStr">
        <is>
          <t>Harvested Area</t>
        </is>
      </c>
      <c r="C58" s="2" t="inlineStr">
        <is>
          <t>2005-06</t>
        </is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>
        <f>SUM(D58:O58)</f>
        <v/>
      </c>
    </row>
    <row r="59">
      <c r="A59" s="2" t="inlineStr">
        <is>
          <t>Soybeans</t>
        </is>
      </c>
      <c r="B59" s="3" t="inlineStr">
        <is>
          <t>Proportion Harvested</t>
        </is>
      </c>
      <c r="C59" s="2" t="inlineStr">
        <is>
          <t>2005-06</t>
        </is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>
        <f>SUM(D59:O59)</f>
        <v/>
      </c>
    </row>
    <row r="60">
      <c r="A60" s="2" t="inlineStr">
        <is>
          <t>Soybeans</t>
        </is>
      </c>
      <c r="B60" s="3" t="inlineStr">
        <is>
          <t>Yield</t>
        </is>
      </c>
      <c r="C60" s="2" t="inlineStr">
        <is>
          <t>2005-06</t>
        </is>
      </c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>
        <f>SUM(D60:O60)</f>
        <v/>
      </c>
    </row>
    <row r="61">
      <c r="A61" s="2" t="inlineStr">
        <is>
          <t>Soybeans</t>
        </is>
      </c>
      <c r="B61" s="7" t="n"/>
      <c r="C61" s="2" t="inlineStr">
        <is>
          <t>2005-06</t>
        </is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</row>
    <row r="62">
      <c r="A62" s="2" t="inlineStr">
        <is>
          <t>Soybeans</t>
        </is>
      </c>
      <c r="B62" s="8" t="inlineStr">
        <is>
          <t>Beginning Stocks</t>
        </is>
      </c>
      <c r="C62" s="2" t="inlineStr">
        <is>
          <t>2005-06</t>
        </is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>
        <v>270</v>
      </c>
      <c r="O62" s="9" t="n"/>
      <c r="P62" s="10">
        <f>SUM(D62:O62)</f>
        <v/>
      </c>
    </row>
    <row r="63">
      <c r="A63" s="2" t="inlineStr">
        <is>
          <t>Soybeans</t>
        </is>
      </c>
      <c r="B63" s="8" t="inlineStr">
        <is>
          <t>Imports</t>
        </is>
      </c>
      <c r="C63" s="2" t="inlineStr">
        <is>
          <t>2005-06</t>
        </is>
      </c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>
        <v>339.2</v>
      </c>
      <c r="O63" s="9" t="n"/>
      <c r="P63" s="10">
        <f>SUM(D63:O63)</f>
        <v/>
      </c>
    </row>
    <row r="64">
      <c r="A64" s="2" t="inlineStr">
        <is>
          <t>Soybeans</t>
        </is>
      </c>
      <c r="B64" s="8" t="inlineStr">
        <is>
          <t>Production</t>
        </is>
      </c>
      <c r="C64" s="2" t="inlineStr">
        <is>
          <t>2005-06</t>
        </is>
      </c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>
        <v>3155.6</v>
      </c>
      <c r="O64" s="9" t="n"/>
      <c r="P64" s="10">
        <f>SUM(D64:O64)</f>
        <v/>
      </c>
    </row>
    <row r="65">
      <c r="A65" s="2" t="inlineStr">
        <is>
          <t>Soybeans</t>
        </is>
      </c>
      <c r="B65" s="7" t="n"/>
      <c r="C65" s="2" t="inlineStr">
        <is>
          <t>2005-06</t>
        </is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</row>
    <row r="66">
      <c r="A66" s="2" t="inlineStr">
        <is>
          <t>Soybeans</t>
        </is>
      </c>
      <c r="B66" s="8" t="inlineStr">
        <is>
          <t>Food</t>
        </is>
      </c>
      <c r="C66" s="2" t="inlineStr">
        <is>
          <t>2005-06</t>
        </is>
      </c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>
        <v>334.4</v>
      </c>
      <c r="O66" s="9" t="n"/>
      <c r="P66" s="10">
        <f>SUM(D66:O66)</f>
        <v/>
      </c>
    </row>
    <row r="67">
      <c r="A67" s="2" t="inlineStr">
        <is>
          <t>Soybeans</t>
        </is>
      </c>
      <c r="B67" s="8" t="inlineStr">
        <is>
          <t>Crush</t>
        </is>
      </c>
      <c r="C67" s="2" t="inlineStr">
        <is>
          <t>2005-06</t>
        </is>
      </c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10">
        <f>SUM(D67:O67)</f>
        <v/>
      </c>
    </row>
    <row r="68">
      <c r="A68" s="2" t="inlineStr">
        <is>
          <t>Soybeans</t>
        </is>
      </c>
      <c r="B68" s="8" t="inlineStr">
        <is>
          <t>FSR</t>
        </is>
      </c>
      <c r="C68" s="2" t="inlineStr">
        <is>
          <t>2005-06</t>
        </is>
      </c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>
        <v>1619.2</v>
      </c>
      <c r="O68" s="9" t="n"/>
      <c r="P68" s="10">
        <f>SUM(D68:O68)</f>
        <v/>
      </c>
    </row>
    <row r="69">
      <c r="A69" s="2" t="inlineStr">
        <is>
          <t>Soybeans</t>
        </is>
      </c>
      <c r="B69" s="8" t="inlineStr">
        <is>
          <t>Exports</t>
        </is>
      </c>
      <c r="C69" s="2" t="inlineStr">
        <is>
          <t>2005-06</t>
        </is>
      </c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>
        <v>1316.2</v>
      </c>
      <c r="O69" s="9" t="n"/>
      <c r="P69" s="10">
        <f>SUM(D69:O69)</f>
        <v/>
      </c>
    </row>
    <row r="70">
      <c r="A70" s="2" t="inlineStr">
        <is>
          <t>Soybeans</t>
        </is>
      </c>
      <c r="B70" s="7" t="n"/>
      <c r="C70" s="2" t="inlineStr">
        <is>
          <t>2005-06</t>
        </is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</row>
    <row r="71">
      <c r="A71" s="2" t="inlineStr">
        <is>
          <t>Soybeans</t>
        </is>
      </c>
      <c r="B71" s="8" t="inlineStr">
        <is>
          <t>Ending Stocks</t>
        </is>
      </c>
      <c r="C71" s="2" t="inlineStr">
        <is>
          <t>2005-06</t>
        </is>
      </c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>
        <v>495</v>
      </c>
      <c r="O71" s="9" t="n"/>
      <c r="P71" s="10">
        <f>SUM(D71:O71)</f>
        <v/>
      </c>
    </row>
    <row r="72">
      <c r="A72" s="2" t="inlineStr">
        <is>
          <t>Soybeans</t>
        </is>
      </c>
      <c r="B72" s="3" t="inlineStr">
        <is>
          <t>Stocks-to-Use</t>
        </is>
      </c>
      <c r="C72" s="2" t="inlineStr">
        <is>
          <t>2005-06</t>
        </is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>
        <v>0.1513854058352193</v>
      </c>
      <c r="O72" s="5" t="n"/>
      <c r="P72" s="5">
        <f>SUM(D72:O72)</f>
        <v/>
      </c>
    </row>
    <row r="73">
      <c r="A73" s="2" t="inlineStr">
        <is>
          <t>Soybeans</t>
        </is>
      </c>
      <c r="B73" s="3" t="inlineStr">
        <is>
          <t>STU Days</t>
        </is>
      </c>
      <c r="C73" s="2" t="inlineStr">
        <is>
          <t>2005-06</t>
        </is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>
        <v>55.25567312985504</v>
      </c>
      <c r="O73" s="10" t="n"/>
      <c r="P73" s="10">
        <f>SUM(D73:O73)</f>
        <v/>
      </c>
    </row>
    <row r="74">
      <c r="A74" s="2" t="inlineStr">
        <is>
          <t>Soybeans</t>
        </is>
      </c>
      <c r="B74" s="11" t="inlineStr">
        <is>
          <t>CHECK</t>
        </is>
      </c>
      <c r="C74" s="2" t="inlineStr">
        <is>
          <t>2005-06</t>
        </is>
      </c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>
        <v>-2.273736754432321e-13</v>
      </c>
      <c r="O74" s="9" t="n"/>
      <c r="P74" s="10">
        <f>SUM(D74:O74)</f>
        <v/>
      </c>
    </row>
    <row r="75">
      <c r="A75" s="2" t="inlineStr">
        <is>
          <t>Soybeans</t>
        </is>
      </c>
      <c r="B75" s="3" t="inlineStr">
        <is>
          <t>Planted Area</t>
        </is>
      </c>
      <c r="C75" s="2" t="inlineStr">
        <is>
          <t>2006-07</t>
        </is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>
        <f>SUM(D75:O75)</f>
        <v/>
      </c>
    </row>
    <row r="76">
      <c r="A76" s="2" t="inlineStr">
        <is>
          <t>Soybeans</t>
        </is>
      </c>
      <c r="B76" s="3" t="inlineStr">
        <is>
          <t>Harvested Area</t>
        </is>
      </c>
      <c r="C76" s="2" t="inlineStr">
        <is>
          <t>2006-07</t>
        </is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>
        <f>SUM(D76:O76)</f>
        <v/>
      </c>
    </row>
    <row r="77">
      <c r="A77" s="2" t="inlineStr">
        <is>
          <t>Soybeans</t>
        </is>
      </c>
      <c r="B77" s="3" t="inlineStr">
        <is>
          <t>Proportion Harvested</t>
        </is>
      </c>
      <c r="C77" s="2" t="inlineStr">
        <is>
          <t>2006-07</t>
        </is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>
        <f>SUM(D77:O77)</f>
        <v/>
      </c>
    </row>
    <row r="78">
      <c r="A78" s="2" t="inlineStr">
        <is>
          <t>Soybeans</t>
        </is>
      </c>
      <c r="B78" s="3" t="inlineStr">
        <is>
          <t>Yield</t>
        </is>
      </c>
      <c r="C78" s="2" t="inlineStr">
        <is>
          <t>2006-07</t>
        </is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>
        <f>SUM(D78:O78)</f>
        <v/>
      </c>
    </row>
    <row r="79">
      <c r="A79" s="2" t="inlineStr">
        <is>
          <t>Soybeans</t>
        </is>
      </c>
      <c r="B79" s="7" t="n"/>
      <c r="C79" s="2" t="inlineStr">
        <is>
          <t>2006-07</t>
        </is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</row>
    <row r="80">
      <c r="A80" s="2" t="inlineStr">
        <is>
          <t>Soybeans</t>
        </is>
      </c>
      <c r="B80" s="8" t="inlineStr">
        <is>
          <t>Beginning Stocks</t>
        </is>
      </c>
      <c r="C80" s="2" t="inlineStr">
        <is>
          <t>2006-07</t>
        </is>
      </c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>
        <v>495</v>
      </c>
      <c r="O80" s="9" t="n"/>
      <c r="P80" s="10">
        <f>SUM(D80:O80)</f>
        <v/>
      </c>
    </row>
    <row r="81">
      <c r="A81" s="2" t="inlineStr">
        <is>
          <t>Soybeans</t>
        </is>
      </c>
      <c r="B81" s="8" t="inlineStr">
        <is>
          <t>Imports</t>
        </is>
      </c>
      <c r="C81" s="2" t="inlineStr">
        <is>
          <t>2006-07</t>
        </is>
      </c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>
        <v>240.7</v>
      </c>
      <c r="O81" s="9" t="n"/>
      <c r="P81" s="10">
        <f>SUM(D81:O81)</f>
        <v/>
      </c>
    </row>
    <row r="82">
      <c r="A82" s="2" t="inlineStr">
        <is>
          <t>Soybeans</t>
        </is>
      </c>
      <c r="B82" s="8" t="inlineStr">
        <is>
          <t>Production</t>
        </is>
      </c>
      <c r="C82" s="2" t="inlineStr">
        <is>
          <t>2006-07</t>
        </is>
      </c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>
        <v>3465.5</v>
      </c>
      <c r="O82" s="9" t="n"/>
      <c r="P82" s="10">
        <f>SUM(D82:O82)</f>
        <v/>
      </c>
    </row>
    <row r="83">
      <c r="A83" s="2" t="inlineStr">
        <is>
          <t>Soybeans</t>
        </is>
      </c>
      <c r="B83" s="7" t="n"/>
      <c r="C83" s="2" t="inlineStr">
        <is>
          <t>2006-07</t>
        </is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</row>
    <row r="84">
      <c r="A84" s="2" t="inlineStr">
        <is>
          <t>Soybeans</t>
        </is>
      </c>
      <c r="B84" s="8" t="inlineStr">
        <is>
          <t>Food</t>
        </is>
      </c>
      <c r="C84" s="2" t="inlineStr">
        <is>
          <t>2006-07</t>
        </is>
      </c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>
        <v>355.9</v>
      </c>
      <c r="O84" s="9" t="n"/>
      <c r="P84" s="10">
        <f>SUM(D84:O84)</f>
        <v/>
      </c>
    </row>
    <row r="85">
      <c r="A85" s="2" t="inlineStr">
        <is>
          <t>Soybeans</t>
        </is>
      </c>
      <c r="B85" s="8" t="inlineStr">
        <is>
          <t>Crush</t>
        </is>
      </c>
      <c r="C85" s="2" t="inlineStr">
        <is>
          <t>2006-07</t>
        </is>
      </c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10">
        <f>SUM(D85:O85)</f>
        <v/>
      </c>
    </row>
    <row r="86">
      <c r="A86" s="2" t="inlineStr">
        <is>
          <t>Soybeans</t>
        </is>
      </c>
      <c r="B86" s="8" t="inlineStr">
        <is>
          <t>FSR</t>
        </is>
      </c>
      <c r="C86" s="2" t="inlineStr">
        <is>
          <t>2006-07</t>
        </is>
      </c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>
        <v>1634.7</v>
      </c>
      <c r="O86" s="9" t="n"/>
      <c r="P86" s="10">
        <f>SUM(D86:O86)</f>
        <v/>
      </c>
    </row>
    <row r="87">
      <c r="A87" s="2" t="inlineStr">
        <is>
          <t>Soybeans</t>
        </is>
      </c>
      <c r="B87" s="8" t="inlineStr">
        <is>
          <t>Exports</t>
        </is>
      </c>
      <c r="C87" s="2" t="inlineStr">
        <is>
          <t>2006-07</t>
        </is>
      </c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>
        <v>1740.6</v>
      </c>
      <c r="O87" s="9" t="n"/>
      <c r="P87" s="10">
        <f>SUM(D87:O87)</f>
        <v/>
      </c>
    </row>
    <row r="88">
      <c r="A88" s="2" t="inlineStr">
        <is>
          <t>Soybeans</t>
        </is>
      </c>
      <c r="B88" s="7" t="n"/>
      <c r="C88" s="2" t="inlineStr">
        <is>
          <t>2006-07</t>
        </is>
      </c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</row>
    <row r="89">
      <c r="A89" s="2" t="inlineStr">
        <is>
          <t>Soybeans</t>
        </is>
      </c>
      <c r="B89" s="8" t="inlineStr">
        <is>
          <t>Ending Stocks</t>
        </is>
      </c>
      <c r="C89" s="2" t="inlineStr">
        <is>
          <t>2006-07</t>
        </is>
      </c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>
        <v>470</v>
      </c>
      <c r="O89" s="9" t="n"/>
      <c r="P89" s="10">
        <f>SUM(D89:O89)</f>
        <v/>
      </c>
    </row>
    <row r="90">
      <c r="A90" s="2" t="inlineStr">
        <is>
          <t>Soybeans</t>
        </is>
      </c>
      <c r="B90" s="3" t="inlineStr">
        <is>
          <t>Stocks-to-Use</t>
        </is>
      </c>
      <c r="C90" s="2" t="inlineStr">
        <is>
          <t>2006-07</t>
        </is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>
        <v>0.1259648370497427</v>
      </c>
      <c r="O90" s="5" t="n"/>
      <c r="P90" s="5">
        <f>SUM(D90:O90)</f>
        <v/>
      </c>
    </row>
    <row r="91">
      <c r="A91" s="2" t="inlineStr">
        <is>
          <t>Soybeans</t>
        </is>
      </c>
      <c r="B91" s="3" t="inlineStr">
        <is>
          <t>STU Days</t>
        </is>
      </c>
      <c r="C91" s="2" t="inlineStr">
        <is>
          <t>2006-07</t>
        </is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>
        <v>45.97716552315609</v>
      </c>
      <c r="O91" s="10" t="n"/>
      <c r="P91" s="10">
        <f>SUM(D91:O91)</f>
        <v/>
      </c>
    </row>
    <row r="92">
      <c r="A92" s="2" t="inlineStr">
        <is>
          <t>Soybeans</t>
        </is>
      </c>
      <c r="B92" s="11" t="inlineStr">
        <is>
          <t>CHECK</t>
        </is>
      </c>
      <c r="C92" s="2" t="inlineStr">
        <is>
          <t>2006-07</t>
        </is>
      </c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>
        <v>0</v>
      </c>
      <c r="O92" s="9" t="n"/>
      <c r="P92" s="10">
        <f>SUM(D92:O92)</f>
        <v/>
      </c>
    </row>
    <row r="93">
      <c r="A93" s="2" t="inlineStr">
        <is>
          <t>Soybeans</t>
        </is>
      </c>
      <c r="B93" s="3" t="inlineStr">
        <is>
          <t>Planted Area</t>
        </is>
      </c>
      <c r="C93" s="2" t="inlineStr">
        <is>
          <t>2007-08</t>
        </is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>
        <f>SUM(D93:O93)</f>
        <v/>
      </c>
    </row>
    <row r="94">
      <c r="A94" s="2" t="inlineStr">
        <is>
          <t>Soybeans</t>
        </is>
      </c>
      <c r="B94" s="3" t="inlineStr">
        <is>
          <t>Harvested Area</t>
        </is>
      </c>
      <c r="C94" s="2" t="inlineStr">
        <is>
          <t>2007-08</t>
        </is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>
        <f>SUM(D94:O94)</f>
        <v/>
      </c>
    </row>
    <row r="95">
      <c r="A95" s="2" t="inlineStr">
        <is>
          <t>Soybeans</t>
        </is>
      </c>
      <c r="B95" s="3" t="inlineStr">
        <is>
          <t>Proportion Harvested</t>
        </is>
      </c>
      <c r="C95" s="2" t="inlineStr">
        <is>
          <t>2007-08</t>
        </is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>
        <f>SUM(D95:O95)</f>
        <v/>
      </c>
    </row>
    <row r="96">
      <c r="A96" s="2" t="inlineStr">
        <is>
          <t>Soybeans</t>
        </is>
      </c>
      <c r="B96" s="3" t="inlineStr">
        <is>
          <t>Yield</t>
        </is>
      </c>
      <c r="C96" s="2" t="inlineStr">
        <is>
          <t>2007-08</t>
        </is>
      </c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>
        <f>SUM(D96:O96)</f>
        <v/>
      </c>
    </row>
    <row r="97">
      <c r="A97" s="2" t="inlineStr">
        <is>
          <t>Soybeans</t>
        </is>
      </c>
      <c r="B97" s="7" t="n"/>
      <c r="C97" s="2" t="inlineStr">
        <is>
          <t>2007-08</t>
        </is>
      </c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</row>
    <row r="98">
      <c r="A98" s="2" t="inlineStr">
        <is>
          <t>Soybeans</t>
        </is>
      </c>
      <c r="B98" s="8" t="inlineStr">
        <is>
          <t>Beginning Stocks</t>
        </is>
      </c>
      <c r="C98" s="2" t="inlineStr">
        <is>
          <t>2007-08</t>
        </is>
      </c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>
        <v>470</v>
      </c>
      <c r="O98" s="9" t="n"/>
      <c r="P98" s="10">
        <f>SUM(D98:O98)</f>
        <v/>
      </c>
    </row>
    <row r="99">
      <c r="A99" s="2" t="inlineStr">
        <is>
          <t>Soybeans</t>
        </is>
      </c>
      <c r="B99" s="8" t="inlineStr">
        <is>
          <t>Imports</t>
        </is>
      </c>
      <c r="C99" s="2" t="inlineStr">
        <is>
          <t>2007-08</t>
        </is>
      </c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>
        <v>336.8</v>
      </c>
      <c r="O99" s="9" t="n"/>
      <c r="P99" s="10">
        <f>SUM(D99:O99)</f>
        <v/>
      </c>
    </row>
    <row r="100">
      <c r="A100" s="2" t="inlineStr">
        <is>
          <t>Soybeans</t>
        </is>
      </c>
      <c r="B100" s="8" t="inlineStr">
        <is>
          <t>Production</t>
        </is>
      </c>
      <c r="C100" s="2" t="inlineStr">
        <is>
          <t>2007-08</t>
        </is>
      </c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>
        <v>2686.2</v>
      </c>
      <c r="O100" s="9" t="n"/>
      <c r="P100" s="10">
        <f>SUM(D100:O100)</f>
        <v/>
      </c>
    </row>
    <row r="101">
      <c r="A101" s="2" t="inlineStr">
        <is>
          <t>Soybeans</t>
        </is>
      </c>
      <c r="B101" s="7" t="n"/>
      <c r="C101" s="2" t="inlineStr">
        <is>
          <t>2007-08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</row>
    <row r="102">
      <c r="A102" s="2" t="inlineStr">
        <is>
          <t>Soybeans</t>
        </is>
      </c>
      <c r="B102" s="8" t="inlineStr">
        <is>
          <t>Food</t>
        </is>
      </c>
      <c r="C102" s="2" t="inlineStr">
        <is>
          <t>2007-08</t>
        </is>
      </c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>
        <v>208.2</v>
      </c>
      <c r="O102" s="9" t="n"/>
      <c r="P102" s="10">
        <f>SUM(D102:O102)</f>
        <v/>
      </c>
    </row>
    <row r="103">
      <c r="A103" s="2" t="inlineStr">
        <is>
          <t>Soybeans</t>
        </is>
      </c>
      <c r="B103" s="8" t="inlineStr">
        <is>
          <t>Crush</t>
        </is>
      </c>
      <c r="C103" s="2" t="inlineStr">
        <is>
          <t>2007-08</t>
        </is>
      </c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10">
        <f>SUM(D103:O103)</f>
        <v/>
      </c>
    </row>
    <row r="104">
      <c r="A104" s="2" t="inlineStr">
        <is>
          <t>Soybeans</t>
        </is>
      </c>
      <c r="B104" s="8" t="inlineStr">
        <is>
          <t>FSR</t>
        </is>
      </c>
      <c r="C104" s="2" t="inlineStr">
        <is>
          <t>2007-08</t>
        </is>
      </c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>
        <v>1473.1</v>
      </c>
      <c r="O104" s="9" t="n"/>
      <c r="P104" s="10">
        <f>SUM(D104:O104)</f>
        <v/>
      </c>
    </row>
    <row r="105">
      <c r="A105" s="2" t="inlineStr">
        <is>
          <t>Soybeans</t>
        </is>
      </c>
      <c r="B105" s="8" t="inlineStr">
        <is>
          <t>Exports</t>
        </is>
      </c>
      <c r="C105" s="2" t="inlineStr">
        <is>
          <t>2007-08</t>
        </is>
      </c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>
        <v>1695.7</v>
      </c>
      <c r="O105" s="9" t="n"/>
      <c r="P105" s="10">
        <f>SUM(D105:O105)</f>
        <v/>
      </c>
    </row>
    <row r="106">
      <c r="A106" s="2" t="inlineStr">
        <is>
          <t>Soybeans</t>
        </is>
      </c>
      <c r="B106" s="7" t="n"/>
      <c r="C106" s="2" t="inlineStr">
        <is>
          <t>2007-08</t>
        </is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</row>
    <row r="107">
      <c r="A107" s="2" t="inlineStr">
        <is>
          <t>Soybeans</t>
        </is>
      </c>
      <c r="B107" s="8" t="inlineStr">
        <is>
          <t>Ending Stocks</t>
        </is>
      </c>
      <c r="C107" s="2" t="inlineStr">
        <is>
          <t>2007-08</t>
        </is>
      </c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>
        <v>116</v>
      </c>
      <c r="O107" s="9" t="n"/>
      <c r="P107" s="10">
        <f>SUM(D107:O107)</f>
        <v/>
      </c>
    </row>
    <row r="108">
      <c r="A108" s="2" t="inlineStr">
        <is>
          <t>Soybeans</t>
        </is>
      </c>
      <c r="B108" s="3" t="inlineStr">
        <is>
          <t>Stocks-to-Use</t>
        </is>
      </c>
      <c r="C108" s="2" t="inlineStr">
        <is>
          <t>2007-08</t>
        </is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>
        <v>0.03435001480604086</v>
      </c>
      <c r="O108" s="5" t="n"/>
      <c r="P108" s="5">
        <f>SUM(D108:O108)</f>
        <v/>
      </c>
    </row>
    <row r="109">
      <c r="A109" s="2" t="inlineStr">
        <is>
          <t>Soybeans</t>
        </is>
      </c>
      <c r="B109" s="3" t="inlineStr">
        <is>
          <t>STU Days</t>
        </is>
      </c>
      <c r="C109" s="2" t="inlineStr">
        <is>
          <t>2007-08</t>
        </is>
      </c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>
        <v>12.53775540420492</v>
      </c>
      <c r="O109" s="10" t="n"/>
      <c r="P109" s="10">
        <f>SUM(D109:O109)</f>
        <v/>
      </c>
    </row>
    <row r="110">
      <c r="A110" s="2" t="inlineStr">
        <is>
          <t>Soybeans</t>
        </is>
      </c>
      <c r="B110" s="11" t="inlineStr">
        <is>
          <t>CHECK</t>
        </is>
      </c>
      <c r="C110" s="2" t="inlineStr">
        <is>
          <t>2007-08</t>
        </is>
      </c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>
        <v>2.273736754432321e-13</v>
      </c>
      <c r="O110" s="9" t="n"/>
      <c r="P110" s="10">
        <f>SUM(D110:O110)</f>
        <v/>
      </c>
    </row>
    <row r="111">
      <c r="A111" s="2" t="inlineStr">
        <is>
          <t>Soybeans</t>
        </is>
      </c>
      <c r="B111" s="3" t="inlineStr">
        <is>
          <t>Planted Area</t>
        </is>
      </c>
      <c r="C111" s="2" t="inlineStr">
        <is>
          <t>2008-09</t>
        </is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>
        <f>SUM(D111:O111)</f>
        <v/>
      </c>
    </row>
    <row r="112">
      <c r="A112" s="2" t="inlineStr">
        <is>
          <t>Soybeans</t>
        </is>
      </c>
      <c r="B112" s="3" t="inlineStr">
        <is>
          <t>Harvested Area</t>
        </is>
      </c>
      <c r="C112" s="2" t="inlineStr">
        <is>
          <t>2008-09</t>
        </is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>
        <f>SUM(D112:O112)</f>
        <v/>
      </c>
    </row>
    <row r="113">
      <c r="A113" s="2" t="inlineStr">
        <is>
          <t>Soybeans</t>
        </is>
      </c>
      <c r="B113" s="3" t="inlineStr">
        <is>
          <t>Proportion Harvested</t>
        </is>
      </c>
      <c r="C113" s="2" t="inlineStr">
        <is>
          <t>2008-09</t>
        </is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>
        <f>SUM(D113:O113)</f>
        <v/>
      </c>
    </row>
    <row r="114">
      <c r="A114" s="2" t="inlineStr">
        <is>
          <t>Soybeans</t>
        </is>
      </c>
      <c r="B114" s="3" t="inlineStr">
        <is>
          <t>Yield</t>
        </is>
      </c>
      <c r="C114" s="2" t="inlineStr">
        <is>
          <t>2008-09</t>
        </is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>
        <f>SUM(D114:O114)</f>
        <v/>
      </c>
    </row>
    <row r="115">
      <c r="A115" s="2" t="inlineStr">
        <is>
          <t>Soybeans</t>
        </is>
      </c>
      <c r="B115" s="7" t="n"/>
      <c r="C115" s="2" t="inlineStr">
        <is>
          <t>2008-09</t>
        </is>
      </c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</row>
    <row r="116">
      <c r="A116" s="2" t="inlineStr">
        <is>
          <t>Soybeans</t>
        </is>
      </c>
      <c r="B116" s="8" t="inlineStr">
        <is>
          <t>Beginning Stocks</t>
        </is>
      </c>
      <c r="C116" s="2" t="inlineStr">
        <is>
          <t>2008-09</t>
        </is>
      </c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>
        <v>116</v>
      </c>
      <c r="O116" s="9" t="n"/>
      <c r="P116" s="10">
        <f>SUM(D116:O116)</f>
        <v/>
      </c>
    </row>
    <row r="117">
      <c r="A117" s="2" t="inlineStr">
        <is>
          <t>Soybeans</t>
        </is>
      </c>
      <c r="B117" s="8" t="inlineStr">
        <is>
          <t>Imports</t>
        </is>
      </c>
      <c r="C117" s="2" t="inlineStr">
        <is>
          <t>2008-09</t>
        </is>
      </c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>
        <v>350.4</v>
      </c>
      <c r="O117" s="9" t="n"/>
      <c r="P117" s="10">
        <f>SUM(D117:O117)</f>
        <v/>
      </c>
    </row>
    <row r="118">
      <c r="A118" s="2" t="inlineStr">
        <is>
          <t>Soybeans</t>
        </is>
      </c>
      <c r="B118" s="8" t="inlineStr">
        <is>
          <t>Production</t>
        </is>
      </c>
      <c r="C118" s="2" t="inlineStr">
        <is>
          <t>2008-09</t>
        </is>
      </c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>
        <v>3335.9</v>
      </c>
      <c r="O118" s="9" t="n"/>
      <c r="P118" s="10">
        <f>SUM(D118:O118)</f>
        <v/>
      </c>
    </row>
    <row r="119">
      <c r="A119" s="2" t="inlineStr">
        <is>
          <t>Soybeans</t>
        </is>
      </c>
      <c r="B119" s="7" t="n"/>
      <c r="C119" s="2" t="inlineStr">
        <is>
          <t>2008-09</t>
        </is>
      </c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</row>
    <row r="120">
      <c r="A120" s="2" t="inlineStr">
        <is>
          <t>Soybeans</t>
        </is>
      </c>
      <c r="B120" s="8" t="inlineStr">
        <is>
          <t>Food</t>
        </is>
      </c>
      <c r="C120" s="2" t="inlineStr">
        <is>
          <t>2008-09</t>
        </is>
      </c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>
        <v>266.2</v>
      </c>
      <c r="O120" s="9" t="n"/>
      <c r="P120" s="10">
        <f>SUM(D120:O120)</f>
        <v/>
      </c>
    </row>
    <row r="121">
      <c r="A121" s="2" t="inlineStr">
        <is>
          <t>Soybeans</t>
        </is>
      </c>
      <c r="B121" s="8" t="inlineStr">
        <is>
          <t>Crush</t>
        </is>
      </c>
      <c r="C121" s="2" t="inlineStr">
        <is>
          <t>2008-09</t>
        </is>
      </c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10">
        <f>SUM(D121:O121)</f>
        <v/>
      </c>
    </row>
    <row r="122">
      <c r="A122" s="2" t="inlineStr">
        <is>
          <t>Soybeans</t>
        </is>
      </c>
      <c r="B122" s="8" t="inlineStr">
        <is>
          <t>FSR</t>
        </is>
      </c>
      <c r="C122" s="2" t="inlineStr">
        <is>
          <t>2008-09</t>
        </is>
      </c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>
        <v>1427.9</v>
      </c>
      <c r="O122" s="9" t="n"/>
      <c r="P122" s="10">
        <f>SUM(D122:O122)</f>
        <v/>
      </c>
    </row>
    <row r="123">
      <c r="A123" s="2" t="inlineStr">
        <is>
          <t>Soybeans</t>
        </is>
      </c>
      <c r="B123" s="8" t="inlineStr">
        <is>
          <t>Exports</t>
        </is>
      </c>
      <c r="C123" s="2" t="inlineStr">
        <is>
          <t>2008-09</t>
        </is>
      </c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>
        <v>1888.2</v>
      </c>
      <c r="O123" s="9" t="n"/>
      <c r="P123" s="10">
        <f>SUM(D123:O123)</f>
        <v/>
      </c>
    </row>
    <row r="124">
      <c r="A124" s="2" t="inlineStr">
        <is>
          <t>Soybeans</t>
        </is>
      </c>
      <c r="B124" s="7" t="n"/>
      <c r="C124" s="2" t="inlineStr">
        <is>
          <t>2008-09</t>
        </is>
      </c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</row>
    <row r="125">
      <c r="A125" s="2" t="inlineStr">
        <is>
          <t>Soybeans</t>
        </is>
      </c>
      <c r="B125" s="8" t="inlineStr">
        <is>
          <t>Ending Stocks</t>
        </is>
      </c>
      <c r="C125" s="2" t="inlineStr">
        <is>
          <t>2008-09</t>
        </is>
      </c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>
        <v>220</v>
      </c>
      <c r="O125" s="9" t="n"/>
      <c r="P125" s="10">
        <f>SUM(D125:O125)</f>
        <v/>
      </c>
    </row>
    <row r="126">
      <c r="A126" s="2" t="inlineStr">
        <is>
          <t>Soybeans</t>
        </is>
      </c>
      <c r="B126" s="3" t="inlineStr">
        <is>
          <t>Stocks-to-Use</t>
        </is>
      </c>
      <c r="C126" s="2" t="inlineStr">
        <is>
          <t>2008-09</t>
        </is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>
        <v>0.061413058649471</v>
      </c>
      <c r="O126" s="5" t="n"/>
      <c r="P126" s="5">
        <f>SUM(D126:O126)</f>
        <v/>
      </c>
    </row>
    <row r="127">
      <c r="A127" s="2" t="inlineStr">
        <is>
          <t>Soybeans</t>
        </is>
      </c>
      <c r="B127" s="3" t="inlineStr">
        <is>
          <t>STU Days</t>
        </is>
      </c>
      <c r="C127" s="2" t="inlineStr">
        <is>
          <t>2008-09</t>
        </is>
      </c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>
        <v>22.41576640705692</v>
      </c>
      <c r="O127" s="10" t="n"/>
      <c r="P127" s="10">
        <f>SUM(D127:O127)</f>
        <v/>
      </c>
    </row>
    <row r="128">
      <c r="A128" s="2" t="inlineStr">
        <is>
          <t>Soybeans</t>
        </is>
      </c>
      <c r="B128" s="11" t="inlineStr">
        <is>
          <t>CHECK</t>
        </is>
      </c>
      <c r="C128" s="2" t="inlineStr">
        <is>
          <t>2008-09</t>
        </is>
      </c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>
        <v>2.273736754432321e-13</v>
      </c>
      <c r="O128" s="9" t="n"/>
      <c r="P128" s="10">
        <f>SUM(D128:O128)</f>
        <v/>
      </c>
    </row>
    <row r="129">
      <c r="A129" s="2" t="inlineStr">
        <is>
          <t>Soybeans</t>
        </is>
      </c>
      <c r="B129" s="3" t="inlineStr">
        <is>
          <t>Planted Area</t>
        </is>
      </c>
      <c r="C129" s="2" t="inlineStr">
        <is>
          <t>2009-10</t>
        </is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>
        <f>SUM(D129:O129)</f>
        <v/>
      </c>
    </row>
    <row r="130">
      <c r="A130" s="2" t="inlineStr">
        <is>
          <t>Soybeans</t>
        </is>
      </c>
      <c r="B130" s="3" t="inlineStr">
        <is>
          <t>Harvested Area</t>
        </is>
      </c>
      <c r="C130" s="2" t="inlineStr">
        <is>
          <t>2009-10</t>
        </is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>
        <f>SUM(D130:O130)</f>
        <v/>
      </c>
    </row>
    <row r="131">
      <c r="A131" s="2" t="inlineStr">
        <is>
          <t>Soybeans</t>
        </is>
      </c>
      <c r="B131" s="3" t="inlineStr">
        <is>
          <t>Proportion Harvested</t>
        </is>
      </c>
      <c r="C131" s="2" t="inlineStr">
        <is>
          <t>2009-10</t>
        </is>
      </c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>
        <f>SUM(D131:O131)</f>
        <v/>
      </c>
    </row>
    <row r="132">
      <c r="A132" s="2" t="inlineStr">
        <is>
          <t>Soybeans</t>
        </is>
      </c>
      <c r="B132" s="3" t="inlineStr">
        <is>
          <t>Yield</t>
        </is>
      </c>
      <c r="C132" s="2" t="inlineStr">
        <is>
          <t>2009-10</t>
        </is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>
        <f>SUM(D132:O132)</f>
        <v/>
      </c>
    </row>
    <row r="133">
      <c r="A133" s="2" t="inlineStr">
        <is>
          <t>Soybeans</t>
        </is>
      </c>
      <c r="B133" s="7" t="n"/>
      <c r="C133" s="2" t="inlineStr">
        <is>
          <t>2009-10</t>
        </is>
      </c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</row>
    <row r="134">
      <c r="A134" s="2" t="inlineStr">
        <is>
          <t>Soybeans</t>
        </is>
      </c>
      <c r="B134" s="8" t="inlineStr">
        <is>
          <t>Beginning Stocks</t>
        </is>
      </c>
      <c r="C134" s="2" t="inlineStr">
        <is>
          <t>2009-10</t>
        </is>
      </c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>
        <v>220</v>
      </c>
      <c r="O134" s="9" t="n"/>
      <c r="P134" s="10">
        <f>SUM(D134:O134)</f>
        <v/>
      </c>
    </row>
    <row r="135">
      <c r="A135" s="2" t="inlineStr">
        <is>
          <t>Soybeans</t>
        </is>
      </c>
      <c r="B135" s="8" t="inlineStr">
        <is>
          <t>Imports</t>
        </is>
      </c>
      <c r="C135" s="2" t="inlineStr">
        <is>
          <t>2009-10</t>
        </is>
      </c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>
        <v>371.7</v>
      </c>
      <c r="O135" s="9" t="n"/>
      <c r="P135" s="10">
        <f>SUM(D135:O135)</f>
        <v/>
      </c>
    </row>
    <row r="136">
      <c r="A136" s="2" t="inlineStr">
        <is>
          <t>Soybeans</t>
        </is>
      </c>
      <c r="B136" s="8" t="inlineStr">
        <is>
          <t>Production</t>
        </is>
      </c>
      <c r="C136" s="2" t="inlineStr">
        <is>
          <t>2009-10</t>
        </is>
      </c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>
        <v>3581.6</v>
      </c>
      <c r="O136" s="9" t="n"/>
      <c r="P136" s="10">
        <f>SUM(D136:O136)</f>
        <v/>
      </c>
    </row>
    <row r="137">
      <c r="A137" s="2" t="inlineStr">
        <is>
          <t>Soybeans</t>
        </is>
      </c>
      <c r="B137" s="7" t="n"/>
      <c r="C137" s="2" t="inlineStr">
        <is>
          <t>2009-10</t>
        </is>
      </c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</row>
    <row r="138">
      <c r="A138" s="2" t="inlineStr">
        <is>
          <t>Soybeans</t>
        </is>
      </c>
      <c r="B138" s="8" t="inlineStr">
        <is>
          <t>Food</t>
        </is>
      </c>
      <c r="C138" s="2" t="inlineStr">
        <is>
          <t>2009-10</t>
        </is>
      </c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>
        <v>306.7</v>
      </c>
      <c r="O138" s="9" t="n"/>
      <c r="P138" s="10">
        <f>SUM(D138:O138)</f>
        <v/>
      </c>
    </row>
    <row r="139">
      <c r="A139" s="2" t="inlineStr">
        <is>
          <t>Soybeans</t>
        </is>
      </c>
      <c r="B139" s="8" t="inlineStr">
        <is>
          <t>Crush</t>
        </is>
      </c>
      <c r="C139" s="2" t="inlineStr">
        <is>
          <t>2009-10</t>
        </is>
      </c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10">
        <f>SUM(D139:O139)</f>
        <v/>
      </c>
    </row>
    <row r="140">
      <c r="A140" s="2" t="inlineStr">
        <is>
          <t>Soybeans</t>
        </is>
      </c>
      <c r="B140" s="8" t="inlineStr">
        <is>
          <t>FSR</t>
        </is>
      </c>
      <c r="C140" s="2" t="inlineStr">
        <is>
          <t>2009-10</t>
        </is>
      </c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>
        <v>1450.3</v>
      </c>
      <c r="O140" s="9" t="n"/>
      <c r="P140" s="10">
        <f>SUM(D140:O140)</f>
        <v/>
      </c>
    </row>
    <row r="141">
      <c r="A141" s="2" t="inlineStr">
        <is>
          <t>Soybeans</t>
        </is>
      </c>
      <c r="B141" s="8" t="inlineStr">
        <is>
          <t>Exports</t>
        </is>
      </c>
      <c r="C141" s="2" t="inlineStr">
        <is>
          <t>2009-10</t>
        </is>
      </c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>
        <v>2111.3</v>
      </c>
      <c r="O141" s="9" t="n"/>
      <c r="P141" s="10">
        <f>SUM(D141:O141)</f>
        <v/>
      </c>
    </row>
    <row r="142">
      <c r="A142" s="2" t="inlineStr">
        <is>
          <t>Soybeans</t>
        </is>
      </c>
      <c r="B142" s="7" t="n"/>
      <c r="C142" s="2" t="inlineStr">
        <is>
          <t>2009-10</t>
        </is>
      </c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</row>
    <row r="143">
      <c r="A143" s="2" t="inlineStr">
        <is>
          <t>Soybeans</t>
        </is>
      </c>
      <c r="B143" s="8" t="inlineStr">
        <is>
          <t>Ending Stocks</t>
        </is>
      </c>
      <c r="C143" s="2" t="inlineStr">
        <is>
          <t>2009-10</t>
        </is>
      </c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>
        <v>305</v>
      </c>
      <c r="O143" s="9" t="n"/>
      <c r="P143" s="10">
        <f>SUM(D143:O143)</f>
        <v/>
      </c>
    </row>
    <row r="144">
      <c r="A144" s="2" t="inlineStr">
        <is>
          <t>Soybeans</t>
        </is>
      </c>
      <c r="B144" s="3" t="inlineStr">
        <is>
          <t>Stocks-to-Use</t>
        </is>
      </c>
      <c r="C144" s="2" t="inlineStr">
        <is>
          <t>2009-10</t>
        </is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>
        <v>0.07884600470490913</v>
      </c>
      <c r="O144" s="5" t="n"/>
      <c r="P144" s="5">
        <f>SUM(D144:O144)</f>
        <v/>
      </c>
    </row>
    <row r="145">
      <c r="A145" s="2" t="inlineStr">
        <is>
          <t>Soybeans</t>
        </is>
      </c>
      <c r="B145" s="3" t="inlineStr">
        <is>
          <t>STU Days</t>
        </is>
      </c>
      <c r="C145" s="2" t="inlineStr">
        <is>
          <t>2009-10</t>
        </is>
      </c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>
        <v>28.77879171729183</v>
      </c>
      <c r="O145" s="10" t="n"/>
      <c r="P145" s="10">
        <f>SUM(D145:O145)</f>
        <v/>
      </c>
    </row>
    <row r="146">
      <c r="A146" s="2" t="inlineStr">
        <is>
          <t>Soybeans</t>
        </is>
      </c>
      <c r="B146" s="11" t="inlineStr">
        <is>
          <t>CHECK</t>
        </is>
      </c>
      <c r="C146" s="2" t="inlineStr">
        <is>
          <t>2009-10</t>
        </is>
      </c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>
        <v>0</v>
      </c>
      <c r="O146" s="9" t="n"/>
      <c r="P146" s="10">
        <f>SUM(D146:O146)</f>
        <v/>
      </c>
    </row>
    <row r="147">
      <c r="A147" s="2" t="inlineStr">
        <is>
          <t>Soybeans</t>
        </is>
      </c>
      <c r="B147" s="3" t="inlineStr">
        <is>
          <t>Planted Area</t>
        </is>
      </c>
      <c r="C147" s="2" t="inlineStr">
        <is>
          <t>2010-11</t>
        </is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>
        <f>SUM(D147:O147)</f>
        <v/>
      </c>
    </row>
    <row r="148">
      <c r="A148" s="2" t="inlineStr">
        <is>
          <t>Soybeans</t>
        </is>
      </c>
      <c r="B148" s="3" t="inlineStr">
        <is>
          <t>Harvested Area</t>
        </is>
      </c>
      <c r="C148" s="2" t="inlineStr">
        <is>
          <t>2010-11</t>
        </is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>
        <f>SUM(D148:O148)</f>
        <v/>
      </c>
    </row>
    <row r="149">
      <c r="A149" s="2" t="inlineStr">
        <is>
          <t>Soybeans</t>
        </is>
      </c>
      <c r="B149" s="3" t="inlineStr">
        <is>
          <t>Proportion Harvested</t>
        </is>
      </c>
      <c r="C149" s="2" t="inlineStr">
        <is>
          <t>2010-11</t>
        </is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>
        <f>SUM(D149:O149)</f>
        <v/>
      </c>
    </row>
    <row r="150">
      <c r="A150" s="2" t="inlineStr">
        <is>
          <t>Soybeans</t>
        </is>
      </c>
      <c r="B150" s="3" t="inlineStr">
        <is>
          <t>Yield</t>
        </is>
      </c>
      <c r="C150" s="2" t="inlineStr">
        <is>
          <t>2010-11</t>
        </is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>
        <f>SUM(D150:O150)</f>
        <v/>
      </c>
    </row>
    <row r="151">
      <c r="A151" s="2" t="inlineStr">
        <is>
          <t>Soybeans</t>
        </is>
      </c>
      <c r="B151" s="7" t="n"/>
      <c r="C151" s="2" t="inlineStr">
        <is>
          <t>2010-11</t>
        </is>
      </c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</row>
    <row r="152">
      <c r="A152" s="2" t="inlineStr">
        <is>
          <t>Soybeans</t>
        </is>
      </c>
      <c r="B152" s="8" t="inlineStr">
        <is>
          <t>Beginning Stocks</t>
        </is>
      </c>
      <c r="C152" s="2" t="inlineStr">
        <is>
          <t>2010-11</t>
        </is>
      </c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>
        <v>305</v>
      </c>
      <c r="O152" s="9" t="n"/>
      <c r="P152" s="10">
        <f>SUM(D152:O152)</f>
        <v/>
      </c>
    </row>
    <row r="153">
      <c r="A153" s="2" t="inlineStr">
        <is>
          <t>Soybeans</t>
        </is>
      </c>
      <c r="B153" s="8" t="inlineStr">
        <is>
          <t>Imports</t>
        </is>
      </c>
      <c r="C153" s="2" t="inlineStr">
        <is>
          <t>2010-11</t>
        </is>
      </c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>
        <v>266.3</v>
      </c>
      <c r="O153" s="9" t="n"/>
      <c r="P153" s="10">
        <f>SUM(D153:O153)</f>
        <v/>
      </c>
    </row>
    <row r="154">
      <c r="A154" s="2" t="inlineStr">
        <is>
          <t>Soybeans</t>
        </is>
      </c>
      <c r="B154" s="8" t="inlineStr">
        <is>
          <t>Production</t>
        </is>
      </c>
      <c r="C154" s="2" t="inlineStr">
        <is>
          <t>2010-11</t>
        </is>
      </c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>
        <v>4444.6</v>
      </c>
      <c r="O154" s="9" t="n"/>
      <c r="P154" s="10">
        <f>SUM(D154:O154)</f>
        <v/>
      </c>
    </row>
    <row r="155">
      <c r="A155" s="2" t="inlineStr">
        <is>
          <t>Soybeans</t>
        </is>
      </c>
      <c r="B155" s="7" t="n"/>
      <c r="C155" s="2" t="inlineStr">
        <is>
          <t>2010-11</t>
        </is>
      </c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</row>
    <row r="156">
      <c r="A156" s="2" t="inlineStr">
        <is>
          <t>Soybeans</t>
        </is>
      </c>
      <c r="B156" s="8" t="inlineStr">
        <is>
          <t>Food</t>
        </is>
      </c>
      <c r="C156" s="2" t="inlineStr">
        <is>
          <t>2010-11</t>
        </is>
      </c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>
        <v>354.8</v>
      </c>
      <c r="O156" s="9" t="n"/>
      <c r="P156" s="10">
        <f>SUM(D156:O156)</f>
        <v/>
      </c>
    </row>
    <row r="157">
      <c r="A157" s="2" t="inlineStr">
        <is>
          <t>Soybeans</t>
        </is>
      </c>
      <c r="B157" s="8" t="inlineStr">
        <is>
          <t>Crush</t>
        </is>
      </c>
      <c r="C157" s="2" t="inlineStr">
        <is>
          <t>2010-11</t>
        </is>
      </c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10">
        <f>SUM(D157:O157)</f>
        <v/>
      </c>
    </row>
    <row r="158">
      <c r="A158" s="2" t="inlineStr">
        <is>
          <t>Soybeans</t>
        </is>
      </c>
      <c r="B158" s="8" t="inlineStr">
        <is>
          <t>FSR</t>
        </is>
      </c>
      <c r="C158" s="2" t="inlineStr">
        <is>
          <t>2010-11</t>
        </is>
      </c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>
        <v>1611</v>
      </c>
      <c r="O158" s="9" t="n"/>
      <c r="P158" s="10">
        <f>SUM(D158:O158)</f>
        <v/>
      </c>
    </row>
    <row r="159">
      <c r="A159" s="2" t="inlineStr">
        <is>
          <t>Soybeans</t>
        </is>
      </c>
      <c r="B159" s="8" t="inlineStr">
        <is>
          <t>Exports</t>
        </is>
      </c>
      <c r="C159" s="2" t="inlineStr">
        <is>
          <t>2010-11</t>
        </is>
      </c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>
        <v>2753.6</v>
      </c>
      <c r="O159" s="9" t="n"/>
      <c r="P159" s="10">
        <f>SUM(D159:O159)</f>
        <v/>
      </c>
    </row>
    <row r="160">
      <c r="A160" s="2" t="inlineStr">
        <is>
          <t>Soybeans</t>
        </is>
      </c>
      <c r="B160" s="7" t="n"/>
      <c r="C160" s="2" t="inlineStr">
        <is>
          <t>2010-11</t>
        </is>
      </c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</row>
    <row r="161">
      <c r="A161" s="2" t="inlineStr">
        <is>
          <t>Soybeans</t>
        </is>
      </c>
      <c r="B161" s="8" t="inlineStr">
        <is>
          <t>Ending Stocks</t>
        </is>
      </c>
      <c r="C161" s="2" t="inlineStr">
        <is>
          <t>2010-11</t>
        </is>
      </c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>
        <v>296.5</v>
      </c>
      <c r="O161" s="9" t="n"/>
      <c r="P161" s="10">
        <f>SUM(D161:O161)</f>
        <v/>
      </c>
    </row>
    <row r="162">
      <c r="A162" s="2" t="inlineStr">
        <is>
          <t>Soybeans</t>
        </is>
      </c>
      <c r="B162" s="3" t="inlineStr">
        <is>
          <t>Stocks-to-Use</t>
        </is>
      </c>
      <c r="C162" s="2" t="inlineStr">
        <is>
          <t>2010-11</t>
        </is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>
        <v>0.06282578293850913</v>
      </c>
      <c r="O162" s="5" t="n"/>
      <c r="P162" s="5">
        <f>SUM(D162:O162)</f>
        <v/>
      </c>
    </row>
    <row r="163">
      <c r="A163" s="2" t="inlineStr">
        <is>
          <t>Soybeans</t>
        </is>
      </c>
      <c r="B163" s="3" t="inlineStr">
        <is>
          <t>STU Days</t>
        </is>
      </c>
      <c r="C163" s="2" t="inlineStr">
        <is>
          <t>2010-11</t>
        </is>
      </c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>
        <v>22.93141077255583</v>
      </c>
      <c r="O163" s="10" t="n"/>
      <c r="P163" s="10">
        <f>SUM(D163:O163)</f>
        <v/>
      </c>
    </row>
    <row r="164">
      <c r="A164" s="2" t="inlineStr">
        <is>
          <t>Soybeans</t>
        </is>
      </c>
      <c r="B164" s="11" t="inlineStr">
        <is>
          <t>CHECK</t>
        </is>
      </c>
      <c r="C164" s="2" t="inlineStr">
        <is>
          <t>2010-11</t>
        </is>
      </c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>
        <v>0</v>
      </c>
      <c r="O164" s="9" t="n"/>
      <c r="P164" s="10">
        <f>SUM(D164:O164)</f>
        <v/>
      </c>
    </row>
    <row r="165">
      <c r="A165" s="2" t="inlineStr">
        <is>
          <t>Soybeans</t>
        </is>
      </c>
      <c r="B165" s="3" t="inlineStr">
        <is>
          <t>Planted Area</t>
        </is>
      </c>
      <c r="C165" s="2" t="inlineStr">
        <is>
          <t>2011-12</t>
        </is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>
        <f>SUM(D165:O165)</f>
        <v/>
      </c>
    </row>
    <row r="166">
      <c r="A166" s="2" t="inlineStr">
        <is>
          <t>Soybeans</t>
        </is>
      </c>
      <c r="B166" s="3" t="inlineStr">
        <is>
          <t>Harvested Area</t>
        </is>
      </c>
      <c r="C166" s="2" t="inlineStr">
        <is>
          <t>2011-12</t>
        </is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>
        <f>SUM(D166:O166)</f>
        <v/>
      </c>
    </row>
    <row r="167">
      <c r="A167" s="2" t="inlineStr">
        <is>
          <t>Soybeans</t>
        </is>
      </c>
      <c r="B167" s="3" t="inlineStr">
        <is>
          <t>Proportion Harvested</t>
        </is>
      </c>
      <c r="C167" s="2" t="inlineStr">
        <is>
          <t>2011-12</t>
        </is>
      </c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>
        <f>SUM(D167:O167)</f>
        <v/>
      </c>
    </row>
    <row r="168">
      <c r="A168" s="2" t="inlineStr">
        <is>
          <t>Soybeans</t>
        </is>
      </c>
      <c r="B168" s="3" t="inlineStr">
        <is>
          <t>Yield</t>
        </is>
      </c>
      <c r="C168" s="2" t="inlineStr">
        <is>
          <t>2011-12</t>
        </is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>
        <f>SUM(D168:O168)</f>
        <v/>
      </c>
    </row>
    <row r="169">
      <c r="A169" s="2" t="inlineStr">
        <is>
          <t>Soybeans</t>
        </is>
      </c>
      <c r="B169" s="7" t="n"/>
      <c r="C169" s="2" t="inlineStr">
        <is>
          <t>2011-12</t>
        </is>
      </c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</row>
    <row r="170">
      <c r="A170" s="2" t="inlineStr">
        <is>
          <t>Soybeans</t>
        </is>
      </c>
      <c r="B170" s="8" t="inlineStr">
        <is>
          <t>Beginning Stocks</t>
        </is>
      </c>
      <c r="C170" s="2" t="inlineStr">
        <is>
          <t>2011-12</t>
        </is>
      </c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>
        <v>296.5</v>
      </c>
      <c r="O170" s="9" t="n"/>
      <c r="P170" s="10">
        <f>SUM(D170:O170)</f>
        <v/>
      </c>
    </row>
    <row r="171">
      <c r="A171" s="2" t="inlineStr">
        <is>
          <t>Soybeans</t>
        </is>
      </c>
      <c r="B171" s="8" t="inlineStr">
        <is>
          <t>Imports</t>
        </is>
      </c>
      <c r="C171" s="2" t="inlineStr">
        <is>
          <t>2011-12</t>
        </is>
      </c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>
        <v>232.5</v>
      </c>
      <c r="O171" s="9" t="n"/>
      <c r="P171" s="10">
        <f>SUM(D171:O171)</f>
        <v/>
      </c>
    </row>
    <row r="172">
      <c r="A172" s="2" t="inlineStr">
        <is>
          <t>Soybeans</t>
        </is>
      </c>
      <c r="B172" s="8" t="inlineStr">
        <is>
          <t>Production</t>
        </is>
      </c>
      <c r="C172" s="2" t="inlineStr">
        <is>
          <t>2011-12</t>
        </is>
      </c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>
        <v>4466.5</v>
      </c>
      <c r="O172" s="9" t="n"/>
      <c r="P172" s="10">
        <f>SUM(D172:O172)</f>
        <v/>
      </c>
    </row>
    <row r="173">
      <c r="A173" s="2" t="inlineStr">
        <is>
          <t>Soybeans</t>
        </is>
      </c>
      <c r="B173" s="7" t="n"/>
      <c r="C173" s="2" t="inlineStr">
        <is>
          <t>2011-12</t>
        </is>
      </c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</row>
    <row r="174">
      <c r="A174" s="2" t="inlineStr">
        <is>
          <t>Soybeans</t>
        </is>
      </c>
      <c r="B174" s="8" t="inlineStr">
        <is>
          <t>Food</t>
        </is>
      </c>
      <c r="C174" s="2" t="inlineStr">
        <is>
          <t>2011-12</t>
        </is>
      </c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>
        <v>438.3</v>
      </c>
      <c r="O174" s="9" t="n"/>
      <c r="P174" s="10">
        <f>SUM(D174:O174)</f>
        <v/>
      </c>
    </row>
    <row r="175">
      <c r="A175" s="2" t="inlineStr">
        <is>
          <t>Soybeans</t>
        </is>
      </c>
      <c r="B175" s="8" t="inlineStr">
        <is>
          <t>Crush</t>
        </is>
      </c>
      <c r="C175" s="2" t="inlineStr">
        <is>
          <t>2011-12</t>
        </is>
      </c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10">
        <f>SUM(D175:O175)</f>
        <v/>
      </c>
    </row>
    <row r="176">
      <c r="A176" s="2" t="inlineStr">
        <is>
          <t>Soybeans</t>
        </is>
      </c>
      <c r="B176" s="8" t="inlineStr">
        <is>
          <t>FSR</t>
        </is>
      </c>
      <c r="C176" s="2" t="inlineStr">
        <is>
          <t>2011-12</t>
        </is>
      </c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>
        <v>1584.5</v>
      </c>
      <c r="O176" s="9" t="n"/>
      <c r="P176" s="10">
        <f>SUM(D176:O176)</f>
        <v/>
      </c>
    </row>
    <row r="177">
      <c r="A177" s="2" t="inlineStr">
        <is>
          <t>Soybeans</t>
        </is>
      </c>
      <c r="B177" s="8" t="inlineStr">
        <is>
          <t>Exports</t>
        </is>
      </c>
      <c r="C177" s="2" t="inlineStr">
        <is>
          <t>2011-12</t>
        </is>
      </c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>
        <v>2741.4</v>
      </c>
      <c r="O177" s="9" t="n"/>
      <c r="P177" s="10">
        <f>SUM(D177:O177)</f>
        <v/>
      </c>
    </row>
    <row r="178">
      <c r="A178" s="2" t="inlineStr">
        <is>
          <t>Soybeans</t>
        </is>
      </c>
      <c r="B178" s="7" t="n"/>
      <c r="C178" s="2" t="inlineStr">
        <is>
          <t>2011-12</t>
        </is>
      </c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</row>
    <row r="179">
      <c r="A179" s="2" t="inlineStr">
        <is>
          <t>Soybeans</t>
        </is>
      </c>
      <c r="B179" s="8" t="inlineStr">
        <is>
          <t>Ending Stocks</t>
        </is>
      </c>
      <c r="C179" s="2" t="inlineStr">
        <is>
          <t>2011-12</t>
        </is>
      </c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>
        <v>231.3</v>
      </c>
      <c r="O179" s="9" t="n"/>
      <c r="P179" s="10">
        <f>SUM(D179:O179)</f>
        <v/>
      </c>
    </row>
    <row r="180">
      <c r="A180" s="2" t="inlineStr">
        <is>
          <t>Soybeans</t>
        </is>
      </c>
      <c r="B180" s="3" t="inlineStr">
        <is>
          <t>Stocks-to-Use</t>
        </is>
      </c>
      <c r="C180" s="2" t="inlineStr">
        <is>
          <t>2011-12</t>
        </is>
      </c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>
        <v>0.04854959909323706</v>
      </c>
      <c r="O180" s="5" t="n"/>
      <c r="P180" s="5">
        <f>SUM(D180:O180)</f>
        <v/>
      </c>
    </row>
    <row r="181">
      <c r="A181" s="2" t="inlineStr">
        <is>
          <t>Soybeans</t>
        </is>
      </c>
      <c r="B181" s="3" t="inlineStr">
        <is>
          <t>STU Days</t>
        </is>
      </c>
      <c r="C181" s="2" t="inlineStr">
        <is>
          <t>2011-12</t>
        </is>
      </c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>
        <v>17.72060366903153</v>
      </c>
      <c r="O181" s="10" t="n"/>
      <c r="P181" s="10">
        <f>SUM(D181:O181)</f>
        <v/>
      </c>
    </row>
    <row r="182">
      <c r="A182" s="2" t="inlineStr">
        <is>
          <t>Soybeans</t>
        </is>
      </c>
      <c r="B182" s="11" t="inlineStr">
        <is>
          <t>CHECK</t>
        </is>
      </c>
      <c r="C182" s="2" t="inlineStr">
        <is>
          <t>2011-12</t>
        </is>
      </c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>
        <v>-2.842170943040401e-13</v>
      </c>
      <c r="O182" s="9" t="n"/>
      <c r="P182" s="10">
        <f>SUM(D182:O182)</f>
        <v/>
      </c>
    </row>
    <row r="183">
      <c r="A183" s="2" t="inlineStr">
        <is>
          <t>Soybeans</t>
        </is>
      </c>
      <c r="B183" s="3" t="inlineStr">
        <is>
          <t>Planted Area</t>
        </is>
      </c>
      <c r="C183" s="2" t="inlineStr">
        <is>
          <t>2012-13</t>
        </is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>
        <f>SUM(D183:O183)</f>
        <v/>
      </c>
    </row>
    <row r="184">
      <c r="A184" s="2" t="inlineStr">
        <is>
          <t>Soybeans</t>
        </is>
      </c>
      <c r="B184" s="3" t="inlineStr">
        <is>
          <t>Harvested Area</t>
        </is>
      </c>
      <c r="C184" s="2" t="inlineStr">
        <is>
          <t>2012-13</t>
        </is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>
        <f>SUM(D184:O184)</f>
        <v/>
      </c>
    </row>
    <row r="185">
      <c r="A185" s="2" t="inlineStr">
        <is>
          <t>Soybeans</t>
        </is>
      </c>
      <c r="B185" s="3" t="inlineStr">
        <is>
          <t>Proportion Harvested</t>
        </is>
      </c>
      <c r="C185" s="2" t="inlineStr">
        <is>
          <t>2012-13</t>
        </is>
      </c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>
        <f>SUM(D185:O185)</f>
        <v/>
      </c>
    </row>
    <row r="186">
      <c r="A186" s="2" t="inlineStr">
        <is>
          <t>Soybeans</t>
        </is>
      </c>
      <c r="B186" s="3" t="inlineStr">
        <is>
          <t>Yield</t>
        </is>
      </c>
      <c r="C186" s="2" t="inlineStr">
        <is>
          <t>2012-13</t>
        </is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>
        <f>SUM(D186:O186)</f>
        <v/>
      </c>
    </row>
    <row r="187">
      <c r="A187" s="2" t="inlineStr">
        <is>
          <t>Soybeans</t>
        </is>
      </c>
      <c r="B187" s="7" t="n"/>
      <c r="C187" s="2" t="inlineStr">
        <is>
          <t>2012-13</t>
        </is>
      </c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</row>
    <row r="188">
      <c r="A188" s="2" t="inlineStr">
        <is>
          <t>Soybeans</t>
        </is>
      </c>
      <c r="B188" s="8" t="inlineStr">
        <is>
          <t>Beginning Stocks</t>
        </is>
      </c>
      <c r="C188" s="2" t="inlineStr">
        <is>
          <t>2012-13</t>
        </is>
      </c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>
        <v>231.3</v>
      </c>
      <c r="O188" s="9" t="n"/>
      <c r="P188" s="10">
        <f>SUM(D188:O188)</f>
        <v/>
      </c>
    </row>
    <row r="189">
      <c r="A189" s="2" t="inlineStr">
        <is>
          <t>Soybeans</t>
        </is>
      </c>
      <c r="B189" s="8" t="inlineStr">
        <is>
          <t>Imports</t>
        </is>
      </c>
      <c r="C189" s="2" t="inlineStr">
        <is>
          <t>2012-13</t>
        </is>
      </c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>
        <v>257.6</v>
      </c>
      <c r="O189" s="9" t="n"/>
      <c r="P189" s="10">
        <f>SUM(D189:O189)</f>
        <v/>
      </c>
    </row>
    <row r="190">
      <c r="A190" s="2" t="inlineStr">
        <is>
          <t>Soybeans</t>
        </is>
      </c>
      <c r="B190" s="8" t="inlineStr">
        <is>
          <t>Production</t>
        </is>
      </c>
      <c r="C190" s="2" t="inlineStr">
        <is>
          <t>2012-13</t>
        </is>
      </c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>
        <v>5086.4</v>
      </c>
      <c r="O190" s="9" t="n"/>
      <c r="P190" s="10">
        <f>SUM(D190:O190)</f>
        <v/>
      </c>
    </row>
    <row r="191">
      <c r="A191" s="2" t="inlineStr">
        <is>
          <t>Soybeans</t>
        </is>
      </c>
      <c r="B191" s="7" t="n"/>
      <c r="C191" s="2" t="inlineStr">
        <is>
          <t>2012-13</t>
        </is>
      </c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</row>
    <row r="192">
      <c r="A192" s="2" t="inlineStr">
        <is>
          <t>Soybeans</t>
        </is>
      </c>
      <c r="B192" s="8" t="inlineStr">
        <is>
          <t>Food</t>
        </is>
      </c>
      <c r="C192" s="2" t="inlineStr">
        <is>
          <t>2012-13</t>
        </is>
      </c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>
        <v>359.1</v>
      </c>
      <c r="O192" s="9" t="n"/>
      <c r="P192" s="10">
        <f>SUM(D192:O192)</f>
        <v/>
      </c>
    </row>
    <row r="193">
      <c r="A193" s="2" t="inlineStr">
        <is>
          <t>Soybeans</t>
        </is>
      </c>
      <c r="B193" s="8" t="inlineStr">
        <is>
          <t>Crush</t>
        </is>
      </c>
      <c r="C193" s="2" t="inlineStr">
        <is>
          <t>2012-13</t>
        </is>
      </c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10">
        <f>SUM(D193:O193)</f>
        <v/>
      </c>
    </row>
    <row r="194">
      <c r="A194" s="2" t="inlineStr">
        <is>
          <t>Soybeans</t>
        </is>
      </c>
      <c r="B194" s="8" t="inlineStr">
        <is>
          <t>FSR</t>
        </is>
      </c>
      <c r="C194" s="2" t="inlineStr">
        <is>
          <t>2012-13</t>
        </is>
      </c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>
        <v>1727.1</v>
      </c>
      <c r="O194" s="9" t="n"/>
      <c r="P194" s="10">
        <f>SUM(D194:O194)</f>
        <v/>
      </c>
    </row>
    <row r="195">
      <c r="A195" s="2" t="inlineStr">
        <is>
          <t>Soybeans</t>
        </is>
      </c>
      <c r="B195" s="8" t="inlineStr">
        <is>
          <t>Exports</t>
        </is>
      </c>
      <c r="C195" s="2" t="inlineStr">
        <is>
          <t>2012-13</t>
        </is>
      </c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>
        <v>3331.6</v>
      </c>
      <c r="O195" s="9" t="n"/>
      <c r="P195" s="10">
        <f>SUM(D195:O195)</f>
        <v/>
      </c>
    </row>
    <row r="196">
      <c r="A196" s="2" t="inlineStr">
        <is>
          <t>Soybeans</t>
        </is>
      </c>
      <c r="B196" s="7" t="n"/>
      <c r="C196" s="2" t="inlineStr">
        <is>
          <t>2012-13</t>
        </is>
      </c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</row>
    <row r="197">
      <c r="A197" s="2" t="inlineStr">
        <is>
          <t>Soybeans</t>
        </is>
      </c>
      <c r="B197" s="8" t="inlineStr">
        <is>
          <t>Ending Stocks</t>
        </is>
      </c>
      <c r="C197" s="2" t="inlineStr">
        <is>
          <t>2012-13</t>
        </is>
      </c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>
        <v>157.5</v>
      </c>
      <c r="O197" s="9" t="n"/>
      <c r="P197" s="10">
        <f>SUM(D197:O197)</f>
        <v/>
      </c>
    </row>
    <row r="198">
      <c r="A198" s="2" t="inlineStr">
        <is>
          <t>Soybeans</t>
        </is>
      </c>
      <c r="B198" s="3" t="inlineStr">
        <is>
          <t>Stocks-to-Use</t>
        </is>
      </c>
      <c r="C198" s="2" t="inlineStr">
        <is>
          <t>2012-13</t>
        </is>
      </c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>
        <v>0.02907084056258998</v>
      </c>
      <c r="O198" s="5" t="n"/>
      <c r="P198" s="5">
        <f>SUM(D198:O198)</f>
        <v/>
      </c>
    </row>
    <row r="199">
      <c r="A199" s="2" t="inlineStr">
        <is>
          <t>Soybeans</t>
        </is>
      </c>
      <c r="B199" s="3" t="inlineStr">
        <is>
          <t>STU Days</t>
        </is>
      </c>
      <c r="C199" s="2" t="inlineStr">
        <is>
          <t>2012-13</t>
        </is>
      </c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>
        <v>10.61085680534534</v>
      </c>
      <c r="O199" s="10" t="n"/>
      <c r="P199" s="10">
        <f>SUM(D199:O199)</f>
        <v/>
      </c>
    </row>
    <row r="200">
      <c r="A200" s="2" t="inlineStr">
        <is>
          <t>Soybeans</t>
        </is>
      </c>
      <c r="B200" s="11" t="inlineStr">
        <is>
          <t>CHECK</t>
        </is>
      </c>
      <c r="C200" s="2" t="inlineStr">
        <is>
          <t>2012-13</t>
        </is>
      </c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>
        <v>-4.547473508864641e-13</v>
      </c>
      <c r="O200" s="9" t="n"/>
      <c r="P200" s="10">
        <f>SUM(D200:O200)</f>
        <v/>
      </c>
    </row>
    <row r="201">
      <c r="A201" s="2" t="inlineStr">
        <is>
          <t>Soybeans</t>
        </is>
      </c>
      <c r="B201" s="3" t="inlineStr">
        <is>
          <t>Planted Area</t>
        </is>
      </c>
      <c r="C201" s="2" t="inlineStr">
        <is>
          <t>2013-14</t>
        </is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>
        <f>SUM(D201:O201)</f>
        <v/>
      </c>
    </row>
    <row r="202">
      <c r="A202" s="2" t="inlineStr">
        <is>
          <t>Soybeans</t>
        </is>
      </c>
      <c r="B202" s="3" t="inlineStr">
        <is>
          <t>Harvested Area</t>
        </is>
      </c>
      <c r="C202" s="2" t="inlineStr">
        <is>
          <t>2013-14</t>
        </is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>
        <f>SUM(D202:O202)</f>
        <v/>
      </c>
    </row>
    <row r="203">
      <c r="A203" s="2" t="inlineStr">
        <is>
          <t>Soybeans</t>
        </is>
      </c>
      <c r="B203" s="3" t="inlineStr">
        <is>
          <t>Proportion Harvested</t>
        </is>
      </c>
      <c r="C203" s="2" t="inlineStr">
        <is>
          <t>2013-14</t>
        </is>
      </c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>
        <f>SUM(D203:O203)</f>
        <v/>
      </c>
    </row>
    <row r="204">
      <c r="A204" s="2" t="inlineStr">
        <is>
          <t>Soybeans</t>
        </is>
      </c>
      <c r="B204" s="3" t="inlineStr">
        <is>
          <t>Yield</t>
        </is>
      </c>
      <c r="C204" s="2" t="inlineStr">
        <is>
          <t>2013-14</t>
        </is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>
        <f>SUM(D204:O204)</f>
        <v/>
      </c>
    </row>
    <row r="205">
      <c r="A205" s="2" t="inlineStr">
        <is>
          <t>Soybeans</t>
        </is>
      </c>
      <c r="B205" s="7" t="n"/>
      <c r="C205" s="2" t="inlineStr">
        <is>
          <t>2013-14</t>
        </is>
      </c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</row>
    <row r="206">
      <c r="A206" s="2" t="inlineStr">
        <is>
          <t>Soybeans</t>
        </is>
      </c>
      <c r="B206" s="8" t="inlineStr">
        <is>
          <t>Beginning Stocks</t>
        </is>
      </c>
      <c r="C206" s="2" t="inlineStr">
        <is>
          <t>2013-14</t>
        </is>
      </c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>
        <v>157.5</v>
      </c>
      <c r="O206" s="9" t="n"/>
      <c r="P206" s="10">
        <f>SUM(D206:O206)</f>
        <v/>
      </c>
    </row>
    <row r="207">
      <c r="A207" s="2" t="inlineStr">
        <is>
          <t>Soybeans</t>
        </is>
      </c>
      <c r="B207" s="8" t="inlineStr">
        <is>
          <t>Imports</t>
        </is>
      </c>
      <c r="C207" s="2" t="inlineStr">
        <is>
          <t>2013-14</t>
        </is>
      </c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>
        <v>343.1</v>
      </c>
      <c r="O207" s="9" t="n"/>
      <c r="P207" s="10">
        <f>SUM(D207:O207)</f>
        <v/>
      </c>
    </row>
    <row r="208">
      <c r="A208" s="2" t="inlineStr">
        <is>
          <t>Soybeans</t>
        </is>
      </c>
      <c r="B208" s="8" t="inlineStr">
        <is>
          <t>Production</t>
        </is>
      </c>
      <c r="C208" s="2" t="inlineStr">
        <is>
          <t>2013-14</t>
        </is>
      </c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>
        <v>5355.9</v>
      </c>
      <c r="O208" s="9" t="n"/>
      <c r="P208" s="10">
        <f>SUM(D208:O208)</f>
        <v/>
      </c>
    </row>
    <row r="209">
      <c r="A209" s="2" t="inlineStr">
        <is>
          <t>Soybeans</t>
        </is>
      </c>
      <c r="B209" s="7" t="n"/>
      <c r="C209" s="2" t="inlineStr">
        <is>
          <t>2013-14</t>
        </is>
      </c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</row>
    <row r="210">
      <c r="A210" s="2" t="inlineStr">
        <is>
          <t>Soybeans</t>
        </is>
      </c>
      <c r="B210" s="8" t="inlineStr">
        <is>
          <t>Food</t>
        </is>
      </c>
      <c r="C210" s="2" t="inlineStr">
        <is>
          <t>2013-14</t>
        </is>
      </c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>
        <v>434.8</v>
      </c>
      <c r="O210" s="9" t="n"/>
      <c r="P210" s="10">
        <f>SUM(D210:O210)</f>
        <v/>
      </c>
    </row>
    <row r="211">
      <c r="A211" s="2" t="inlineStr">
        <is>
          <t>Soybeans</t>
        </is>
      </c>
      <c r="B211" s="8" t="inlineStr">
        <is>
          <t>Crush</t>
        </is>
      </c>
      <c r="C211" s="2" t="inlineStr">
        <is>
          <t>2013-14</t>
        </is>
      </c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10">
        <f>SUM(D211:O211)</f>
        <v/>
      </c>
    </row>
    <row r="212">
      <c r="A212" s="2" t="inlineStr">
        <is>
          <t>Soybeans</t>
        </is>
      </c>
      <c r="B212" s="8" t="inlineStr">
        <is>
          <t>FSR</t>
        </is>
      </c>
      <c r="C212" s="2" t="inlineStr">
        <is>
          <t>2013-14</t>
        </is>
      </c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>
        <v>1757.1</v>
      </c>
      <c r="O212" s="9" t="n"/>
      <c r="P212" s="10">
        <f>SUM(D212:O212)</f>
        <v/>
      </c>
    </row>
    <row r="213">
      <c r="A213" s="2" t="inlineStr">
        <is>
          <t>Soybeans</t>
        </is>
      </c>
      <c r="B213" s="8" t="inlineStr">
        <is>
          <t>Exports</t>
        </is>
      </c>
      <c r="C213" s="2" t="inlineStr">
        <is>
          <t>2013-14</t>
        </is>
      </c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>
        <v>3427.3</v>
      </c>
      <c r="O213" s="9" t="n"/>
      <c r="P213" s="10">
        <f>SUM(D213:O213)</f>
        <v/>
      </c>
    </row>
    <row r="214">
      <c r="A214" s="2" t="inlineStr">
        <is>
          <t>Soybeans</t>
        </is>
      </c>
      <c r="B214" s="7" t="n"/>
      <c r="C214" s="2" t="inlineStr">
        <is>
          <t>2013-14</t>
        </is>
      </c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</row>
    <row r="215">
      <c r="A215" s="2" t="inlineStr">
        <is>
          <t>Soybeans</t>
        </is>
      </c>
      <c r="B215" s="8" t="inlineStr">
        <is>
          <t>Ending Stocks</t>
        </is>
      </c>
      <c r="C215" s="2" t="inlineStr">
        <is>
          <t>2013-14</t>
        </is>
      </c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>
        <v>237.3</v>
      </c>
      <c r="O215" s="9" t="n"/>
      <c r="P215" s="10">
        <f>SUM(D215:O215)</f>
        <v/>
      </c>
    </row>
    <row r="216">
      <c r="A216" s="2" t="inlineStr">
        <is>
          <t>Soybeans</t>
        </is>
      </c>
      <c r="B216" s="3" t="inlineStr">
        <is>
          <t>Stocks-to-Use</t>
        </is>
      </c>
      <c r="C216" s="2" t="inlineStr">
        <is>
          <t>2013-14</t>
        </is>
      </c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>
        <v>0.04223021070615034</v>
      </c>
      <c r="O216" s="5" t="n"/>
      <c r="P216" s="5">
        <f>SUM(D216:O216)</f>
        <v/>
      </c>
    </row>
    <row r="217">
      <c r="A217" s="2" t="inlineStr">
        <is>
          <t>Soybeans</t>
        </is>
      </c>
      <c r="B217" s="3" t="inlineStr">
        <is>
          <t>STU Days</t>
        </is>
      </c>
      <c r="C217" s="2" t="inlineStr">
        <is>
          <t>2013-14</t>
        </is>
      </c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>
        <v>15.41402690774487</v>
      </c>
      <c r="O217" s="10" t="n"/>
      <c r="P217" s="10">
        <f>SUM(D217:O217)</f>
        <v/>
      </c>
    </row>
    <row r="218">
      <c r="A218" s="2" t="inlineStr">
        <is>
          <t>Soybeans</t>
        </is>
      </c>
      <c r="B218" s="11" t="inlineStr">
        <is>
          <t>CHECK</t>
        </is>
      </c>
      <c r="C218" s="2" t="inlineStr">
        <is>
          <t>2013-14</t>
        </is>
      </c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>
        <v>1.70530256582424e-13</v>
      </c>
      <c r="O218" s="9" t="n"/>
      <c r="P218" s="10">
        <f>SUM(D218:O218)</f>
        <v/>
      </c>
    </row>
    <row r="219">
      <c r="A219" s="2" t="inlineStr">
        <is>
          <t>Soybeans</t>
        </is>
      </c>
      <c r="B219" s="3" t="inlineStr">
        <is>
          <t>Planted Area</t>
        </is>
      </c>
      <c r="C219" s="2" t="inlineStr">
        <is>
          <t>2014-15</t>
        </is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>
        <f>SUM(D219:O219)</f>
        <v/>
      </c>
    </row>
    <row r="220">
      <c r="A220" s="2" t="inlineStr">
        <is>
          <t>Soybeans</t>
        </is>
      </c>
      <c r="B220" s="3" t="inlineStr">
        <is>
          <t>Harvested Area</t>
        </is>
      </c>
      <c r="C220" s="2" t="inlineStr">
        <is>
          <t>2014-15</t>
        </is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>
        <f>SUM(D220:O220)</f>
        <v/>
      </c>
    </row>
    <row r="221">
      <c r="A221" s="2" t="inlineStr">
        <is>
          <t>Soybeans</t>
        </is>
      </c>
      <c r="B221" s="3" t="inlineStr">
        <is>
          <t>Proportion Harvested</t>
        </is>
      </c>
      <c r="C221" s="2" t="inlineStr">
        <is>
          <t>2014-15</t>
        </is>
      </c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>
        <f>SUM(D221:O221)</f>
        <v/>
      </c>
    </row>
    <row r="222">
      <c r="A222" s="2" t="inlineStr">
        <is>
          <t>Soybeans</t>
        </is>
      </c>
      <c r="B222" s="3" t="inlineStr">
        <is>
          <t>Yield</t>
        </is>
      </c>
      <c r="C222" s="2" t="inlineStr">
        <is>
          <t>2014-15</t>
        </is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>
        <f>SUM(D222:O222)</f>
        <v/>
      </c>
    </row>
    <row r="223">
      <c r="A223" s="2" t="inlineStr">
        <is>
          <t>Soybeans</t>
        </is>
      </c>
      <c r="B223" s="7" t="n"/>
      <c r="C223" s="2" t="inlineStr">
        <is>
          <t>2014-15</t>
        </is>
      </c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</row>
    <row r="224">
      <c r="A224" s="2" t="inlineStr">
        <is>
          <t>Soybeans</t>
        </is>
      </c>
      <c r="B224" s="8" t="inlineStr">
        <is>
          <t>Beginning Stocks</t>
        </is>
      </c>
      <c r="C224" s="2" t="inlineStr">
        <is>
          <t>2014-15</t>
        </is>
      </c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>
        <v>237.3</v>
      </c>
      <c r="O224" s="9" t="n">
        <v>14.136</v>
      </c>
      <c r="P224" s="10">
        <f>SUM(D224:O224)</f>
        <v/>
      </c>
    </row>
    <row r="225">
      <c r="A225" s="2" t="inlineStr">
        <is>
          <t>Soybeans</t>
        </is>
      </c>
      <c r="B225" s="8" t="inlineStr">
        <is>
          <t>Imports</t>
        </is>
      </c>
      <c r="C225" s="2" t="inlineStr">
        <is>
          <t>2014-15</t>
        </is>
      </c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>
        <v>331.2</v>
      </c>
      <c r="O225" s="9" t="n">
        <v>0</v>
      </c>
      <c r="P225" s="10">
        <f>SUM(D225:O225)</f>
        <v/>
      </c>
    </row>
    <row r="226">
      <c r="A226" s="2" t="inlineStr">
        <is>
          <t>Soybeans</t>
        </is>
      </c>
      <c r="B226" s="8" t="inlineStr">
        <is>
          <t>Production</t>
        </is>
      </c>
      <c r="C226" s="2" t="inlineStr">
        <is>
          <t>2014-15</t>
        </is>
      </c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>
        <v>6044.8</v>
      </c>
      <c r="O226" s="9" t="n">
        <v>31.962</v>
      </c>
      <c r="P226" s="10">
        <f>SUM(D226:O226)</f>
        <v/>
      </c>
    </row>
    <row r="227">
      <c r="A227" s="2" t="inlineStr">
        <is>
          <t>Soybeans</t>
        </is>
      </c>
      <c r="B227" s="7" t="n"/>
      <c r="C227" s="2" t="inlineStr">
        <is>
          <t>2014-15</t>
        </is>
      </c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</row>
    <row r="228">
      <c r="A228" s="2" t="inlineStr">
        <is>
          <t>Soybeans</t>
        </is>
      </c>
      <c r="B228" s="8" t="inlineStr">
        <is>
          <t>Food</t>
        </is>
      </c>
      <c r="C228" s="2" t="inlineStr">
        <is>
          <t>2014-15</t>
        </is>
      </c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>
        <v>333.8</v>
      </c>
      <c r="O228" s="9" t="n">
        <v>0</v>
      </c>
      <c r="P228" s="10">
        <f>SUM(D228:O228)</f>
        <v/>
      </c>
    </row>
    <row r="229">
      <c r="A229" s="2" t="inlineStr">
        <is>
          <t>Soybeans</t>
        </is>
      </c>
      <c r="B229" s="8" t="inlineStr">
        <is>
          <t>Crush</t>
        </is>
      </c>
      <c r="C229" s="2" t="inlineStr">
        <is>
          <t>2014-15</t>
        </is>
      </c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10">
        <f>SUM(D229:O229)</f>
        <v/>
      </c>
    </row>
    <row r="230">
      <c r="A230" s="2" t="inlineStr">
        <is>
          <t>Soybeans</t>
        </is>
      </c>
      <c r="B230" s="8" t="inlineStr">
        <is>
          <t>FSR</t>
        </is>
      </c>
      <c r="C230" s="2" t="inlineStr">
        <is>
          <t>2014-15</t>
        </is>
      </c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>
        <v>2017.5</v>
      </c>
      <c r="O230" s="9" t="n">
        <v>31.962</v>
      </c>
      <c r="P230" s="10">
        <f>SUM(D230:O230)</f>
        <v/>
      </c>
    </row>
    <row r="231">
      <c r="A231" s="2" t="inlineStr">
        <is>
          <t>Soybeans</t>
        </is>
      </c>
      <c r="B231" s="8" t="inlineStr">
        <is>
          <t>Exports</t>
        </is>
      </c>
      <c r="C231" s="2" t="inlineStr">
        <is>
          <t>2014-15</t>
        </is>
      </c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>
        <v>3804.4</v>
      </c>
      <c r="O231" s="9" t="n">
        <v>0</v>
      </c>
      <c r="P231" s="10">
        <f>SUM(D231:O231)</f>
        <v/>
      </c>
    </row>
    <row r="232">
      <c r="A232" s="2" t="inlineStr">
        <is>
          <t>Soybeans</t>
        </is>
      </c>
      <c r="B232" s="7" t="n"/>
      <c r="C232" s="2" t="inlineStr">
        <is>
          <t>2014-15</t>
        </is>
      </c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</row>
    <row r="233">
      <c r="A233" s="2" t="inlineStr">
        <is>
          <t>Soybeans</t>
        </is>
      </c>
      <c r="B233" s="8" t="inlineStr">
        <is>
          <t>Ending Stocks</t>
        </is>
      </c>
      <c r="C233" s="2" t="inlineStr">
        <is>
          <t>2014-15</t>
        </is>
      </c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>
        <v>457.6</v>
      </c>
      <c r="O233" s="9" t="n">
        <v>14.136</v>
      </c>
      <c r="P233" s="10">
        <f>SUM(D233:O233)</f>
        <v/>
      </c>
    </row>
    <row r="234">
      <c r="A234" s="2" t="inlineStr">
        <is>
          <t>Soybeans</t>
        </is>
      </c>
      <c r="B234" s="3" t="inlineStr">
        <is>
          <t>Stocks-to-Use</t>
        </is>
      </c>
      <c r="C234" s="2" t="inlineStr">
        <is>
          <t>2014-15</t>
        </is>
      </c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>
        <v>0.07433760579625387</v>
      </c>
      <c r="O234" s="5" t="n">
        <v>0.44227520180214</v>
      </c>
      <c r="P234" s="5">
        <f>SUM(D234:O234)</f>
        <v/>
      </c>
    </row>
    <row r="235">
      <c r="A235" s="2" t="inlineStr">
        <is>
          <t>Soybeans</t>
        </is>
      </c>
      <c r="B235" s="3" t="inlineStr">
        <is>
          <t>STU Days</t>
        </is>
      </c>
      <c r="C235" s="2" t="inlineStr">
        <is>
          <t>2014-15</t>
        </is>
      </c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>
        <v>27.13322611563266</v>
      </c>
      <c r="O235" s="10" t="n">
        <v>161.4304486577811</v>
      </c>
      <c r="P235" s="10">
        <f>SUM(D235:O235)</f>
        <v/>
      </c>
    </row>
    <row r="236">
      <c r="A236" s="2" t="inlineStr">
        <is>
          <t>Soybeans</t>
        </is>
      </c>
      <c r="B236" s="11" t="inlineStr">
        <is>
          <t>CHECK</t>
        </is>
      </c>
      <c r="C236" s="2" t="inlineStr">
        <is>
          <t>2014-15</t>
        </is>
      </c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>
        <v>-1.13686837721616e-13</v>
      </c>
      <c r="O236" s="9" t="n">
        <v>0</v>
      </c>
      <c r="P236" s="10">
        <f>SUM(D236:O236)</f>
        <v/>
      </c>
    </row>
    <row r="237">
      <c r="A237" s="2" t="inlineStr">
        <is>
          <t>Soybeans</t>
        </is>
      </c>
      <c r="B237" s="3" t="inlineStr">
        <is>
          <t>Planted Area</t>
        </is>
      </c>
      <c r="C237" s="2" t="inlineStr">
        <is>
          <t>2015-16</t>
        </is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>
        <f>SUM(D237:O237)</f>
        <v/>
      </c>
    </row>
    <row r="238">
      <c r="A238" s="2" t="inlineStr">
        <is>
          <t>Soybeans</t>
        </is>
      </c>
      <c r="B238" s="3" t="inlineStr">
        <is>
          <t>Harvested Area</t>
        </is>
      </c>
      <c r="C238" s="2" t="inlineStr">
        <is>
          <t>2015-16</t>
        </is>
      </c>
      <c r="D238" s="4" t="n"/>
      <c r="E238" s="4" t="n"/>
      <c r="F238" s="4" t="n"/>
      <c r="G238" s="4" t="n"/>
      <c r="H238" s="4" t="n">
        <v>5.5147</v>
      </c>
      <c r="I238" s="4" t="n"/>
      <c r="J238" s="4" t="n"/>
      <c r="K238" s="4" t="n"/>
      <c r="L238" s="4" t="n"/>
      <c r="M238" s="4" t="n"/>
      <c r="N238" s="4" t="n"/>
      <c r="O238" s="4" t="n"/>
      <c r="P238" s="4">
        <f>SUM(D238:O238)</f>
        <v/>
      </c>
    </row>
    <row r="239">
      <c r="A239" s="2" t="inlineStr">
        <is>
          <t>Soybeans</t>
        </is>
      </c>
      <c r="B239" s="3" t="inlineStr">
        <is>
          <t>Proportion Harvested</t>
        </is>
      </c>
      <c r="C239" s="2" t="inlineStr">
        <is>
          <t>2015-16</t>
        </is>
      </c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>
        <f>SUM(D239:O239)</f>
        <v/>
      </c>
    </row>
    <row r="240">
      <c r="A240" s="2" t="inlineStr">
        <is>
          <t>Soybeans</t>
        </is>
      </c>
      <c r="B240" s="3" t="inlineStr">
        <is>
          <t>Yield</t>
        </is>
      </c>
      <c r="C240" s="2" t="inlineStr">
        <is>
          <t>2015-16</t>
        </is>
      </c>
      <c r="D240" s="6" t="n"/>
      <c r="E240" s="6" t="n"/>
      <c r="F240" s="6" t="n"/>
      <c r="G240" s="6" t="n"/>
      <c r="H240" s="6" t="n">
        <v>0.2180755618619326</v>
      </c>
      <c r="I240" s="6" t="n"/>
      <c r="J240" s="6" t="n"/>
      <c r="K240" s="6" t="n"/>
      <c r="L240" s="6" t="n"/>
      <c r="M240" s="6" t="n"/>
      <c r="N240" s="6" t="n"/>
      <c r="O240" s="6" t="n"/>
      <c r="P240" s="6">
        <f>SUM(D240:O240)</f>
        <v/>
      </c>
    </row>
    <row r="241">
      <c r="A241" s="2" t="inlineStr">
        <is>
          <t>Soybeans</t>
        </is>
      </c>
      <c r="B241" s="7" t="n"/>
      <c r="C241" s="2" t="inlineStr">
        <is>
          <t>2015-16</t>
        </is>
      </c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</row>
    <row r="242">
      <c r="A242" s="2" t="inlineStr">
        <is>
          <t>Soybeans</t>
        </is>
      </c>
      <c r="B242" s="8" t="inlineStr">
        <is>
          <t>Beginning Stocks</t>
        </is>
      </c>
      <c r="C242" s="2" t="inlineStr">
        <is>
          <t>2015-16</t>
        </is>
      </c>
      <c r="D242" s="9" t="n">
        <v>2.342</v>
      </c>
      <c r="E242" s="9" t="n">
        <v>11.347</v>
      </c>
      <c r="F242" s="9" t="n">
        <v>30.238</v>
      </c>
      <c r="G242" s="9" t="n">
        <v>14.65</v>
      </c>
      <c r="H242" s="9" t="n">
        <v>14.526</v>
      </c>
      <c r="I242" s="9" t="n">
        <v>17.802</v>
      </c>
      <c r="J242" s="9" t="n">
        <v>9.289</v>
      </c>
      <c r="K242" s="9" t="n">
        <v>9.035</v>
      </c>
      <c r="L242" s="9" t="n">
        <v>6.83</v>
      </c>
      <c r="M242" s="9" t="n">
        <v>10.849</v>
      </c>
      <c r="N242" s="9" t="n">
        <v>457.6</v>
      </c>
      <c r="O242" s="9" t="n">
        <v>16.174</v>
      </c>
      <c r="P242" s="10">
        <f>SUM(D242:O242)</f>
        <v/>
      </c>
    </row>
    <row r="243">
      <c r="A243" s="2" t="inlineStr">
        <is>
          <t>Soybeans</t>
        </is>
      </c>
      <c r="B243" s="8" t="inlineStr">
        <is>
          <t>Imports</t>
        </is>
      </c>
      <c r="C243" s="2" t="inlineStr">
        <is>
          <t>2015-16</t>
        </is>
      </c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9" t="n">
        <v>0</v>
      </c>
      <c r="K243" s="9" t="n">
        <v>0</v>
      </c>
      <c r="L243" s="9" t="n">
        <v>0</v>
      </c>
      <c r="M243" s="9" t="n">
        <v>0</v>
      </c>
      <c r="N243" s="9" t="n">
        <v>319</v>
      </c>
      <c r="O243" s="9" t="n">
        <v>0</v>
      </c>
      <c r="P243" s="10">
        <f>SUM(D243:O243)</f>
        <v/>
      </c>
    </row>
    <row r="244">
      <c r="A244" s="2" t="inlineStr">
        <is>
          <t>Soybeans</t>
        </is>
      </c>
      <c r="B244" s="8" t="inlineStr">
        <is>
          <t>Production</t>
        </is>
      </c>
      <c r="C244" s="2" t="inlineStr">
        <is>
          <t>2015-16</t>
        </is>
      </c>
      <c r="D244" s="9" t="n">
        <v>22.547</v>
      </c>
      <c r="E244" s="9" t="n">
        <v>35.398</v>
      </c>
      <c r="F244" s="9" t="n">
        <v>35.214</v>
      </c>
      <c r="G244" s="9" t="n">
        <v>35.627</v>
      </c>
      <c r="H244" s="9" t="n">
        <v>32.73</v>
      </c>
      <c r="I244" s="9" t="n">
        <v>27.177</v>
      </c>
      <c r="J244" s="9" t="n">
        <v>27.898</v>
      </c>
      <c r="K244" s="9" t="n">
        <v>26.509</v>
      </c>
      <c r="L244" s="9" t="n">
        <v>25.821</v>
      </c>
      <c r="M244" s="9" t="n">
        <v>21.026</v>
      </c>
      <c r="N244" s="9" t="n">
        <v>6456.3</v>
      </c>
      <c r="O244" s="9" t="n">
        <v>29.958</v>
      </c>
      <c r="P244" s="10">
        <f>SUM(D244:O244)</f>
        <v/>
      </c>
    </row>
    <row r="245">
      <c r="A245" s="2" t="inlineStr">
        <is>
          <t>Soybeans</t>
        </is>
      </c>
      <c r="B245" s="7" t="n"/>
      <c r="C245" s="2" t="inlineStr">
        <is>
          <t>2015-16</t>
        </is>
      </c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</row>
    <row r="246">
      <c r="A246" s="2" t="inlineStr">
        <is>
          <t>Soybeans</t>
        </is>
      </c>
      <c r="B246" s="8" t="inlineStr">
        <is>
          <t>Food</t>
        </is>
      </c>
      <c r="C246" s="2" t="inlineStr">
        <is>
          <t>2015-16</t>
        </is>
      </c>
      <c r="D246" s="9" t="n">
        <v>0</v>
      </c>
      <c r="E246" s="9" t="n">
        <v>0</v>
      </c>
      <c r="F246" s="9" t="n">
        <v>0</v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</v>
      </c>
      <c r="M246" s="9" t="n">
        <v>0</v>
      </c>
      <c r="N246" s="9" t="n">
        <v>508.7</v>
      </c>
      <c r="O246" s="9" t="n">
        <v>0</v>
      </c>
      <c r="P246" s="10">
        <f>SUM(D246:O246)</f>
        <v/>
      </c>
    </row>
    <row r="247">
      <c r="A247" s="2" t="inlineStr">
        <is>
          <t>Soybeans</t>
        </is>
      </c>
      <c r="B247" s="8" t="inlineStr">
        <is>
          <t>Crush</t>
        </is>
      </c>
      <c r="C247" s="2" t="inlineStr">
        <is>
          <t>2015-16</t>
        </is>
      </c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10">
        <f>SUM(D247:O247)</f>
        <v/>
      </c>
    </row>
    <row r="248">
      <c r="A248" s="2" t="inlineStr">
        <is>
          <t>Soybeans</t>
        </is>
      </c>
      <c r="B248" s="8" t="inlineStr">
        <is>
          <t>FSR</t>
        </is>
      </c>
      <c r="C248" s="2" t="inlineStr">
        <is>
          <t>2015-16</t>
        </is>
      </c>
      <c r="D248" s="9" t="n">
        <v>22.547</v>
      </c>
      <c r="E248" s="9" t="n">
        <v>35.398</v>
      </c>
      <c r="F248" s="9" t="n">
        <v>35.214</v>
      </c>
      <c r="G248" s="9" t="n">
        <v>35.627</v>
      </c>
      <c r="H248" s="9" t="n">
        <v>32.73</v>
      </c>
      <c r="I248" s="9" t="n">
        <v>27.177</v>
      </c>
      <c r="J248" s="9" t="n">
        <v>27.898</v>
      </c>
      <c r="K248" s="9" t="n">
        <v>26.509</v>
      </c>
      <c r="L248" s="9" t="n">
        <v>25.82100000000001</v>
      </c>
      <c r="M248" s="9" t="n">
        <v>21.026</v>
      </c>
      <c r="N248" s="9" t="n">
        <v>2154</v>
      </c>
      <c r="O248" s="9" t="n">
        <v>29.958</v>
      </c>
      <c r="P248" s="10">
        <f>SUM(D248:O248)</f>
        <v/>
      </c>
    </row>
    <row r="249">
      <c r="A249" s="2" t="inlineStr">
        <is>
          <t>Soybeans</t>
        </is>
      </c>
      <c r="B249" s="8" t="inlineStr">
        <is>
          <t>Exports</t>
        </is>
      </c>
      <c r="C249" s="2" t="inlineStr">
        <is>
          <t>2015-16</t>
        </is>
      </c>
      <c r="D249" s="9" t="n">
        <v>0</v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0</v>
      </c>
      <c r="K249" s="9" t="n">
        <v>0</v>
      </c>
      <c r="L249" s="9" t="n">
        <v>0</v>
      </c>
      <c r="M249" s="9" t="n">
        <v>0</v>
      </c>
      <c r="N249" s="9" t="n">
        <v>4190.6</v>
      </c>
      <c r="O249" s="9" t="n">
        <v>0</v>
      </c>
      <c r="P249" s="10">
        <f>SUM(D249:O249)</f>
        <v/>
      </c>
    </row>
    <row r="250">
      <c r="A250" s="2" t="inlineStr">
        <is>
          <t>Soybeans</t>
        </is>
      </c>
      <c r="B250" s="7" t="n"/>
      <c r="C250" s="2" t="inlineStr">
        <is>
          <t>2015-16</t>
        </is>
      </c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</row>
    <row r="251">
      <c r="A251" s="2" t="inlineStr">
        <is>
          <t>Soybeans</t>
        </is>
      </c>
      <c r="B251" s="8" t="inlineStr">
        <is>
          <t>Ending Stocks</t>
        </is>
      </c>
      <c r="C251" s="2" t="inlineStr">
        <is>
          <t>2015-16</t>
        </is>
      </c>
      <c r="D251" s="9" t="n">
        <v>2.342</v>
      </c>
      <c r="E251" s="9" t="n">
        <v>11.347</v>
      </c>
      <c r="F251" s="9" t="n">
        <v>30.238</v>
      </c>
      <c r="G251" s="9" t="n">
        <v>14.65</v>
      </c>
      <c r="H251" s="9" t="n">
        <v>14.526</v>
      </c>
      <c r="I251" s="9" t="n">
        <v>17.802</v>
      </c>
      <c r="J251" s="9" t="n">
        <v>9.289</v>
      </c>
      <c r="K251" s="9" t="n">
        <v>9.035</v>
      </c>
      <c r="L251" s="9" t="n">
        <v>6.83</v>
      </c>
      <c r="M251" s="9" t="n">
        <v>10.849</v>
      </c>
      <c r="N251" s="9" t="n">
        <v>379.6</v>
      </c>
      <c r="O251" s="9" t="n">
        <v>16.174</v>
      </c>
      <c r="P251" s="10">
        <f>SUM(D251:O251)</f>
        <v/>
      </c>
    </row>
    <row r="252">
      <c r="A252" s="2" t="inlineStr">
        <is>
          <t>Soybeans</t>
        </is>
      </c>
      <c r="B252" s="3" t="inlineStr">
        <is>
          <t>Stocks-to-Use</t>
        </is>
      </c>
      <c r="C252" s="2" t="inlineStr">
        <is>
          <t>2015-16</t>
        </is>
      </c>
      <c r="D252" s="5" t="n">
        <v>0.1038719120060319</v>
      </c>
      <c r="E252" s="5" t="n">
        <v>0.3205548336064184</v>
      </c>
      <c r="F252" s="5" t="n">
        <v>0.8586925654569205</v>
      </c>
      <c r="G252" s="5" t="n">
        <v>0.4112049849832992</v>
      </c>
      <c r="H252" s="5" t="n">
        <v>0.4438130155820348</v>
      </c>
      <c r="I252" s="5" t="n">
        <v>0.6550391875482945</v>
      </c>
      <c r="J252" s="5" t="n">
        <v>0.3329629364112123</v>
      </c>
      <c r="K252" s="5" t="n">
        <v>0.34082764344185</v>
      </c>
      <c r="L252" s="5" t="n">
        <v>0.264513380581697</v>
      </c>
      <c r="M252" s="5" t="n">
        <v>0.5159802149719395</v>
      </c>
      <c r="N252" s="5" t="n">
        <v>0.05538937446193804</v>
      </c>
      <c r="O252" s="5" t="n">
        <v>0.5398891781827893</v>
      </c>
      <c r="P252" s="5">
        <f>SUM(D252:O252)</f>
        <v/>
      </c>
    </row>
    <row r="253">
      <c r="A253" s="2" t="inlineStr">
        <is>
          <t>Soybeans</t>
        </is>
      </c>
      <c r="B253" s="3" t="inlineStr">
        <is>
          <t>STU Days</t>
        </is>
      </c>
      <c r="C253" s="2" t="inlineStr">
        <is>
          <t>2015-16</t>
        </is>
      </c>
      <c r="D253" s="10" t="n">
        <v>37.91324788220162</v>
      </c>
      <c r="E253" s="10" t="n">
        <v>117.0025142663427</v>
      </c>
      <c r="F253" s="10" t="n">
        <v>313.422786391776</v>
      </c>
      <c r="G253" s="10" t="n">
        <v>150.0898195189042</v>
      </c>
      <c r="H253" s="10" t="n">
        <v>161.9917506874427</v>
      </c>
      <c r="I253" s="10" t="n">
        <v>239.0893034551275</v>
      </c>
      <c r="J253" s="10" t="n">
        <v>121.5314717900925</v>
      </c>
      <c r="K253" s="10" t="n">
        <v>124.4020898562752</v>
      </c>
      <c r="L253" s="10" t="n">
        <v>96.54738391231942</v>
      </c>
      <c r="M253" s="10" t="n">
        <v>188.3327784647579</v>
      </c>
      <c r="N253" s="10" t="n">
        <v>20.21712167860738</v>
      </c>
      <c r="O253" s="10" t="n">
        <v>197.0595500367181</v>
      </c>
      <c r="P253" s="10">
        <f>SUM(D253:O253)</f>
        <v/>
      </c>
    </row>
    <row r="254">
      <c r="A254" s="2" t="inlineStr">
        <is>
          <t>Soybeans</t>
        </is>
      </c>
      <c r="B254" s="11" t="inlineStr">
        <is>
          <t>CHECK</t>
        </is>
      </c>
      <c r="C254" s="2" t="inlineStr">
        <is>
          <t>2015-16</t>
        </is>
      </c>
      <c r="D254" s="9" t="n">
        <v>-1.332267629550188e-15</v>
      </c>
      <c r="E254" s="9" t="n">
        <v>1.77635683940025e-15</v>
      </c>
      <c r="F254" s="9" t="n">
        <v>0</v>
      </c>
      <c r="G254" s="9" t="n">
        <v>-1.77635683940025e-15</v>
      </c>
      <c r="H254" s="9" t="n">
        <v>-3.552713678800501e-15</v>
      </c>
      <c r="I254" s="9" t="n">
        <v>0</v>
      </c>
      <c r="J254" s="9" t="n">
        <v>-1.77635683940025e-15</v>
      </c>
      <c r="K254" s="9" t="n">
        <v>-3.552713678800501e-15</v>
      </c>
      <c r="L254" s="9" t="n">
        <v>-1.77635683940025e-15</v>
      </c>
      <c r="M254" s="9" t="n">
        <v>0</v>
      </c>
      <c r="N254" s="9" t="n">
        <v>3.410605131648481e-13</v>
      </c>
      <c r="O254" s="9" t="n">
        <v>0</v>
      </c>
      <c r="P254" s="10">
        <f>SUM(D254:O254)</f>
        <v/>
      </c>
    </row>
    <row r="255">
      <c r="A255" s="2" t="inlineStr">
        <is>
          <t>Soybeans</t>
        </is>
      </c>
      <c r="B255" s="3" t="inlineStr">
        <is>
          <t>Planted Area</t>
        </is>
      </c>
      <c r="C255" s="2" t="inlineStr">
        <is>
          <t>2016-17</t>
        </is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>
        <f>SUM(D255:O255)</f>
        <v/>
      </c>
    </row>
    <row r="256">
      <c r="A256" s="2" t="inlineStr">
        <is>
          <t>Soybeans</t>
        </is>
      </c>
      <c r="B256" s="3" t="inlineStr">
        <is>
          <t>Harvested Area</t>
        </is>
      </c>
      <c r="C256" s="2" t="inlineStr">
        <is>
          <t>2016-17</t>
        </is>
      </c>
      <c r="D256" s="4" t="n"/>
      <c r="E256" s="4" t="n"/>
      <c r="F256" s="4" t="n"/>
      <c r="G256" s="4" t="n"/>
      <c r="H256" s="4" t="n">
        <v>7.252</v>
      </c>
      <c r="I256" s="4" t="n"/>
      <c r="J256" s="4" t="n"/>
      <c r="K256" s="4" t="n"/>
      <c r="L256" s="4" t="n"/>
      <c r="M256" s="4" t="n"/>
      <c r="N256" s="4" t="n"/>
      <c r="O256" s="4" t="n"/>
      <c r="P256" s="4">
        <f>SUM(D256:O256)</f>
        <v/>
      </c>
    </row>
    <row r="257">
      <c r="A257" s="2" t="inlineStr">
        <is>
          <t>Soybeans</t>
        </is>
      </c>
      <c r="B257" s="3" t="inlineStr">
        <is>
          <t>Proportion Harvested</t>
        </is>
      </c>
      <c r="C257" s="2" t="inlineStr">
        <is>
          <t>2016-17</t>
        </is>
      </c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>
        <f>SUM(D257:O257)</f>
        <v/>
      </c>
    </row>
    <row r="258">
      <c r="A258" s="2" t="inlineStr">
        <is>
          <t>Soybeans</t>
        </is>
      </c>
      <c r="B258" s="3" t="inlineStr">
        <is>
          <t>Yield</t>
        </is>
      </c>
      <c r="C258" s="2" t="inlineStr">
        <is>
          <t>2016-17</t>
        </is>
      </c>
      <c r="D258" s="6" t="n"/>
      <c r="E258" s="6" t="n"/>
      <c r="F258" s="6" t="n"/>
      <c r="G258" s="6" t="n"/>
      <c r="H258" s="6" t="n">
        <v>0.1535564417953667</v>
      </c>
      <c r="I258" s="6" t="n"/>
      <c r="J258" s="6" t="n"/>
      <c r="K258" s="6" t="n"/>
      <c r="L258" s="6" t="n"/>
      <c r="M258" s="6" t="n"/>
      <c r="N258" s="6" t="n"/>
      <c r="O258" s="6" t="n"/>
      <c r="P258" s="6">
        <f>SUM(D258:O258)</f>
        <v/>
      </c>
    </row>
    <row r="259">
      <c r="A259" s="2" t="inlineStr">
        <is>
          <t>Soybeans</t>
        </is>
      </c>
      <c r="B259" s="7" t="n"/>
      <c r="C259" s="2" t="inlineStr">
        <is>
          <t>2016-17</t>
        </is>
      </c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</row>
    <row r="260">
      <c r="A260" s="2" t="inlineStr">
        <is>
          <t>Soybeans</t>
        </is>
      </c>
      <c r="B260" s="8" t="inlineStr">
        <is>
          <t>Beginning Stocks</t>
        </is>
      </c>
      <c r="C260" s="2" t="inlineStr">
        <is>
          <t>2016-17</t>
        </is>
      </c>
      <c r="D260" s="9" t="n">
        <v>10.824</v>
      </c>
      <c r="E260" s="9" t="n">
        <v>8.82</v>
      </c>
      <c r="F260" s="9" t="n">
        <v>5.11</v>
      </c>
      <c r="G260" s="9" t="n">
        <v>8.885</v>
      </c>
      <c r="H260" s="9" t="n">
        <v>9.44</v>
      </c>
      <c r="I260" s="9" t="n">
        <v>10.051</v>
      </c>
      <c r="J260" s="9" t="n">
        <v>11.703</v>
      </c>
      <c r="K260" s="9" t="n">
        <v>9.167</v>
      </c>
      <c r="L260" s="9" t="n">
        <v>5.905</v>
      </c>
      <c r="M260" s="9" t="n">
        <v>5.795</v>
      </c>
      <c r="N260" s="9" t="n">
        <v>379.6</v>
      </c>
      <c r="O260" s="9" t="n">
        <v>6.131</v>
      </c>
      <c r="P260" s="10">
        <f>SUM(D260:O260)</f>
        <v/>
      </c>
    </row>
    <row r="261">
      <c r="A261" s="2" t="inlineStr">
        <is>
          <t>Soybeans</t>
        </is>
      </c>
      <c r="B261" s="8" t="inlineStr">
        <is>
          <t>Imports</t>
        </is>
      </c>
      <c r="C261" s="2" t="inlineStr">
        <is>
          <t>2016-17</t>
        </is>
      </c>
      <c r="D261" s="9" t="n">
        <v>0</v>
      </c>
      <c r="E261" s="9" t="n">
        <v>0</v>
      </c>
      <c r="F261" s="9" t="n">
        <v>0</v>
      </c>
      <c r="G261" s="9" t="n">
        <v>0</v>
      </c>
      <c r="H261" s="9" t="n">
        <v>0</v>
      </c>
      <c r="I261" s="9" t="n">
        <v>0</v>
      </c>
      <c r="J261" s="9" t="n">
        <v>0</v>
      </c>
      <c r="K261" s="9" t="n">
        <v>0</v>
      </c>
      <c r="L261" s="9" t="n">
        <v>0</v>
      </c>
      <c r="M261" s="9" t="n">
        <v>0</v>
      </c>
      <c r="N261" s="9" t="n">
        <v>482.4</v>
      </c>
      <c r="O261" s="9" t="n">
        <v>0</v>
      </c>
      <c r="P261" s="10">
        <f>SUM(D261:O261)</f>
        <v/>
      </c>
    </row>
    <row r="262">
      <c r="A262" s="2" t="inlineStr">
        <is>
          <t>Soybeans</t>
        </is>
      </c>
      <c r="B262" s="8" t="inlineStr">
        <is>
          <t>Production</t>
        </is>
      </c>
      <c r="C262" s="2" t="inlineStr">
        <is>
          <t>2016-17</t>
        </is>
      </c>
      <c r="D262" s="9" t="n">
        <v>27.59</v>
      </c>
      <c r="E262" s="9" t="n">
        <v>34.473</v>
      </c>
      <c r="F262" s="9" t="n">
        <v>33.113</v>
      </c>
      <c r="G262" s="9" t="n">
        <v>28.524</v>
      </c>
      <c r="H262" s="9" t="n">
        <v>30.307</v>
      </c>
      <c r="I262" s="9" t="n">
        <v>26.695</v>
      </c>
      <c r="J262" s="9" t="n">
        <v>29.122</v>
      </c>
      <c r="K262" s="9" t="n">
        <v>28.861</v>
      </c>
      <c r="L262" s="9" t="n">
        <v>29.749</v>
      </c>
      <c r="M262" s="9" t="n">
        <v>27.391</v>
      </c>
      <c r="N262" s="9" t="n">
        <v>6596.5</v>
      </c>
      <c r="O262" s="9" t="n">
        <v>25.58</v>
      </c>
      <c r="P262" s="10">
        <f>SUM(D262:O262)</f>
        <v/>
      </c>
    </row>
    <row r="263">
      <c r="A263" s="2" t="inlineStr">
        <is>
          <t>Soybeans</t>
        </is>
      </c>
      <c r="B263" s="7" t="n"/>
      <c r="C263" s="2" t="inlineStr">
        <is>
          <t>2016-17</t>
        </is>
      </c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</row>
    <row r="264">
      <c r="A264" s="2" t="inlineStr">
        <is>
          <t>Soybeans</t>
        </is>
      </c>
      <c r="B264" s="8" t="inlineStr">
        <is>
          <t>Food</t>
        </is>
      </c>
      <c r="C264" s="2" t="inlineStr">
        <is>
          <t>2016-17</t>
        </is>
      </c>
      <c r="D264" s="9" t="n">
        <v>0</v>
      </c>
      <c r="E264" s="9" t="n">
        <v>0</v>
      </c>
      <c r="F264" s="9" t="n">
        <v>0</v>
      </c>
      <c r="G264" s="9" t="n">
        <v>0</v>
      </c>
      <c r="H264" s="9" t="n">
        <v>0</v>
      </c>
      <c r="I264" s="9" t="n">
        <v>0</v>
      </c>
      <c r="J264" s="9" t="n">
        <v>0</v>
      </c>
      <c r="K264" s="9" t="n">
        <v>0</v>
      </c>
      <c r="L264" s="9" t="n">
        <v>0</v>
      </c>
      <c r="M264" s="9" t="n">
        <v>0</v>
      </c>
      <c r="N264" s="9" t="n">
        <v>550.5</v>
      </c>
      <c r="O264" s="9" t="n">
        <v>0</v>
      </c>
      <c r="P264" s="10">
        <f>SUM(D264:O264)</f>
        <v/>
      </c>
    </row>
    <row r="265">
      <c r="A265" s="2" t="inlineStr">
        <is>
          <t>Soybeans</t>
        </is>
      </c>
      <c r="B265" s="8" t="inlineStr">
        <is>
          <t>Crush</t>
        </is>
      </c>
      <c r="C265" s="2" t="inlineStr">
        <is>
          <t>2016-17</t>
        </is>
      </c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10">
        <f>SUM(D265:O265)</f>
        <v/>
      </c>
    </row>
    <row r="266">
      <c r="A266" s="2" t="inlineStr">
        <is>
          <t>Soybeans</t>
        </is>
      </c>
      <c r="B266" s="8" t="inlineStr">
        <is>
          <t>FSR</t>
        </is>
      </c>
      <c r="C266" s="2" t="inlineStr">
        <is>
          <t>2016-17</t>
        </is>
      </c>
      <c r="D266" s="9" t="n">
        <v>27.59</v>
      </c>
      <c r="E266" s="9" t="n">
        <v>34.473</v>
      </c>
      <c r="F266" s="9" t="n">
        <v>33.113</v>
      </c>
      <c r="G266" s="9" t="n">
        <v>28.524</v>
      </c>
      <c r="H266" s="9" t="n">
        <v>30.307</v>
      </c>
      <c r="I266" s="9" t="n">
        <v>26.695</v>
      </c>
      <c r="J266" s="9" t="n">
        <v>29.122</v>
      </c>
      <c r="K266" s="9" t="n">
        <v>28.861</v>
      </c>
      <c r="L266" s="9" t="n">
        <v>29.749</v>
      </c>
      <c r="M266" s="9" t="n">
        <v>27.391</v>
      </c>
      <c r="N266" s="9" t="n">
        <v>2133.2</v>
      </c>
      <c r="O266" s="9" t="n">
        <v>25.58</v>
      </c>
      <c r="P266" s="10">
        <f>SUM(D266:O266)</f>
        <v/>
      </c>
    </row>
    <row r="267">
      <c r="A267" s="2" t="inlineStr">
        <is>
          <t>Soybeans</t>
        </is>
      </c>
      <c r="B267" s="8" t="inlineStr">
        <is>
          <t>Exports</t>
        </is>
      </c>
      <c r="C267" s="2" t="inlineStr">
        <is>
          <t>2016-17</t>
        </is>
      </c>
      <c r="D267" s="9" t="n">
        <v>0</v>
      </c>
      <c r="E267" s="9" t="n">
        <v>0</v>
      </c>
      <c r="F267" s="9" t="n">
        <v>0</v>
      </c>
      <c r="G267" s="9" t="n">
        <v>0</v>
      </c>
      <c r="H267" s="9" t="n">
        <v>0</v>
      </c>
      <c r="I267" s="9" t="n">
        <v>0</v>
      </c>
      <c r="J267" s="9" t="n">
        <v>0</v>
      </c>
      <c r="K267" s="9" t="n">
        <v>0</v>
      </c>
      <c r="L267" s="9" t="n">
        <v>0</v>
      </c>
      <c r="M267" s="9" t="n">
        <v>0</v>
      </c>
      <c r="N267" s="9" t="n">
        <v>4419.8</v>
      </c>
      <c r="O267" s="9" t="n">
        <v>0</v>
      </c>
      <c r="P267" s="10">
        <f>SUM(D267:O267)</f>
        <v/>
      </c>
    </row>
    <row r="268">
      <c r="A268" s="2" t="inlineStr">
        <is>
          <t>Soybeans</t>
        </is>
      </c>
      <c r="B268" s="7" t="n"/>
      <c r="C268" s="2" t="inlineStr">
        <is>
          <t>2016-17</t>
        </is>
      </c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</row>
    <row r="269">
      <c r="A269" s="2" t="inlineStr">
        <is>
          <t>Soybeans</t>
        </is>
      </c>
      <c r="B269" s="8" t="inlineStr">
        <is>
          <t>Ending Stocks</t>
        </is>
      </c>
      <c r="C269" s="2" t="inlineStr">
        <is>
          <t>2016-17</t>
        </is>
      </c>
      <c r="D269" s="9" t="n">
        <v>10.824</v>
      </c>
      <c r="E269" s="9" t="n">
        <v>8.82</v>
      </c>
      <c r="F269" s="9" t="n">
        <v>5.11</v>
      </c>
      <c r="G269" s="9" t="n">
        <v>8.885</v>
      </c>
      <c r="H269" s="9" t="n">
        <v>9.44</v>
      </c>
      <c r="I269" s="9" t="n">
        <v>10.051</v>
      </c>
      <c r="J269" s="9" t="n">
        <v>11.703</v>
      </c>
      <c r="K269" s="9" t="n">
        <v>9.167</v>
      </c>
      <c r="L269" s="9" t="n">
        <v>5.905</v>
      </c>
      <c r="M269" s="9" t="n">
        <v>5.795</v>
      </c>
      <c r="N269" s="9" t="n">
        <v>355</v>
      </c>
      <c r="O269" s="9" t="n">
        <v>6.131</v>
      </c>
      <c r="P269" s="10">
        <f>SUM(D269:O269)</f>
        <v/>
      </c>
    </row>
    <row r="270">
      <c r="A270" s="2" t="inlineStr">
        <is>
          <t>Soybeans</t>
        </is>
      </c>
      <c r="B270" s="3" t="inlineStr">
        <is>
          <t>Stocks-to-Use</t>
        </is>
      </c>
      <c r="C270" s="2" t="inlineStr">
        <is>
          <t>2016-17</t>
        </is>
      </c>
      <c r="D270" s="5" t="n">
        <v>0.3923160565422254</v>
      </c>
      <c r="E270" s="5" t="n">
        <v>0.2558524062309634</v>
      </c>
      <c r="F270" s="5" t="n">
        <v>0.1543200555672999</v>
      </c>
      <c r="G270" s="5" t="n">
        <v>0.311492076847567</v>
      </c>
      <c r="H270" s="5" t="n">
        <v>0.3114791962252945</v>
      </c>
      <c r="I270" s="5" t="n">
        <v>0.3765124555160143</v>
      </c>
      <c r="J270" s="5" t="n">
        <v>0.401861135910995</v>
      </c>
      <c r="K270" s="5" t="n">
        <v>0.3176258618897474</v>
      </c>
      <c r="L270" s="5" t="n">
        <v>0.1984940670274631</v>
      </c>
      <c r="M270" s="5" t="n">
        <v>0.2115658427950787</v>
      </c>
      <c r="N270" s="5" t="n">
        <v>0.04997536425705638</v>
      </c>
      <c r="O270" s="5" t="n">
        <v>0.2396794370602033</v>
      </c>
      <c r="P270" s="5">
        <f>SUM(D270:O270)</f>
        <v/>
      </c>
    </row>
    <row r="271">
      <c r="A271" s="2" t="inlineStr">
        <is>
          <t>Soybeans</t>
        </is>
      </c>
      <c r="B271" s="3" t="inlineStr">
        <is>
          <t>STU Days</t>
        </is>
      </c>
      <c r="C271" s="2" t="inlineStr">
        <is>
          <t>2016-17</t>
        </is>
      </c>
      <c r="D271" s="10" t="n">
        <v>143.1953606379123</v>
      </c>
      <c r="E271" s="10" t="n">
        <v>93.38612827430164</v>
      </c>
      <c r="F271" s="10" t="n">
        <v>56.32682028206445</v>
      </c>
      <c r="G271" s="10" t="n">
        <v>113.6946080493619</v>
      </c>
      <c r="H271" s="10" t="n">
        <v>113.6899066222325</v>
      </c>
      <c r="I271" s="10" t="n">
        <v>137.4270462633452</v>
      </c>
      <c r="J271" s="10" t="n">
        <v>146.6793146075132</v>
      </c>
      <c r="K271" s="10" t="n">
        <v>115.9334395897578</v>
      </c>
      <c r="L271" s="10" t="n">
        <v>72.45033446502404</v>
      </c>
      <c r="M271" s="10" t="n">
        <v>77.22153262020372</v>
      </c>
      <c r="N271" s="10" t="n">
        <v>18.24100795382558</v>
      </c>
      <c r="O271" s="10" t="n">
        <v>87.48299452697421</v>
      </c>
      <c r="P271" s="10">
        <f>SUM(D271:O271)</f>
        <v/>
      </c>
    </row>
    <row r="272">
      <c r="A272" s="2" t="inlineStr">
        <is>
          <t>Soybeans</t>
        </is>
      </c>
      <c r="B272" s="11" t="inlineStr">
        <is>
          <t>CHECK</t>
        </is>
      </c>
      <c r="C272" s="2" t="inlineStr">
        <is>
          <t>2016-17</t>
        </is>
      </c>
      <c r="D272" s="9" t="n">
        <v>-1.77635683940025e-15</v>
      </c>
      <c r="E272" s="9" t="n">
        <v>0</v>
      </c>
      <c r="F272" s="9" t="n">
        <v>-8.881784197001252e-16</v>
      </c>
      <c r="G272" s="9" t="n">
        <v>-1.77635683940025e-15</v>
      </c>
      <c r="H272" s="9" t="n">
        <v>1.77635683940025e-15</v>
      </c>
      <c r="I272" s="9" t="n">
        <v>1.77635683940025e-15</v>
      </c>
      <c r="J272" s="9" t="n">
        <v>0</v>
      </c>
      <c r="K272" s="9" t="n">
        <v>-1.77635683940025e-15</v>
      </c>
      <c r="L272" s="9" t="n">
        <v>8.881784197001252e-16</v>
      </c>
      <c r="M272" s="9" t="n">
        <v>1.77635683940025e-15</v>
      </c>
      <c r="N272" s="9" t="n">
        <v>0</v>
      </c>
      <c r="O272" s="9" t="n">
        <v>0</v>
      </c>
      <c r="P272" s="10">
        <f>SUM(D272:O272)</f>
        <v/>
      </c>
    </row>
    <row r="273">
      <c r="A273" s="2" t="inlineStr">
        <is>
          <t>Soybeans</t>
        </is>
      </c>
      <c r="B273" s="3" t="inlineStr">
        <is>
          <t>Planted Area</t>
        </is>
      </c>
      <c r="C273" s="2" t="inlineStr">
        <is>
          <t>2017-18</t>
        </is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>
        <f>SUM(D273:O273)</f>
        <v/>
      </c>
    </row>
    <row r="274">
      <c r="A274" s="2" t="inlineStr">
        <is>
          <t>Soybeans</t>
        </is>
      </c>
      <c r="B274" s="3" t="inlineStr">
        <is>
          <t>Harvested Area</t>
        </is>
      </c>
      <c r="C274" s="2" t="inlineStr">
        <is>
          <t>2017-18</t>
        </is>
      </c>
      <c r="D274" s="4" t="n"/>
      <c r="E274" s="4" t="n"/>
      <c r="F274" s="4" t="n"/>
      <c r="G274" s="4" t="n"/>
      <c r="H274" s="4" t="n">
        <v>6.2755</v>
      </c>
      <c r="I274" s="4" t="n"/>
      <c r="J274" s="4" t="n"/>
      <c r="K274" s="4" t="n"/>
      <c r="L274" s="4" t="n"/>
      <c r="M274" s="4" t="n"/>
      <c r="N274" s="4" t="n"/>
      <c r="O274" s="4" t="n"/>
      <c r="P274" s="4">
        <f>SUM(D274:O274)</f>
        <v/>
      </c>
    </row>
    <row r="275">
      <c r="A275" s="2" t="inlineStr">
        <is>
          <t>Soybeans</t>
        </is>
      </c>
      <c r="B275" s="3" t="inlineStr">
        <is>
          <t>Proportion Harvested</t>
        </is>
      </c>
      <c r="C275" s="2" t="inlineStr">
        <is>
          <t>2017-18</t>
        </is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>
        <f>SUM(D275:O275)</f>
        <v/>
      </c>
    </row>
    <row r="276">
      <c r="A276" s="2" t="inlineStr">
        <is>
          <t>Soybeans</t>
        </is>
      </c>
      <c r="B276" s="3" t="inlineStr">
        <is>
          <t>Yield</t>
        </is>
      </c>
      <c r="C276" s="2" t="inlineStr">
        <is>
          <t>2017-18</t>
        </is>
      </c>
      <c r="D276" s="6" t="n"/>
      <c r="E276" s="6" t="n"/>
      <c r="F276" s="6" t="n"/>
      <c r="G276" s="6" t="n"/>
      <c r="H276" s="6" t="n">
        <v>0.1660097404350251</v>
      </c>
      <c r="I276" s="6" t="n"/>
      <c r="J276" s="6" t="n"/>
      <c r="K276" s="6" t="n"/>
      <c r="L276" s="6" t="n"/>
      <c r="M276" s="6" t="n"/>
      <c r="N276" s="6" t="n"/>
      <c r="O276" s="6" t="n"/>
      <c r="P276" s="6">
        <f>SUM(D276:O276)</f>
        <v/>
      </c>
    </row>
    <row r="277">
      <c r="A277" s="2" t="inlineStr">
        <is>
          <t>Soybeans</t>
        </is>
      </c>
      <c r="B277" s="7" t="n"/>
      <c r="C277" s="2" t="inlineStr">
        <is>
          <t>2017-18</t>
        </is>
      </c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</row>
    <row r="278">
      <c r="A278" s="2" t="inlineStr">
        <is>
          <t>Soybeans</t>
        </is>
      </c>
      <c r="B278" s="8" t="inlineStr">
        <is>
          <t>Beginning Stocks</t>
        </is>
      </c>
      <c r="C278" s="2" t="inlineStr">
        <is>
          <t>2017-18</t>
        </is>
      </c>
      <c r="D278" s="9" t="n">
        <v>8.455</v>
      </c>
      <c r="E278" s="9" t="n">
        <v>5.552</v>
      </c>
      <c r="F278" s="9" t="n">
        <v>11.035</v>
      </c>
      <c r="G278" s="9" t="n">
        <v>11.202</v>
      </c>
      <c r="H278" s="9" t="n">
        <v>4.464</v>
      </c>
      <c r="I278" s="9" t="n">
        <v>7.304</v>
      </c>
      <c r="J278" s="9" t="n">
        <v>10.429</v>
      </c>
      <c r="K278" s="9" t="n">
        <v>8.131</v>
      </c>
      <c r="L278" s="9" t="n">
        <v>8.682</v>
      </c>
      <c r="M278" s="9" t="n">
        <v>8.343</v>
      </c>
      <c r="N278" s="9" t="n">
        <v>355</v>
      </c>
      <c r="O278" s="9" t="n">
        <v>5.999</v>
      </c>
      <c r="P278" s="10">
        <f>SUM(D278:O278)</f>
        <v/>
      </c>
    </row>
    <row r="279">
      <c r="A279" s="2" t="inlineStr">
        <is>
          <t>Soybeans</t>
        </is>
      </c>
      <c r="B279" s="8" t="inlineStr">
        <is>
          <t>Imports</t>
        </is>
      </c>
      <c r="C279" s="2" t="inlineStr">
        <is>
          <t>2017-18</t>
        </is>
      </c>
      <c r="D279" s="9" t="n">
        <v>0</v>
      </c>
      <c r="E279" s="9" t="n">
        <v>0</v>
      </c>
      <c r="F279" s="9" t="n">
        <v>0</v>
      </c>
      <c r="G279" s="9" t="n">
        <v>0</v>
      </c>
      <c r="H279" s="9" t="n">
        <v>0</v>
      </c>
      <c r="I279" s="9" t="n">
        <v>0</v>
      </c>
      <c r="J279" s="9" t="n">
        <v>0</v>
      </c>
      <c r="K279" s="9" t="n">
        <v>0</v>
      </c>
      <c r="L279" s="9" t="n">
        <v>0</v>
      </c>
      <c r="M279" s="9" t="n">
        <v>0</v>
      </c>
      <c r="N279" s="9" t="n">
        <v>534.5</v>
      </c>
      <c r="O279" s="9" t="n">
        <v>0</v>
      </c>
      <c r="P279" s="10">
        <f>SUM(D279:O279)</f>
        <v/>
      </c>
    </row>
    <row r="280">
      <c r="A280" s="2" t="inlineStr">
        <is>
          <t>Soybeans</t>
        </is>
      </c>
      <c r="B280" s="8" t="inlineStr">
        <is>
          <t>Production</t>
        </is>
      </c>
      <c r="C280" s="2" t="inlineStr">
        <is>
          <t>2017-18</t>
        </is>
      </c>
      <c r="D280" s="9" t="n">
        <v>26.258</v>
      </c>
      <c r="E280" s="9" t="n">
        <v>31.939</v>
      </c>
      <c r="F280" s="9" t="n">
        <v>30.796</v>
      </c>
      <c r="G280" s="9" t="n">
        <v>29.737</v>
      </c>
      <c r="H280" s="9" t="n">
        <v>28.353</v>
      </c>
      <c r="I280" s="9" t="n">
        <v>27.381</v>
      </c>
      <c r="J280" s="9" t="n">
        <v>31.608</v>
      </c>
      <c r="K280" s="9" t="n">
        <v>31.151</v>
      </c>
      <c r="L280" s="9" t="n">
        <v>33.643</v>
      </c>
      <c r="M280" s="9" t="n">
        <v>31.77</v>
      </c>
      <c r="N280" s="9" t="n">
        <v>7716.6</v>
      </c>
      <c r="O280" s="9" t="n">
        <v>30.964</v>
      </c>
      <c r="P280" s="10">
        <f>SUM(D280:O280)</f>
        <v/>
      </c>
    </row>
    <row r="281">
      <c r="A281" s="2" t="inlineStr">
        <is>
          <t>Soybeans</t>
        </is>
      </c>
      <c r="B281" s="7" t="n"/>
      <c r="C281" s="2" t="inlineStr">
        <is>
          <t>2017-18</t>
        </is>
      </c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</row>
    <row r="282">
      <c r="A282" s="2" t="inlineStr">
        <is>
          <t>Soybeans</t>
        </is>
      </c>
      <c r="B282" s="8" t="inlineStr">
        <is>
          <t>Food</t>
        </is>
      </c>
      <c r="C282" s="2" t="inlineStr">
        <is>
          <t>2017-18</t>
        </is>
      </c>
      <c r="D282" s="9" t="n">
        <v>0</v>
      </c>
      <c r="E282" s="9" t="n">
        <v>0</v>
      </c>
      <c r="F282" s="9" t="n">
        <v>0</v>
      </c>
      <c r="G282" s="9" t="n">
        <v>0</v>
      </c>
      <c r="H282" s="9" t="n">
        <v>0</v>
      </c>
      <c r="I282" s="9" t="n">
        <v>0</v>
      </c>
      <c r="J282" s="9" t="n">
        <v>0</v>
      </c>
      <c r="K282" s="9" t="n">
        <v>0</v>
      </c>
      <c r="L282" s="9" t="n">
        <v>0</v>
      </c>
      <c r="M282" s="9" t="n">
        <v>0</v>
      </c>
      <c r="N282" s="9" t="n">
        <v>795.7</v>
      </c>
      <c r="O282" s="9" t="n">
        <v>0</v>
      </c>
      <c r="P282" s="10">
        <f>SUM(D282:O282)</f>
        <v/>
      </c>
    </row>
    <row r="283">
      <c r="A283" s="2" t="inlineStr">
        <is>
          <t>Soybeans</t>
        </is>
      </c>
      <c r="B283" s="8" t="inlineStr">
        <is>
          <t>Crush</t>
        </is>
      </c>
      <c r="C283" s="2" t="inlineStr">
        <is>
          <t>2017-18</t>
        </is>
      </c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10">
        <f>SUM(D283:O283)</f>
        <v/>
      </c>
    </row>
    <row r="284">
      <c r="A284" s="2" t="inlineStr">
        <is>
          <t>Soybeans</t>
        </is>
      </c>
      <c r="B284" s="8" t="inlineStr">
        <is>
          <t>FSR</t>
        </is>
      </c>
      <c r="C284" s="2" t="inlineStr">
        <is>
          <t>2017-18</t>
        </is>
      </c>
      <c r="D284" s="9" t="n">
        <v>26.258</v>
      </c>
      <c r="E284" s="9" t="n">
        <v>31.939</v>
      </c>
      <c r="F284" s="9" t="n">
        <v>30.796</v>
      </c>
      <c r="G284" s="9" t="n">
        <v>29.737</v>
      </c>
      <c r="H284" s="9" t="n">
        <v>28.353</v>
      </c>
      <c r="I284" s="9" t="n">
        <v>27.381</v>
      </c>
      <c r="J284" s="9" t="n">
        <v>31.608</v>
      </c>
      <c r="K284" s="9" t="n">
        <v>31.151</v>
      </c>
      <c r="L284" s="9" t="n">
        <v>33.643</v>
      </c>
      <c r="M284" s="9" t="n">
        <v>31.77</v>
      </c>
      <c r="N284" s="9" t="n">
        <v>2230.5</v>
      </c>
      <c r="O284" s="9" t="n">
        <v>30.964</v>
      </c>
      <c r="P284" s="10">
        <f>SUM(D284:O284)</f>
        <v/>
      </c>
    </row>
    <row r="285">
      <c r="A285" s="2" t="inlineStr">
        <is>
          <t>Soybeans</t>
        </is>
      </c>
      <c r="B285" s="8" t="inlineStr">
        <is>
          <t>Exports</t>
        </is>
      </c>
      <c r="C285" s="2" t="inlineStr">
        <is>
          <t>2017-18</t>
        </is>
      </c>
      <c r="D285" s="9" t="n">
        <v>0</v>
      </c>
      <c r="E285" s="9" t="n">
        <v>0</v>
      </c>
      <c r="F285" s="9" t="n">
        <v>0</v>
      </c>
      <c r="G285" s="9" t="n">
        <v>0</v>
      </c>
      <c r="H285" s="9" t="n">
        <v>0</v>
      </c>
      <c r="I285" s="9" t="n">
        <v>0</v>
      </c>
      <c r="J285" s="9" t="n">
        <v>0</v>
      </c>
      <c r="K285" s="9" t="n">
        <v>0</v>
      </c>
      <c r="L285" s="9" t="n">
        <v>0</v>
      </c>
      <c r="M285" s="9" t="n">
        <v>0</v>
      </c>
      <c r="N285" s="9" t="n">
        <v>4928.6</v>
      </c>
      <c r="O285" s="9" t="n">
        <v>0</v>
      </c>
      <c r="P285" s="10">
        <f>SUM(D285:O285)</f>
        <v/>
      </c>
    </row>
    <row r="286">
      <c r="A286" s="2" t="inlineStr">
        <is>
          <t>Soybeans</t>
        </is>
      </c>
      <c r="B286" s="7" t="n"/>
      <c r="C286" s="2" t="inlineStr">
        <is>
          <t>2017-18</t>
        </is>
      </c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</row>
    <row r="287">
      <c r="A287" s="2" t="inlineStr">
        <is>
          <t>Soybeans</t>
        </is>
      </c>
      <c r="B287" s="8" t="inlineStr">
        <is>
          <t>Ending Stocks</t>
        </is>
      </c>
      <c r="C287" s="2" t="inlineStr">
        <is>
          <t>2017-18</t>
        </is>
      </c>
      <c r="D287" s="9" t="n">
        <v>8.455</v>
      </c>
      <c r="E287" s="9" t="n">
        <v>5.552</v>
      </c>
      <c r="F287" s="9" t="n">
        <v>11.035</v>
      </c>
      <c r="G287" s="9" t="n">
        <v>11.202</v>
      </c>
      <c r="H287" s="9" t="n">
        <v>4.464</v>
      </c>
      <c r="I287" s="9" t="n">
        <v>7.304</v>
      </c>
      <c r="J287" s="9" t="n">
        <v>10.429</v>
      </c>
      <c r="K287" s="9" t="n">
        <v>8.131</v>
      </c>
      <c r="L287" s="9" t="n">
        <v>8.682</v>
      </c>
      <c r="M287" s="9" t="n">
        <v>8.343</v>
      </c>
      <c r="N287" s="9" t="n">
        <v>651.3</v>
      </c>
      <c r="O287" s="9" t="n">
        <v>5.999</v>
      </c>
      <c r="P287" s="10">
        <f>SUM(D287:O287)</f>
        <v/>
      </c>
    </row>
    <row r="288">
      <c r="A288" s="2" t="inlineStr">
        <is>
          <t>Soybeans</t>
        </is>
      </c>
      <c r="B288" s="3" t="inlineStr">
        <is>
          <t>Stocks-to-Use</t>
        </is>
      </c>
      <c r="C288" s="2" t="inlineStr">
        <is>
          <t>2017-18</t>
        </is>
      </c>
      <c r="D288" s="5" t="n">
        <v>0.3219971056439942</v>
      </c>
      <c r="E288" s="5" t="n">
        <v>0.1738313660415166</v>
      </c>
      <c r="F288" s="5" t="n">
        <v>0.3583257565917651</v>
      </c>
      <c r="G288" s="5" t="n">
        <v>0.376702424588896</v>
      </c>
      <c r="H288" s="5" t="n">
        <v>0.1574436567558989</v>
      </c>
      <c r="I288" s="5" t="n">
        <v>0.2667543186881414</v>
      </c>
      <c r="J288" s="5" t="n">
        <v>0.3299481144014174</v>
      </c>
      <c r="K288" s="5" t="n">
        <v>0.2610189079002279</v>
      </c>
      <c r="L288" s="5" t="n">
        <v>0.2580625984603038</v>
      </c>
      <c r="M288" s="5" t="n">
        <v>0.2626062322946175</v>
      </c>
      <c r="N288" s="5" t="n">
        <v>0.08187509428269724</v>
      </c>
      <c r="O288" s="5" t="n">
        <v>0.1937411187185118</v>
      </c>
      <c r="P288" s="5">
        <f>SUM(D288:O288)</f>
        <v/>
      </c>
    </row>
    <row r="289">
      <c r="A289" s="2" t="inlineStr">
        <is>
          <t>Soybeans</t>
        </is>
      </c>
      <c r="B289" s="3" t="inlineStr">
        <is>
          <t>STU Days</t>
        </is>
      </c>
      <c r="C289" s="2" t="inlineStr">
        <is>
          <t>2017-18</t>
        </is>
      </c>
      <c r="D289" s="10" t="n">
        <v>117.5289435600579</v>
      </c>
      <c r="E289" s="10" t="n">
        <v>63.44844860515357</v>
      </c>
      <c r="F289" s="10" t="n">
        <v>130.7889011559943</v>
      </c>
      <c r="G289" s="10" t="n">
        <v>137.4963849749471</v>
      </c>
      <c r="H289" s="10" t="n">
        <v>57.46693471590309</v>
      </c>
      <c r="I289" s="10" t="n">
        <v>97.36532632117162</v>
      </c>
      <c r="J289" s="10" t="n">
        <v>120.4310617565173</v>
      </c>
      <c r="K289" s="10" t="n">
        <v>95.27190138358318</v>
      </c>
      <c r="L289" s="10" t="n">
        <v>94.19284843801087</v>
      </c>
      <c r="M289" s="10" t="n">
        <v>95.8512747875354</v>
      </c>
      <c r="N289" s="10" t="n">
        <v>29.88440941318449</v>
      </c>
      <c r="O289" s="10" t="n">
        <v>70.71550833225682</v>
      </c>
      <c r="P289" s="10">
        <f>SUM(D289:O289)</f>
        <v/>
      </c>
    </row>
    <row r="290">
      <c r="A290" s="2" t="inlineStr">
        <is>
          <t>Soybeans</t>
        </is>
      </c>
      <c r="B290" s="11" t="inlineStr">
        <is>
          <t>CHECK</t>
        </is>
      </c>
      <c r="C290" s="2" t="inlineStr">
        <is>
          <t>2017-18</t>
        </is>
      </c>
      <c r="D290" s="9" t="n">
        <v>-1.77635683940025e-15</v>
      </c>
      <c r="E290" s="9" t="n">
        <v>0</v>
      </c>
      <c r="F290" s="9" t="n">
        <v>0</v>
      </c>
      <c r="G290" s="9" t="n">
        <v>1.77635683940025e-15</v>
      </c>
      <c r="H290" s="9" t="n">
        <v>-1.77635683940025e-15</v>
      </c>
      <c r="I290" s="9" t="n">
        <v>1.77635683940025e-15</v>
      </c>
      <c r="J290" s="9" t="n">
        <v>-1.77635683940025e-15</v>
      </c>
      <c r="K290" s="9" t="n">
        <v>-3.552713678800501e-15</v>
      </c>
      <c r="L290" s="9" t="n">
        <v>1.77635683940025e-15</v>
      </c>
      <c r="M290" s="9" t="n">
        <v>0</v>
      </c>
      <c r="N290" s="9" t="n">
        <v>2.273736754432321e-13</v>
      </c>
      <c r="O290" s="9" t="n">
        <v>2.664535259100376e-15</v>
      </c>
      <c r="P290" s="10">
        <f>SUM(D290:O290)</f>
        <v/>
      </c>
    </row>
    <row r="291">
      <c r="A291" s="2" t="inlineStr">
        <is>
          <t>Soybeans</t>
        </is>
      </c>
      <c r="B291" s="3" t="inlineStr">
        <is>
          <t>Planted Area</t>
        </is>
      </c>
      <c r="C291" s="2" t="inlineStr">
        <is>
          <t>2018-19</t>
        </is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>
        <f>SUM(D291:O291)</f>
        <v/>
      </c>
    </row>
    <row r="292">
      <c r="A292" s="2" t="inlineStr">
        <is>
          <t>Soybeans</t>
        </is>
      </c>
      <c r="B292" s="3" t="inlineStr">
        <is>
          <t>Harvested Area</t>
        </is>
      </c>
      <c r="C292" s="2" t="inlineStr">
        <is>
          <t>2018-19</t>
        </is>
      </c>
      <c r="D292" s="4" t="n"/>
      <c r="E292" s="4" t="n"/>
      <c r="F292" s="4" t="n"/>
      <c r="G292" s="4" t="n"/>
      <c r="H292" s="4" t="n">
        <v>5.6104</v>
      </c>
      <c r="I292" s="4" t="n"/>
      <c r="J292" s="4" t="n"/>
      <c r="K292" s="4" t="n"/>
      <c r="L292" s="4" t="n"/>
      <c r="M292" s="4" t="n"/>
      <c r="N292" s="4" t="n"/>
      <c r="O292" s="4" t="n"/>
      <c r="P292" s="4">
        <f>SUM(D292:O292)</f>
        <v/>
      </c>
    </row>
    <row r="293">
      <c r="A293" s="2" t="inlineStr">
        <is>
          <t>Soybeans</t>
        </is>
      </c>
      <c r="B293" s="3" t="inlineStr">
        <is>
          <t>Proportion Harvested</t>
        </is>
      </c>
      <c r="C293" s="2" t="inlineStr">
        <is>
          <t>2018-19</t>
        </is>
      </c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>
        <f>SUM(D293:O293)</f>
        <v/>
      </c>
    </row>
    <row r="294">
      <c r="A294" s="2" t="inlineStr">
        <is>
          <t>Soybeans</t>
        </is>
      </c>
      <c r="B294" s="3" t="inlineStr">
        <is>
          <t>Yield</t>
        </is>
      </c>
      <c r="C294" s="2" t="inlineStr">
        <is>
          <t>2018-19</t>
        </is>
      </c>
      <c r="D294" s="6" t="n"/>
      <c r="E294" s="6" t="n"/>
      <c r="F294" s="6" t="n"/>
      <c r="G294" s="6" t="n"/>
      <c r="H294" s="6" t="n">
        <v>0.2228500427598745</v>
      </c>
      <c r="I294" s="6" t="n"/>
      <c r="J294" s="6" t="n"/>
      <c r="K294" s="6" t="n"/>
      <c r="L294" s="6" t="n"/>
      <c r="M294" s="6" t="n"/>
      <c r="N294" s="6" t="n"/>
      <c r="O294" s="6" t="n"/>
      <c r="P294" s="6">
        <f>SUM(D294:O294)</f>
        <v/>
      </c>
    </row>
    <row r="295">
      <c r="A295" s="2" t="inlineStr">
        <is>
          <t>Soybeans</t>
        </is>
      </c>
      <c r="B295" s="7" t="n"/>
      <c r="C295" s="2" t="inlineStr">
        <is>
          <t>2018-19</t>
        </is>
      </c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</row>
    <row r="296">
      <c r="A296" s="2" t="inlineStr">
        <is>
          <t>Soybeans</t>
        </is>
      </c>
      <c r="B296" s="8" t="inlineStr">
        <is>
          <t>Beginning Stocks</t>
        </is>
      </c>
      <c r="C296" s="2" t="inlineStr">
        <is>
          <t>2018-19</t>
        </is>
      </c>
      <c r="D296" s="9" t="n">
        <v>7.969</v>
      </c>
      <c r="E296" s="9" t="n">
        <v>6.737</v>
      </c>
      <c r="F296" s="9" t="n">
        <v>24.414</v>
      </c>
      <c r="G296" s="9" t="n">
        <v>11.232</v>
      </c>
      <c r="H296" s="9" t="n">
        <v>7.937</v>
      </c>
      <c r="I296" s="9" t="n">
        <v>7.244</v>
      </c>
      <c r="J296" s="9" t="n">
        <v>7.604</v>
      </c>
      <c r="K296" s="9" t="n">
        <v>8.853999999999999</v>
      </c>
      <c r="L296" s="9" t="n">
        <v>8.263999999999999</v>
      </c>
      <c r="M296" s="9" t="n">
        <v>8.585000000000001</v>
      </c>
      <c r="N296" s="9" t="n">
        <v>651.3</v>
      </c>
      <c r="O296" s="9" t="n">
        <v>4.1</v>
      </c>
      <c r="P296" s="10">
        <f>SUM(D296:O296)</f>
        <v/>
      </c>
    </row>
    <row r="297">
      <c r="A297" s="2" t="inlineStr">
        <is>
          <t>Soybeans</t>
        </is>
      </c>
      <c r="B297" s="8" t="inlineStr">
        <is>
          <t>Imports</t>
        </is>
      </c>
      <c r="C297" s="2" t="inlineStr">
        <is>
          <t>2018-19</t>
        </is>
      </c>
      <c r="D297" s="9" t="n">
        <v>0</v>
      </c>
      <c r="E297" s="9" t="n">
        <v>0</v>
      </c>
      <c r="F297" s="9" t="n">
        <v>0</v>
      </c>
      <c r="G297" s="9" t="n">
        <v>0</v>
      </c>
      <c r="H297" s="9" t="n">
        <v>0</v>
      </c>
      <c r="I297" s="9" t="n">
        <v>0</v>
      </c>
      <c r="J297" s="9" t="n">
        <v>0</v>
      </c>
      <c r="K297" s="9" t="n">
        <v>0</v>
      </c>
      <c r="L297" s="9" t="n">
        <v>0</v>
      </c>
      <c r="M297" s="9" t="n">
        <v>0</v>
      </c>
      <c r="N297" s="9" t="n">
        <v>950</v>
      </c>
      <c r="O297" s="9" t="n">
        <v>0</v>
      </c>
      <c r="P297" s="10">
        <f>SUM(D297:O297)</f>
        <v/>
      </c>
    </row>
    <row r="298">
      <c r="A298" s="2" t="inlineStr">
        <is>
          <t>Soybeans</t>
        </is>
      </c>
      <c r="B298" s="8" t="inlineStr">
        <is>
          <t>Production</t>
        </is>
      </c>
      <c r="C298" s="2" t="inlineStr">
        <is>
          <t>2018-19</t>
        </is>
      </c>
      <c r="D298" s="9" t="n">
        <v>27.385</v>
      </c>
      <c r="E298" s="9" t="n">
        <v>36.605</v>
      </c>
      <c r="F298" s="9" t="n">
        <v>35.931</v>
      </c>
      <c r="G298" s="9" t="n">
        <v>40.508</v>
      </c>
      <c r="H298" s="9" t="n">
        <v>34.027</v>
      </c>
      <c r="I298" s="9" t="n">
        <v>33.015</v>
      </c>
      <c r="J298" s="9" t="n">
        <v>31.889</v>
      </c>
      <c r="K298" s="9" t="n">
        <v>32.026</v>
      </c>
      <c r="L298" s="9" t="n">
        <v>32.486</v>
      </c>
      <c r="M298" s="9" t="n">
        <v>25.923</v>
      </c>
      <c r="N298" s="9" t="n">
        <v>7416.6</v>
      </c>
      <c r="O298" s="9" t="n">
        <v>27.888</v>
      </c>
      <c r="P298" s="10">
        <f>SUM(D298:O298)</f>
        <v/>
      </c>
    </row>
    <row r="299">
      <c r="A299" s="2" t="inlineStr">
        <is>
          <t>Soybeans</t>
        </is>
      </c>
      <c r="B299" s="7" t="n"/>
      <c r="C299" s="2" t="inlineStr">
        <is>
          <t>2018-19</t>
        </is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</row>
    <row r="300">
      <c r="A300" s="2" t="inlineStr">
        <is>
          <t>Soybeans</t>
        </is>
      </c>
      <c r="B300" s="8" t="inlineStr">
        <is>
          <t>Food</t>
        </is>
      </c>
      <c r="C300" s="2" t="inlineStr">
        <is>
          <t>2018-19</t>
        </is>
      </c>
      <c r="D300" s="9" t="n">
        <v>0</v>
      </c>
      <c r="E300" s="9" t="n">
        <v>0</v>
      </c>
      <c r="F300" s="9" t="n">
        <v>0</v>
      </c>
      <c r="G300" s="9" t="n">
        <v>0</v>
      </c>
      <c r="H300" s="9" t="n">
        <v>0</v>
      </c>
      <c r="I300" s="9" t="n">
        <v>0</v>
      </c>
      <c r="J300" s="9" t="n">
        <v>0</v>
      </c>
      <c r="K300" s="9" t="n">
        <v>0</v>
      </c>
      <c r="L300" s="9" t="n">
        <v>0</v>
      </c>
      <c r="M300" s="9" t="n">
        <v>0</v>
      </c>
      <c r="N300" s="9" t="n">
        <v>401.8</v>
      </c>
      <c r="O300" s="9" t="n">
        <v>0</v>
      </c>
      <c r="P300" s="10">
        <f>SUM(D300:O300)</f>
        <v/>
      </c>
    </row>
    <row r="301">
      <c r="A301" s="2" t="inlineStr">
        <is>
          <t>Soybeans</t>
        </is>
      </c>
      <c r="B301" s="8" t="inlineStr">
        <is>
          <t>Crush</t>
        </is>
      </c>
      <c r="C301" s="2" t="inlineStr">
        <is>
          <t>2018-19</t>
        </is>
      </c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10">
        <f>SUM(D301:O301)</f>
        <v/>
      </c>
    </row>
    <row r="302">
      <c r="A302" s="2" t="inlineStr">
        <is>
          <t>Soybeans</t>
        </is>
      </c>
      <c r="B302" s="8" t="inlineStr">
        <is>
          <t>FSR</t>
        </is>
      </c>
      <c r="C302" s="2" t="inlineStr">
        <is>
          <t>2018-19</t>
        </is>
      </c>
      <c r="D302" s="9" t="n">
        <v>27.385</v>
      </c>
      <c r="E302" s="9" t="n">
        <v>36.605</v>
      </c>
      <c r="F302" s="9" t="n">
        <v>35.931</v>
      </c>
      <c r="G302" s="9" t="n">
        <v>40.508</v>
      </c>
      <c r="H302" s="9" t="n">
        <v>34.027</v>
      </c>
      <c r="I302" s="9" t="n">
        <v>33.015</v>
      </c>
      <c r="J302" s="9" t="n">
        <v>31.889</v>
      </c>
      <c r="K302" s="9" t="n">
        <v>32.026</v>
      </c>
      <c r="L302" s="9" t="n">
        <v>32.486</v>
      </c>
      <c r="M302" s="9" t="n">
        <v>25.92299999999999</v>
      </c>
      <c r="N302" s="9" t="n">
        <v>2296.000000000001</v>
      </c>
      <c r="O302" s="9" t="n">
        <v>27.888</v>
      </c>
      <c r="P302" s="10">
        <f>SUM(D302:O302)</f>
        <v/>
      </c>
    </row>
    <row r="303">
      <c r="A303" s="2" t="inlineStr">
        <is>
          <t>Soybeans</t>
        </is>
      </c>
      <c r="B303" s="8" t="inlineStr">
        <is>
          <t>Exports</t>
        </is>
      </c>
      <c r="C303" s="2" t="inlineStr">
        <is>
          <t>2018-19</t>
        </is>
      </c>
      <c r="D303" s="9" t="n">
        <v>0</v>
      </c>
      <c r="E303" s="9" t="n">
        <v>0</v>
      </c>
      <c r="F303" s="9" t="n">
        <v>0</v>
      </c>
      <c r="G303" s="9" t="n">
        <v>0</v>
      </c>
      <c r="H303" s="9" t="n">
        <v>0</v>
      </c>
      <c r="I303" s="9" t="n">
        <v>0</v>
      </c>
      <c r="J303" s="9" t="n">
        <v>0</v>
      </c>
      <c r="K303" s="9" t="n">
        <v>0</v>
      </c>
      <c r="L303" s="9" t="n">
        <v>0</v>
      </c>
      <c r="M303" s="9" t="n">
        <v>0</v>
      </c>
      <c r="N303" s="9" t="n">
        <v>5620.3</v>
      </c>
      <c r="O303" s="9" t="n">
        <v>0</v>
      </c>
      <c r="P303" s="10">
        <f>SUM(D303:O303)</f>
        <v/>
      </c>
    </row>
    <row r="304">
      <c r="A304" s="2" t="inlineStr">
        <is>
          <t>Soybeans</t>
        </is>
      </c>
      <c r="B304" s="7" t="n"/>
      <c r="C304" s="2" t="inlineStr">
        <is>
          <t>2018-19</t>
        </is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</row>
    <row r="305">
      <c r="A305" s="2" t="inlineStr">
        <is>
          <t>Soybeans</t>
        </is>
      </c>
      <c r="B305" s="8" t="inlineStr">
        <is>
          <t>Ending Stocks</t>
        </is>
      </c>
      <c r="C305" s="2" t="inlineStr">
        <is>
          <t>2018-19</t>
        </is>
      </c>
      <c r="D305" s="9" t="n">
        <v>7.969</v>
      </c>
      <c r="E305" s="9" t="n">
        <v>6.737</v>
      </c>
      <c r="F305" s="9" t="n">
        <v>24.414</v>
      </c>
      <c r="G305" s="9" t="n">
        <v>11.232</v>
      </c>
      <c r="H305" s="9" t="n">
        <v>7.937</v>
      </c>
      <c r="I305" s="9" t="n">
        <v>7.244</v>
      </c>
      <c r="J305" s="9" t="n">
        <v>7.604</v>
      </c>
      <c r="K305" s="9" t="n">
        <v>8.853999999999999</v>
      </c>
      <c r="L305" s="9" t="n">
        <v>8.263999999999999</v>
      </c>
      <c r="M305" s="9" t="n">
        <v>8.585000000000001</v>
      </c>
      <c r="N305" s="9" t="n">
        <v>699.8</v>
      </c>
      <c r="O305" s="9" t="n">
        <v>4.1</v>
      </c>
      <c r="P305" s="10">
        <f>SUM(D305:O305)</f>
        <v/>
      </c>
    </row>
    <row r="306">
      <c r="A306" s="2" t="inlineStr">
        <is>
          <t>Soybeans</t>
        </is>
      </c>
      <c r="B306" s="3" t="inlineStr">
        <is>
          <t>Stocks-to-Use</t>
        </is>
      </c>
      <c r="C306" s="2" t="inlineStr">
        <is>
          <t>2018-19</t>
        </is>
      </c>
      <c r="D306" s="5" t="n">
        <v>0.2909987219280628</v>
      </c>
      <c r="E306" s="5" t="n">
        <v>0.1840458953694851</v>
      </c>
      <c r="F306" s="5" t="n">
        <v>0.6794689822159139</v>
      </c>
      <c r="G306" s="5" t="n">
        <v>0.2772785622593067</v>
      </c>
      <c r="H306" s="5" t="n">
        <v>0.2332559438093279</v>
      </c>
      <c r="I306" s="5" t="n">
        <v>0.2194154172345903</v>
      </c>
      <c r="J306" s="5" t="n">
        <v>0.2384521308288124</v>
      </c>
      <c r="K306" s="5" t="n">
        <v>0.2764628739149441</v>
      </c>
      <c r="L306" s="5" t="n">
        <v>0.254386504955981</v>
      </c>
      <c r="M306" s="5" t="n">
        <v>0.3311730895343904</v>
      </c>
      <c r="N306" s="5" t="n">
        <v>0.08412978925475767</v>
      </c>
      <c r="O306" s="5" t="n">
        <v>0.1470166379804934</v>
      </c>
      <c r="P306" s="5">
        <f>SUM(D306:O306)</f>
        <v/>
      </c>
    </row>
    <row r="307">
      <c r="A307" s="2" t="inlineStr">
        <is>
          <t>Soybeans</t>
        </is>
      </c>
      <c r="B307" s="3" t="inlineStr">
        <is>
          <t>STU Days</t>
        </is>
      </c>
      <c r="C307" s="2" t="inlineStr">
        <is>
          <t>2018-19</t>
        </is>
      </c>
      <c r="D307" s="10" t="n">
        <v>106.2145335037429</v>
      </c>
      <c r="E307" s="10" t="n">
        <v>67.17675180986205</v>
      </c>
      <c r="F307" s="10" t="n">
        <v>248.0061785088086</v>
      </c>
      <c r="G307" s="10" t="n">
        <v>101.206675224647</v>
      </c>
      <c r="H307" s="10" t="n">
        <v>85.13841949040467</v>
      </c>
      <c r="I307" s="10" t="n">
        <v>80.08662729062547</v>
      </c>
      <c r="J307" s="10" t="n">
        <v>87.03502775251653</v>
      </c>
      <c r="K307" s="10" t="n">
        <v>100.9089489789546</v>
      </c>
      <c r="L307" s="10" t="n">
        <v>92.85107430893305</v>
      </c>
      <c r="M307" s="10" t="n">
        <v>120.8781776800525</v>
      </c>
      <c r="N307" s="10" t="n">
        <v>30.70737307798655</v>
      </c>
      <c r="O307" s="10" t="n">
        <v>53.66107286288008</v>
      </c>
      <c r="P307" s="10">
        <f>SUM(D307:O307)</f>
        <v/>
      </c>
    </row>
    <row r="308">
      <c r="A308" s="2" t="inlineStr">
        <is>
          <t>Soybeans</t>
        </is>
      </c>
      <c r="B308" s="11" t="inlineStr">
        <is>
          <t>CHECK</t>
        </is>
      </c>
      <c r="C308" s="2" t="inlineStr">
        <is>
          <t>2018-19</t>
        </is>
      </c>
      <c r="D308" s="9" t="n">
        <v>-2.664535259100376e-15</v>
      </c>
      <c r="E308" s="9" t="n">
        <v>1.77635683940025e-15</v>
      </c>
      <c r="F308" s="9" t="n">
        <v>0</v>
      </c>
      <c r="G308" s="9" t="n">
        <v>0</v>
      </c>
      <c r="H308" s="9" t="n">
        <v>-2.664535259100376e-15</v>
      </c>
      <c r="I308" s="9" t="n">
        <v>0</v>
      </c>
      <c r="J308" s="9" t="n">
        <v>-8.881784197001252e-16</v>
      </c>
      <c r="K308" s="9" t="n">
        <v>0</v>
      </c>
      <c r="L308" s="9" t="n">
        <v>-3.552713678800501e-15</v>
      </c>
      <c r="M308" s="9" t="n">
        <v>0</v>
      </c>
      <c r="N308" s="9" t="n">
        <v>1.13686837721616e-12</v>
      </c>
      <c r="O308" s="9" t="n">
        <v>-1.77635683940025e-15</v>
      </c>
      <c r="P308" s="10">
        <f>SUM(D308:O308)</f>
        <v/>
      </c>
    </row>
    <row r="309">
      <c r="A309" s="2" t="inlineStr">
        <is>
          <t>Soybeans</t>
        </is>
      </c>
      <c r="B309" s="3" t="inlineStr">
        <is>
          <t>Planted Area</t>
        </is>
      </c>
      <c r="C309" s="2" t="inlineStr">
        <is>
          <t>2019-20</t>
        </is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>
        <f>SUM(D309:O309)</f>
        <v/>
      </c>
    </row>
    <row r="310">
      <c r="A310" s="2" t="inlineStr">
        <is>
          <t>Soybeans</t>
        </is>
      </c>
      <c r="B310" s="3" t="inlineStr">
        <is>
          <t>Harvested Area</t>
        </is>
      </c>
      <c r="C310" s="2" t="inlineStr">
        <is>
          <t>2019-20</t>
        </is>
      </c>
      <c r="D310" s="4" t="n"/>
      <c r="E310" s="4" t="n"/>
      <c r="F310" s="4" t="n"/>
      <c r="G310" s="4" t="n"/>
      <c r="H310" s="4" t="n">
        <v>5.044</v>
      </c>
      <c r="I310" s="4" t="n"/>
      <c r="J310" s="4" t="n"/>
      <c r="K310" s="4" t="n"/>
      <c r="L310" s="4" t="n"/>
      <c r="M310" s="4" t="n"/>
      <c r="N310" s="4" t="n"/>
      <c r="O310" s="4" t="n"/>
      <c r="P310" s="4">
        <f>SUM(D310:O310)</f>
        <v/>
      </c>
    </row>
    <row r="311">
      <c r="A311" s="2" t="inlineStr">
        <is>
          <t>Soybeans</t>
        </is>
      </c>
      <c r="B311" s="3" t="inlineStr">
        <is>
          <t>Proportion Harvested</t>
        </is>
      </c>
      <c r="C311" s="2" t="inlineStr">
        <is>
          <t>2019-20</t>
        </is>
      </c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>
        <f>SUM(D311:O311)</f>
        <v/>
      </c>
    </row>
    <row r="312">
      <c r="A312" s="2" t="inlineStr">
        <is>
          <t>Soybeans</t>
        </is>
      </c>
      <c r="B312" s="3" t="inlineStr">
        <is>
          <t>Yield</t>
        </is>
      </c>
      <c r="C312" s="2" t="inlineStr">
        <is>
          <t>2019-20</t>
        </is>
      </c>
      <c r="D312" s="6" t="n"/>
      <c r="E312" s="6" t="n"/>
      <c r="F312" s="6" t="n"/>
      <c r="G312" s="6" t="n"/>
      <c r="H312" s="6" t="n">
        <v>0.2090908844369547</v>
      </c>
      <c r="I312" s="6" t="n"/>
      <c r="J312" s="6" t="n"/>
      <c r="K312" s="6" t="n"/>
      <c r="L312" s="6" t="n"/>
      <c r="M312" s="6" t="n"/>
      <c r="N312" s="6" t="n"/>
      <c r="O312" s="6" t="n"/>
      <c r="P312" s="6">
        <f>SUM(D312:O312)</f>
        <v/>
      </c>
    </row>
    <row r="313">
      <c r="A313" s="2" t="inlineStr">
        <is>
          <t>Soybeans</t>
        </is>
      </c>
      <c r="B313" s="7" t="n"/>
      <c r="C313" s="2" t="inlineStr">
        <is>
          <t>2019-20</t>
        </is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</row>
    <row r="314">
      <c r="A314" s="2" t="inlineStr">
        <is>
          <t>Soybeans</t>
        </is>
      </c>
      <c r="B314" s="8" t="inlineStr">
        <is>
          <t>Beginning Stocks</t>
        </is>
      </c>
      <c r="C314" s="2" t="inlineStr">
        <is>
          <t>2019-20</t>
        </is>
      </c>
      <c r="D314" s="9" t="n">
        <v>4.49</v>
      </c>
      <c r="E314" s="9" t="n">
        <v>4.488</v>
      </c>
      <c r="F314" s="9" t="n">
        <v>7.462</v>
      </c>
      <c r="G314" s="9" t="n">
        <v>7.759</v>
      </c>
      <c r="H314" s="9" t="n">
        <v>6.879</v>
      </c>
      <c r="I314" s="9" t="n">
        <v>4.341</v>
      </c>
      <c r="J314" s="9" t="n">
        <v>5.518</v>
      </c>
      <c r="K314" s="9" t="n">
        <v>6.406</v>
      </c>
      <c r="L314" s="9" t="n">
        <v>9.179</v>
      </c>
      <c r="M314" s="9" t="n">
        <v>8.901999999999999</v>
      </c>
      <c r="N314" s="9" t="n">
        <v>699.8</v>
      </c>
      <c r="O314" s="9" t="n">
        <v>6.67</v>
      </c>
      <c r="P314" s="10">
        <f>SUM(D314:O314)</f>
        <v/>
      </c>
    </row>
    <row r="315">
      <c r="A315" s="2" t="inlineStr">
        <is>
          <t>Soybeans</t>
        </is>
      </c>
      <c r="B315" s="8" t="inlineStr">
        <is>
          <t>Imports</t>
        </is>
      </c>
      <c r="C315" s="2" t="inlineStr">
        <is>
          <t>2019-20</t>
        </is>
      </c>
      <c r="D315" s="9" t="n">
        <v>0</v>
      </c>
      <c r="E315" s="9" t="n">
        <v>0</v>
      </c>
      <c r="F315" s="9" t="n">
        <v>0</v>
      </c>
      <c r="G315" s="9" t="n">
        <v>0</v>
      </c>
      <c r="H315" s="9" t="n">
        <v>0</v>
      </c>
      <c r="I315" s="9" t="n">
        <v>0</v>
      </c>
      <c r="J315" s="9" t="n">
        <v>0</v>
      </c>
      <c r="K315" s="9" t="n">
        <v>0</v>
      </c>
      <c r="L315" s="9" t="n">
        <v>0</v>
      </c>
      <c r="M315" s="9" t="n">
        <v>0</v>
      </c>
      <c r="N315" s="9" t="n">
        <v>242.4</v>
      </c>
      <c r="O315" s="9" t="n">
        <v>0</v>
      </c>
      <c r="P315" s="10">
        <f>SUM(D315:O315)</f>
        <v/>
      </c>
    </row>
    <row r="316">
      <c r="A316" s="2" t="inlineStr">
        <is>
          <t>Soybeans</t>
        </is>
      </c>
      <c r="B316" s="8" t="inlineStr">
        <is>
          <t>Production</t>
        </is>
      </c>
      <c r="C316" s="2" t="inlineStr">
        <is>
          <t>2019-20</t>
        </is>
      </c>
      <c r="D316" s="9" t="n">
        <v>22.826</v>
      </c>
      <c r="E316" s="9" t="n">
        <v>27.004</v>
      </c>
      <c r="F316" s="9" t="n">
        <v>28.165</v>
      </c>
      <c r="G316" s="9" t="n">
        <v>29.815</v>
      </c>
      <c r="H316" s="9" t="n">
        <v>28.703</v>
      </c>
      <c r="I316" s="9" t="n">
        <v>26.256</v>
      </c>
      <c r="J316" s="9" t="n">
        <v>27.615</v>
      </c>
      <c r="K316" s="9" t="n">
        <v>28.729</v>
      </c>
      <c r="L316" s="9" t="n">
        <v>27.592</v>
      </c>
      <c r="M316" s="9" t="n">
        <v>22.427</v>
      </c>
      <c r="N316" s="9" t="n">
        <v>6145.1</v>
      </c>
      <c r="O316" s="9" t="n">
        <v>24.354</v>
      </c>
      <c r="P316" s="10">
        <f>SUM(D316:O316)</f>
        <v/>
      </c>
    </row>
    <row r="317">
      <c r="A317" s="2" t="inlineStr">
        <is>
          <t>Soybeans</t>
        </is>
      </c>
      <c r="B317" s="7" t="n"/>
      <c r="C317" s="2" t="inlineStr">
        <is>
          <t>2019-20</t>
        </is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</row>
    <row r="318">
      <c r="A318" s="2" t="inlineStr">
        <is>
          <t>Soybeans</t>
        </is>
      </c>
      <c r="B318" s="8" t="inlineStr">
        <is>
          <t>Food</t>
        </is>
      </c>
      <c r="C318" s="2" t="inlineStr">
        <is>
          <t>2019-20</t>
        </is>
      </c>
      <c r="D318" s="9" t="n">
        <v>0</v>
      </c>
      <c r="E318" s="9" t="n">
        <v>0</v>
      </c>
      <c r="F318" s="9" t="n">
        <v>0</v>
      </c>
      <c r="G318" s="9" t="n">
        <v>0</v>
      </c>
      <c r="H318" s="9" t="n">
        <v>0</v>
      </c>
      <c r="I318" s="9" t="n">
        <v>0</v>
      </c>
      <c r="J318" s="9" t="n">
        <v>0</v>
      </c>
      <c r="K318" s="9" t="n">
        <v>0</v>
      </c>
      <c r="L318" s="9" t="n">
        <v>0</v>
      </c>
      <c r="M318" s="9" t="n">
        <v>0</v>
      </c>
      <c r="N318" s="9" t="n">
        <v>932.1</v>
      </c>
      <c r="O318" s="9" t="n">
        <v>0</v>
      </c>
      <c r="P318" s="10">
        <f>SUM(D318:O318)</f>
        <v/>
      </c>
    </row>
    <row r="319">
      <c r="A319" s="2" t="inlineStr">
        <is>
          <t>Soybeans</t>
        </is>
      </c>
      <c r="B319" s="8" t="inlineStr">
        <is>
          <t>Crush</t>
        </is>
      </c>
      <c r="C319" s="2" t="inlineStr">
        <is>
          <t>2019-20</t>
        </is>
      </c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10">
        <f>SUM(D319:O319)</f>
        <v/>
      </c>
    </row>
    <row r="320">
      <c r="A320" s="2" t="inlineStr">
        <is>
          <t>Soybeans</t>
        </is>
      </c>
      <c r="B320" s="8" t="inlineStr">
        <is>
          <t>FSR</t>
        </is>
      </c>
      <c r="C320" s="2" t="inlineStr">
        <is>
          <t>2019-20</t>
        </is>
      </c>
      <c r="D320" s="9" t="n">
        <v>22.826</v>
      </c>
      <c r="E320" s="9" t="n">
        <v>27.004</v>
      </c>
      <c r="F320" s="9" t="n">
        <v>28.165</v>
      </c>
      <c r="G320" s="9" t="n">
        <v>29.815</v>
      </c>
      <c r="H320" s="9" t="n">
        <v>28.703</v>
      </c>
      <c r="I320" s="9" t="n">
        <v>26.256</v>
      </c>
      <c r="J320" s="9" t="n">
        <v>27.61499999999999</v>
      </c>
      <c r="K320" s="9" t="n">
        <v>28.729</v>
      </c>
      <c r="L320" s="9" t="n">
        <v>27.592</v>
      </c>
      <c r="M320" s="9" t="n">
        <v>22.427</v>
      </c>
      <c r="N320" s="9" t="n">
        <v>1954.8</v>
      </c>
      <c r="O320" s="9" t="n">
        <v>24.354</v>
      </c>
      <c r="P320" s="10">
        <f>SUM(D320:O320)</f>
        <v/>
      </c>
    </row>
    <row r="321">
      <c r="A321" s="2" t="inlineStr">
        <is>
          <t>Soybeans</t>
        </is>
      </c>
      <c r="B321" s="8" t="inlineStr">
        <is>
          <t>Exports</t>
        </is>
      </c>
      <c r="C321" s="2" t="inlineStr">
        <is>
          <t>2019-20</t>
        </is>
      </c>
      <c r="D321" s="9" t="n">
        <v>0</v>
      </c>
      <c r="E321" s="9" t="n">
        <v>0</v>
      </c>
      <c r="F321" s="9" t="n">
        <v>0</v>
      </c>
      <c r="G321" s="9" t="n">
        <v>0</v>
      </c>
      <c r="H321" s="9" t="n">
        <v>0</v>
      </c>
      <c r="I321" s="9" t="n">
        <v>0</v>
      </c>
      <c r="J321" s="9" t="n">
        <v>0</v>
      </c>
      <c r="K321" s="9" t="n">
        <v>0</v>
      </c>
      <c r="L321" s="9" t="n">
        <v>0</v>
      </c>
      <c r="M321" s="9" t="n">
        <v>0</v>
      </c>
      <c r="N321" s="9" t="n">
        <v>3579.3</v>
      </c>
      <c r="O321" s="9" t="n">
        <v>0</v>
      </c>
      <c r="P321" s="10">
        <f>SUM(D321:O321)</f>
        <v/>
      </c>
    </row>
    <row r="322">
      <c r="A322" s="2" t="inlineStr">
        <is>
          <t>Soybeans</t>
        </is>
      </c>
      <c r="B322" s="7" t="n"/>
      <c r="C322" s="2" t="inlineStr">
        <is>
          <t>2019-20</t>
        </is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</row>
    <row r="323">
      <c r="A323" s="2" t="inlineStr">
        <is>
          <t>Soybeans</t>
        </is>
      </c>
      <c r="B323" s="8" t="inlineStr">
        <is>
          <t>Ending Stocks</t>
        </is>
      </c>
      <c r="C323" s="2" t="inlineStr">
        <is>
          <t>2019-20</t>
        </is>
      </c>
      <c r="D323" s="9" t="n">
        <v>4.49</v>
      </c>
      <c r="E323" s="9" t="n">
        <v>4.488</v>
      </c>
      <c r="F323" s="9" t="n">
        <v>7.462</v>
      </c>
      <c r="G323" s="9" t="n">
        <v>7.759</v>
      </c>
      <c r="H323" s="9" t="n">
        <v>6.879</v>
      </c>
      <c r="I323" s="9" t="n">
        <v>4.341</v>
      </c>
      <c r="J323" s="9" t="n">
        <v>5.518</v>
      </c>
      <c r="K323" s="9" t="n">
        <v>6.406</v>
      </c>
      <c r="L323" s="9" t="n">
        <v>9.179</v>
      </c>
      <c r="M323" s="9" t="n">
        <v>8.901999999999999</v>
      </c>
      <c r="N323" s="9" t="n">
        <v>621.1</v>
      </c>
      <c r="O323" s="9" t="n">
        <v>6.67</v>
      </c>
      <c r="P323" s="10">
        <f>SUM(D323:O323)</f>
        <v/>
      </c>
    </row>
    <row r="324">
      <c r="A324" s="2" t="inlineStr">
        <is>
          <t>Soybeans</t>
        </is>
      </c>
      <c r="B324" s="3" t="inlineStr">
        <is>
          <t>Stocks-to-Use</t>
        </is>
      </c>
      <c r="C324" s="2" t="inlineStr">
        <is>
          <t>2019-20</t>
        </is>
      </c>
      <c r="D324" s="5" t="n">
        <v>0.1967055112590905</v>
      </c>
      <c r="E324" s="5" t="n">
        <v>0.1661976003555029</v>
      </c>
      <c r="F324" s="5" t="n">
        <v>0.2649387537724125</v>
      </c>
      <c r="G324" s="5" t="n">
        <v>0.2602381351668623</v>
      </c>
      <c r="H324" s="5" t="n">
        <v>0.2396613594397798</v>
      </c>
      <c r="I324" s="5" t="n">
        <v>0.1653336380255941</v>
      </c>
      <c r="J324" s="5" t="n">
        <v>0.1998189389824371</v>
      </c>
      <c r="K324" s="5" t="n">
        <v>0.2229802638448954</v>
      </c>
      <c r="L324" s="5" t="n">
        <v>0.3326688895331981</v>
      </c>
      <c r="M324" s="5" t="n">
        <v>0.396932269139876</v>
      </c>
      <c r="N324" s="5" t="n">
        <v>0.09605332343571185</v>
      </c>
      <c r="O324" s="5" t="n">
        <v>0.2738769811940543</v>
      </c>
      <c r="P324" s="5">
        <f>SUM(D324:O324)</f>
        <v/>
      </c>
    </row>
    <row r="325">
      <c r="A325" s="2" t="inlineStr">
        <is>
          <t>Soybeans</t>
        </is>
      </c>
      <c r="B325" s="3" t="inlineStr">
        <is>
          <t>STU Days</t>
        </is>
      </c>
      <c r="C325" s="2" t="inlineStr">
        <is>
          <t>2019-20</t>
        </is>
      </c>
      <c r="D325" s="10" t="n">
        <v>71.79751160956805</v>
      </c>
      <c r="E325" s="10" t="n">
        <v>60.66212412975856</v>
      </c>
      <c r="F325" s="10" t="n">
        <v>96.70264512693058</v>
      </c>
      <c r="G325" s="10" t="n">
        <v>94.98691933590476</v>
      </c>
      <c r="H325" s="10" t="n">
        <v>87.47639619551963</v>
      </c>
      <c r="I325" s="10" t="n">
        <v>60.34677787934186</v>
      </c>
      <c r="J325" s="10" t="n">
        <v>72.93391272858955</v>
      </c>
      <c r="K325" s="10" t="n">
        <v>81.38779630338682</v>
      </c>
      <c r="L325" s="10" t="n">
        <v>121.4241446796173</v>
      </c>
      <c r="M325" s="10" t="n">
        <v>144.8802782360547</v>
      </c>
      <c r="N325" s="10" t="n">
        <v>35.05946305403483</v>
      </c>
      <c r="O325" s="10" t="n">
        <v>99.96509813582983</v>
      </c>
      <c r="P325" s="10">
        <f>SUM(D325:O325)</f>
        <v/>
      </c>
    </row>
    <row r="326">
      <c r="A326" s="2" t="inlineStr">
        <is>
          <t>Soybeans</t>
        </is>
      </c>
      <c r="B326" s="11" t="inlineStr">
        <is>
          <t>CHECK</t>
        </is>
      </c>
      <c r="C326" s="2" t="inlineStr">
        <is>
          <t>2019-20</t>
        </is>
      </c>
      <c r="D326" s="9" t="n">
        <v>1.77635683940025e-15</v>
      </c>
      <c r="E326" s="9" t="n">
        <v>-8.881784197001252e-16</v>
      </c>
      <c r="F326" s="9" t="n">
        <v>-3.552713678800501e-15</v>
      </c>
      <c r="G326" s="9" t="n">
        <v>-3.552713678800501e-15</v>
      </c>
      <c r="H326" s="9" t="n">
        <v>-1.77635683940025e-15</v>
      </c>
      <c r="I326" s="9" t="n">
        <v>8.881784197001252e-16</v>
      </c>
      <c r="J326" s="9" t="n">
        <v>8.881784197001252e-16</v>
      </c>
      <c r="K326" s="9" t="n">
        <v>-8.881784197001252e-16</v>
      </c>
      <c r="L326" s="9" t="n">
        <v>1.77635683940025e-15</v>
      </c>
      <c r="M326" s="9" t="n">
        <v>1.77635683940025e-15</v>
      </c>
      <c r="N326" s="9" t="n">
        <v>-5.684341886080801e-13</v>
      </c>
      <c r="O326" s="9" t="n">
        <v>1.77635683940025e-15</v>
      </c>
      <c r="P326" s="10">
        <f>SUM(D326:O326)</f>
        <v/>
      </c>
    </row>
    <row r="327">
      <c r="A327" s="2" t="inlineStr">
        <is>
          <t>Soybeans</t>
        </is>
      </c>
      <c r="B327" s="3" t="inlineStr">
        <is>
          <t>Planted Area</t>
        </is>
      </c>
      <c r="C327" s="2" t="inlineStr">
        <is>
          <t>2020-21</t>
        </is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>
        <f>SUM(D327:O327)</f>
        <v/>
      </c>
    </row>
    <row r="328">
      <c r="A328" s="2" t="inlineStr">
        <is>
          <t>Soybeans</t>
        </is>
      </c>
      <c r="B328" s="3" t="inlineStr">
        <is>
          <t>Harvested Area</t>
        </is>
      </c>
      <c r="C328" s="2" t="inlineStr">
        <is>
          <t>2020-21</t>
        </is>
      </c>
      <c r="D328" s="4" t="n"/>
      <c r="E328" s="4" t="n"/>
      <c r="F328" s="4" t="n"/>
      <c r="G328" s="4" t="n"/>
      <c r="H328" s="4" t="n">
        <v>5.140003</v>
      </c>
      <c r="I328" s="4" t="n"/>
      <c r="J328" s="4" t="n"/>
      <c r="K328" s="4" t="n"/>
      <c r="L328" s="4" t="n"/>
      <c r="M328" s="4" t="n"/>
      <c r="N328" s="4" t="n"/>
      <c r="O328" s="4" t="n"/>
      <c r="P328" s="4">
        <f>SUM(D328:O328)</f>
        <v/>
      </c>
    </row>
    <row r="329">
      <c r="A329" s="2" t="inlineStr">
        <is>
          <t>Soybeans</t>
        </is>
      </c>
      <c r="B329" s="3" t="inlineStr">
        <is>
          <t>Proportion Harvested</t>
        </is>
      </c>
      <c r="C329" s="2" t="inlineStr">
        <is>
          <t>2020-21</t>
        </is>
      </c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>
        <f>SUM(D329:O329)</f>
        <v/>
      </c>
    </row>
    <row r="330">
      <c r="A330" s="2" t="inlineStr">
        <is>
          <t>Soybeans</t>
        </is>
      </c>
      <c r="B330" s="3" t="inlineStr">
        <is>
          <t>Yield</t>
        </is>
      </c>
      <c r="C330" s="2" t="inlineStr">
        <is>
          <t>2020-21</t>
        </is>
      </c>
      <c r="D330" s="6" t="n"/>
      <c r="E330" s="6" t="n"/>
      <c r="F330" s="6" t="n"/>
      <c r="G330" s="6" t="n"/>
      <c r="H330" s="6" t="n">
        <v>0.1911028713601918</v>
      </c>
      <c r="I330" s="6" t="n"/>
      <c r="J330" s="6" t="n"/>
      <c r="K330" s="6" t="n"/>
      <c r="L330" s="6" t="n"/>
      <c r="M330" s="6" t="n"/>
      <c r="N330" s="6" t="n"/>
      <c r="O330" s="6" t="n"/>
      <c r="P330" s="6">
        <f>SUM(D330:O330)</f>
        <v/>
      </c>
    </row>
    <row r="331">
      <c r="A331" s="2" t="inlineStr">
        <is>
          <t>Soybeans</t>
        </is>
      </c>
      <c r="B331" s="7" t="n"/>
      <c r="C331" s="2" t="inlineStr">
        <is>
          <t>2020-21</t>
        </is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</row>
    <row r="332">
      <c r="A332" s="2" t="inlineStr">
        <is>
          <t>Soybeans</t>
        </is>
      </c>
      <c r="B332" s="8" t="inlineStr">
        <is>
          <t>Beginning Stocks</t>
        </is>
      </c>
      <c r="C332" s="2" t="inlineStr">
        <is>
          <t>2020-21</t>
        </is>
      </c>
      <c r="D332" s="9" t="n">
        <v>6.633</v>
      </c>
      <c r="E332" s="9" t="n">
        <v>7.751</v>
      </c>
      <c r="F332" s="9" t="n">
        <v>7.707</v>
      </c>
      <c r="G332" s="9" t="n">
        <v>8.148999999999999</v>
      </c>
      <c r="H332" s="9" t="n">
        <v>4.812</v>
      </c>
      <c r="I332" s="9" t="n">
        <v>2.861</v>
      </c>
      <c r="J332" s="9" t="n">
        <v>3.416</v>
      </c>
      <c r="K332" s="9" t="n">
        <v>4.729</v>
      </c>
      <c r="L332" s="9" t="n">
        <v>5.627</v>
      </c>
      <c r="M332" s="9" t="n">
        <v>4.631</v>
      </c>
      <c r="N332" s="9" t="n">
        <v>621.1</v>
      </c>
      <c r="O332" s="9" t="n">
        <v>5.519</v>
      </c>
      <c r="P332" s="10">
        <f>SUM(D332:O332)</f>
        <v/>
      </c>
    </row>
    <row r="333">
      <c r="A333" s="2" t="inlineStr">
        <is>
          <t>Soybeans</t>
        </is>
      </c>
      <c r="B333" s="8" t="inlineStr">
        <is>
          <t>Imports</t>
        </is>
      </c>
      <c r="C333" s="2" t="inlineStr">
        <is>
          <t>2020-21</t>
        </is>
      </c>
      <c r="D333" s="9" t="n">
        <v>0</v>
      </c>
      <c r="E333" s="9" t="n">
        <v>0</v>
      </c>
      <c r="F333" s="9" t="n">
        <v>0</v>
      </c>
      <c r="G333" s="9" t="n">
        <v>0</v>
      </c>
      <c r="H333" s="9" t="n">
        <v>0</v>
      </c>
      <c r="I333" s="9" t="n">
        <v>0</v>
      </c>
      <c r="J333" s="9" t="n">
        <v>0</v>
      </c>
      <c r="K333" s="9" t="n">
        <v>0</v>
      </c>
      <c r="L333" s="9" t="n">
        <v>0</v>
      </c>
      <c r="M333" s="9" t="n">
        <v>0</v>
      </c>
      <c r="N333" s="9" t="n">
        <v>437.5</v>
      </c>
      <c r="O333" s="9" t="n">
        <v>0</v>
      </c>
      <c r="P333" s="10">
        <f>SUM(D333:O333)</f>
        <v/>
      </c>
    </row>
    <row r="334">
      <c r="A334" s="2" t="inlineStr">
        <is>
          <t>Soybeans</t>
        </is>
      </c>
      <c r="B334" s="8" t="inlineStr">
        <is>
          <t>Production</t>
        </is>
      </c>
      <c r="C334" s="2" t="inlineStr">
        <is>
          <t>2020-21</t>
        </is>
      </c>
      <c r="D334" s="9" t="n">
        <v>25.547</v>
      </c>
      <c r="E334" s="9" t="n">
        <v>29.499</v>
      </c>
      <c r="F334" s="9" t="n">
        <v>27.673</v>
      </c>
      <c r="G334" s="9" t="n">
        <v>27.629</v>
      </c>
      <c r="H334" s="9" t="n">
        <v>26.733</v>
      </c>
      <c r="I334" s="9" t="n">
        <v>23.481</v>
      </c>
      <c r="J334" s="9" t="n">
        <v>26.495</v>
      </c>
      <c r="K334" s="9" t="n">
        <v>26.386</v>
      </c>
      <c r="L334" s="9" t="n">
        <v>20.488</v>
      </c>
      <c r="M334" s="9" t="n">
        <v>20.513</v>
      </c>
      <c r="N334" s="9" t="n">
        <v>6358.6</v>
      </c>
      <c r="O334" s="9" t="n">
        <v>23.339</v>
      </c>
      <c r="P334" s="10">
        <f>SUM(D334:O334)</f>
        <v/>
      </c>
    </row>
    <row r="335">
      <c r="A335" s="2" t="inlineStr">
        <is>
          <t>Soybeans</t>
        </is>
      </c>
      <c r="B335" s="7" t="n"/>
      <c r="C335" s="2" t="inlineStr">
        <is>
          <t>2020-21</t>
        </is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</row>
    <row r="336">
      <c r="A336" s="2" t="inlineStr">
        <is>
          <t>Soybeans</t>
        </is>
      </c>
      <c r="B336" s="8" t="inlineStr">
        <is>
          <t>Food</t>
        </is>
      </c>
      <c r="C336" s="2" t="inlineStr">
        <is>
          <t>2020-21</t>
        </is>
      </c>
      <c r="D336" s="9" t="n">
        <v>0</v>
      </c>
      <c r="E336" s="9" t="n">
        <v>0</v>
      </c>
      <c r="F336" s="9" t="n">
        <v>0</v>
      </c>
      <c r="G336" s="9" t="n">
        <v>0</v>
      </c>
      <c r="H336" s="9" t="n">
        <v>0</v>
      </c>
      <c r="I336" s="9" t="n">
        <v>0</v>
      </c>
      <c r="J336" s="9" t="n">
        <v>0</v>
      </c>
      <c r="K336" s="9" t="n">
        <v>0</v>
      </c>
      <c r="L336" s="9" t="n">
        <v>0</v>
      </c>
      <c r="M336" s="9" t="n">
        <v>0</v>
      </c>
      <c r="N336" s="9" t="n">
        <v>604.8</v>
      </c>
      <c r="O336" s="9" t="n">
        <v>0</v>
      </c>
      <c r="P336" s="10">
        <f>SUM(D336:O336)</f>
        <v/>
      </c>
    </row>
    <row r="337">
      <c r="A337" s="2" t="inlineStr">
        <is>
          <t>Soybeans</t>
        </is>
      </c>
      <c r="B337" s="8" t="inlineStr">
        <is>
          <t>Crush</t>
        </is>
      </c>
      <c r="C337" s="2" t="inlineStr">
        <is>
          <t>2020-21</t>
        </is>
      </c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10">
        <f>SUM(D337:O337)</f>
        <v/>
      </c>
    </row>
    <row r="338">
      <c r="A338" s="2" t="inlineStr">
        <is>
          <t>Soybeans</t>
        </is>
      </c>
      <c r="B338" s="8" t="inlineStr">
        <is>
          <t>FSR</t>
        </is>
      </c>
      <c r="C338" s="2" t="inlineStr">
        <is>
          <t>2020-21</t>
        </is>
      </c>
      <c r="D338" s="9" t="n">
        <v>25.547</v>
      </c>
      <c r="E338" s="9" t="n">
        <v>29.499</v>
      </c>
      <c r="F338" s="9" t="n">
        <v>27.67299999999999</v>
      </c>
      <c r="G338" s="9" t="n">
        <v>27.629</v>
      </c>
      <c r="H338" s="9" t="n">
        <v>26.733</v>
      </c>
      <c r="I338" s="9" t="n">
        <v>23.481</v>
      </c>
      <c r="J338" s="9" t="n">
        <v>26.495</v>
      </c>
      <c r="K338" s="9" t="n">
        <v>26.386</v>
      </c>
      <c r="L338" s="9" t="n">
        <v>20.488</v>
      </c>
      <c r="M338" s="9" t="n">
        <v>20.513</v>
      </c>
      <c r="N338" s="9" t="n">
        <v>1852.400000000001</v>
      </c>
      <c r="O338" s="9" t="n">
        <v>23.339</v>
      </c>
      <c r="P338" s="10">
        <f>SUM(D338:O338)</f>
        <v/>
      </c>
    </row>
    <row r="339">
      <c r="A339" s="2" t="inlineStr">
        <is>
          <t>Soybeans</t>
        </is>
      </c>
      <c r="B339" s="8" t="inlineStr">
        <is>
          <t>Exports</t>
        </is>
      </c>
      <c r="C339" s="2" t="inlineStr">
        <is>
          <t>2020-21</t>
        </is>
      </c>
      <c r="D339" s="9" t="n">
        <v>0</v>
      </c>
      <c r="E339" s="9" t="n">
        <v>0</v>
      </c>
      <c r="F339" s="9" t="n">
        <v>0</v>
      </c>
      <c r="G339" s="9" t="n">
        <v>0</v>
      </c>
      <c r="H339" s="9" t="n">
        <v>0</v>
      </c>
      <c r="I339" s="9" t="n">
        <v>0</v>
      </c>
      <c r="J339" s="9" t="n">
        <v>0</v>
      </c>
      <c r="K339" s="9" t="n">
        <v>0</v>
      </c>
      <c r="L339" s="9" t="n">
        <v>0</v>
      </c>
      <c r="M339" s="9" t="n">
        <v>0</v>
      </c>
      <c r="N339" s="9" t="n">
        <v>4664.2</v>
      </c>
      <c r="O339" s="9" t="n">
        <v>0</v>
      </c>
      <c r="P339" s="10">
        <f>SUM(D339:O339)</f>
        <v/>
      </c>
    </row>
    <row r="340">
      <c r="A340" s="2" t="inlineStr">
        <is>
          <t>Soybeans</t>
        </is>
      </c>
      <c r="B340" s="7" t="n"/>
      <c r="C340" s="2" t="inlineStr">
        <is>
          <t>2020-21</t>
        </is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</row>
    <row r="341">
      <c r="A341" s="2" t="inlineStr">
        <is>
          <t>Soybeans</t>
        </is>
      </c>
      <c r="B341" s="8" t="inlineStr">
        <is>
          <t>Ending Stocks</t>
        </is>
      </c>
      <c r="C341" s="2" t="inlineStr">
        <is>
          <t>2020-21</t>
        </is>
      </c>
      <c r="D341" s="9" t="n">
        <v>6.633</v>
      </c>
      <c r="E341" s="9" t="n">
        <v>7.751</v>
      </c>
      <c r="F341" s="9" t="n">
        <v>7.707</v>
      </c>
      <c r="G341" s="9" t="n">
        <v>8.148999999999999</v>
      </c>
      <c r="H341" s="9" t="n">
        <v>4.812</v>
      </c>
      <c r="I341" s="9" t="n">
        <v>2.861</v>
      </c>
      <c r="J341" s="9" t="n">
        <v>3.416</v>
      </c>
      <c r="K341" s="9" t="n">
        <v>4.729</v>
      </c>
      <c r="L341" s="9" t="n">
        <v>5.627</v>
      </c>
      <c r="M341" s="9" t="n">
        <v>4.631</v>
      </c>
      <c r="N341" s="9" t="n">
        <v>295.8</v>
      </c>
      <c r="O341" s="9" t="n">
        <v>5.519</v>
      </c>
      <c r="P341" s="10">
        <f>SUM(D341:O341)</f>
        <v/>
      </c>
    </row>
    <row r="342">
      <c r="A342" s="2" t="inlineStr">
        <is>
          <t>Soybeans</t>
        </is>
      </c>
      <c r="B342" s="3" t="inlineStr">
        <is>
          <t>Stocks-to-Use</t>
        </is>
      </c>
      <c r="C342" s="2" t="inlineStr">
        <is>
          <t>2020-21</t>
        </is>
      </c>
      <c r="D342" s="5" t="n">
        <v>0.2596390965671116</v>
      </c>
      <c r="E342" s="5" t="n">
        <v>0.2627546696498186</v>
      </c>
      <c r="F342" s="5" t="n">
        <v>0.2785025114732773</v>
      </c>
      <c r="G342" s="5" t="n">
        <v>0.294943718556589</v>
      </c>
      <c r="H342" s="5" t="n">
        <v>0.1800022444170127</v>
      </c>
      <c r="I342" s="5" t="n">
        <v>0.1218431923682978</v>
      </c>
      <c r="J342" s="5" t="n">
        <v>0.1289299867899604</v>
      </c>
      <c r="K342" s="5" t="n">
        <v>0.1792238308193739</v>
      </c>
      <c r="L342" s="5" t="n">
        <v>0.2746485747754783</v>
      </c>
      <c r="M342" s="5" t="n">
        <v>0.2257592746063472</v>
      </c>
      <c r="N342" s="5" t="n">
        <v>0.04153677647653551</v>
      </c>
      <c r="O342" s="5" t="n">
        <v>0.2364711427224817</v>
      </c>
      <c r="P342" s="5">
        <f>SUM(D342:O342)</f>
        <v/>
      </c>
    </row>
    <row r="343">
      <c r="A343" s="2" t="inlineStr">
        <is>
          <t>Soybeans</t>
        </is>
      </c>
      <c r="B343" s="3" t="inlineStr">
        <is>
          <t>STU Days</t>
        </is>
      </c>
      <c r="C343" s="2" t="inlineStr">
        <is>
          <t>2020-21</t>
        </is>
      </c>
      <c r="D343" s="10" t="n">
        <v>94.76827024699573</v>
      </c>
      <c r="E343" s="10" t="n">
        <v>95.90545442218381</v>
      </c>
      <c r="F343" s="10" t="n">
        <v>101.6534166877462</v>
      </c>
      <c r="G343" s="10" t="n">
        <v>107.654457273155</v>
      </c>
      <c r="H343" s="10" t="n">
        <v>65.70081921220962</v>
      </c>
      <c r="I343" s="10" t="n">
        <v>44.47276521442868</v>
      </c>
      <c r="J343" s="10" t="n">
        <v>47.05944517833554</v>
      </c>
      <c r="K343" s="10" t="n">
        <v>65.41669824907149</v>
      </c>
      <c r="L343" s="10" t="n">
        <v>100.2467297930496</v>
      </c>
      <c r="M343" s="10" t="n">
        <v>82.40213523131672</v>
      </c>
      <c r="N343" s="10" t="n">
        <v>15.16092341393546</v>
      </c>
      <c r="O343" s="10" t="n">
        <v>86.31196709370582</v>
      </c>
      <c r="P343" s="10">
        <f>SUM(D343:O343)</f>
        <v/>
      </c>
    </row>
    <row r="344">
      <c r="A344" s="2" t="inlineStr">
        <is>
          <t>Soybeans</t>
        </is>
      </c>
      <c r="B344" s="11" t="inlineStr">
        <is>
          <t>CHECK</t>
        </is>
      </c>
      <c r="C344" s="2" t="inlineStr">
        <is>
          <t>2020-21</t>
        </is>
      </c>
      <c r="D344" s="9" t="n">
        <v>-8.881784197001252e-16</v>
      </c>
      <c r="E344" s="9" t="n">
        <v>8.881784197001252e-16</v>
      </c>
      <c r="F344" s="9" t="n">
        <v>8.881784197001252e-16</v>
      </c>
      <c r="G344" s="9" t="n">
        <v>-1.77635683940025e-15</v>
      </c>
      <c r="H344" s="9" t="n">
        <v>8.881784197001252e-16</v>
      </c>
      <c r="I344" s="9" t="n">
        <v>4.440892098500626e-16</v>
      </c>
      <c r="J344" s="9" t="n">
        <v>4.440892098500626e-16</v>
      </c>
      <c r="K344" s="9" t="n">
        <v>-8.881784197001252e-16</v>
      </c>
      <c r="L344" s="9" t="n">
        <v>-8.881784197001252e-16</v>
      </c>
      <c r="M344" s="9" t="n">
        <v>0</v>
      </c>
      <c r="N344" s="9" t="n">
        <v>1.70530256582424e-13</v>
      </c>
      <c r="O344" s="9" t="n">
        <v>-1.77635683940025e-15</v>
      </c>
      <c r="P344" s="10">
        <f>SUM(D344:O344)</f>
        <v/>
      </c>
    </row>
    <row r="345">
      <c r="A345" s="2" t="inlineStr">
        <is>
          <t>Soybeans</t>
        </is>
      </c>
      <c r="B345" s="3" t="inlineStr">
        <is>
          <t>Planted Area</t>
        </is>
      </c>
      <c r="C345" s="2" t="inlineStr">
        <is>
          <t>2021-22</t>
        </is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>
        <f>SUM(D345:O345)</f>
        <v/>
      </c>
    </row>
    <row r="346">
      <c r="A346" s="2" t="inlineStr">
        <is>
          <t>Soybeans</t>
        </is>
      </c>
      <c r="B346" s="3" t="inlineStr">
        <is>
          <t>Harvested Area</t>
        </is>
      </c>
      <c r="C346" s="2" t="inlineStr">
        <is>
          <t>2021-22</t>
        </is>
      </c>
      <c r="D346" s="4" t="n"/>
      <c r="E346" s="4" t="n"/>
      <c r="F346" s="4" t="n"/>
      <c r="G346" s="4" t="n"/>
      <c r="H346" s="4" t="n">
        <v>5.2335</v>
      </c>
      <c r="I346" s="4" t="n"/>
      <c r="J346" s="4" t="n"/>
      <c r="K346" s="4" t="n"/>
      <c r="L346" s="4" t="n"/>
      <c r="M346" s="4" t="n"/>
      <c r="N346" s="4" t="n"/>
      <c r="O346" s="4" t="n"/>
      <c r="P346" s="4">
        <f>SUM(D346:O346)</f>
        <v/>
      </c>
    </row>
    <row r="347">
      <c r="A347" s="2" t="inlineStr">
        <is>
          <t>Soybeans</t>
        </is>
      </c>
      <c r="B347" s="3" t="inlineStr">
        <is>
          <t>Proportion Harvested</t>
        </is>
      </c>
      <c r="C347" s="2" t="inlineStr">
        <is>
          <t>2021-22</t>
        </is>
      </c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>
        <f>SUM(D347:O347)</f>
        <v/>
      </c>
    </row>
    <row r="348">
      <c r="A348" s="2" t="inlineStr">
        <is>
          <t>Soybeans</t>
        </is>
      </c>
      <c r="B348" s="3" t="inlineStr">
        <is>
          <t>Yield</t>
        </is>
      </c>
      <c r="C348" s="2" t="inlineStr">
        <is>
          <t>2021-22</t>
        </is>
      </c>
      <c r="D348" s="6" t="n"/>
      <c r="E348" s="6" t="n"/>
      <c r="F348" s="6" t="n"/>
      <c r="G348" s="6" t="n"/>
      <c r="H348" s="6" t="n">
        <v>0.2128796651762682</v>
      </c>
      <c r="I348" s="6" t="n"/>
      <c r="J348" s="6" t="n"/>
      <c r="K348" s="6" t="n"/>
      <c r="L348" s="6" t="n"/>
      <c r="M348" s="6" t="n"/>
      <c r="N348" s="6" t="n"/>
      <c r="O348" s="6" t="n"/>
      <c r="P348" s="6">
        <f>SUM(D348:O348)</f>
        <v/>
      </c>
    </row>
    <row r="349">
      <c r="A349" s="2" t="inlineStr">
        <is>
          <t>Soybeans</t>
        </is>
      </c>
      <c r="B349" s="7" t="n"/>
      <c r="C349" s="2" t="inlineStr">
        <is>
          <t>2021-22</t>
        </is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</row>
    <row r="350">
      <c r="A350" s="2" t="inlineStr">
        <is>
          <t>Soybeans</t>
        </is>
      </c>
      <c r="B350" s="8" t="inlineStr">
        <is>
          <t>Beginning Stocks</t>
        </is>
      </c>
      <c r="C350" s="2" t="inlineStr">
        <is>
          <t>2021-22</t>
        </is>
      </c>
      <c r="D350" s="9" t="n">
        <v>6.287</v>
      </c>
      <c r="E350" s="9" t="n">
        <v>6.522</v>
      </c>
      <c r="F350" s="9" t="n">
        <v>5.652</v>
      </c>
      <c r="G350" s="9" t="n">
        <v>3.785</v>
      </c>
      <c r="H350" s="9" t="n">
        <v>5.558</v>
      </c>
      <c r="I350" s="9" t="n">
        <v>5.037</v>
      </c>
      <c r="J350" s="9" t="n">
        <v>3.873</v>
      </c>
      <c r="K350" s="9" t="n">
        <v>6.733</v>
      </c>
      <c r="L350" s="9" t="n">
        <v>5.567</v>
      </c>
      <c r="M350" s="9" t="n">
        <v>6.598</v>
      </c>
      <c r="N350" s="9" t="n">
        <v>295.8</v>
      </c>
      <c r="O350" s="9" t="n">
        <v>7.357</v>
      </c>
      <c r="P350" s="10">
        <f>SUM(D350:O350)</f>
        <v/>
      </c>
    </row>
    <row r="351">
      <c r="A351" s="2" t="inlineStr">
        <is>
          <t>Soybeans</t>
        </is>
      </c>
      <c r="B351" s="8" t="inlineStr">
        <is>
          <t>Imports</t>
        </is>
      </c>
      <c r="C351" s="2" t="inlineStr">
        <is>
          <t>2021-22</t>
        </is>
      </c>
      <c r="D351" s="9" t="n">
        <v>0</v>
      </c>
      <c r="E351" s="9" t="n">
        <v>0</v>
      </c>
      <c r="F351" s="9" t="n">
        <v>0</v>
      </c>
      <c r="G351" s="9" t="n">
        <v>0</v>
      </c>
      <c r="H351" s="9" t="n">
        <v>0</v>
      </c>
      <c r="I351" s="9" t="n">
        <v>0</v>
      </c>
      <c r="J351" s="9" t="n">
        <v>0</v>
      </c>
      <c r="K351" s="9" t="n">
        <v>0</v>
      </c>
      <c r="L351" s="9" t="n">
        <v>0</v>
      </c>
      <c r="M351" s="9" t="n">
        <v>0</v>
      </c>
      <c r="N351" s="9" t="n">
        <v>551.9</v>
      </c>
      <c r="O351" s="9" t="n">
        <v>0</v>
      </c>
      <c r="P351" s="10">
        <f>SUM(D351:O351)</f>
        <v/>
      </c>
    </row>
    <row r="352">
      <c r="A352" s="2" t="inlineStr">
        <is>
          <t>Soybeans</t>
        </is>
      </c>
      <c r="B352" s="8" t="inlineStr">
        <is>
          <t>Production</t>
        </is>
      </c>
      <c r="C352" s="2" t="inlineStr">
        <is>
          <t>2021-22</t>
        </is>
      </c>
      <c r="D352" s="9" t="n">
        <v>25.332</v>
      </c>
      <c r="E352" s="9" t="n">
        <v>31.01</v>
      </c>
      <c r="F352" s="9" t="n">
        <v>27.524</v>
      </c>
      <c r="G352" s="9" t="n">
        <v>29.853</v>
      </c>
      <c r="H352" s="9" t="n">
        <v>30.321</v>
      </c>
      <c r="I352" s="9" t="n">
        <v>26.569</v>
      </c>
      <c r="J352" s="9" t="n">
        <v>31.427</v>
      </c>
      <c r="K352" s="9" t="n">
        <v>31.858</v>
      </c>
      <c r="L352" s="9" t="n">
        <v>30.266</v>
      </c>
      <c r="M352" s="9" t="n">
        <v>25.096</v>
      </c>
      <c r="N352" s="9" t="n">
        <v>6224</v>
      </c>
      <c r="O352" s="9" t="n">
        <v>27.094</v>
      </c>
      <c r="P352" s="10">
        <f>SUM(D352:O352)</f>
        <v/>
      </c>
    </row>
    <row r="353">
      <c r="A353" s="2" t="inlineStr">
        <is>
          <t>Soybeans</t>
        </is>
      </c>
      <c r="B353" s="7" t="n"/>
      <c r="C353" s="2" t="inlineStr">
        <is>
          <t>2021-22</t>
        </is>
      </c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</row>
    <row r="354">
      <c r="A354" s="2" t="inlineStr">
        <is>
          <t>Soybeans</t>
        </is>
      </c>
      <c r="B354" s="8" t="inlineStr">
        <is>
          <t>Food</t>
        </is>
      </c>
      <c r="C354" s="2" t="inlineStr">
        <is>
          <t>2021-22</t>
        </is>
      </c>
      <c r="D354" s="9" t="n">
        <v>0</v>
      </c>
      <c r="E354" s="9" t="n">
        <v>0</v>
      </c>
      <c r="F354" s="9" t="n">
        <v>0</v>
      </c>
      <c r="G354" s="9" t="n">
        <v>0</v>
      </c>
      <c r="H354" s="9" t="n">
        <v>0</v>
      </c>
      <c r="I354" s="9" t="n">
        <v>0</v>
      </c>
      <c r="J354" s="9" t="n">
        <v>0</v>
      </c>
      <c r="K354" s="9" t="n">
        <v>0</v>
      </c>
      <c r="L354" s="9" t="n">
        <v>0</v>
      </c>
      <c r="M354" s="9" t="n">
        <v>0</v>
      </c>
      <c r="N354" s="9" t="n">
        <v>445.4</v>
      </c>
      <c r="O354" s="9" t="n">
        <v>0</v>
      </c>
      <c r="P354" s="10">
        <f>SUM(D354:O354)</f>
        <v/>
      </c>
    </row>
    <row r="355">
      <c r="A355" s="2" t="inlineStr">
        <is>
          <t>Soybeans</t>
        </is>
      </c>
      <c r="B355" s="8" t="inlineStr">
        <is>
          <t>Crush</t>
        </is>
      </c>
      <c r="C355" s="2" t="inlineStr">
        <is>
          <t>2021-22</t>
        </is>
      </c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10">
        <f>SUM(D355:O355)</f>
        <v/>
      </c>
    </row>
    <row r="356">
      <c r="A356" s="2" t="inlineStr">
        <is>
          <t>Soybeans</t>
        </is>
      </c>
      <c r="B356" s="8" t="inlineStr">
        <is>
          <t>FSR</t>
        </is>
      </c>
      <c r="C356" s="2" t="inlineStr">
        <is>
          <t>2021-22</t>
        </is>
      </c>
      <c r="D356" s="9" t="n">
        <v>25.332</v>
      </c>
      <c r="E356" s="9" t="n">
        <v>31.01000000000001</v>
      </c>
      <c r="F356" s="9" t="n">
        <v>27.524</v>
      </c>
      <c r="G356" s="9" t="n">
        <v>29.85300000000001</v>
      </c>
      <c r="H356" s="9" t="n">
        <v>30.32100000000001</v>
      </c>
      <c r="I356" s="9" t="n">
        <v>26.569</v>
      </c>
      <c r="J356" s="9" t="n">
        <v>31.427</v>
      </c>
      <c r="K356" s="9" t="n">
        <v>31.858</v>
      </c>
      <c r="L356" s="9" t="n">
        <v>30.266</v>
      </c>
      <c r="M356" s="9" t="n">
        <v>25.096</v>
      </c>
      <c r="N356" s="9" t="n">
        <v>2078.7</v>
      </c>
      <c r="O356" s="9" t="n">
        <v>27.094</v>
      </c>
      <c r="P356" s="10">
        <f>SUM(D356:O356)</f>
        <v/>
      </c>
    </row>
    <row r="357">
      <c r="A357" s="2" t="inlineStr">
        <is>
          <t>Soybeans</t>
        </is>
      </c>
      <c r="B357" s="8" t="inlineStr">
        <is>
          <t>Exports</t>
        </is>
      </c>
      <c r="C357" s="2" t="inlineStr">
        <is>
          <t>2021-22</t>
        </is>
      </c>
      <c r="D357" s="9" t="n">
        <v>0</v>
      </c>
      <c r="E357" s="9" t="n">
        <v>0</v>
      </c>
      <c r="F357" s="9" t="n">
        <v>0</v>
      </c>
      <c r="G357" s="9" t="n">
        <v>0</v>
      </c>
      <c r="H357" s="9" t="n">
        <v>0</v>
      </c>
      <c r="I357" s="9" t="n">
        <v>0</v>
      </c>
      <c r="J357" s="9" t="n">
        <v>0</v>
      </c>
      <c r="K357" s="9" t="n">
        <v>0</v>
      </c>
      <c r="L357" s="9" t="n">
        <v>0</v>
      </c>
      <c r="M357" s="9" t="n">
        <v>0</v>
      </c>
      <c r="N357" s="9" t="n">
        <v>4260.5</v>
      </c>
      <c r="O357" s="9" t="n">
        <v>0</v>
      </c>
      <c r="P357" s="10">
        <f>SUM(D357:O357)</f>
        <v/>
      </c>
    </row>
    <row r="358">
      <c r="A358" s="2" t="inlineStr">
        <is>
          <t>Soybeans</t>
        </is>
      </c>
      <c r="B358" s="7" t="n"/>
      <c r="C358" s="2" t="inlineStr">
        <is>
          <t>2021-22</t>
        </is>
      </c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</row>
    <row r="359">
      <c r="A359" s="2" t="inlineStr">
        <is>
          <t>Soybeans</t>
        </is>
      </c>
      <c r="B359" s="8" t="inlineStr">
        <is>
          <t>Ending Stocks</t>
        </is>
      </c>
      <c r="C359" s="2" t="inlineStr">
        <is>
          <t>2021-22</t>
        </is>
      </c>
      <c r="D359" s="9" t="n">
        <v>6.287</v>
      </c>
      <c r="E359" s="9" t="n">
        <v>6.522</v>
      </c>
      <c r="F359" s="9" t="n">
        <v>5.652</v>
      </c>
      <c r="G359" s="9" t="n">
        <v>3.785</v>
      </c>
      <c r="H359" s="9" t="n">
        <v>5.558</v>
      </c>
      <c r="I359" s="9" t="n">
        <v>5.037</v>
      </c>
      <c r="J359" s="9" t="n">
        <v>3.873</v>
      </c>
      <c r="K359" s="9" t="n">
        <v>6.733</v>
      </c>
      <c r="L359" s="9" t="n">
        <v>5.567</v>
      </c>
      <c r="M359" s="9" t="n">
        <v>6.598</v>
      </c>
      <c r="N359" s="9" t="n">
        <v>287.1</v>
      </c>
      <c r="O359" s="9" t="n">
        <v>7.357</v>
      </c>
      <c r="P359" s="10">
        <f>SUM(D359:O359)</f>
        <v/>
      </c>
    </row>
    <row r="360">
      <c r="A360" s="2" t="inlineStr">
        <is>
          <t>Soybeans</t>
        </is>
      </c>
      <c r="B360" s="3" t="inlineStr">
        <is>
          <t>Stocks-to-Use</t>
        </is>
      </c>
      <c r="C360" s="2" t="inlineStr">
        <is>
          <t>2021-22</t>
        </is>
      </c>
      <c r="D360" s="5" t="n">
        <v>0.2481841149534186</v>
      </c>
      <c r="E360" s="5" t="n">
        <v>0.2103192518542406</v>
      </c>
      <c r="F360" s="5" t="n">
        <v>0.2053480598750182</v>
      </c>
      <c r="G360" s="5" t="n">
        <v>0.1267879275114729</v>
      </c>
      <c r="H360" s="5" t="n">
        <v>0.1833052999571254</v>
      </c>
      <c r="I360" s="5" t="n">
        <v>0.1895818435018254</v>
      </c>
      <c r="J360" s="5" t="n">
        <v>0.1232379800808222</v>
      </c>
      <c r="K360" s="5" t="n">
        <v>0.2113440893966978</v>
      </c>
      <c r="L360" s="5" t="n">
        <v>0.1839357695103417</v>
      </c>
      <c r="M360" s="5" t="n">
        <v>0.2629104239719477</v>
      </c>
      <c r="N360" s="5" t="n">
        <v>0.04231642248621879</v>
      </c>
      <c r="O360" s="5" t="n">
        <v>0.2715361334612829</v>
      </c>
      <c r="P360" s="5">
        <f>SUM(D360:O360)</f>
        <v/>
      </c>
    </row>
    <row r="361">
      <c r="A361" s="2" t="inlineStr">
        <is>
          <t>Soybeans</t>
        </is>
      </c>
      <c r="B361" s="3" t="inlineStr">
        <is>
          <t>STU Days</t>
        </is>
      </c>
      <c r="C361" s="2" t="inlineStr">
        <is>
          <t>2021-22</t>
        </is>
      </c>
      <c r="D361" s="10" t="n">
        <v>90.58720195799778</v>
      </c>
      <c r="E361" s="10" t="n">
        <v>76.76652692679779</v>
      </c>
      <c r="F361" s="10" t="n">
        <v>74.95204185438163</v>
      </c>
      <c r="G361" s="10" t="n">
        <v>46.27759354168759</v>
      </c>
      <c r="H361" s="10" t="n">
        <v>66.90643448435077</v>
      </c>
      <c r="I361" s="10" t="n">
        <v>69.19737287816629</v>
      </c>
      <c r="J361" s="10" t="n">
        <v>44.98186272950011</v>
      </c>
      <c r="K361" s="10" t="n">
        <v>77.14059262979471</v>
      </c>
      <c r="L361" s="10" t="n">
        <v>67.13655587127471</v>
      </c>
      <c r="M361" s="10" t="n">
        <v>95.9623047497609</v>
      </c>
      <c r="N361" s="10" t="n">
        <v>15.44549420746986</v>
      </c>
      <c r="O361" s="10" t="n">
        <v>99.11068871336826</v>
      </c>
      <c r="P361" s="10">
        <f>SUM(D361:O361)</f>
        <v/>
      </c>
    </row>
    <row r="362">
      <c r="A362" s="2" t="inlineStr">
        <is>
          <t>Soybeans</t>
        </is>
      </c>
      <c r="B362" s="11" t="inlineStr">
        <is>
          <t>CHECK</t>
        </is>
      </c>
      <c r="C362" s="2" t="inlineStr">
        <is>
          <t>2021-22</t>
        </is>
      </c>
      <c r="D362" s="9" t="n">
        <v>-8.881784197001252e-16</v>
      </c>
      <c r="E362" s="9" t="n">
        <v>-1.77635683940025e-15</v>
      </c>
      <c r="F362" s="9" t="n">
        <v>8.881784197001252e-16</v>
      </c>
      <c r="G362" s="9" t="n">
        <v>0</v>
      </c>
      <c r="H362" s="9" t="n">
        <v>0</v>
      </c>
      <c r="I362" s="9" t="n">
        <v>-8.881784197001252e-16</v>
      </c>
      <c r="J362" s="9" t="n">
        <v>-2.664535259100376e-15</v>
      </c>
      <c r="K362" s="9" t="n">
        <v>8.881784197001252e-16</v>
      </c>
      <c r="L362" s="9" t="n">
        <v>0</v>
      </c>
      <c r="M362" s="9" t="n">
        <v>-8.881784197001252e-16</v>
      </c>
      <c r="N362" s="9" t="n">
        <v>3.410605131648481e-13</v>
      </c>
      <c r="O362" s="9" t="n">
        <v>-8.881784197001252e-16</v>
      </c>
      <c r="P362" s="10">
        <f>SUM(D362:O362)</f>
        <v/>
      </c>
    </row>
    <row r="363">
      <c r="A363" s="2" t="inlineStr">
        <is>
          <t>Soybeans</t>
        </is>
      </c>
      <c r="B363" s="3" t="inlineStr">
        <is>
          <t>Planted Area</t>
        </is>
      </c>
      <c r="C363" s="2" t="inlineStr">
        <is>
          <t>2022-23</t>
        </is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>
        <f>SUM(D363:O363)</f>
        <v/>
      </c>
    </row>
    <row r="364">
      <c r="A364" s="2" t="inlineStr">
        <is>
          <t>Soybeans</t>
        </is>
      </c>
      <c r="B364" s="3" t="inlineStr">
        <is>
          <t>Harvested Area</t>
        </is>
      </c>
      <c r="C364" s="2" t="inlineStr">
        <is>
          <t>2022-23</t>
        </is>
      </c>
      <c r="D364" s="4" t="n"/>
      <c r="E364" s="4" t="n"/>
      <c r="F364" s="4" t="n"/>
      <c r="G364" s="4" t="n"/>
      <c r="H364" s="4" t="n">
        <v>5.5876</v>
      </c>
      <c r="I364" s="4" t="n"/>
      <c r="J364" s="4" t="n"/>
      <c r="K364" s="4" t="n"/>
      <c r="L364" s="4" t="n"/>
      <c r="M364" s="4" t="n"/>
      <c r="N364" s="4" t="n"/>
      <c r="O364" s="4" t="n"/>
      <c r="P364" s="4">
        <f>SUM(D364:O364)</f>
        <v/>
      </c>
    </row>
    <row r="365">
      <c r="A365" s="2" t="inlineStr">
        <is>
          <t>Soybeans</t>
        </is>
      </c>
      <c r="B365" s="3" t="inlineStr">
        <is>
          <t>Proportion Harvested</t>
        </is>
      </c>
      <c r="C365" s="2" t="inlineStr">
        <is>
          <t>2022-23</t>
        </is>
      </c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>
        <f>SUM(D365:O365)</f>
        <v/>
      </c>
    </row>
    <row r="366">
      <c r="A366" s="2" t="inlineStr">
        <is>
          <t>Soybeans</t>
        </is>
      </c>
      <c r="B366" s="3" t="inlineStr">
        <is>
          <t>Yield</t>
        </is>
      </c>
      <c r="C366" s="2" t="inlineStr">
        <is>
          <t>2022-23</t>
        </is>
      </c>
      <c r="D366" s="6" t="n"/>
      <c r="E366" s="6" t="n"/>
      <c r="F366" s="6" t="n"/>
      <c r="G366" s="6" t="n"/>
      <c r="H366" s="6" t="n">
        <v>0.2050837160677213</v>
      </c>
      <c r="I366" s="6" t="n"/>
      <c r="J366" s="6" t="n"/>
      <c r="K366" s="6" t="n"/>
      <c r="L366" s="6" t="n"/>
      <c r="M366" s="6" t="n"/>
      <c r="N366" s="6" t="n"/>
      <c r="O366" s="6" t="n"/>
      <c r="P366" s="6">
        <f>SUM(D366:O366)</f>
        <v/>
      </c>
    </row>
    <row r="367">
      <c r="A367" s="2" t="inlineStr">
        <is>
          <t>Soybeans</t>
        </is>
      </c>
      <c r="B367" s="7" t="n"/>
      <c r="C367" s="2" t="inlineStr">
        <is>
          <t>2022-23</t>
        </is>
      </c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</row>
    <row r="368">
      <c r="A368" s="2" t="inlineStr">
        <is>
          <t>Soybeans</t>
        </is>
      </c>
      <c r="B368" s="8" t="inlineStr">
        <is>
          <t>Beginning Stocks</t>
        </is>
      </c>
      <c r="C368" s="2" t="inlineStr">
        <is>
          <t>2022-23</t>
        </is>
      </c>
      <c r="D368" s="9" t="n">
        <v>6.851</v>
      </c>
      <c r="E368" s="9" t="n">
        <v>5.49</v>
      </c>
      <c r="F368" s="9" t="n">
        <v>5.305</v>
      </c>
      <c r="G368" s="9" t="n">
        <v>8.430999999999999</v>
      </c>
      <c r="H368" s="9" t="n">
        <v>7.836</v>
      </c>
      <c r="I368" s="9" t="n">
        <v>8.318</v>
      </c>
      <c r="J368" s="9" t="n">
        <v>7.251</v>
      </c>
      <c r="K368" s="9" t="n">
        <v>8.08</v>
      </c>
      <c r="L368" s="9" t="n">
        <v>9.143000000000001</v>
      </c>
      <c r="M368" s="9" t="n">
        <v>6.768</v>
      </c>
      <c r="N368" s="9" t="n">
        <v>287.1</v>
      </c>
      <c r="O368" s="9" t="n">
        <v>6.5</v>
      </c>
      <c r="P368" s="10">
        <f>SUM(D368:O368)</f>
        <v/>
      </c>
    </row>
    <row r="369">
      <c r="A369" s="2" t="inlineStr">
        <is>
          <t>Soybeans</t>
        </is>
      </c>
      <c r="B369" s="8" t="inlineStr">
        <is>
          <t>Imports</t>
        </is>
      </c>
      <c r="C369" s="2" t="inlineStr">
        <is>
          <t>2022-23</t>
        </is>
      </c>
      <c r="D369" s="9" t="n">
        <v>0</v>
      </c>
      <c r="E369" s="9" t="n">
        <v>0</v>
      </c>
      <c r="F369" s="9" t="n">
        <v>0</v>
      </c>
      <c r="G369" s="9" t="n">
        <v>0</v>
      </c>
      <c r="H369" s="9" t="n">
        <v>0</v>
      </c>
      <c r="I369" s="9" t="n">
        <v>0</v>
      </c>
      <c r="J369" s="9" t="n">
        <v>0</v>
      </c>
      <c r="K369" s="9" t="n">
        <v>0</v>
      </c>
      <c r="L369" s="9" t="n">
        <v>0</v>
      </c>
      <c r="M369" s="9" t="n">
        <v>0</v>
      </c>
      <c r="N369" s="9" t="n">
        <v>482.8</v>
      </c>
      <c r="O369" s="9" t="n">
        <v>0</v>
      </c>
      <c r="P369" s="10">
        <f>SUM(D369:O369)</f>
        <v/>
      </c>
    </row>
    <row r="370">
      <c r="A370" s="2" t="inlineStr">
        <is>
          <t>Soybeans</t>
        </is>
      </c>
      <c r="B370" s="8" t="inlineStr">
        <is>
          <t>Production</t>
        </is>
      </c>
      <c r="C370" s="2" t="inlineStr">
        <is>
          <t>2022-23</t>
        </is>
      </c>
      <c r="D370" s="9" t="n">
        <v>25.53</v>
      </c>
      <c r="E370" s="9" t="n">
        <v>30.847</v>
      </c>
      <c r="F370" s="9" t="n">
        <v>28.934</v>
      </c>
      <c r="G370" s="9" t="n">
        <v>30.791</v>
      </c>
      <c r="H370" s="9" t="n">
        <v>31.187</v>
      </c>
      <c r="I370" s="9" t="n">
        <v>27.283</v>
      </c>
      <c r="J370" s="9" t="n">
        <v>29.892</v>
      </c>
      <c r="K370" s="9" t="n">
        <v>29.558</v>
      </c>
      <c r="L370" s="9" t="n">
        <v>27.51</v>
      </c>
      <c r="M370" s="9" t="n">
        <v>20.067</v>
      </c>
      <c r="N370" s="9" t="n">
        <v>6543.2</v>
      </c>
      <c r="O370" s="9" t="n">
        <v>23.362</v>
      </c>
      <c r="P370" s="10">
        <f>SUM(D370:O370)</f>
        <v/>
      </c>
    </row>
    <row r="371">
      <c r="A371" s="2" t="inlineStr">
        <is>
          <t>Soybeans</t>
        </is>
      </c>
      <c r="B371" s="7" t="n"/>
      <c r="C371" s="2" t="inlineStr">
        <is>
          <t>2022-23</t>
        </is>
      </c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</row>
    <row r="372">
      <c r="A372" s="2" t="inlineStr">
        <is>
          <t>Soybeans</t>
        </is>
      </c>
      <c r="B372" s="8" t="inlineStr">
        <is>
          <t>Food</t>
        </is>
      </c>
      <c r="C372" s="2" t="inlineStr">
        <is>
          <t>2022-23</t>
        </is>
      </c>
      <c r="D372" s="9" t="n">
        <v>0</v>
      </c>
      <c r="E372" s="9" t="n">
        <v>0</v>
      </c>
      <c r="F372" s="9" t="n">
        <v>0</v>
      </c>
      <c r="G372" s="9" t="n">
        <v>0</v>
      </c>
      <c r="H372" s="9" t="n">
        <v>0</v>
      </c>
      <c r="I372" s="9" t="n">
        <v>0</v>
      </c>
      <c r="J372" s="9" t="n">
        <v>0</v>
      </c>
      <c r="K372" s="9" t="n">
        <v>0</v>
      </c>
      <c r="L372" s="9" t="n">
        <v>0</v>
      </c>
      <c r="M372" s="9" t="n">
        <v>0</v>
      </c>
      <c r="N372" s="9" t="n">
        <v>716.8</v>
      </c>
      <c r="O372" s="9" t="n">
        <v>0</v>
      </c>
      <c r="P372" s="10">
        <f>SUM(D372:O372)</f>
        <v/>
      </c>
    </row>
    <row r="373">
      <c r="A373" s="2" t="inlineStr">
        <is>
          <t>Soybeans</t>
        </is>
      </c>
      <c r="B373" s="8" t="inlineStr">
        <is>
          <t>Crush</t>
        </is>
      </c>
      <c r="C373" s="2" t="inlineStr">
        <is>
          <t>2022-23</t>
        </is>
      </c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10">
        <f>SUM(D373:O373)</f>
        <v/>
      </c>
    </row>
    <row r="374">
      <c r="A374" s="2" t="inlineStr">
        <is>
          <t>Soybeans</t>
        </is>
      </c>
      <c r="B374" s="8" t="inlineStr">
        <is>
          <t>FSR</t>
        </is>
      </c>
      <c r="C374" s="2" t="inlineStr">
        <is>
          <t>2022-23</t>
        </is>
      </c>
      <c r="D374" s="9" t="n">
        <v>25.53</v>
      </c>
      <c r="E374" s="9" t="n">
        <v>30.847</v>
      </c>
      <c r="F374" s="9" t="n">
        <v>28.934</v>
      </c>
      <c r="G374" s="9" t="n">
        <v>30.791</v>
      </c>
      <c r="H374" s="9" t="n">
        <v>31.187</v>
      </c>
      <c r="I374" s="9" t="n">
        <v>27.283</v>
      </c>
      <c r="J374" s="9" t="n">
        <v>29.892</v>
      </c>
      <c r="K374" s="9" t="n">
        <v>29.558</v>
      </c>
      <c r="L374" s="9" t="n">
        <v>27.51000000000001</v>
      </c>
      <c r="M374" s="9" t="n">
        <v>20.067</v>
      </c>
      <c r="N374" s="9" t="n">
        <v>2004</v>
      </c>
      <c r="O374" s="9" t="n">
        <v>23.362</v>
      </c>
      <c r="P374" s="10">
        <f>SUM(D374:O374)</f>
        <v/>
      </c>
    </row>
    <row r="375">
      <c r="A375" s="2" t="inlineStr">
        <is>
          <t>Soybeans</t>
        </is>
      </c>
      <c r="B375" s="8" t="inlineStr">
        <is>
          <t>Exports</t>
        </is>
      </c>
      <c r="C375" s="2" t="inlineStr">
        <is>
          <t>2022-23</t>
        </is>
      </c>
      <c r="D375" s="9" t="n">
        <v>0</v>
      </c>
      <c r="E375" s="9" t="n">
        <v>0</v>
      </c>
      <c r="F375" s="9" t="n">
        <v>0</v>
      </c>
      <c r="G375" s="9" t="n">
        <v>0</v>
      </c>
      <c r="H375" s="9" t="n">
        <v>0</v>
      </c>
      <c r="I375" s="9" t="n">
        <v>0</v>
      </c>
      <c r="J375" s="9" t="n">
        <v>0</v>
      </c>
      <c r="K375" s="9" t="n">
        <v>0</v>
      </c>
      <c r="L375" s="9" t="n">
        <v>0</v>
      </c>
      <c r="M375" s="9" t="n">
        <v>0</v>
      </c>
      <c r="N375" s="9" t="n">
        <v>4220.5</v>
      </c>
      <c r="O375" s="9" t="n">
        <v>0</v>
      </c>
      <c r="P375" s="10">
        <f>SUM(D375:O375)</f>
        <v/>
      </c>
    </row>
    <row r="376">
      <c r="A376" s="2" t="inlineStr">
        <is>
          <t>Soybeans</t>
        </is>
      </c>
      <c r="B376" s="7" t="n"/>
      <c r="C376" s="2" t="inlineStr">
        <is>
          <t>2022-23</t>
        </is>
      </c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</row>
    <row r="377">
      <c r="A377" s="2" t="inlineStr">
        <is>
          <t>Soybeans</t>
        </is>
      </c>
      <c r="B377" s="8" t="inlineStr">
        <is>
          <t>Ending Stocks</t>
        </is>
      </c>
      <c r="C377" s="2" t="inlineStr">
        <is>
          <t>2022-23</t>
        </is>
      </c>
      <c r="D377" s="9" t="n">
        <v>6.851</v>
      </c>
      <c r="E377" s="9" t="n">
        <v>5.49</v>
      </c>
      <c r="F377" s="9" t="n">
        <v>5.305</v>
      </c>
      <c r="G377" s="9" t="n">
        <v>8.430999999999999</v>
      </c>
      <c r="H377" s="9" t="n">
        <v>7.836</v>
      </c>
      <c r="I377" s="9" t="n">
        <v>8.318</v>
      </c>
      <c r="J377" s="9" t="n">
        <v>7.251</v>
      </c>
      <c r="K377" s="9" t="n">
        <v>8.08</v>
      </c>
      <c r="L377" s="9" t="n">
        <v>9.143000000000001</v>
      </c>
      <c r="M377" s="9" t="n">
        <v>6.768</v>
      </c>
      <c r="N377" s="9" t="n">
        <v>371.8</v>
      </c>
      <c r="O377" s="9" t="n">
        <v>6.5</v>
      </c>
      <c r="P377" s="10">
        <f>SUM(D377:O377)</f>
        <v/>
      </c>
    </row>
    <row r="378">
      <c r="A378" s="2" t="inlineStr">
        <is>
          <t>Soybeans</t>
        </is>
      </c>
      <c r="B378" s="3" t="inlineStr">
        <is>
          <t>Stocks-to-Use</t>
        </is>
      </c>
      <c r="C378" s="2" t="inlineStr">
        <is>
          <t>2022-23</t>
        </is>
      </c>
      <c r="D378" s="5" t="n">
        <v>0.2683509596553075</v>
      </c>
      <c r="E378" s="5" t="n">
        <v>0.1779751677634778</v>
      </c>
      <c r="F378" s="5" t="n">
        <v>0.1833483099467754</v>
      </c>
      <c r="G378" s="5" t="n">
        <v>0.2738137767529472</v>
      </c>
      <c r="H378" s="5" t="n">
        <v>0.2512585372110174</v>
      </c>
      <c r="I378" s="5" t="n">
        <v>0.3048784957665945</v>
      </c>
      <c r="J378" s="5" t="n">
        <v>0.2425732637494982</v>
      </c>
      <c r="K378" s="5" t="n">
        <v>0.2733608498545233</v>
      </c>
      <c r="L378" s="5" t="n">
        <v>0.3323518720465285</v>
      </c>
      <c r="M378" s="5" t="n">
        <v>0.3372701450142024</v>
      </c>
      <c r="N378" s="5" t="n">
        <v>0.05356345353175918</v>
      </c>
      <c r="O378" s="5" t="n">
        <v>0.2782296036298262</v>
      </c>
      <c r="P378" s="5">
        <f>SUM(D378:O378)</f>
        <v/>
      </c>
    </row>
    <row r="379">
      <c r="A379" s="2" t="inlineStr">
        <is>
          <t>Soybeans</t>
        </is>
      </c>
      <c r="B379" s="3" t="inlineStr">
        <is>
          <t>STU Days</t>
        </is>
      </c>
      <c r="C379" s="2" t="inlineStr">
        <is>
          <t>2022-23</t>
        </is>
      </c>
      <c r="D379" s="10" t="n">
        <v>97.94810027418723</v>
      </c>
      <c r="E379" s="10" t="n">
        <v>64.9609362336694</v>
      </c>
      <c r="F379" s="10" t="n">
        <v>66.92213313057302</v>
      </c>
      <c r="G379" s="10" t="n">
        <v>99.94202851482574</v>
      </c>
      <c r="H379" s="10" t="n">
        <v>91.70936608202135</v>
      </c>
      <c r="I379" s="10" t="n">
        <v>111.280650954807</v>
      </c>
      <c r="J379" s="10" t="n">
        <v>88.53924126856684</v>
      </c>
      <c r="K379" s="10" t="n">
        <v>99.77671019690101</v>
      </c>
      <c r="L379" s="10" t="n">
        <v>121.3084332969829</v>
      </c>
      <c r="M379" s="10" t="n">
        <v>123.1036029301839</v>
      </c>
      <c r="N379" s="10" t="n">
        <v>19.5506605390921</v>
      </c>
      <c r="O379" s="10" t="n">
        <v>101.5538053248866</v>
      </c>
      <c r="P379" s="10">
        <f>SUM(D379:O379)</f>
        <v/>
      </c>
    </row>
    <row r="380">
      <c r="A380" s="2" t="inlineStr">
        <is>
          <t>Soybeans</t>
        </is>
      </c>
      <c r="B380" s="11" t="inlineStr">
        <is>
          <t>CHECK</t>
        </is>
      </c>
      <c r="C380" s="2" t="inlineStr">
        <is>
          <t>2022-23</t>
        </is>
      </c>
      <c r="D380" s="9" t="n">
        <v>-8.881784197001252e-16</v>
      </c>
      <c r="E380" s="9" t="n">
        <v>1.77635683940025e-15</v>
      </c>
      <c r="F380" s="9" t="n">
        <v>0</v>
      </c>
      <c r="G380" s="9" t="n">
        <v>-1.77635683940025e-15</v>
      </c>
      <c r="H380" s="9" t="n">
        <v>-1.77635683940025e-15</v>
      </c>
      <c r="I380" s="9" t="n">
        <v>-1.77635683940025e-15</v>
      </c>
      <c r="J380" s="9" t="n">
        <v>8.881784197001252e-16</v>
      </c>
      <c r="K380" s="9" t="n">
        <v>-1.77635683940025e-15</v>
      </c>
      <c r="L380" s="9" t="n">
        <v>0</v>
      </c>
      <c r="M380" s="9" t="n">
        <v>8.881784197001252e-16</v>
      </c>
      <c r="N380" s="9" t="n">
        <v>1.70530256582424e-13</v>
      </c>
      <c r="O380" s="9" t="n">
        <v>0</v>
      </c>
      <c r="P380" s="10">
        <f>SUM(D380:O380)</f>
        <v/>
      </c>
    </row>
    <row r="381">
      <c r="A381" s="2" t="inlineStr">
        <is>
          <t>Soybeans</t>
        </is>
      </c>
      <c r="B381" s="3" t="inlineStr">
        <is>
          <t>Planted Area</t>
        </is>
      </c>
      <c r="C381" s="2" t="inlineStr">
        <is>
          <t>2023-24</t>
        </is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>
        <f>SUM(D381:O381)</f>
        <v/>
      </c>
    </row>
    <row r="382">
      <c r="A382" s="2" t="inlineStr">
        <is>
          <t>Soybeans</t>
        </is>
      </c>
      <c r="B382" s="3" t="inlineStr">
        <is>
          <t>Harvested Area</t>
        </is>
      </c>
      <c r="C382" s="2" t="inlineStr">
        <is>
          <t>2023-24</t>
        </is>
      </c>
      <c r="D382" s="4" t="n"/>
      <c r="E382" s="4" t="n"/>
      <c r="F382" s="4" t="n"/>
      <c r="G382" s="4" t="n"/>
      <c r="H382" s="4" t="n">
        <v>5.6578</v>
      </c>
      <c r="I382" s="4" t="n"/>
      <c r="J382" s="4" t="n"/>
      <c r="K382" s="4" t="n"/>
      <c r="L382" s="4" t="n"/>
      <c r="M382" s="4" t="n"/>
      <c r="N382" s="4" t="n"/>
      <c r="O382" s="4" t="n"/>
      <c r="P382" s="4">
        <f>SUM(D382:O382)</f>
        <v/>
      </c>
    </row>
    <row r="383">
      <c r="A383" s="2" t="inlineStr">
        <is>
          <t>Soybeans</t>
        </is>
      </c>
      <c r="B383" s="3" t="inlineStr">
        <is>
          <t>Proportion Harvested</t>
        </is>
      </c>
      <c r="C383" s="2" t="inlineStr">
        <is>
          <t>2023-24</t>
        </is>
      </c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>
        <f>SUM(D383:O383)</f>
        <v/>
      </c>
    </row>
    <row r="384">
      <c r="A384" s="2" t="inlineStr">
        <is>
          <t>Soybeans</t>
        </is>
      </c>
      <c r="B384" s="3" t="inlineStr">
        <is>
          <t>Yield</t>
        </is>
      </c>
      <c r="C384" s="2" t="inlineStr">
        <is>
          <t>2023-24</t>
        </is>
      </c>
      <c r="D384" s="6" t="n"/>
      <c r="E384" s="6" t="n"/>
      <c r="F384" s="6" t="n"/>
      <c r="G384" s="6" t="n"/>
      <c r="H384" s="6" t="n">
        <v>0.1846082251405139</v>
      </c>
      <c r="I384" s="6" t="n"/>
      <c r="J384" s="6" t="n"/>
      <c r="K384" s="6" t="n"/>
      <c r="L384" s="6" t="n"/>
      <c r="M384" s="6" t="n"/>
      <c r="N384" s="6" t="n"/>
      <c r="O384" s="6" t="n"/>
      <c r="P384" s="6">
        <f>SUM(D384:O384)</f>
        <v/>
      </c>
    </row>
    <row r="385">
      <c r="A385" s="2" t="inlineStr">
        <is>
          <t>Soybeans</t>
        </is>
      </c>
      <c r="B385" s="7" t="n"/>
      <c r="C385" s="2" t="inlineStr">
        <is>
          <t>2023-24</t>
        </is>
      </c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</row>
    <row r="386">
      <c r="A386" s="2" t="inlineStr">
        <is>
          <t>Soybeans</t>
        </is>
      </c>
      <c r="B386" s="8" t="inlineStr">
        <is>
          <t>Beginning Stocks</t>
        </is>
      </c>
      <c r="C386" s="2" t="inlineStr">
        <is>
          <t>2023-24</t>
        </is>
      </c>
      <c r="D386" s="9" t="n">
        <v>6.74</v>
      </c>
      <c r="E386" s="9" t="n">
        <v>7.609</v>
      </c>
      <c r="F386" s="9" t="n">
        <v>8.045999999999999</v>
      </c>
      <c r="G386" s="9" t="n">
        <v>5.573</v>
      </c>
      <c r="H386" s="9" t="n">
        <v>7.544</v>
      </c>
      <c r="I386" s="9" t="n">
        <v>7.352</v>
      </c>
      <c r="J386" s="9" t="n">
        <v>8.185</v>
      </c>
      <c r="K386" s="9" t="n">
        <v>7.957</v>
      </c>
      <c r="L386" s="9" t="n">
        <v>9.866</v>
      </c>
      <c r="M386" s="9" t="n">
        <v>10.348</v>
      </c>
      <c r="N386" s="9" t="n">
        <v>371.8</v>
      </c>
      <c r="O386" s="9" t="n">
        <v>8.542999999999999</v>
      </c>
      <c r="P386" s="10">
        <f>SUM(D386:O386)</f>
        <v/>
      </c>
    </row>
    <row r="387">
      <c r="A387" s="2" t="inlineStr">
        <is>
          <t>Soybeans</t>
        </is>
      </c>
      <c r="B387" s="8" t="inlineStr">
        <is>
          <t>Imports</t>
        </is>
      </c>
      <c r="C387" s="2" t="inlineStr">
        <is>
          <t>2023-24</t>
        </is>
      </c>
      <c r="D387" s="9" t="n">
        <v>0</v>
      </c>
      <c r="E387" s="9" t="n">
        <v>0</v>
      </c>
      <c r="F387" s="9" t="n">
        <v>0</v>
      </c>
      <c r="G387" s="9" t="n">
        <v>0</v>
      </c>
      <c r="H387" s="9" t="n">
        <v>0</v>
      </c>
      <c r="I387" s="9" t="n">
        <v>0</v>
      </c>
      <c r="J387" s="9" t="n">
        <v>0</v>
      </c>
      <c r="K387" s="9" t="n">
        <v>0</v>
      </c>
      <c r="L387" s="9" t="n">
        <v>0</v>
      </c>
      <c r="M387" s="9" t="n">
        <v>0</v>
      </c>
      <c r="N387" s="9" t="n">
        <v>322</v>
      </c>
      <c r="O387" s="9" t="n">
        <v>0</v>
      </c>
      <c r="P387" s="10">
        <f>SUM(D387:O387)</f>
        <v/>
      </c>
    </row>
    <row r="388">
      <c r="A388" s="2" t="inlineStr">
        <is>
          <t>Soybeans</t>
        </is>
      </c>
      <c r="B388" s="8" t="inlineStr">
        <is>
          <t>Production</t>
        </is>
      </c>
      <c r="C388" s="2" t="inlineStr">
        <is>
          <t>2023-24</t>
        </is>
      </c>
      <c r="D388" s="9" t="n">
        <v>27.522</v>
      </c>
      <c r="E388" s="9" t="n">
        <v>30.471</v>
      </c>
      <c r="F388" s="9" t="n">
        <v>26.773</v>
      </c>
      <c r="G388" s="9" t="n">
        <v>27.734</v>
      </c>
      <c r="H388" s="9" t="n">
        <v>28.426</v>
      </c>
      <c r="I388" s="9" t="n">
        <v>25.728</v>
      </c>
      <c r="J388" s="9" t="n">
        <v>29.721</v>
      </c>
      <c r="K388" s="9" t="n">
        <v>26.768</v>
      </c>
      <c r="L388" s="9" t="n">
        <v>28.059</v>
      </c>
      <c r="M388" s="9" t="n">
        <v>16.325</v>
      </c>
      <c r="N388" s="9" t="n">
        <v>7035.4</v>
      </c>
      <c r="O388" s="9" t="n">
        <v>12.695</v>
      </c>
      <c r="P388" s="10">
        <f>SUM(D388:O388)</f>
        <v/>
      </c>
    </row>
    <row r="389">
      <c r="A389" s="2" t="inlineStr">
        <is>
          <t>Soybeans</t>
        </is>
      </c>
      <c r="B389" s="7" t="n"/>
      <c r="C389" s="2" t="inlineStr">
        <is>
          <t>2023-24</t>
        </is>
      </c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</row>
    <row r="390">
      <c r="A390" s="2" t="inlineStr">
        <is>
          <t>Soybeans</t>
        </is>
      </c>
      <c r="B390" s="8" t="inlineStr">
        <is>
          <t>Food</t>
        </is>
      </c>
      <c r="C390" s="2" t="inlineStr">
        <is>
          <t>2023-24</t>
        </is>
      </c>
      <c r="D390" s="9" t="n">
        <v>0</v>
      </c>
      <c r="E390" s="9" t="n">
        <v>0</v>
      </c>
      <c r="F390" s="9" t="n">
        <v>0</v>
      </c>
      <c r="G390" s="9" t="n">
        <v>0</v>
      </c>
      <c r="H390" s="9" t="n">
        <v>0</v>
      </c>
      <c r="I390" s="9" t="n">
        <v>0</v>
      </c>
      <c r="J390" s="9" t="n">
        <v>0</v>
      </c>
      <c r="K390" s="9" t="n">
        <v>0</v>
      </c>
      <c r="L390" s="9" t="n">
        <v>0</v>
      </c>
      <c r="M390" s="9" t="n">
        <v>0</v>
      </c>
      <c r="N390" s="9" t="n">
        <v>303.9</v>
      </c>
      <c r="O390" s="9" t="n">
        <v>0</v>
      </c>
      <c r="P390" s="10">
        <f>SUM(D390:O390)</f>
        <v/>
      </c>
    </row>
    <row r="391">
      <c r="A391" s="2" t="inlineStr">
        <is>
          <t>Soybeans</t>
        </is>
      </c>
      <c r="B391" s="8" t="inlineStr">
        <is>
          <t>Crush</t>
        </is>
      </c>
      <c r="C391" s="2" t="inlineStr">
        <is>
          <t>2023-24</t>
        </is>
      </c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10">
        <f>SUM(D391:O391)</f>
        <v/>
      </c>
    </row>
    <row r="392">
      <c r="A392" s="2" t="inlineStr">
        <is>
          <t>Soybeans</t>
        </is>
      </c>
      <c r="B392" s="8" t="inlineStr">
        <is>
          <t>FSR</t>
        </is>
      </c>
      <c r="C392" s="2" t="inlineStr">
        <is>
          <t>2023-24</t>
        </is>
      </c>
      <c r="D392" s="9" t="n">
        <v>27.522</v>
      </c>
      <c r="E392" s="9" t="n">
        <v>30.471</v>
      </c>
      <c r="F392" s="9" t="n">
        <v>26.773</v>
      </c>
      <c r="G392" s="9" t="n">
        <v>27.734</v>
      </c>
      <c r="H392" s="9" t="n">
        <v>28.426</v>
      </c>
      <c r="I392" s="9" t="n">
        <v>25.728</v>
      </c>
      <c r="J392" s="9" t="n">
        <v>29.721</v>
      </c>
      <c r="K392" s="9" t="n">
        <v>26.768</v>
      </c>
      <c r="L392" s="9" t="n">
        <v>28.059</v>
      </c>
      <c r="M392" s="9" t="n">
        <v>16.325</v>
      </c>
      <c r="N392" s="9" t="n">
        <v>1891.700000000001</v>
      </c>
      <c r="O392" s="9" t="n">
        <v>12.695</v>
      </c>
      <c r="P392" s="10">
        <f>SUM(D392:O392)</f>
        <v/>
      </c>
    </row>
    <row r="393">
      <c r="A393" s="2" t="inlineStr">
        <is>
          <t>Soybeans</t>
        </is>
      </c>
      <c r="B393" s="8" t="inlineStr">
        <is>
          <t>Exports</t>
        </is>
      </c>
      <c r="C393" s="2" t="inlineStr">
        <is>
          <t>2023-24</t>
        </is>
      </c>
      <c r="D393" s="9" t="n">
        <v>0</v>
      </c>
      <c r="E393" s="9" t="n">
        <v>0</v>
      </c>
      <c r="F393" s="9" t="n">
        <v>0</v>
      </c>
      <c r="G393" s="9" t="n">
        <v>0</v>
      </c>
      <c r="H393" s="9" t="n">
        <v>0</v>
      </c>
      <c r="I393" s="9" t="n">
        <v>0</v>
      </c>
      <c r="J393" s="9" t="n">
        <v>0</v>
      </c>
      <c r="K393" s="9" t="n">
        <v>0</v>
      </c>
      <c r="L393" s="9" t="n">
        <v>0</v>
      </c>
      <c r="M393" s="9" t="n">
        <v>0</v>
      </c>
      <c r="N393" s="9" t="n">
        <v>4928.2</v>
      </c>
      <c r="O393" s="9" t="n">
        <v>0</v>
      </c>
      <c r="P393" s="10">
        <f>SUM(D393:O393)</f>
        <v/>
      </c>
    </row>
    <row r="394">
      <c r="A394" s="2" t="inlineStr">
        <is>
          <t>Soybeans</t>
        </is>
      </c>
      <c r="B394" s="7" t="n"/>
      <c r="C394" s="2" t="inlineStr">
        <is>
          <t>2023-24</t>
        </is>
      </c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</row>
    <row r="395">
      <c r="A395" s="2" t="inlineStr">
        <is>
          <t>Soybeans</t>
        </is>
      </c>
      <c r="B395" s="8" t="inlineStr">
        <is>
          <t>Ending Stocks</t>
        </is>
      </c>
      <c r="C395" s="2" t="inlineStr">
        <is>
          <t>2023-24</t>
        </is>
      </c>
      <c r="D395" s="9" t="n">
        <v>6.74</v>
      </c>
      <c r="E395" s="9" t="n">
        <v>7.609</v>
      </c>
      <c r="F395" s="9" t="n">
        <v>8.045999999999999</v>
      </c>
      <c r="G395" s="9" t="n">
        <v>5.573</v>
      </c>
      <c r="H395" s="9" t="n">
        <v>7.544</v>
      </c>
      <c r="I395" s="9" t="n">
        <v>7.352</v>
      </c>
      <c r="J395" s="9" t="n">
        <v>8.185</v>
      </c>
      <c r="K395" s="9" t="n">
        <v>7.957</v>
      </c>
      <c r="L395" s="9" t="n">
        <v>9.866</v>
      </c>
      <c r="M395" s="9" t="n">
        <v>10.348</v>
      </c>
      <c r="N395" s="9" t="n">
        <v>605.4</v>
      </c>
      <c r="O395" s="9" t="n">
        <v>8.542999999999999</v>
      </c>
      <c r="P395" s="10">
        <f>SUM(D395:O395)</f>
        <v/>
      </c>
    </row>
    <row r="396">
      <c r="A396" s="2" t="inlineStr">
        <is>
          <t>Soybeans</t>
        </is>
      </c>
      <c r="B396" s="3" t="inlineStr">
        <is>
          <t>Stocks-to-Use</t>
        </is>
      </c>
      <c r="C396" s="2" t="inlineStr">
        <is>
          <t>2023-24</t>
        </is>
      </c>
      <c r="D396" s="5" t="n">
        <v>0.244894993096432</v>
      </c>
      <c r="E396" s="5" t="n">
        <v>0.2497128417183551</v>
      </c>
      <c r="F396" s="5" t="n">
        <v>0.300526649983192</v>
      </c>
      <c r="G396" s="5" t="n">
        <v>0.2009446888295954</v>
      </c>
      <c r="H396" s="5" t="n">
        <v>0.2653908393724055</v>
      </c>
      <c r="I396" s="5" t="n">
        <v>0.2857587064676617</v>
      </c>
      <c r="J396" s="5" t="n">
        <v>0.2753945022038289</v>
      </c>
      <c r="K396" s="5" t="n">
        <v>0.2972579199043634</v>
      </c>
      <c r="L396" s="5" t="n">
        <v>0.351616237214441</v>
      </c>
      <c r="M396" s="5" t="n">
        <v>0.6338744257274119</v>
      </c>
      <c r="N396" s="5" t="n">
        <v>0.08498273393413627</v>
      </c>
      <c r="O396" s="5" t="n">
        <v>0.6729421031902323</v>
      </c>
      <c r="P396" s="5">
        <f>SUM(D396:O396)</f>
        <v/>
      </c>
    </row>
    <row r="397">
      <c r="A397" s="2" t="inlineStr">
        <is>
          <t>Soybeans</t>
        </is>
      </c>
      <c r="B397" s="3" t="inlineStr">
        <is>
          <t>STU Days</t>
        </is>
      </c>
      <c r="C397" s="2" t="inlineStr">
        <is>
          <t>2023-24</t>
        </is>
      </c>
      <c r="D397" s="10" t="n">
        <v>89.38667248019767</v>
      </c>
      <c r="E397" s="10" t="n">
        <v>91.14518722719963</v>
      </c>
      <c r="F397" s="10" t="n">
        <v>109.6922272438651</v>
      </c>
      <c r="G397" s="10" t="n">
        <v>73.34481142280234</v>
      </c>
      <c r="H397" s="10" t="n">
        <v>96.86765637092802</v>
      </c>
      <c r="I397" s="10" t="n">
        <v>104.3019278606965</v>
      </c>
      <c r="J397" s="10" t="n">
        <v>100.5189933043976</v>
      </c>
      <c r="K397" s="10" t="n">
        <v>108.4991407650926</v>
      </c>
      <c r="L397" s="10" t="n">
        <v>128.3399265832709</v>
      </c>
      <c r="M397" s="10" t="n">
        <v>231.3641653905053</v>
      </c>
      <c r="N397" s="10" t="n">
        <v>31.01869788595974</v>
      </c>
      <c r="O397" s="10" t="n">
        <v>245.6238676644348</v>
      </c>
      <c r="P397" s="10">
        <f>SUM(D397:O397)</f>
        <v/>
      </c>
    </row>
    <row r="398">
      <c r="A398" s="2" t="inlineStr">
        <is>
          <t>Soybeans</t>
        </is>
      </c>
      <c r="B398" s="11" t="inlineStr">
        <is>
          <t>CHECK</t>
        </is>
      </c>
      <c r="C398" s="2" t="inlineStr">
        <is>
          <t>2023-24</t>
        </is>
      </c>
      <c r="D398" s="9" t="n">
        <v>1.77635683940025e-15</v>
      </c>
      <c r="E398" s="9" t="n">
        <v>-1.77635683940025e-15</v>
      </c>
      <c r="F398" s="9" t="n">
        <v>0</v>
      </c>
      <c r="G398" s="9" t="n">
        <v>0</v>
      </c>
      <c r="H398" s="9" t="n">
        <v>8.881784197001252e-16</v>
      </c>
      <c r="I398" s="9" t="n">
        <v>-3.552713678800501e-15</v>
      </c>
      <c r="J398" s="9" t="n">
        <v>-1.77635683940025e-15</v>
      </c>
      <c r="K398" s="9" t="n">
        <v>8.881784197001252e-16</v>
      </c>
      <c r="L398" s="9" t="n">
        <v>-3.552713678800501e-15</v>
      </c>
      <c r="M398" s="9" t="n">
        <v>-1.77635683940025e-15</v>
      </c>
      <c r="N398" s="9" t="n">
        <v>-3.410605131648481e-13</v>
      </c>
      <c r="O398" s="9" t="n">
        <v>0</v>
      </c>
      <c r="P398" s="10">
        <f>SUM(D398:O398)</f>
        <v/>
      </c>
    </row>
    <row r="399">
      <c r="A399" s="2" t="inlineStr">
        <is>
          <t>Soybeans</t>
        </is>
      </c>
      <c r="B399" s="3" t="inlineStr">
        <is>
          <t>Planted Area</t>
        </is>
      </c>
      <c r="C399" s="2" t="inlineStr">
        <is>
          <t>2024-25</t>
        </is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>
        <f>SUM(D399:O399)</f>
        <v/>
      </c>
    </row>
    <row r="400">
      <c r="A400" s="2" t="inlineStr">
        <is>
          <t>Soybeans</t>
        </is>
      </c>
      <c r="B400" s="3" t="inlineStr">
        <is>
          <t>Harvested Area</t>
        </is>
      </c>
      <c r="C400" s="2" t="inlineStr">
        <is>
          <t>2024-25</t>
        </is>
      </c>
      <c r="D400" s="4" t="n"/>
      <c r="E400" s="4" t="n"/>
      <c r="F400" s="4" t="n"/>
      <c r="G400" s="4" t="n"/>
      <c r="H400" s="4" t="n">
        <v>5.7354</v>
      </c>
      <c r="I400" s="4" t="n"/>
      <c r="J400" s="4" t="n"/>
      <c r="K400" s="4" t="n"/>
      <c r="L400" s="4" t="n"/>
      <c r="M400" s="4" t="n"/>
      <c r="N400" s="4" t="n"/>
      <c r="O400" s="4" t="n"/>
      <c r="P400" s="4">
        <f>SUM(D400:O400)</f>
        <v/>
      </c>
    </row>
    <row r="401">
      <c r="A401" s="2" t="inlineStr">
        <is>
          <t>Soybeans</t>
        </is>
      </c>
      <c r="B401" s="3" t="inlineStr">
        <is>
          <t>Proportion Harvested</t>
        </is>
      </c>
      <c r="C401" s="2" t="inlineStr">
        <is>
          <t>2024-25</t>
        </is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>
        <f>SUM(D401:O401)</f>
        <v/>
      </c>
    </row>
    <row r="402">
      <c r="A402" s="2" t="inlineStr">
        <is>
          <t>Soybeans</t>
        </is>
      </c>
      <c r="B402" s="3" t="inlineStr">
        <is>
          <t>Yield</t>
        </is>
      </c>
      <c r="C402" s="2" t="inlineStr">
        <is>
          <t>2024-25</t>
        </is>
      </c>
      <c r="D402" s="6" t="n"/>
      <c r="E402" s="6" t="n"/>
      <c r="F402" s="6" t="n"/>
      <c r="G402" s="6" t="n"/>
      <c r="H402" s="6" t="n">
        <v>0.176895603515012</v>
      </c>
      <c r="I402" s="6" t="n"/>
      <c r="J402" s="6" t="n"/>
      <c r="K402" s="6" t="n"/>
      <c r="L402" s="6" t="n"/>
      <c r="M402" s="6" t="n"/>
      <c r="N402" s="6" t="n"/>
      <c r="O402" s="6" t="n"/>
      <c r="P402" s="6">
        <f>SUM(D402:O402)</f>
        <v/>
      </c>
    </row>
    <row r="403">
      <c r="A403" s="2" t="inlineStr">
        <is>
          <t>Soybeans</t>
        </is>
      </c>
      <c r="B403" s="7" t="n"/>
      <c r="C403" s="2" t="inlineStr">
        <is>
          <t>2024-25</t>
        </is>
      </c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</row>
    <row r="404">
      <c r="A404" s="2" t="inlineStr">
        <is>
          <t>Soybeans</t>
        </is>
      </c>
      <c r="B404" s="8" t="inlineStr">
        <is>
          <t>Beginning Stocks</t>
        </is>
      </c>
      <c r="C404" s="2" t="inlineStr">
        <is>
          <t>2024-25</t>
        </is>
      </c>
      <c r="D404" s="9" t="n">
        <v>9.911</v>
      </c>
      <c r="E404" s="9" t="n">
        <v>7.91</v>
      </c>
      <c r="F404" s="9" t="n">
        <v>5.59</v>
      </c>
      <c r="G404" s="9" t="n">
        <v>10.485</v>
      </c>
      <c r="H404" s="9" t="n">
        <v>9.701000000000001</v>
      </c>
      <c r="I404" s="9" t="n">
        <v>9.164</v>
      </c>
      <c r="J404" s="9" t="n">
        <v>8.593</v>
      </c>
      <c r="K404" s="9" t="n">
        <v>7.758</v>
      </c>
      <c r="L404" s="9" t="n">
        <v>5.183</v>
      </c>
      <c r="M404" s="9" t="n">
        <v>7.281</v>
      </c>
      <c r="N404" s="9" t="n">
        <v>605.4</v>
      </c>
      <c r="O404" s="9" t="n"/>
      <c r="P404" s="10">
        <f>SUM(D404:O404)</f>
        <v/>
      </c>
    </row>
    <row r="405">
      <c r="A405" s="2" t="inlineStr">
        <is>
          <t>Soybeans</t>
        </is>
      </c>
      <c r="B405" s="8" t="inlineStr">
        <is>
          <t>Imports</t>
        </is>
      </c>
      <c r="C405" s="2" t="inlineStr">
        <is>
          <t>2024-25</t>
        </is>
      </c>
      <c r="D405" s="9" t="n">
        <v>0</v>
      </c>
      <c r="E405" s="9" t="n">
        <v>0</v>
      </c>
      <c r="F405" s="9" t="n">
        <v>0</v>
      </c>
      <c r="G405" s="9" t="n">
        <v>0</v>
      </c>
      <c r="H405" s="9" t="n">
        <v>0</v>
      </c>
      <c r="I405" s="9" t="n">
        <v>0</v>
      </c>
      <c r="J405" s="9" t="n">
        <v>0</v>
      </c>
      <c r="K405" s="9" t="n">
        <v>0</v>
      </c>
      <c r="L405" s="9" t="n">
        <v>0</v>
      </c>
      <c r="M405" s="9" t="n">
        <v>0</v>
      </c>
      <c r="N405" s="9" t="n">
        <v>267.4</v>
      </c>
      <c r="O405" s="9" t="n"/>
      <c r="P405" s="10">
        <f>SUM(D405:O405)</f>
        <v/>
      </c>
    </row>
    <row r="406">
      <c r="A406" s="2" t="inlineStr">
        <is>
          <t>Soybeans</t>
        </is>
      </c>
      <c r="B406" s="8" t="inlineStr">
        <is>
          <t>Production</t>
        </is>
      </c>
      <c r="C406" s="2" t="inlineStr">
        <is>
          <t>2024-25</t>
        </is>
      </c>
      <c r="D406" s="9" t="n">
        <v>14.989</v>
      </c>
      <c r="E406" s="9" t="n">
        <v>26.297</v>
      </c>
      <c r="F406" s="9" t="n">
        <v>26.364</v>
      </c>
      <c r="G406" s="9" t="n">
        <v>30.516</v>
      </c>
      <c r="H406" s="9" t="n">
        <v>27.612</v>
      </c>
      <c r="I406" s="9" t="n">
        <v>26.034</v>
      </c>
      <c r="J406" s="9" t="n">
        <v>30.371</v>
      </c>
      <c r="K406" s="9" t="n">
        <v>27.549</v>
      </c>
      <c r="L406" s="9" t="n">
        <v>29.379</v>
      </c>
      <c r="M406" s="9" t="n">
        <v>20.12</v>
      </c>
      <c r="N406" s="9" t="n">
        <v>7728.3</v>
      </c>
      <c r="O406" s="9" t="n"/>
      <c r="P406" s="10">
        <f>SUM(D406:O406)</f>
        <v/>
      </c>
    </row>
    <row r="407">
      <c r="A407" s="2" t="inlineStr">
        <is>
          <t>Soybeans</t>
        </is>
      </c>
      <c r="B407" s="7" t="n"/>
      <c r="C407" s="2" t="inlineStr">
        <is>
          <t>2024-25</t>
        </is>
      </c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</row>
    <row r="408">
      <c r="A408" s="2" t="inlineStr">
        <is>
          <t>Soybeans</t>
        </is>
      </c>
      <c r="B408" s="8" t="inlineStr">
        <is>
          <t>Food</t>
        </is>
      </c>
      <c r="C408" s="2" t="inlineStr">
        <is>
          <t>2024-25</t>
        </is>
      </c>
      <c r="D408" s="9" t="n">
        <v>0</v>
      </c>
      <c r="E408" s="9" t="n">
        <v>0</v>
      </c>
      <c r="F408" s="9" t="n">
        <v>0</v>
      </c>
      <c r="G408" s="9" t="n">
        <v>0</v>
      </c>
      <c r="H408" s="9" t="n">
        <v>0</v>
      </c>
      <c r="I408" s="9" t="n">
        <v>0</v>
      </c>
      <c r="J408" s="9" t="n">
        <v>0</v>
      </c>
      <c r="K408" s="9" t="n">
        <v>0</v>
      </c>
      <c r="L408" s="9" t="n">
        <v>0</v>
      </c>
      <c r="M408" s="9" t="n">
        <v>0</v>
      </c>
      <c r="N408" s="9" t="n">
        <v>637.8</v>
      </c>
      <c r="O408" s="9" t="n"/>
      <c r="P408" s="10">
        <f>SUM(D408:O408)</f>
        <v/>
      </c>
    </row>
    <row r="409">
      <c r="A409" s="2" t="inlineStr">
        <is>
          <t>Soybeans</t>
        </is>
      </c>
      <c r="B409" s="8" t="inlineStr">
        <is>
          <t>Crush</t>
        </is>
      </c>
      <c r="C409" s="2" t="inlineStr">
        <is>
          <t>2024-25</t>
        </is>
      </c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10">
        <f>SUM(D409:O409)</f>
        <v/>
      </c>
    </row>
    <row r="410">
      <c r="A410" s="2" t="inlineStr">
        <is>
          <t>Soybeans</t>
        </is>
      </c>
      <c r="B410" s="8" t="inlineStr">
        <is>
          <t>FSR</t>
        </is>
      </c>
      <c r="C410" s="2" t="inlineStr">
        <is>
          <t>2024-25</t>
        </is>
      </c>
      <c r="D410" s="9" t="n">
        <v>14.989</v>
      </c>
      <c r="E410" s="9" t="n">
        <v>26.297</v>
      </c>
      <c r="F410" s="9" t="n">
        <v>26.364</v>
      </c>
      <c r="G410" s="9" t="n">
        <v>30.516</v>
      </c>
      <c r="H410" s="9" t="n">
        <v>27.612</v>
      </c>
      <c r="I410" s="9" t="n">
        <v>26.034</v>
      </c>
      <c r="J410" s="9" t="n">
        <v>30.371</v>
      </c>
      <c r="K410" s="9" t="n">
        <v>27.549</v>
      </c>
      <c r="L410" s="9" t="n">
        <v>29.379</v>
      </c>
      <c r="M410" s="9" t="n">
        <v>20.12</v>
      </c>
      <c r="N410" s="9" t="n">
        <v>1921.3</v>
      </c>
      <c r="O410" s="9" t="n"/>
      <c r="P410" s="10">
        <f>SUM(D410:O410)</f>
        <v/>
      </c>
    </row>
    <row r="411">
      <c r="A411" s="2" t="inlineStr">
        <is>
          <t>Soybeans</t>
        </is>
      </c>
      <c r="B411" s="8" t="inlineStr">
        <is>
          <t>Exports</t>
        </is>
      </c>
      <c r="C411" s="2" t="inlineStr">
        <is>
          <t>2024-25</t>
        </is>
      </c>
      <c r="D411" s="9" t="n">
        <v>0</v>
      </c>
      <c r="E411" s="9" t="n">
        <v>0</v>
      </c>
      <c r="F411" s="9" t="n">
        <v>0</v>
      </c>
      <c r="G411" s="9" t="n">
        <v>0</v>
      </c>
      <c r="H411" s="9" t="n">
        <v>0</v>
      </c>
      <c r="I411" s="9" t="n">
        <v>0</v>
      </c>
      <c r="J411" s="9" t="n">
        <v>0</v>
      </c>
      <c r="K411" s="9" t="n">
        <v>0</v>
      </c>
      <c r="L411" s="9" t="n">
        <v>0</v>
      </c>
      <c r="M411" s="9" t="n">
        <v>0</v>
      </c>
      <c r="N411" s="9" t="n">
        <v>5531.1</v>
      </c>
      <c r="O411" s="9" t="n"/>
      <c r="P411" s="10">
        <f>SUM(D411:O411)</f>
        <v/>
      </c>
    </row>
    <row r="412">
      <c r="A412" s="2" t="inlineStr">
        <is>
          <t>Soybeans</t>
        </is>
      </c>
      <c r="B412" s="7" t="n"/>
      <c r="C412" s="2" t="inlineStr">
        <is>
          <t>2024-25</t>
        </is>
      </c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</row>
    <row r="413">
      <c r="A413" s="2" t="inlineStr">
        <is>
          <t>Soybeans</t>
        </is>
      </c>
      <c r="B413" s="8" t="inlineStr">
        <is>
          <t>Ending Stocks</t>
        </is>
      </c>
      <c r="C413" s="2" t="inlineStr">
        <is>
          <t>2024-25</t>
        </is>
      </c>
      <c r="D413" s="9" t="n">
        <v>9.911</v>
      </c>
      <c r="E413" s="9" t="n">
        <v>7.91</v>
      </c>
      <c r="F413" s="9" t="n">
        <v>5.59</v>
      </c>
      <c r="G413" s="9" t="n">
        <v>10.485</v>
      </c>
      <c r="H413" s="9" t="n">
        <v>9.701000000000001</v>
      </c>
      <c r="I413" s="9" t="n">
        <v>9.164</v>
      </c>
      <c r="J413" s="9" t="n">
        <v>8.593</v>
      </c>
      <c r="K413" s="9" t="n">
        <v>7.758</v>
      </c>
      <c r="L413" s="9" t="n">
        <v>5.183</v>
      </c>
      <c r="M413" s="9" t="n">
        <v>7.281</v>
      </c>
      <c r="N413" s="9" t="n">
        <v>510.9</v>
      </c>
      <c r="O413" s="9" t="n"/>
      <c r="P413" s="10">
        <f>SUM(D413:O413)</f>
        <v/>
      </c>
    </row>
    <row r="414">
      <c r="A414" s="2" t="inlineStr">
        <is>
          <t>Soybeans</t>
        </is>
      </c>
      <c r="B414" s="3" t="inlineStr">
        <is>
          <t>Stocks-to-Use</t>
        </is>
      </c>
      <c r="C414" s="2" t="inlineStr">
        <is>
          <t>2024-25</t>
        </is>
      </c>
      <c r="D414" s="5" t="n">
        <v>0.6612182266995796</v>
      </c>
      <c r="E414" s="5" t="n">
        <v>0.3007947674639693</v>
      </c>
      <c r="F414" s="5" t="n">
        <v>0.2120315581854043</v>
      </c>
      <c r="G414" s="5" t="n">
        <v>0.3435902477388911</v>
      </c>
      <c r="H414" s="5" t="n">
        <v>0.3513327538751268</v>
      </c>
      <c r="I414" s="5" t="n">
        <v>0.3520012291618653</v>
      </c>
      <c r="J414" s="5" t="n">
        <v>0.2829343781897204</v>
      </c>
      <c r="K414" s="5" t="n">
        <v>0.2816073178699771</v>
      </c>
      <c r="L414" s="5" t="n">
        <v>0.1764185302426903</v>
      </c>
      <c r="M414" s="5" t="n">
        <v>0.3618787276341948</v>
      </c>
      <c r="N414" s="5" t="n">
        <v>0.06315047835653012</v>
      </c>
      <c r="O414" s="5" t="n"/>
      <c r="P414" s="5">
        <f>SUM(D414:O414)</f>
        <v/>
      </c>
    </row>
    <row r="415">
      <c r="A415" s="2" t="inlineStr">
        <is>
          <t>Soybeans</t>
        </is>
      </c>
      <c r="B415" s="3" t="inlineStr">
        <is>
          <t>STU Days</t>
        </is>
      </c>
      <c r="C415" s="2" t="inlineStr">
        <is>
          <t>2024-25</t>
        </is>
      </c>
      <c r="D415" s="10" t="n">
        <v>241.3446527453466</v>
      </c>
      <c r="E415" s="10" t="n">
        <v>109.7900901243488</v>
      </c>
      <c r="F415" s="10" t="n">
        <v>77.39151873767258</v>
      </c>
      <c r="G415" s="10" t="n">
        <v>125.4104404246952</v>
      </c>
      <c r="H415" s="10" t="n">
        <v>128.2364551644213</v>
      </c>
      <c r="I415" s="10" t="n">
        <v>128.4804486440808</v>
      </c>
      <c r="J415" s="10" t="n">
        <v>103.271048039248</v>
      </c>
      <c r="K415" s="10" t="n">
        <v>102.7866710225416</v>
      </c>
      <c r="L415" s="10" t="n">
        <v>64.39276353858197</v>
      </c>
      <c r="M415" s="10" t="n">
        <v>132.0857355864811</v>
      </c>
      <c r="N415" s="10" t="n">
        <v>23.04992460013349</v>
      </c>
      <c r="O415" s="10" t="n"/>
      <c r="P415" s="10">
        <f>SUM(D415:O415)</f>
        <v/>
      </c>
    </row>
    <row r="416">
      <c r="A416" s="2" t="inlineStr">
        <is>
          <t>Soybeans</t>
        </is>
      </c>
      <c r="B416" s="11" t="inlineStr">
        <is>
          <t>CHECK</t>
        </is>
      </c>
      <c r="C416" s="2" t="inlineStr">
        <is>
          <t>2024-25</t>
        </is>
      </c>
      <c r="D416" s="9" t="n">
        <v>-1.77635683940025e-15</v>
      </c>
      <c r="E416" s="9" t="n">
        <v>0</v>
      </c>
      <c r="F416" s="9" t="n">
        <v>0</v>
      </c>
      <c r="G416" s="9" t="n">
        <v>0</v>
      </c>
      <c r="H416" s="9" t="n">
        <v>3.552713678800501e-15</v>
      </c>
      <c r="I416" s="9" t="n">
        <v>1.77635683940025e-15</v>
      </c>
      <c r="J416" s="9" t="n">
        <v>0</v>
      </c>
      <c r="K416" s="9" t="n">
        <v>-8.881784197001252e-16</v>
      </c>
      <c r="L416" s="9" t="n">
        <v>-3.552713678800501e-15</v>
      </c>
      <c r="M416" s="9" t="n">
        <v>-8.881784197001252e-16</v>
      </c>
      <c r="N416" s="9" t="n">
        <v>-3.410605131648481e-13</v>
      </c>
      <c r="O416" s="9" t="n"/>
      <c r="P416" s="10">
        <f>SUM(D416:O416)</f>
        <v/>
      </c>
    </row>
    <row r="417">
      <c r="A417" s="2" t="inlineStr">
        <is>
          <t>Soybeans</t>
        </is>
      </c>
      <c r="B417" s="3" t="inlineStr">
        <is>
          <t>Planted Area</t>
        </is>
      </c>
      <c r="C417" s="2" t="inlineStr">
        <is>
          <t>2025-26</t>
        </is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>
        <f>SUM(D417:O417)</f>
        <v/>
      </c>
    </row>
    <row r="418">
      <c r="A418" s="2" t="inlineStr">
        <is>
          <t>Soybeans</t>
        </is>
      </c>
      <c r="B418" s="3" t="inlineStr">
        <is>
          <t>Harvested Area</t>
        </is>
      </c>
      <c r="C418" s="2" t="inlineStr">
        <is>
          <t>2025-26</t>
        </is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>
        <f>SUM(D418:O418)</f>
        <v/>
      </c>
    </row>
    <row r="419">
      <c r="A419" s="2" t="inlineStr">
        <is>
          <t>Soybeans</t>
        </is>
      </c>
      <c r="B419" s="3" t="inlineStr">
        <is>
          <t>Proportion Harvested</t>
        </is>
      </c>
      <c r="C419" s="2" t="inlineStr">
        <is>
          <t>2025-26</t>
        </is>
      </c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>
        <f>SUM(D419:O419)</f>
        <v/>
      </c>
    </row>
    <row r="420">
      <c r="A420" s="2" t="inlineStr">
        <is>
          <t>Soybeans</t>
        </is>
      </c>
      <c r="B420" s="3" t="inlineStr">
        <is>
          <t>Yield</t>
        </is>
      </c>
      <c r="C420" s="2" t="inlineStr">
        <is>
          <t>2025-26</t>
        </is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>
        <f>SUM(D420:O420)</f>
        <v/>
      </c>
    </row>
    <row r="421">
      <c r="A421" s="2" t="inlineStr">
        <is>
          <t>Soybeans</t>
        </is>
      </c>
      <c r="B421" s="7" t="n"/>
      <c r="C421" s="2" t="inlineStr">
        <is>
          <t>2025-26</t>
        </is>
      </c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</row>
    <row r="422">
      <c r="A422" s="2" t="inlineStr">
        <is>
          <t>Soybeans</t>
        </is>
      </c>
      <c r="B422" s="8" t="inlineStr">
        <is>
          <t>Beginning Stocks</t>
        </is>
      </c>
      <c r="C422" s="2" t="inlineStr">
        <is>
          <t>2025-26</t>
        </is>
      </c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10">
        <f>SUM(D422:O422)</f>
        <v/>
      </c>
    </row>
    <row r="423">
      <c r="A423" s="2" t="inlineStr">
        <is>
          <t>Soybeans</t>
        </is>
      </c>
      <c r="B423" s="8" t="inlineStr">
        <is>
          <t>Imports</t>
        </is>
      </c>
      <c r="C423" s="2" t="inlineStr">
        <is>
          <t>2025-26</t>
        </is>
      </c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10">
        <f>SUM(D423:O423)</f>
        <v/>
      </c>
    </row>
    <row r="424">
      <c r="A424" s="2" t="inlineStr">
        <is>
          <t>Soybeans</t>
        </is>
      </c>
      <c r="B424" s="8" t="inlineStr">
        <is>
          <t>Production</t>
        </is>
      </c>
      <c r="C424" s="2" t="inlineStr">
        <is>
          <t>2025-26</t>
        </is>
      </c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10">
        <f>SUM(D424:O424)</f>
        <v/>
      </c>
    </row>
    <row r="425">
      <c r="A425" s="2" t="inlineStr">
        <is>
          <t>Soybeans</t>
        </is>
      </c>
      <c r="B425" s="7" t="n"/>
      <c r="C425" s="2" t="inlineStr">
        <is>
          <t>2025-26</t>
        </is>
      </c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</row>
    <row r="426">
      <c r="A426" s="2" t="inlineStr">
        <is>
          <t>Soybeans</t>
        </is>
      </c>
      <c r="B426" s="8" t="inlineStr">
        <is>
          <t>Food</t>
        </is>
      </c>
      <c r="C426" s="2" t="inlineStr">
        <is>
          <t>2025-26</t>
        </is>
      </c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10">
        <f>SUM(D426:O426)</f>
        <v/>
      </c>
    </row>
    <row r="427">
      <c r="A427" s="2" t="inlineStr">
        <is>
          <t>Soybeans</t>
        </is>
      </c>
      <c r="B427" s="8" t="inlineStr">
        <is>
          <t>Crush</t>
        </is>
      </c>
      <c r="C427" s="2" t="inlineStr">
        <is>
          <t>2025-26</t>
        </is>
      </c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10">
        <f>SUM(D427:O427)</f>
        <v/>
      </c>
    </row>
    <row r="428">
      <c r="A428" s="2" t="inlineStr">
        <is>
          <t>Soybeans</t>
        </is>
      </c>
      <c r="B428" s="8" t="inlineStr">
        <is>
          <t>FSR</t>
        </is>
      </c>
      <c r="C428" s="2" t="inlineStr">
        <is>
          <t>2025-26</t>
        </is>
      </c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10">
        <f>SUM(D428:O428)</f>
        <v/>
      </c>
    </row>
    <row r="429">
      <c r="A429" s="2" t="inlineStr">
        <is>
          <t>Soybeans</t>
        </is>
      </c>
      <c r="B429" s="8" t="inlineStr">
        <is>
          <t>Exports</t>
        </is>
      </c>
      <c r="C429" s="2" t="inlineStr">
        <is>
          <t>2025-26</t>
        </is>
      </c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10">
        <f>SUM(D429:O429)</f>
        <v/>
      </c>
    </row>
    <row r="430">
      <c r="A430" s="2" t="inlineStr">
        <is>
          <t>Soybeans</t>
        </is>
      </c>
      <c r="B430" s="7" t="n"/>
      <c r="C430" s="2" t="inlineStr">
        <is>
          <t>2025-26</t>
        </is>
      </c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</row>
    <row r="431">
      <c r="A431" s="2" t="inlineStr">
        <is>
          <t>Soybeans</t>
        </is>
      </c>
      <c r="B431" s="8" t="inlineStr">
        <is>
          <t>Ending Stocks</t>
        </is>
      </c>
      <c r="C431" s="2" t="inlineStr">
        <is>
          <t>2025-26</t>
        </is>
      </c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10">
        <f>SUM(D431:O431)</f>
        <v/>
      </c>
    </row>
    <row r="432">
      <c r="A432" s="2" t="inlineStr">
        <is>
          <t>Soybeans</t>
        </is>
      </c>
      <c r="B432" s="3" t="inlineStr">
        <is>
          <t>Stocks-to-Use</t>
        </is>
      </c>
      <c r="C432" s="2" t="inlineStr">
        <is>
          <t>2025-26</t>
        </is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>
        <f>SUM(D432:O432)</f>
        <v/>
      </c>
    </row>
    <row r="433">
      <c r="A433" s="2" t="inlineStr">
        <is>
          <t>Soybeans</t>
        </is>
      </c>
      <c r="B433" s="3" t="inlineStr">
        <is>
          <t>STU Days</t>
        </is>
      </c>
      <c r="C433" s="2" t="inlineStr">
        <is>
          <t>2025-26</t>
        </is>
      </c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>
        <f>SUM(D433:O433)</f>
        <v/>
      </c>
    </row>
    <row r="434">
      <c r="A434" s="2" t="inlineStr">
        <is>
          <t>Soybeans</t>
        </is>
      </c>
      <c r="B434" s="11" t="inlineStr">
        <is>
          <t>CHECK</t>
        </is>
      </c>
      <c r="C434" s="2" t="inlineStr">
        <is>
          <t>2025-26</t>
        </is>
      </c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10">
        <f>SUM(D434:O434)</f>
        <v/>
      </c>
    </row>
  </sheetData>
  <mergeCells count="1">
    <mergeCell ref="A1:C1"/>
  </mergeCells>
  <conditionalFormatting sqref="D20:P20">
    <cfRule type="cellIs" priority="1" operator="equal" dxfId="1">
      <formula>0</formula>
    </cfRule>
    <cfRule type="cellIs" priority="2" operator="notEqual" dxfId="0">
      <formula>0</formula>
    </cfRule>
  </conditionalFormatting>
  <conditionalFormatting sqref="D38:P38">
    <cfRule type="cellIs" priority="27" operator="equal" dxfId="1">
      <formula>0</formula>
    </cfRule>
    <cfRule type="cellIs" priority="28" operator="notEqual" dxfId="0">
      <formula>0</formula>
    </cfRule>
  </conditionalFormatting>
  <conditionalFormatting sqref="D56:P56">
    <cfRule type="cellIs" priority="53" operator="equal" dxfId="1">
      <formula>0</formula>
    </cfRule>
    <cfRule type="cellIs" priority="54" operator="notEqual" dxfId="0">
      <formula>0</formula>
    </cfRule>
  </conditionalFormatting>
  <conditionalFormatting sqref="D74:P74">
    <cfRule type="cellIs" priority="79" operator="equal" dxfId="1">
      <formula>0</formula>
    </cfRule>
    <cfRule type="cellIs" priority="80" operator="notEqual" dxfId="0">
      <formula>0</formula>
    </cfRule>
  </conditionalFormatting>
  <conditionalFormatting sqref="D92:P92">
    <cfRule type="cellIs" priority="105" operator="equal" dxfId="1">
      <formula>0</formula>
    </cfRule>
    <cfRule type="cellIs" priority="106" operator="notEqual" dxfId="0">
      <formula>0</formula>
    </cfRule>
  </conditionalFormatting>
  <conditionalFormatting sqref="D110:P110">
    <cfRule type="cellIs" priority="131" operator="equal" dxfId="1">
      <formula>0</formula>
    </cfRule>
    <cfRule type="cellIs" priority="132" operator="notEqual" dxfId="0">
      <formula>0</formula>
    </cfRule>
  </conditionalFormatting>
  <conditionalFormatting sqref="D128:P128">
    <cfRule type="cellIs" priority="157" operator="equal" dxfId="1">
      <formula>0</formula>
    </cfRule>
    <cfRule type="cellIs" priority="158" operator="notEqual" dxfId="0">
      <formula>0</formula>
    </cfRule>
  </conditionalFormatting>
  <conditionalFormatting sqref="D146:P146">
    <cfRule type="cellIs" priority="183" operator="equal" dxfId="1">
      <formula>0</formula>
    </cfRule>
    <cfRule type="cellIs" priority="184" operator="notEqual" dxfId="0">
      <formula>0</formula>
    </cfRule>
  </conditionalFormatting>
  <conditionalFormatting sqref="D164:P164">
    <cfRule type="cellIs" priority="209" operator="equal" dxfId="1">
      <formula>0</formula>
    </cfRule>
    <cfRule type="cellIs" priority="210" operator="notEqual" dxfId="0">
      <formula>0</formula>
    </cfRule>
  </conditionalFormatting>
  <conditionalFormatting sqref="D182:P182">
    <cfRule type="cellIs" priority="235" operator="equal" dxfId="1">
      <formula>0</formula>
    </cfRule>
    <cfRule type="cellIs" priority="236" operator="notEqual" dxfId="0">
      <formula>0</formula>
    </cfRule>
  </conditionalFormatting>
  <conditionalFormatting sqref="D200:P200">
    <cfRule type="cellIs" priority="261" operator="equal" dxfId="1">
      <formula>0</formula>
    </cfRule>
    <cfRule type="cellIs" priority="262" operator="notEqual" dxfId="0">
      <formula>0</formula>
    </cfRule>
  </conditionalFormatting>
  <conditionalFormatting sqref="D218:P218">
    <cfRule type="cellIs" priority="287" operator="equal" dxfId="1">
      <formula>0</formula>
    </cfRule>
    <cfRule type="cellIs" priority="288" operator="notEqual" dxfId="0">
      <formula>0</formula>
    </cfRule>
  </conditionalFormatting>
  <conditionalFormatting sqref="D236:P236">
    <cfRule type="cellIs" priority="313" operator="equal" dxfId="1">
      <formula>0</formula>
    </cfRule>
    <cfRule type="cellIs" priority="314" operator="notEqual" dxfId="0">
      <formula>0</formula>
    </cfRule>
  </conditionalFormatting>
  <conditionalFormatting sqref="D254:P254">
    <cfRule type="cellIs" priority="339" operator="equal" dxfId="1">
      <formula>0</formula>
    </cfRule>
    <cfRule type="cellIs" priority="340" operator="notEqual" dxfId="0">
      <formula>0</formula>
    </cfRule>
  </conditionalFormatting>
  <conditionalFormatting sqref="D272:P272">
    <cfRule type="cellIs" priority="365" operator="equal" dxfId="1">
      <formula>0</formula>
    </cfRule>
    <cfRule type="cellIs" priority="366" operator="notEqual" dxfId="0">
      <formula>0</formula>
    </cfRule>
  </conditionalFormatting>
  <conditionalFormatting sqref="D290:P290">
    <cfRule type="cellIs" priority="391" operator="equal" dxfId="1">
      <formula>0</formula>
    </cfRule>
    <cfRule type="cellIs" priority="392" operator="notEqual" dxfId="0">
      <formula>0</formula>
    </cfRule>
  </conditionalFormatting>
  <conditionalFormatting sqref="D308:P308">
    <cfRule type="cellIs" priority="417" operator="equal" dxfId="1">
      <formula>0</formula>
    </cfRule>
    <cfRule type="cellIs" priority="418" operator="notEqual" dxfId="0">
      <formula>0</formula>
    </cfRule>
  </conditionalFormatting>
  <conditionalFormatting sqref="D326:P326">
    <cfRule type="cellIs" priority="443" operator="equal" dxfId="1">
      <formula>0</formula>
    </cfRule>
    <cfRule type="cellIs" priority="444" operator="notEqual" dxfId="0">
      <formula>0</formula>
    </cfRule>
  </conditionalFormatting>
  <conditionalFormatting sqref="D344:P344">
    <cfRule type="cellIs" priority="469" operator="equal" dxfId="1">
      <formula>0</formula>
    </cfRule>
    <cfRule type="cellIs" priority="470" operator="notEqual" dxfId="0">
      <formula>0</formula>
    </cfRule>
  </conditionalFormatting>
  <conditionalFormatting sqref="D362:P362">
    <cfRule type="cellIs" priority="495" operator="equal" dxfId="1">
      <formula>0</formula>
    </cfRule>
    <cfRule type="cellIs" priority="496" operator="notEqual" dxfId="0">
      <formula>0</formula>
    </cfRule>
  </conditionalFormatting>
  <conditionalFormatting sqref="D380:P380">
    <cfRule type="cellIs" priority="521" operator="equal" dxfId="1">
      <formula>0</formula>
    </cfRule>
    <cfRule type="cellIs" priority="522" operator="notEqual" dxfId="0">
      <formula>0</formula>
    </cfRule>
  </conditionalFormatting>
  <conditionalFormatting sqref="D398:P398">
    <cfRule type="cellIs" priority="547" operator="equal" dxfId="1">
      <formula>0</formula>
    </cfRule>
    <cfRule type="cellIs" priority="548" operator="notEqual" dxfId="0">
      <formula>0</formula>
    </cfRule>
  </conditionalFormatting>
  <conditionalFormatting sqref="D416:P416">
    <cfRule type="cellIs" priority="573" operator="equal" dxfId="1">
      <formula>0</formula>
    </cfRule>
    <cfRule type="cellIs" priority="574" operator="notEqual" dxfId="0">
      <formula>0</formula>
    </cfRule>
  </conditionalFormatting>
  <conditionalFormatting sqref="D434:P434">
    <cfRule type="cellIs" priority="599" operator="equal" dxfId="1">
      <formula>0</formula>
    </cfRule>
    <cfRule type="cellIs" priority="600" operator="notEqual" dxfId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27"/>
  </cols>
  <sheetData>
    <row r="1" ht="15.6" customHeight="1" s="46">
      <c r="A1" s="45" t="inlineStr">
        <is>
          <t>Soybeans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" t="inlineStr">
        <is>
          <t>2002-03</t>
        </is>
      </c>
      <c r="E2" s="1" t="inlineStr">
        <is>
          <t>2003-04</t>
        </is>
      </c>
      <c r="F2" s="1" t="inlineStr">
        <is>
          <t>2004-05</t>
        </is>
      </c>
      <c r="G2" s="1" t="inlineStr">
        <is>
          <t>2005-06</t>
        </is>
      </c>
      <c r="H2" s="1" t="inlineStr">
        <is>
          <t>2006-07</t>
        </is>
      </c>
      <c r="I2" s="1" t="inlineStr">
        <is>
          <t>2007-08</t>
        </is>
      </c>
      <c r="J2" s="1" t="inlineStr">
        <is>
          <t>2008-09</t>
        </is>
      </c>
      <c r="K2" s="1" t="inlineStr">
        <is>
          <t>2009-10</t>
        </is>
      </c>
      <c r="L2" s="1" t="inlineStr">
        <is>
          <t>2010-11</t>
        </is>
      </c>
      <c r="M2" s="1" t="inlineStr">
        <is>
          <t>2011-12</t>
        </is>
      </c>
      <c r="N2" s="1" t="inlineStr">
        <is>
          <t>2012-13</t>
        </is>
      </c>
      <c r="O2" s="1" t="inlineStr">
        <is>
          <t>2013-14</t>
        </is>
      </c>
      <c r="P2" s="1" t="inlineStr">
        <is>
          <t>2014-15</t>
        </is>
      </c>
      <c r="Q2" s="1" t="inlineStr">
        <is>
          <t>2015-16</t>
        </is>
      </c>
      <c r="R2" s="1" t="inlineStr">
        <is>
          <t>2016-17</t>
        </is>
      </c>
      <c r="S2" s="1" t="inlineStr">
        <is>
          <t>2017-18</t>
        </is>
      </c>
      <c r="T2" s="1" t="inlineStr">
        <is>
          <t>2018-19</t>
        </is>
      </c>
      <c r="U2" s="1" t="inlineStr">
        <is>
          <t>2019-20</t>
        </is>
      </c>
      <c r="V2" s="1" t="inlineStr">
        <is>
          <t>2020-21</t>
        </is>
      </c>
      <c r="W2" s="1" t="inlineStr">
        <is>
          <t>2021-22</t>
        </is>
      </c>
      <c r="X2" s="1" t="inlineStr">
        <is>
          <t>2022-23</t>
        </is>
      </c>
      <c r="Y2" s="1" t="inlineStr">
        <is>
          <t>2023-24</t>
        </is>
      </c>
      <c r="Z2" s="1" t="inlineStr">
        <is>
          <t>2024-25</t>
        </is>
      </c>
      <c r="AA2" s="1" t="inlineStr">
        <is>
          <t>2025-26</t>
        </is>
      </c>
    </row>
    <row r="3">
      <c r="A3" s="2" t="inlineStr">
        <is>
          <t>Soybeans</t>
        </is>
      </c>
      <c r="B3" s="3" t="inlineStr">
        <is>
          <t>Planted Area</t>
        </is>
      </c>
      <c r="C3" s="12" t="inlineStr">
        <is>
          <t>MLN AC</t>
        </is>
      </c>
      <c r="D3" s="9">
        <f>Soybeans_Mo!P3</f>
        <v/>
      </c>
      <c r="E3" s="9">
        <f>Soybeans_Mo!P18</f>
        <v/>
      </c>
      <c r="F3" s="9">
        <f>Soybeans_Mo!P33</f>
        <v/>
      </c>
      <c r="G3" s="9">
        <f>Soybeans_Mo!P48</f>
        <v/>
      </c>
      <c r="H3" s="9">
        <f>Soybeans_Mo!P63</f>
        <v/>
      </c>
      <c r="I3" s="9">
        <f>Soybeans_Mo!P78</f>
        <v/>
      </c>
      <c r="J3" s="9">
        <f>Soybeans_Mo!P93</f>
        <v/>
      </c>
      <c r="K3" s="9">
        <f>Soybeans_Mo!P108</f>
        <v/>
      </c>
      <c r="L3" s="9">
        <f>Soybeans_Mo!P123</f>
        <v/>
      </c>
      <c r="M3" s="9">
        <f>Soybeans_Mo!P138</f>
        <v/>
      </c>
      <c r="N3" s="9">
        <f>Soybeans_Mo!P153</f>
        <v/>
      </c>
      <c r="O3" s="9">
        <f>Soybeans_Mo!P168</f>
        <v/>
      </c>
      <c r="P3" s="9">
        <f>Soybeans_Mo!P183</f>
        <v/>
      </c>
      <c r="Q3" s="9">
        <f>Soybeans_Mo!P198</f>
        <v/>
      </c>
      <c r="R3" s="9">
        <f>Soybeans_Mo!P213</f>
        <v/>
      </c>
      <c r="S3" s="9">
        <f>Soybeans_Mo!P228</f>
        <v/>
      </c>
      <c r="T3" s="9">
        <f>Soybeans_Mo!P243</f>
        <v/>
      </c>
      <c r="U3" s="9">
        <f>Soybeans_Mo!P258</f>
        <v/>
      </c>
      <c r="V3" s="9">
        <f>Soybeans_Mo!P273</f>
        <v/>
      </c>
      <c r="W3" s="9">
        <f>Soybeans_Mo!P288</f>
        <v/>
      </c>
      <c r="X3" s="9">
        <f>Soybeans_Mo!P303</f>
        <v/>
      </c>
      <c r="Y3" s="9">
        <f>Soybeans_Mo!P318</f>
        <v/>
      </c>
      <c r="Z3" s="9">
        <f>Soybeans_Mo!P333</f>
        <v/>
      </c>
      <c r="AA3" s="9">
        <f>Soybeans_Mo!P348</f>
        <v/>
      </c>
    </row>
    <row r="4">
      <c r="A4" s="2" t="inlineStr">
        <is>
          <t>Soybeans</t>
        </is>
      </c>
      <c r="B4" s="3" t="inlineStr">
        <is>
          <t>Harvested Area</t>
        </is>
      </c>
      <c r="C4" s="12" t="inlineStr">
        <is>
          <t>MLN AC</t>
        </is>
      </c>
      <c r="D4" s="9">
        <f>Soybeans_Mo!P4</f>
        <v/>
      </c>
      <c r="E4" s="9">
        <f>Soybeans_Mo!P19</f>
        <v/>
      </c>
      <c r="F4" s="9">
        <f>Soybeans_Mo!P34</f>
        <v/>
      </c>
      <c r="G4" s="9">
        <f>Soybeans_Mo!P49</f>
        <v/>
      </c>
      <c r="H4" s="9">
        <f>Soybeans_Mo!P64</f>
        <v/>
      </c>
      <c r="I4" s="9">
        <f>Soybeans_Mo!P79</f>
        <v/>
      </c>
      <c r="J4" s="9">
        <f>Soybeans_Mo!P94</f>
        <v/>
      </c>
      <c r="K4" s="9">
        <f>Soybeans_Mo!P109</f>
        <v/>
      </c>
      <c r="L4" s="9">
        <f>Soybeans_Mo!P124</f>
        <v/>
      </c>
      <c r="M4" s="9">
        <f>Soybeans_Mo!P139</f>
        <v/>
      </c>
      <c r="N4" s="9">
        <f>Soybeans_Mo!P154</f>
        <v/>
      </c>
      <c r="O4" s="9">
        <f>Soybeans_Mo!P169</f>
        <v/>
      </c>
      <c r="P4" s="9">
        <f>Soybeans_Mo!P184</f>
        <v/>
      </c>
      <c r="Q4" s="9">
        <f>Soybeans_Mo!P199</f>
        <v/>
      </c>
      <c r="R4" s="9">
        <f>Soybeans_Mo!P214</f>
        <v/>
      </c>
      <c r="S4" s="9">
        <f>Soybeans_Mo!P229</f>
        <v/>
      </c>
      <c r="T4" s="9">
        <f>Soybeans_Mo!P244</f>
        <v/>
      </c>
      <c r="U4" s="9">
        <f>Soybeans_Mo!P259</f>
        <v/>
      </c>
      <c r="V4" s="9">
        <f>Soybeans_Mo!P274</f>
        <v/>
      </c>
      <c r="W4" s="9">
        <f>Soybeans_Mo!P289</f>
        <v/>
      </c>
      <c r="X4" s="9">
        <f>Soybeans_Mo!P304</f>
        <v/>
      </c>
      <c r="Y4" s="9">
        <f>Soybeans_Mo!P319</f>
        <v/>
      </c>
      <c r="Z4" s="9">
        <f>Soybeans_Mo!P334</f>
        <v/>
      </c>
      <c r="AA4" s="9">
        <f>Soybeans_Mo!P349</f>
        <v/>
      </c>
    </row>
    <row r="5">
      <c r="A5" s="2" t="inlineStr">
        <is>
          <t>Soybeans</t>
        </is>
      </c>
      <c r="B5" s="3" t="inlineStr">
        <is>
          <t>Proportion Harvested</t>
        </is>
      </c>
      <c r="C5" s="12" t="inlineStr">
        <is>
          <t>%</t>
        </is>
      </c>
      <c r="D5" s="13">
        <f>IF(D3&lt;&gt;0,D4/D3,"")</f>
        <v/>
      </c>
      <c r="E5" s="13">
        <f>IF(E3&lt;&gt;0,E4/E3,"")</f>
        <v/>
      </c>
      <c r="F5" s="13">
        <f>IF(F3&lt;&gt;0,F4/F3,"")</f>
        <v/>
      </c>
      <c r="G5" s="13">
        <f>IF(G3&lt;&gt;0,G4/G3,"")</f>
        <v/>
      </c>
      <c r="H5" s="13">
        <f>IF(H3&lt;&gt;0,H4/H3,"")</f>
        <v/>
      </c>
      <c r="I5" s="13">
        <f>IF(I3&lt;&gt;0,I4/I3,"")</f>
        <v/>
      </c>
      <c r="J5" s="13">
        <f>IF(J3&lt;&gt;0,J4/J3,"")</f>
        <v/>
      </c>
      <c r="K5" s="13">
        <f>IF(K3&lt;&gt;0,K4/K3,"")</f>
        <v/>
      </c>
      <c r="L5" s="13">
        <f>IF(L3&lt;&gt;0,L4/L3,"")</f>
        <v/>
      </c>
      <c r="M5" s="13">
        <f>IF(M3&lt;&gt;0,M4/M3,"")</f>
        <v/>
      </c>
      <c r="N5" s="13">
        <f>IF(N3&lt;&gt;0,N4/N3,"")</f>
        <v/>
      </c>
      <c r="O5" s="13">
        <f>IF(O3&lt;&gt;0,O4/O3,"")</f>
        <v/>
      </c>
      <c r="P5" s="13">
        <f>IF(P3&lt;&gt;0,P4/P3,"")</f>
        <v/>
      </c>
      <c r="Q5" s="13">
        <f>IF(Q3&lt;&gt;0,Q4/Q3,"")</f>
        <v/>
      </c>
      <c r="R5" s="13">
        <f>IF(R3&lt;&gt;0,R4/R3,"")</f>
        <v/>
      </c>
      <c r="S5" s="13">
        <f>IF(S3&lt;&gt;0,S4/S3,"")</f>
        <v/>
      </c>
      <c r="T5" s="13">
        <f>IF(T3&lt;&gt;0,T4/T3,"")</f>
        <v/>
      </c>
      <c r="U5" s="13">
        <f>IF(U3&lt;&gt;0,U4/U3,"")</f>
        <v/>
      </c>
      <c r="V5" s="13">
        <f>IF(V3&lt;&gt;0,V4/V3,"")</f>
        <v/>
      </c>
      <c r="W5" s="13">
        <f>IF(W3&lt;&gt;0,W4/W3,"")</f>
        <v/>
      </c>
      <c r="X5" s="13">
        <f>IF(X3&lt;&gt;0,X4/X3,"")</f>
        <v/>
      </c>
      <c r="Y5" s="13">
        <f>IF(Y3&lt;&gt;0,Y4/Y3,"")</f>
        <v/>
      </c>
      <c r="Z5" s="13">
        <f>IF(Z3&lt;&gt;0,Z4/Z3,"")</f>
        <v/>
      </c>
      <c r="AA5" s="13">
        <f>IF(AA3&lt;&gt;0,AA4/AA3,"")</f>
        <v/>
      </c>
    </row>
    <row r="6">
      <c r="A6" s="2" t="inlineStr">
        <is>
          <t>Soybeans</t>
        </is>
      </c>
      <c r="B6" s="3" t="inlineStr">
        <is>
          <t>Yield</t>
        </is>
      </c>
      <c r="C6" s="12" t="inlineStr">
        <is>
          <t>BU/AC</t>
        </is>
      </c>
      <c r="D6" s="14">
        <f>Soybeans_Mo!O6</f>
        <v/>
      </c>
      <c r="E6" s="14">
        <f>Soybeans_Mo!O21</f>
        <v/>
      </c>
      <c r="F6" s="14">
        <f>Soybeans_Mo!O36</f>
        <v/>
      </c>
      <c r="G6" s="14">
        <f>Soybeans_Mo!O51</f>
        <v/>
      </c>
      <c r="H6" s="14">
        <f>Soybeans_Mo!O66</f>
        <v/>
      </c>
      <c r="I6" s="14">
        <f>Soybeans_Mo!O81</f>
        <v/>
      </c>
      <c r="J6" s="14">
        <f>Soybeans_Mo!O96</f>
        <v/>
      </c>
      <c r="K6" s="14">
        <f>Soybeans_Mo!O111</f>
        <v/>
      </c>
      <c r="L6" s="14">
        <f>Soybeans_Mo!O126</f>
        <v/>
      </c>
      <c r="M6" s="14">
        <f>Soybeans_Mo!O141</f>
        <v/>
      </c>
      <c r="N6" s="14">
        <f>Soybeans_Mo!O156</f>
        <v/>
      </c>
      <c r="O6" s="14">
        <f>Soybeans_Mo!O171</f>
        <v/>
      </c>
      <c r="P6" s="14">
        <f>Soybeans_Mo!O186</f>
        <v/>
      </c>
      <c r="Q6" s="14">
        <f>Soybeans_Mo!O201</f>
        <v/>
      </c>
      <c r="R6" s="14">
        <f>Soybeans_Mo!O216</f>
        <v/>
      </c>
      <c r="S6" s="14">
        <f>Soybeans_Mo!O231</f>
        <v/>
      </c>
      <c r="T6" s="14">
        <f>Soybeans_Mo!O246</f>
        <v/>
      </c>
      <c r="U6" s="14">
        <f>Soybeans_Mo!O261</f>
        <v/>
      </c>
      <c r="V6" s="14">
        <f>Soybeans_Mo!O276</f>
        <v/>
      </c>
      <c r="W6" s="14">
        <f>Soybeans_Mo!O291</f>
        <v/>
      </c>
      <c r="X6" s="14">
        <f>Soybeans_Mo!O306</f>
        <v/>
      </c>
      <c r="Y6" s="14">
        <f>Soybeans_Mo!O321</f>
        <v/>
      </c>
      <c r="Z6" s="14">
        <f>Soybeans_Mo!O336</f>
        <v/>
      </c>
      <c r="AA6" s="14">
        <f>Soybeans_Mo!O351</f>
        <v/>
      </c>
    </row>
    <row r="7">
      <c r="A7" s="2" t="inlineStr">
        <is>
          <t>Soybeans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2" t="inlineStr">
        <is>
          <t>Soybeans</t>
        </is>
      </c>
      <c r="B8" s="8" t="inlineStr">
        <is>
          <t>Beginning Stocks</t>
        </is>
      </c>
      <c r="C8" s="2" t="inlineStr">
        <is>
          <t>KMT</t>
        </is>
      </c>
      <c r="D8" s="9">
        <f>Soybeans_Mo!P8</f>
        <v/>
      </c>
      <c r="E8" s="9">
        <f>Soybeans_Mo!P23</f>
        <v/>
      </c>
      <c r="F8" s="9">
        <f>Soybeans_Mo!P38</f>
        <v/>
      </c>
      <c r="G8" s="9">
        <f>Soybeans_Mo!P53</f>
        <v/>
      </c>
      <c r="H8" s="9">
        <f>Soybeans_Mo!P68</f>
        <v/>
      </c>
      <c r="I8" s="9">
        <f>Soybeans_Mo!P83</f>
        <v/>
      </c>
      <c r="J8" s="9">
        <f>Soybeans_Mo!P98</f>
        <v/>
      </c>
      <c r="K8" s="9">
        <f>Soybeans_Mo!P113</f>
        <v/>
      </c>
      <c r="L8" s="9">
        <f>Soybeans_Mo!P128</f>
        <v/>
      </c>
      <c r="M8" s="9">
        <f>Soybeans_Mo!P143</f>
        <v/>
      </c>
      <c r="N8" s="9">
        <f>Soybeans_Mo!P158</f>
        <v/>
      </c>
      <c r="O8" s="9">
        <f>Soybeans_Mo!P173</f>
        <v/>
      </c>
      <c r="P8" s="9">
        <f>Soybeans_Mo!P188</f>
        <v/>
      </c>
      <c r="Q8" s="9">
        <f>Soybeans_Mo!P203</f>
        <v/>
      </c>
      <c r="R8" s="9">
        <f>Soybeans_Mo!P218</f>
        <v/>
      </c>
      <c r="S8" s="9">
        <f>Soybeans_Mo!P233</f>
        <v/>
      </c>
      <c r="T8" s="9">
        <f>Soybeans_Mo!P248</f>
        <v/>
      </c>
      <c r="U8" s="9">
        <f>Soybeans_Mo!P263</f>
        <v/>
      </c>
      <c r="V8" s="9">
        <f>Soybeans_Mo!P278</f>
        <v/>
      </c>
      <c r="W8" s="9">
        <f>Soybeans_Mo!P293</f>
        <v/>
      </c>
      <c r="X8" s="9">
        <f>Soybeans_Mo!P308</f>
        <v/>
      </c>
      <c r="Y8" s="9">
        <f>Soybeans_Mo!P323</f>
        <v/>
      </c>
      <c r="Z8" s="9">
        <f>Soybeans_Mo!P338</f>
        <v/>
      </c>
      <c r="AA8" s="9">
        <f>Soybeans_Mo!P353</f>
        <v/>
      </c>
    </row>
    <row r="9">
      <c r="A9" s="2" t="inlineStr">
        <is>
          <t>Soybeans</t>
        </is>
      </c>
      <c r="B9" s="8" t="inlineStr">
        <is>
          <t>Imports</t>
        </is>
      </c>
      <c r="C9" s="2" t="inlineStr">
        <is>
          <t>KMT</t>
        </is>
      </c>
      <c r="D9" s="9">
        <f>Soybeans_Mo!P9</f>
        <v/>
      </c>
      <c r="E9" s="9">
        <f>Soybeans_Mo!P24</f>
        <v/>
      </c>
      <c r="F9" s="9">
        <f>Soybeans_Mo!P39</f>
        <v/>
      </c>
      <c r="G9" s="9">
        <f>Soybeans_Mo!P54</f>
        <v/>
      </c>
      <c r="H9" s="9">
        <f>Soybeans_Mo!P69</f>
        <v/>
      </c>
      <c r="I9" s="9">
        <f>Soybeans_Mo!P84</f>
        <v/>
      </c>
      <c r="J9" s="9">
        <f>Soybeans_Mo!P99</f>
        <v/>
      </c>
      <c r="K9" s="9">
        <f>Soybeans_Mo!P114</f>
        <v/>
      </c>
      <c r="L9" s="9">
        <f>Soybeans_Mo!P129</f>
        <v/>
      </c>
      <c r="M9" s="9">
        <f>Soybeans_Mo!P144</f>
        <v/>
      </c>
      <c r="N9" s="9">
        <f>Soybeans_Mo!P159</f>
        <v/>
      </c>
      <c r="O9" s="9">
        <f>Soybeans_Mo!P174</f>
        <v/>
      </c>
      <c r="P9" s="9">
        <f>Soybeans_Mo!P189</f>
        <v/>
      </c>
      <c r="Q9" s="9">
        <f>Soybeans_Mo!P204</f>
        <v/>
      </c>
      <c r="R9" s="9">
        <f>Soybeans_Mo!P219</f>
        <v/>
      </c>
      <c r="S9" s="9">
        <f>Soybeans_Mo!P234</f>
        <v/>
      </c>
      <c r="T9" s="9">
        <f>Soybeans_Mo!P249</f>
        <v/>
      </c>
      <c r="U9" s="9">
        <f>Soybeans_Mo!P264</f>
        <v/>
      </c>
      <c r="V9" s="9">
        <f>Soybeans_Mo!P279</f>
        <v/>
      </c>
      <c r="W9" s="9">
        <f>Soybeans_Mo!P294</f>
        <v/>
      </c>
      <c r="X9" s="9">
        <f>Soybeans_Mo!P309</f>
        <v/>
      </c>
      <c r="Y9" s="9">
        <f>Soybeans_Mo!P324</f>
        <v/>
      </c>
      <c r="Z9" s="9">
        <f>Soybeans_Mo!P339</f>
        <v/>
      </c>
      <c r="AA9" s="9">
        <f>Soybeans_Mo!P354</f>
        <v/>
      </c>
    </row>
    <row r="10">
      <c r="A10" s="2" t="inlineStr">
        <is>
          <t>Soybeans</t>
        </is>
      </c>
      <c r="B10" s="8" t="inlineStr">
        <is>
          <t>Production</t>
        </is>
      </c>
      <c r="C10" s="2" t="inlineStr">
        <is>
          <t>KMT</t>
        </is>
      </c>
      <c r="D10" s="9">
        <f>Soybeans_Mo!P10</f>
        <v/>
      </c>
      <c r="E10" s="9">
        <f>Soybeans_Mo!P25</f>
        <v/>
      </c>
      <c r="F10" s="9">
        <f>Soybeans_Mo!P40</f>
        <v/>
      </c>
      <c r="G10" s="9">
        <f>Soybeans_Mo!P55</f>
        <v/>
      </c>
      <c r="H10" s="9">
        <f>Soybeans_Mo!P70</f>
        <v/>
      </c>
      <c r="I10" s="9">
        <f>Soybeans_Mo!P85</f>
        <v/>
      </c>
      <c r="J10" s="9">
        <f>Soybeans_Mo!P100</f>
        <v/>
      </c>
      <c r="K10" s="9">
        <f>Soybeans_Mo!P115</f>
        <v/>
      </c>
      <c r="L10" s="9">
        <f>Soybeans_Mo!P130</f>
        <v/>
      </c>
      <c r="M10" s="9">
        <f>Soybeans_Mo!P145</f>
        <v/>
      </c>
      <c r="N10" s="9">
        <f>Soybeans_Mo!P160</f>
        <v/>
      </c>
      <c r="O10" s="9">
        <f>Soybeans_Mo!P175</f>
        <v/>
      </c>
      <c r="P10" s="9">
        <f>Soybeans_Mo!P190</f>
        <v/>
      </c>
      <c r="Q10" s="9">
        <f>Soybeans_Mo!P205</f>
        <v/>
      </c>
      <c r="R10" s="9">
        <f>Soybeans_Mo!P220</f>
        <v/>
      </c>
      <c r="S10" s="9">
        <f>Soybeans_Mo!P235</f>
        <v/>
      </c>
      <c r="T10" s="9">
        <f>Soybeans_Mo!P250</f>
        <v/>
      </c>
      <c r="U10" s="9">
        <f>Soybeans_Mo!P265</f>
        <v/>
      </c>
      <c r="V10" s="9">
        <f>Soybeans_Mo!P280</f>
        <v/>
      </c>
      <c r="W10" s="9">
        <f>Soybeans_Mo!P295</f>
        <v/>
      </c>
      <c r="X10" s="9">
        <f>Soybeans_Mo!P310</f>
        <v/>
      </c>
      <c r="Y10" s="9">
        <f>Soybeans_Mo!P325</f>
        <v/>
      </c>
      <c r="Z10" s="9">
        <f>Soybeans_Mo!P340</f>
        <v/>
      </c>
      <c r="AA10" s="9">
        <f>Soybeans_Mo!P355</f>
        <v/>
      </c>
    </row>
    <row r="11">
      <c r="A11" s="2" t="inlineStr">
        <is>
          <t>Soybeans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2" t="inlineStr">
        <is>
          <t>Soybeans</t>
        </is>
      </c>
      <c r="B12" s="8" t="inlineStr">
        <is>
          <t>Food</t>
        </is>
      </c>
      <c r="C12" s="2" t="inlineStr">
        <is>
          <t>KMT</t>
        </is>
      </c>
      <c r="D12" s="9">
        <f>Soybeans_Mo!P12</f>
        <v/>
      </c>
      <c r="E12" s="9">
        <f>Soybeans_Mo!P27</f>
        <v/>
      </c>
      <c r="F12" s="9">
        <f>Soybeans_Mo!P42</f>
        <v/>
      </c>
      <c r="G12" s="9">
        <f>Soybeans_Mo!P57</f>
        <v/>
      </c>
      <c r="H12" s="9">
        <f>Soybeans_Mo!P72</f>
        <v/>
      </c>
      <c r="I12" s="9">
        <f>Soybeans_Mo!P87</f>
        <v/>
      </c>
      <c r="J12" s="9">
        <f>Soybeans_Mo!P102</f>
        <v/>
      </c>
      <c r="K12" s="9">
        <f>Soybeans_Mo!P117</f>
        <v/>
      </c>
      <c r="L12" s="9">
        <f>Soybeans_Mo!P132</f>
        <v/>
      </c>
      <c r="M12" s="9">
        <f>Soybeans_Mo!P147</f>
        <v/>
      </c>
      <c r="N12" s="9">
        <f>Soybeans_Mo!P162</f>
        <v/>
      </c>
      <c r="O12" s="9">
        <f>Soybeans_Mo!P177</f>
        <v/>
      </c>
      <c r="P12" s="9">
        <f>Soybeans_Mo!P192</f>
        <v/>
      </c>
      <c r="Q12" s="9">
        <f>Soybeans_Mo!P207</f>
        <v/>
      </c>
      <c r="R12" s="9">
        <f>Soybeans_Mo!P222</f>
        <v/>
      </c>
      <c r="S12" s="9">
        <f>Soybeans_Mo!P237</f>
        <v/>
      </c>
      <c r="T12" s="9">
        <f>Soybeans_Mo!P252</f>
        <v/>
      </c>
      <c r="U12" s="9">
        <f>Soybeans_Mo!P267</f>
        <v/>
      </c>
      <c r="V12" s="9">
        <f>Soybeans_Mo!P282</f>
        <v/>
      </c>
      <c r="W12" s="9">
        <f>Soybeans_Mo!P297</f>
        <v/>
      </c>
      <c r="X12" s="9">
        <f>Soybeans_Mo!P312</f>
        <v/>
      </c>
      <c r="Y12" s="9">
        <f>Soybeans_Mo!P327</f>
        <v/>
      </c>
      <c r="Z12" s="9">
        <f>Soybeans_Mo!P342</f>
        <v/>
      </c>
      <c r="AA12" s="9">
        <f>Soybeans_Mo!P357</f>
        <v/>
      </c>
    </row>
    <row r="13">
      <c r="A13" s="2" t="inlineStr">
        <is>
          <t>Soybeans</t>
        </is>
      </c>
      <c r="B13" s="8" t="inlineStr">
        <is>
          <t>Crush</t>
        </is>
      </c>
      <c r="C13" s="2" t="inlineStr">
        <is>
          <t>KMT</t>
        </is>
      </c>
      <c r="D13" s="9">
        <f>Soybeans_Mo!P13</f>
        <v/>
      </c>
      <c r="E13" s="9">
        <f>Soybeans_Mo!P28</f>
        <v/>
      </c>
      <c r="F13" s="9">
        <f>Soybeans_Mo!P43</f>
        <v/>
      </c>
      <c r="G13" s="9">
        <f>Soybeans_Mo!P58</f>
        <v/>
      </c>
      <c r="H13" s="9">
        <f>Soybeans_Mo!P73</f>
        <v/>
      </c>
      <c r="I13" s="9">
        <f>Soybeans_Mo!P88</f>
        <v/>
      </c>
      <c r="J13" s="9">
        <f>Soybeans_Mo!P103</f>
        <v/>
      </c>
      <c r="K13" s="9">
        <f>Soybeans_Mo!P118</f>
        <v/>
      </c>
      <c r="L13" s="9">
        <f>Soybeans_Mo!P133</f>
        <v/>
      </c>
      <c r="M13" s="9">
        <f>Soybeans_Mo!P148</f>
        <v/>
      </c>
      <c r="N13" s="9">
        <f>Soybeans_Mo!P163</f>
        <v/>
      </c>
      <c r="O13" s="9">
        <f>Soybeans_Mo!P178</f>
        <v/>
      </c>
      <c r="P13" s="9">
        <f>Soybeans_Mo!P193</f>
        <v/>
      </c>
      <c r="Q13" s="9">
        <f>Soybeans_Mo!P208</f>
        <v/>
      </c>
      <c r="R13" s="9">
        <f>Soybeans_Mo!P223</f>
        <v/>
      </c>
      <c r="S13" s="9">
        <f>Soybeans_Mo!P238</f>
        <v/>
      </c>
      <c r="T13" s="9">
        <f>Soybeans_Mo!P253</f>
        <v/>
      </c>
      <c r="U13" s="9">
        <f>Soybeans_Mo!P268</f>
        <v/>
      </c>
      <c r="V13" s="9">
        <f>Soybeans_Mo!P283</f>
        <v/>
      </c>
      <c r="W13" s="9">
        <f>Soybeans_Mo!P298</f>
        <v/>
      </c>
      <c r="X13" s="9">
        <f>Soybeans_Mo!P313</f>
        <v/>
      </c>
      <c r="Y13" s="9">
        <f>Soybeans_Mo!P328</f>
        <v/>
      </c>
      <c r="Z13" s="9">
        <f>Soybeans_Mo!P343</f>
        <v/>
      </c>
      <c r="AA13" s="9">
        <f>Soybeans_Mo!P358</f>
        <v/>
      </c>
    </row>
    <row r="14">
      <c r="A14" s="2" t="inlineStr">
        <is>
          <t>Soybeans</t>
        </is>
      </c>
      <c r="B14" s="8" t="inlineStr">
        <is>
          <t>FSR</t>
        </is>
      </c>
      <c r="C14" s="2" t="inlineStr">
        <is>
          <t>KMT</t>
        </is>
      </c>
      <c r="D14" s="9">
        <f>Soybeans_Mo!P14</f>
        <v/>
      </c>
      <c r="E14" s="9">
        <f>Soybeans_Mo!P29</f>
        <v/>
      </c>
      <c r="F14" s="9">
        <f>Soybeans_Mo!P44</f>
        <v/>
      </c>
      <c r="G14" s="9">
        <f>Soybeans_Mo!P59</f>
        <v/>
      </c>
      <c r="H14" s="9">
        <f>Soybeans_Mo!P74</f>
        <v/>
      </c>
      <c r="I14" s="9">
        <f>Soybeans_Mo!P89</f>
        <v/>
      </c>
      <c r="J14" s="9">
        <f>Soybeans_Mo!P104</f>
        <v/>
      </c>
      <c r="K14" s="9">
        <f>Soybeans_Mo!P119</f>
        <v/>
      </c>
      <c r="L14" s="9">
        <f>Soybeans_Mo!P134</f>
        <v/>
      </c>
      <c r="M14" s="9">
        <f>Soybeans_Mo!P149</f>
        <v/>
      </c>
      <c r="N14" s="9">
        <f>Soybeans_Mo!P164</f>
        <v/>
      </c>
      <c r="O14" s="9">
        <f>Soybeans_Mo!P179</f>
        <v/>
      </c>
      <c r="P14" s="9">
        <f>Soybeans_Mo!P194</f>
        <v/>
      </c>
      <c r="Q14" s="9">
        <f>Soybeans_Mo!P209</f>
        <v/>
      </c>
      <c r="R14" s="9">
        <f>Soybeans_Mo!P224</f>
        <v/>
      </c>
      <c r="S14" s="9">
        <f>Soybeans_Mo!P239</f>
        <v/>
      </c>
      <c r="T14" s="9">
        <f>Soybeans_Mo!P254</f>
        <v/>
      </c>
      <c r="U14" s="9">
        <f>Soybeans_Mo!P269</f>
        <v/>
      </c>
      <c r="V14" s="9">
        <f>Soybeans_Mo!P284</f>
        <v/>
      </c>
      <c r="W14" s="9">
        <f>Soybeans_Mo!P299</f>
        <v/>
      </c>
      <c r="X14" s="9">
        <f>Soybeans_Mo!P314</f>
        <v/>
      </c>
      <c r="Y14" s="9">
        <f>Soybeans_Mo!P329</f>
        <v/>
      </c>
      <c r="Z14" s="9">
        <f>Soybeans_Mo!P344</f>
        <v/>
      </c>
      <c r="AA14" s="9">
        <f>Soybeans_Mo!P359</f>
        <v/>
      </c>
    </row>
    <row r="15">
      <c r="A15" s="2" t="inlineStr">
        <is>
          <t>Soybeans</t>
        </is>
      </c>
      <c r="B15" s="8" t="inlineStr">
        <is>
          <t>Exports</t>
        </is>
      </c>
      <c r="C15" s="2" t="inlineStr">
        <is>
          <t>KMT</t>
        </is>
      </c>
      <c r="D15" s="9">
        <f>Soybeans_Mo!P15</f>
        <v/>
      </c>
      <c r="E15" s="9">
        <f>Soybeans_Mo!P30</f>
        <v/>
      </c>
      <c r="F15" s="9">
        <f>Soybeans_Mo!P45</f>
        <v/>
      </c>
      <c r="G15" s="9">
        <f>Soybeans_Mo!P60</f>
        <v/>
      </c>
      <c r="H15" s="9">
        <f>Soybeans_Mo!P75</f>
        <v/>
      </c>
      <c r="I15" s="9">
        <f>Soybeans_Mo!P90</f>
        <v/>
      </c>
      <c r="J15" s="9">
        <f>Soybeans_Mo!P105</f>
        <v/>
      </c>
      <c r="K15" s="9">
        <f>Soybeans_Mo!P120</f>
        <v/>
      </c>
      <c r="L15" s="9">
        <f>Soybeans_Mo!P135</f>
        <v/>
      </c>
      <c r="M15" s="9">
        <f>Soybeans_Mo!P150</f>
        <v/>
      </c>
      <c r="N15" s="9">
        <f>Soybeans_Mo!P165</f>
        <v/>
      </c>
      <c r="O15" s="9">
        <f>Soybeans_Mo!P180</f>
        <v/>
      </c>
      <c r="P15" s="9">
        <f>Soybeans_Mo!P195</f>
        <v/>
      </c>
      <c r="Q15" s="9">
        <f>Soybeans_Mo!P210</f>
        <v/>
      </c>
      <c r="R15" s="9">
        <f>Soybeans_Mo!P225</f>
        <v/>
      </c>
      <c r="S15" s="9">
        <f>Soybeans_Mo!P240</f>
        <v/>
      </c>
      <c r="T15" s="9">
        <f>Soybeans_Mo!P255</f>
        <v/>
      </c>
      <c r="U15" s="9">
        <f>Soybeans_Mo!P270</f>
        <v/>
      </c>
      <c r="V15" s="9">
        <f>Soybeans_Mo!P285</f>
        <v/>
      </c>
      <c r="W15" s="9">
        <f>Soybeans_Mo!P300</f>
        <v/>
      </c>
      <c r="X15" s="9">
        <f>Soybeans_Mo!P315</f>
        <v/>
      </c>
      <c r="Y15" s="9">
        <f>Soybeans_Mo!P330</f>
        <v/>
      </c>
      <c r="Z15" s="9">
        <f>Soybeans_Mo!P345</f>
        <v/>
      </c>
      <c r="AA15" s="9">
        <f>Soybeans_Mo!P360</f>
        <v/>
      </c>
    </row>
    <row r="16">
      <c r="A16" s="2" t="inlineStr">
        <is>
          <t>Soybeans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</row>
    <row r="17">
      <c r="A17" s="2" t="inlineStr">
        <is>
          <t>Soybeans</t>
        </is>
      </c>
      <c r="B17" s="8" t="inlineStr">
        <is>
          <t>Ending Stocks</t>
        </is>
      </c>
      <c r="C17" s="2" t="inlineStr">
        <is>
          <t>KMT</t>
        </is>
      </c>
      <c r="D17" s="9">
        <f>Soybeans_Mo!P17</f>
        <v/>
      </c>
      <c r="E17" s="9">
        <f>Soybeans_Mo!P32</f>
        <v/>
      </c>
      <c r="F17" s="9">
        <f>Soybeans_Mo!P47</f>
        <v/>
      </c>
      <c r="G17" s="9">
        <f>Soybeans_Mo!P62</f>
        <v/>
      </c>
      <c r="H17" s="9">
        <f>Soybeans_Mo!P77</f>
        <v/>
      </c>
      <c r="I17" s="9">
        <f>Soybeans_Mo!P92</f>
        <v/>
      </c>
      <c r="J17" s="9">
        <f>Soybeans_Mo!P107</f>
        <v/>
      </c>
      <c r="K17" s="9">
        <f>Soybeans_Mo!P122</f>
        <v/>
      </c>
      <c r="L17" s="9">
        <f>Soybeans_Mo!P137</f>
        <v/>
      </c>
      <c r="M17" s="9">
        <f>Soybeans_Mo!P152</f>
        <v/>
      </c>
      <c r="N17" s="9">
        <f>Soybeans_Mo!P167</f>
        <v/>
      </c>
      <c r="O17" s="9">
        <f>Soybeans_Mo!P182</f>
        <v/>
      </c>
      <c r="P17" s="9">
        <f>Soybeans_Mo!P197</f>
        <v/>
      </c>
      <c r="Q17" s="9">
        <f>Soybeans_Mo!P212</f>
        <v/>
      </c>
      <c r="R17" s="9">
        <f>Soybeans_Mo!P227</f>
        <v/>
      </c>
      <c r="S17" s="9">
        <f>Soybeans_Mo!P242</f>
        <v/>
      </c>
      <c r="T17" s="9">
        <f>Soybeans_Mo!P257</f>
        <v/>
      </c>
      <c r="U17" s="9">
        <f>Soybeans_Mo!P272</f>
        <v/>
      </c>
      <c r="V17" s="9">
        <f>Soybeans_Mo!P287</f>
        <v/>
      </c>
      <c r="W17" s="9">
        <f>Soybeans_Mo!P302</f>
        <v/>
      </c>
      <c r="X17" s="9">
        <f>Soybeans_Mo!P317</f>
        <v/>
      </c>
      <c r="Y17" s="9">
        <f>Soybeans_Mo!P332</f>
        <v/>
      </c>
      <c r="Z17" s="9">
        <f>Soybeans_Mo!P347</f>
        <v/>
      </c>
      <c r="AA17" s="9">
        <f>Soybeans_Mo!P362</f>
        <v/>
      </c>
    </row>
    <row r="18">
      <c r="A18" s="2" t="inlineStr">
        <is>
          <t>Soybeans</t>
        </is>
      </c>
      <c r="B18" s="3" t="inlineStr">
        <is>
          <t>Stocks-to-Use</t>
        </is>
      </c>
      <c r="C18" s="12" t="inlineStr">
        <is>
          <t>%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2" t="inlineStr">
        <is>
          <t>Soybeans</t>
        </is>
      </c>
      <c r="B19" s="3" t="inlineStr">
        <is>
          <t>STU Days</t>
        </is>
      </c>
      <c r="C19" s="12" t="inlineStr">
        <is>
          <t>Days</t>
        </is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</row>
    <row r="20">
      <c r="A20" s="2" t="inlineStr">
        <is>
          <t>Soybeans</t>
        </is>
      </c>
      <c r="B20" s="11" t="inlineStr">
        <is>
          <t>CHECK</t>
        </is>
      </c>
      <c r="C20" s="15" t="inlineStr">
        <is>
          <t>KMT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</row>
  </sheetData>
  <mergeCells count="1">
    <mergeCell ref="A1:C1"/>
  </mergeCells>
  <conditionalFormatting sqref="D20:AA20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27"/>
  </cols>
  <sheetData>
    <row r="1" ht="15.6" customHeight="1" s="46">
      <c r="A1" s="45" t="inlineStr">
        <is>
          <t>Dry peas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" t="inlineStr">
        <is>
          <t>2002-03</t>
        </is>
      </c>
      <c r="E2" s="1" t="inlineStr">
        <is>
          <t>2003-04</t>
        </is>
      </c>
      <c r="F2" s="1" t="inlineStr">
        <is>
          <t>2004-05</t>
        </is>
      </c>
      <c r="G2" s="1" t="inlineStr">
        <is>
          <t>2005-06</t>
        </is>
      </c>
      <c r="H2" s="1" t="inlineStr">
        <is>
          <t>2006-07</t>
        </is>
      </c>
      <c r="I2" s="1" t="inlineStr">
        <is>
          <t>2007-08</t>
        </is>
      </c>
      <c r="J2" s="1" t="inlineStr">
        <is>
          <t>2008-09</t>
        </is>
      </c>
      <c r="K2" s="1" t="inlineStr">
        <is>
          <t>2009-10</t>
        </is>
      </c>
      <c r="L2" s="1" t="inlineStr">
        <is>
          <t>2010-11</t>
        </is>
      </c>
      <c r="M2" s="1" t="inlineStr">
        <is>
          <t>2011-12</t>
        </is>
      </c>
      <c r="N2" s="1" t="inlineStr">
        <is>
          <t>2012-13</t>
        </is>
      </c>
      <c r="O2" s="1" t="inlineStr">
        <is>
          <t>2013-14</t>
        </is>
      </c>
      <c r="P2" s="1" t="inlineStr">
        <is>
          <t>2014-15</t>
        </is>
      </c>
      <c r="Q2" s="1" t="inlineStr">
        <is>
          <t>2015-16</t>
        </is>
      </c>
      <c r="R2" s="1" t="inlineStr">
        <is>
          <t>2016-17</t>
        </is>
      </c>
      <c r="S2" s="1" t="inlineStr">
        <is>
          <t>2017-18</t>
        </is>
      </c>
      <c r="T2" s="1" t="inlineStr">
        <is>
          <t>2018-19</t>
        </is>
      </c>
      <c r="U2" s="1" t="inlineStr">
        <is>
          <t>2019-20</t>
        </is>
      </c>
      <c r="V2" s="1" t="inlineStr">
        <is>
          <t>2020-21</t>
        </is>
      </c>
      <c r="W2" s="1" t="inlineStr">
        <is>
          <t>2021-22</t>
        </is>
      </c>
      <c r="X2" s="1" t="inlineStr">
        <is>
          <t>2022-23</t>
        </is>
      </c>
      <c r="Y2" s="1" t="inlineStr">
        <is>
          <t>2023-24</t>
        </is>
      </c>
      <c r="Z2" s="1" t="inlineStr">
        <is>
          <t>2024-25</t>
        </is>
      </c>
      <c r="AA2" s="1" t="inlineStr">
        <is>
          <t>2025-26</t>
        </is>
      </c>
    </row>
    <row r="3">
      <c r="A3" s="2" t="inlineStr">
        <is>
          <t>Dry peas</t>
        </is>
      </c>
      <c r="B3" s="3" t="inlineStr">
        <is>
          <t>Planted Area</t>
        </is>
      </c>
      <c r="C3" s="12" t="inlineStr">
        <is>
          <t>MLN AC</t>
        </is>
      </c>
      <c r="D3" s="9">
        <f>'Dry peas_Mo'!P3</f>
        <v/>
      </c>
      <c r="E3" s="9">
        <f>'Dry peas_Mo'!P16</f>
        <v/>
      </c>
      <c r="F3" s="9">
        <f>'Dry peas_Mo'!P29</f>
        <v/>
      </c>
      <c r="G3" s="9">
        <f>'Dry peas_Mo'!P42</f>
        <v/>
      </c>
      <c r="H3" s="9">
        <f>'Dry peas_Mo'!P55</f>
        <v/>
      </c>
      <c r="I3" s="9">
        <f>'Dry peas_Mo'!P68</f>
        <v/>
      </c>
      <c r="J3" s="9">
        <f>'Dry peas_Mo'!P81</f>
        <v/>
      </c>
      <c r="K3" s="9">
        <f>'Dry peas_Mo'!P94</f>
        <v/>
      </c>
      <c r="L3" s="9">
        <f>'Dry peas_Mo'!P107</f>
        <v/>
      </c>
      <c r="M3" s="9">
        <f>'Dry peas_Mo'!P120</f>
        <v/>
      </c>
      <c r="N3" s="9">
        <f>'Dry peas_Mo'!P133</f>
        <v/>
      </c>
      <c r="O3" s="9">
        <f>'Dry peas_Mo'!P146</f>
        <v/>
      </c>
      <c r="P3" s="9">
        <f>'Dry peas_Mo'!P159</f>
        <v/>
      </c>
      <c r="Q3" s="9">
        <f>'Dry peas_Mo'!P172</f>
        <v/>
      </c>
      <c r="R3" s="9">
        <f>'Dry peas_Mo'!P185</f>
        <v/>
      </c>
      <c r="S3" s="9">
        <f>'Dry peas_Mo'!P198</f>
        <v/>
      </c>
      <c r="T3" s="9">
        <f>'Dry peas_Mo'!P211</f>
        <v/>
      </c>
      <c r="U3" s="9">
        <f>'Dry peas_Mo'!P224</f>
        <v/>
      </c>
      <c r="V3" s="9">
        <f>'Dry peas_Mo'!P237</f>
        <v/>
      </c>
      <c r="W3" s="9">
        <f>'Dry peas_Mo'!P250</f>
        <v/>
      </c>
      <c r="X3" s="9">
        <f>'Dry peas_Mo'!P263</f>
        <v/>
      </c>
      <c r="Y3" s="9">
        <f>'Dry peas_Mo'!P276</f>
        <v/>
      </c>
      <c r="Z3" s="9">
        <f>'Dry peas_Mo'!P289</f>
        <v/>
      </c>
      <c r="AA3" s="9">
        <f>'Dry peas_Mo'!P302</f>
        <v/>
      </c>
    </row>
    <row r="4">
      <c r="A4" s="2" t="inlineStr">
        <is>
          <t>Dry peas</t>
        </is>
      </c>
      <c r="B4" s="3" t="inlineStr">
        <is>
          <t>Harvested Area</t>
        </is>
      </c>
      <c r="C4" s="12" t="inlineStr">
        <is>
          <t>MLN AC</t>
        </is>
      </c>
      <c r="D4" s="9">
        <f>'Dry peas_Mo'!P4</f>
        <v/>
      </c>
      <c r="E4" s="9">
        <f>'Dry peas_Mo'!P17</f>
        <v/>
      </c>
      <c r="F4" s="9">
        <f>'Dry peas_Mo'!P30</f>
        <v/>
      </c>
      <c r="G4" s="9">
        <f>'Dry peas_Mo'!P43</f>
        <v/>
      </c>
      <c r="H4" s="9">
        <f>'Dry peas_Mo'!P56</f>
        <v/>
      </c>
      <c r="I4" s="9">
        <f>'Dry peas_Mo'!P69</f>
        <v/>
      </c>
      <c r="J4" s="9">
        <f>'Dry peas_Mo'!P82</f>
        <v/>
      </c>
      <c r="K4" s="9">
        <f>'Dry peas_Mo'!P95</f>
        <v/>
      </c>
      <c r="L4" s="9">
        <f>'Dry peas_Mo'!P108</f>
        <v/>
      </c>
      <c r="M4" s="9">
        <f>'Dry peas_Mo'!P121</f>
        <v/>
      </c>
      <c r="N4" s="9">
        <f>'Dry peas_Mo'!P134</f>
        <v/>
      </c>
      <c r="O4" s="9">
        <f>'Dry peas_Mo'!P147</f>
        <v/>
      </c>
      <c r="P4" s="9">
        <f>'Dry peas_Mo'!P160</f>
        <v/>
      </c>
      <c r="Q4" s="9">
        <f>'Dry peas_Mo'!P173</f>
        <v/>
      </c>
      <c r="R4" s="9">
        <f>'Dry peas_Mo'!P186</f>
        <v/>
      </c>
      <c r="S4" s="9">
        <f>'Dry peas_Mo'!P199</f>
        <v/>
      </c>
      <c r="T4" s="9">
        <f>'Dry peas_Mo'!P212</f>
        <v/>
      </c>
      <c r="U4" s="9">
        <f>'Dry peas_Mo'!P225</f>
        <v/>
      </c>
      <c r="V4" s="9">
        <f>'Dry peas_Mo'!P238</f>
        <v/>
      </c>
      <c r="W4" s="9">
        <f>'Dry peas_Mo'!P251</f>
        <v/>
      </c>
      <c r="X4" s="9">
        <f>'Dry peas_Mo'!P264</f>
        <v/>
      </c>
      <c r="Y4" s="9">
        <f>'Dry peas_Mo'!P277</f>
        <v/>
      </c>
      <c r="Z4" s="9">
        <f>'Dry peas_Mo'!P290</f>
        <v/>
      </c>
      <c r="AA4" s="9">
        <f>'Dry peas_Mo'!P303</f>
        <v/>
      </c>
    </row>
    <row r="5">
      <c r="A5" s="2" t="inlineStr">
        <is>
          <t>Dry peas</t>
        </is>
      </c>
      <c r="B5" s="3" t="inlineStr">
        <is>
          <t>Proportion Harvested</t>
        </is>
      </c>
      <c r="C5" s="12" t="inlineStr">
        <is>
          <t>%</t>
        </is>
      </c>
      <c r="D5" s="13">
        <f>IF(D3&lt;&gt;0,D4/D3,"")</f>
        <v/>
      </c>
      <c r="E5" s="13">
        <f>IF(E3&lt;&gt;0,E4/E3,"")</f>
        <v/>
      </c>
      <c r="F5" s="13">
        <f>IF(F3&lt;&gt;0,F4/F3,"")</f>
        <v/>
      </c>
      <c r="G5" s="13">
        <f>IF(G3&lt;&gt;0,G4/G3,"")</f>
        <v/>
      </c>
      <c r="H5" s="13">
        <f>IF(H3&lt;&gt;0,H4/H3,"")</f>
        <v/>
      </c>
      <c r="I5" s="13">
        <f>IF(I3&lt;&gt;0,I4/I3,"")</f>
        <v/>
      </c>
      <c r="J5" s="13">
        <f>IF(J3&lt;&gt;0,J4/J3,"")</f>
        <v/>
      </c>
      <c r="K5" s="13">
        <f>IF(K3&lt;&gt;0,K4/K3,"")</f>
        <v/>
      </c>
      <c r="L5" s="13">
        <f>IF(L3&lt;&gt;0,L4/L3,"")</f>
        <v/>
      </c>
      <c r="M5" s="13">
        <f>IF(M3&lt;&gt;0,M4/M3,"")</f>
        <v/>
      </c>
      <c r="N5" s="13">
        <f>IF(N3&lt;&gt;0,N4/N3,"")</f>
        <v/>
      </c>
      <c r="O5" s="13">
        <f>IF(O3&lt;&gt;0,O4/O3,"")</f>
        <v/>
      </c>
      <c r="P5" s="13">
        <f>IF(P3&lt;&gt;0,P4/P3,"")</f>
        <v/>
      </c>
      <c r="Q5" s="13">
        <f>IF(Q3&lt;&gt;0,Q4/Q3,"")</f>
        <v/>
      </c>
      <c r="R5" s="13">
        <f>IF(R3&lt;&gt;0,R4/R3,"")</f>
        <v/>
      </c>
      <c r="S5" s="13">
        <f>IF(S3&lt;&gt;0,S4/S3,"")</f>
        <v/>
      </c>
      <c r="T5" s="13">
        <f>IF(T3&lt;&gt;0,T4/T3,"")</f>
        <v/>
      </c>
      <c r="U5" s="13">
        <f>IF(U3&lt;&gt;0,U4/U3,"")</f>
        <v/>
      </c>
      <c r="V5" s="13">
        <f>IF(V3&lt;&gt;0,V4/V3,"")</f>
        <v/>
      </c>
      <c r="W5" s="13">
        <f>IF(W3&lt;&gt;0,W4/W3,"")</f>
        <v/>
      </c>
      <c r="X5" s="13">
        <f>IF(X3&lt;&gt;0,X4/X3,"")</f>
        <v/>
      </c>
      <c r="Y5" s="13">
        <f>IF(Y3&lt;&gt;0,Y4/Y3,"")</f>
        <v/>
      </c>
      <c r="Z5" s="13">
        <f>IF(Z3&lt;&gt;0,Z4/Z3,"")</f>
        <v/>
      </c>
      <c r="AA5" s="13">
        <f>IF(AA3&lt;&gt;0,AA4/AA3,"")</f>
        <v/>
      </c>
    </row>
    <row r="6">
      <c r="A6" s="2" t="inlineStr">
        <is>
          <t>Dry peas</t>
        </is>
      </c>
      <c r="B6" s="3" t="inlineStr">
        <is>
          <t>Yield</t>
        </is>
      </c>
      <c r="C6" s="12" t="inlineStr">
        <is>
          <t>BU/AC</t>
        </is>
      </c>
      <c r="D6" s="14">
        <f>'Dry peas_Mo'!O6</f>
        <v/>
      </c>
      <c r="E6" s="14">
        <f>'Dry peas_Mo'!O19</f>
        <v/>
      </c>
      <c r="F6" s="14">
        <f>'Dry peas_Mo'!O32</f>
        <v/>
      </c>
      <c r="G6" s="14">
        <f>'Dry peas_Mo'!O45</f>
        <v/>
      </c>
      <c r="H6" s="14">
        <f>'Dry peas_Mo'!O58</f>
        <v/>
      </c>
      <c r="I6" s="14">
        <f>'Dry peas_Mo'!O71</f>
        <v/>
      </c>
      <c r="J6" s="14">
        <f>'Dry peas_Mo'!O84</f>
        <v/>
      </c>
      <c r="K6" s="14">
        <f>'Dry peas_Mo'!O97</f>
        <v/>
      </c>
      <c r="L6" s="14">
        <f>'Dry peas_Mo'!O110</f>
        <v/>
      </c>
      <c r="M6" s="14">
        <f>'Dry peas_Mo'!O123</f>
        <v/>
      </c>
      <c r="N6" s="14">
        <f>'Dry peas_Mo'!O136</f>
        <v/>
      </c>
      <c r="O6" s="14">
        <f>'Dry peas_Mo'!O149</f>
        <v/>
      </c>
      <c r="P6" s="14">
        <f>'Dry peas_Mo'!O162</f>
        <v/>
      </c>
      <c r="Q6" s="14">
        <f>'Dry peas_Mo'!O175</f>
        <v/>
      </c>
      <c r="R6" s="14">
        <f>'Dry peas_Mo'!O188</f>
        <v/>
      </c>
      <c r="S6" s="14">
        <f>'Dry peas_Mo'!O201</f>
        <v/>
      </c>
      <c r="T6" s="14">
        <f>'Dry peas_Mo'!O214</f>
        <v/>
      </c>
      <c r="U6" s="14">
        <f>'Dry peas_Mo'!O227</f>
        <v/>
      </c>
      <c r="V6" s="14">
        <f>'Dry peas_Mo'!O240</f>
        <v/>
      </c>
      <c r="W6" s="14">
        <f>'Dry peas_Mo'!O253</f>
        <v/>
      </c>
      <c r="X6" s="14">
        <f>'Dry peas_Mo'!O266</f>
        <v/>
      </c>
      <c r="Y6" s="14">
        <f>'Dry peas_Mo'!O279</f>
        <v/>
      </c>
      <c r="Z6" s="14">
        <f>'Dry peas_Mo'!O292</f>
        <v/>
      </c>
      <c r="AA6" s="14">
        <f>'Dry peas_Mo'!O305</f>
        <v/>
      </c>
    </row>
    <row r="7">
      <c r="A7" s="2" t="inlineStr">
        <is>
          <t>Dry peas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2" t="inlineStr">
        <is>
          <t>Dry peas</t>
        </is>
      </c>
      <c r="B8" s="8" t="inlineStr">
        <is>
          <t>Beginning Stocks</t>
        </is>
      </c>
      <c r="C8" s="2" t="inlineStr">
        <is>
          <t>KMT</t>
        </is>
      </c>
      <c r="D8" s="9">
        <f>'Dry peas_Mo'!P8</f>
        <v/>
      </c>
      <c r="E8" s="9">
        <f>'Dry peas_Mo'!P21</f>
        <v/>
      </c>
      <c r="F8" s="9">
        <f>'Dry peas_Mo'!P34</f>
        <v/>
      </c>
      <c r="G8" s="9">
        <f>'Dry peas_Mo'!P47</f>
        <v/>
      </c>
      <c r="H8" s="9">
        <f>'Dry peas_Mo'!P60</f>
        <v/>
      </c>
      <c r="I8" s="9">
        <f>'Dry peas_Mo'!P73</f>
        <v/>
      </c>
      <c r="J8" s="9">
        <f>'Dry peas_Mo'!P86</f>
        <v/>
      </c>
      <c r="K8" s="9">
        <f>'Dry peas_Mo'!P99</f>
        <v/>
      </c>
      <c r="L8" s="9">
        <f>'Dry peas_Mo'!P112</f>
        <v/>
      </c>
      <c r="M8" s="9">
        <f>'Dry peas_Mo'!P125</f>
        <v/>
      </c>
      <c r="N8" s="9">
        <f>'Dry peas_Mo'!P138</f>
        <v/>
      </c>
      <c r="O8" s="9">
        <f>'Dry peas_Mo'!P151</f>
        <v/>
      </c>
      <c r="P8" s="9">
        <f>'Dry peas_Mo'!P164</f>
        <v/>
      </c>
      <c r="Q8" s="9">
        <f>'Dry peas_Mo'!P177</f>
        <v/>
      </c>
      <c r="R8" s="9">
        <f>'Dry peas_Mo'!P190</f>
        <v/>
      </c>
      <c r="S8" s="9">
        <f>'Dry peas_Mo'!P203</f>
        <v/>
      </c>
      <c r="T8" s="9">
        <f>'Dry peas_Mo'!P216</f>
        <v/>
      </c>
      <c r="U8" s="9">
        <f>'Dry peas_Mo'!P229</f>
        <v/>
      </c>
      <c r="V8" s="9">
        <f>'Dry peas_Mo'!P242</f>
        <v/>
      </c>
      <c r="W8" s="9">
        <f>'Dry peas_Mo'!P255</f>
        <v/>
      </c>
      <c r="X8" s="9">
        <f>'Dry peas_Mo'!P268</f>
        <v/>
      </c>
      <c r="Y8" s="9">
        <f>'Dry peas_Mo'!P281</f>
        <v/>
      </c>
      <c r="Z8" s="9">
        <f>'Dry peas_Mo'!P294</f>
        <v/>
      </c>
      <c r="AA8" s="9">
        <f>'Dry peas_Mo'!P307</f>
        <v/>
      </c>
    </row>
    <row r="9">
      <c r="A9" s="2" t="inlineStr">
        <is>
          <t>Dry peas</t>
        </is>
      </c>
      <c r="B9" s="8" t="inlineStr">
        <is>
          <t>Imports</t>
        </is>
      </c>
      <c r="C9" s="2" t="inlineStr">
        <is>
          <t>KMT</t>
        </is>
      </c>
      <c r="D9" s="9">
        <f>'Dry peas_Mo'!P9</f>
        <v/>
      </c>
      <c r="E9" s="9">
        <f>'Dry peas_Mo'!P22</f>
        <v/>
      </c>
      <c r="F9" s="9">
        <f>'Dry peas_Mo'!P35</f>
        <v/>
      </c>
      <c r="G9" s="9">
        <f>'Dry peas_Mo'!P48</f>
        <v/>
      </c>
      <c r="H9" s="9">
        <f>'Dry peas_Mo'!P61</f>
        <v/>
      </c>
      <c r="I9" s="9">
        <f>'Dry peas_Mo'!P74</f>
        <v/>
      </c>
      <c r="J9" s="9">
        <f>'Dry peas_Mo'!P87</f>
        <v/>
      </c>
      <c r="K9" s="9">
        <f>'Dry peas_Mo'!P100</f>
        <v/>
      </c>
      <c r="L9" s="9">
        <f>'Dry peas_Mo'!P113</f>
        <v/>
      </c>
      <c r="M9" s="9">
        <f>'Dry peas_Mo'!P126</f>
        <v/>
      </c>
      <c r="N9" s="9">
        <f>'Dry peas_Mo'!P139</f>
        <v/>
      </c>
      <c r="O9" s="9">
        <f>'Dry peas_Mo'!P152</f>
        <v/>
      </c>
      <c r="P9" s="9">
        <f>'Dry peas_Mo'!P165</f>
        <v/>
      </c>
      <c r="Q9" s="9">
        <f>'Dry peas_Mo'!P178</f>
        <v/>
      </c>
      <c r="R9" s="9">
        <f>'Dry peas_Mo'!P191</f>
        <v/>
      </c>
      <c r="S9" s="9">
        <f>'Dry peas_Mo'!P204</f>
        <v/>
      </c>
      <c r="T9" s="9">
        <f>'Dry peas_Mo'!P217</f>
        <v/>
      </c>
      <c r="U9" s="9">
        <f>'Dry peas_Mo'!P230</f>
        <v/>
      </c>
      <c r="V9" s="9">
        <f>'Dry peas_Mo'!P243</f>
        <v/>
      </c>
      <c r="W9" s="9">
        <f>'Dry peas_Mo'!P256</f>
        <v/>
      </c>
      <c r="X9" s="9">
        <f>'Dry peas_Mo'!P269</f>
        <v/>
      </c>
      <c r="Y9" s="9">
        <f>'Dry peas_Mo'!P282</f>
        <v/>
      </c>
      <c r="Z9" s="9">
        <f>'Dry peas_Mo'!P295</f>
        <v/>
      </c>
      <c r="AA9" s="9">
        <f>'Dry peas_Mo'!P308</f>
        <v/>
      </c>
    </row>
    <row r="10">
      <c r="A10" s="2" t="inlineStr">
        <is>
          <t>Dry peas</t>
        </is>
      </c>
      <c r="B10" s="8" t="inlineStr">
        <is>
          <t>Production</t>
        </is>
      </c>
      <c r="C10" s="2" t="inlineStr">
        <is>
          <t>KMT</t>
        </is>
      </c>
      <c r="D10" s="9">
        <f>'Dry peas_Mo'!P10</f>
        <v/>
      </c>
      <c r="E10" s="9">
        <f>'Dry peas_Mo'!P23</f>
        <v/>
      </c>
      <c r="F10" s="9">
        <f>'Dry peas_Mo'!P36</f>
        <v/>
      </c>
      <c r="G10" s="9">
        <f>'Dry peas_Mo'!P49</f>
        <v/>
      </c>
      <c r="H10" s="9">
        <f>'Dry peas_Mo'!P62</f>
        <v/>
      </c>
      <c r="I10" s="9">
        <f>'Dry peas_Mo'!P75</f>
        <v/>
      </c>
      <c r="J10" s="9">
        <f>'Dry peas_Mo'!P88</f>
        <v/>
      </c>
      <c r="K10" s="9">
        <f>'Dry peas_Mo'!P101</f>
        <v/>
      </c>
      <c r="L10" s="9">
        <f>'Dry peas_Mo'!P114</f>
        <v/>
      </c>
      <c r="M10" s="9">
        <f>'Dry peas_Mo'!P127</f>
        <v/>
      </c>
      <c r="N10" s="9">
        <f>'Dry peas_Mo'!P140</f>
        <v/>
      </c>
      <c r="O10" s="9">
        <f>'Dry peas_Mo'!P153</f>
        <v/>
      </c>
      <c r="P10" s="9">
        <f>'Dry peas_Mo'!P166</f>
        <v/>
      </c>
      <c r="Q10" s="9">
        <f>'Dry peas_Mo'!P179</f>
        <v/>
      </c>
      <c r="R10" s="9">
        <f>'Dry peas_Mo'!P192</f>
        <v/>
      </c>
      <c r="S10" s="9">
        <f>'Dry peas_Mo'!P205</f>
        <v/>
      </c>
      <c r="T10" s="9">
        <f>'Dry peas_Mo'!P218</f>
        <v/>
      </c>
      <c r="U10" s="9">
        <f>'Dry peas_Mo'!P231</f>
        <v/>
      </c>
      <c r="V10" s="9">
        <f>'Dry peas_Mo'!P244</f>
        <v/>
      </c>
      <c r="W10" s="9">
        <f>'Dry peas_Mo'!P257</f>
        <v/>
      </c>
      <c r="X10" s="9">
        <f>'Dry peas_Mo'!P270</f>
        <v/>
      </c>
      <c r="Y10" s="9">
        <f>'Dry peas_Mo'!P283</f>
        <v/>
      </c>
      <c r="Z10" s="9">
        <f>'Dry peas_Mo'!P296</f>
        <v/>
      </c>
      <c r="AA10" s="9">
        <f>'Dry peas_Mo'!P309</f>
        <v/>
      </c>
    </row>
    <row r="11">
      <c r="A11" s="2" t="inlineStr">
        <is>
          <t>Dry peas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2" t="inlineStr">
        <is>
          <t>Dry peas</t>
        </is>
      </c>
      <c r="B12" s="8" t="inlineStr">
        <is>
          <t>FSR</t>
        </is>
      </c>
      <c r="C12" s="2" t="inlineStr">
        <is>
          <t>KMT</t>
        </is>
      </c>
      <c r="D12" s="9">
        <f>'Dry peas_Mo'!P12</f>
        <v/>
      </c>
      <c r="E12" s="9">
        <f>'Dry peas_Mo'!P25</f>
        <v/>
      </c>
      <c r="F12" s="9">
        <f>'Dry peas_Mo'!P38</f>
        <v/>
      </c>
      <c r="G12" s="9">
        <f>'Dry peas_Mo'!P51</f>
        <v/>
      </c>
      <c r="H12" s="9">
        <f>'Dry peas_Mo'!P64</f>
        <v/>
      </c>
      <c r="I12" s="9">
        <f>'Dry peas_Mo'!P77</f>
        <v/>
      </c>
      <c r="J12" s="9">
        <f>'Dry peas_Mo'!P90</f>
        <v/>
      </c>
      <c r="K12" s="9">
        <f>'Dry peas_Mo'!P103</f>
        <v/>
      </c>
      <c r="L12" s="9">
        <f>'Dry peas_Mo'!P116</f>
        <v/>
      </c>
      <c r="M12" s="9">
        <f>'Dry peas_Mo'!P129</f>
        <v/>
      </c>
      <c r="N12" s="9">
        <f>'Dry peas_Mo'!P142</f>
        <v/>
      </c>
      <c r="O12" s="9">
        <f>'Dry peas_Mo'!P155</f>
        <v/>
      </c>
      <c r="P12" s="9">
        <f>'Dry peas_Mo'!P168</f>
        <v/>
      </c>
      <c r="Q12" s="9">
        <f>'Dry peas_Mo'!P181</f>
        <v/>
      </c>
      <c r="R12" s="9">
        <f>'Dry peas_Mo'!P194</f>
        <v/>
      </c>
      <c r="S12" s="9">
        <f>'Dry peas_Mo'!P207</f>
        <v/>
      </c>
      <c r="T12" s="9">
        <f>'Dry peas_Mo'!P220</f>
        <v/>
      </c>
      <c r="U12" s="9">
        <f>'Dry peas_Mo'!P233</f>
        <v/>
      </c>
      <c r="V12" s="9">
        <f>'Dry peas_Mo'!P246</f>
        <v/>
      </c>
      <c r="W12" s="9">
        <f>'Dry peas_Mo'!P259</f>
        <v/>
      </c>
      <c r="X12" s="9">
        <f>'Dry peas_Mo'!P272</f>
        <v/>
      </c>
      <c r="Y12" s="9">
        <f>'Dry peas_Mo'!P285</f>
        <v/>
      </c>
      <c r="Z12" s="9">
        <f>'Dry peas_Mo'!P298</f>
        <v/>
      </c>
      <c r="AA12" s="9">
        <f>'Dry peas_Mo'!P311</f>
        <v/>
      </c>
    </row>
    <row r="13">
      <c r="A13" s="2" t="inlineStr">
        <is>
          <t>Dry peas</t>
        </is>
      </c>
      <c r="B13" s="8" t="inlineStr">
        <is>
          <t>Exports</t>
        </is>
      </c>
      <c r="C13" s="2" t="inlineStr">
        <is>
          <t>KMT</t>
        </is>
      </c>
      <c r="D13" s="9">
        <f>'Dry peas_Mo'!P13</f>
        <v/>
      </c>
      <c r="E13" s="9">
        <f>'Dry peas_Mo'!P26</f>
        <v/>
      </c>
      <c r="F13" s="9">
        <f>'Dry peas_Mo'!P39</f>
        <v/>
      </c>
      <c r="G13" s="9">
        <f>'Dry peas_Mo'!P52</f>
        <v/>
      </c>
      <c r="H13" s="9">
        <f>'Dry peas_Mo'!P65</f>
        <v/>
      </c>
      <c r="I13" s="9">
        <f>'Dry peas_Mo'!P78</f>
        <v/>
      </c>
      <c r="J13" s="9">
        <f>'Dry peas_Mo'!P91</f>
        <v/>
      </c>
      <c r="K13" s="9">
        <f>'Dry peas_Mo'!P104</f>
        <v/>
      </c>
      <c r="L13" s="9">
        <f>'Dry peas_Mo'!P117</f>
        <v/>
      </c>
      <c r="M13" s="9">
        <f>'Dry peas_Mo'!P130</f>
        <v/>
      </c>
      <c r="N13" s="9">
        <f>'Dry peas_Mo'!P143</f>
        <v/>
      </c>
      <c r="O13" s="9">
        <f>'Dry peas_Mo'!P156</f>
        <v/>
      </c>
      <c r="P13" s="9">
        <f>'Dry peas_Mo'!P169</f>
        <v/>
      </c>
      <c r="Q13" s="9">
        <f>'Dry peas_Mo'!P182</f>
        <v/>
      </c>
      <c r="R13" s="9">
        <f>'Dry peas_Mo'!P195</f>
        <v/>
      </c>
      <c r="S13" s="9">
        <f>'Dry peas_Mo'!P208</f>
        <v/>
      </c>
      <c r="T13" s="9">
        <f>'Dry peas_Mo'!P221</f>
        <v/>
      </c>
      <c r="U13" s="9">
        <f>'Dry peas_Mo'!P234</f>
        <v/>
      </c>
      <c r="V13" s="9">
        <f>'Dry peas_Mo'!P247</f>
        <v/>
      </c>
      <c r="W13" s="9">
        <f>'Dry peas_Mo'!P260</f>
        <v/>
      </c>
      <c r="X13" s="9">
        <f>'Dry peas_Mo'!P273</f>
        <v/>
      </c>
      <c r="Y13" s="9">
        <f>'Dry peas_Mo'!P286</f>
        <v/>
      </c>
      <c r="Z13" s="9">
        <f>'Dry peas_Mo'!P299</f>
        <v/>
      </c>
      <c r="AA13" s="9">
        <f>'Dry peas_Mo'!P312</f>
        <v/>
      </c>
    </row>
    <row r="14">
      <c r="A14" s="2" t="inlineStr">
        <is>
          <t>Dry peas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>
      <c r="A15" s="2" t="inlineStr">
        <is>
          <t>Dry peas</t>
        </is>
      </c>
      <c r="B15" s="8" t="inlineStr">
        <is>
          <t>Ending Stocks</t>
        </is>
      </c>
      <c r="C15" s="2" t="inlineStr">
        <is>
          <t>KMT</t>
        </is>
      </c>
      <c r="D15" s="9">
        <f>'Dry peas_Mo'!P15</f>
        <v/>
      </c>
      <c r="E15" s="9">
        <f>'Dry peas_Mo'!P28</f>
        <v/>
      </c>
      <c r="F15" s="9">
        <f>'Dry peas_Mo'!P41</f>
        <v/>
      </c>
      <c r="G15" s="9">
        <f>'Dry peas_Mo'!P54</f>
        <v/>
      </c>
      <c r="H15" s="9">
        <f>'Dry peas_Mo'!P67</f>
        <v/>
      </c>
      <c r="I15" s="9">
        <f>'Dry peas_Mo'!P80</f>
        <v/>
      </c>
      <c r="J15" s="9">
        <f>'Dry peas_Mo'!P93</f>
        <v/>
      </c>
      <c r="K15" s="9">
        <f>'Dry peas_Mo'!P106</f>
        <v/>
      </c>
      <c r="L15" s="9">
        <f>'Dry peas_Mo'!P119</f>
        <v/>
      </c>
      <c r="M15" s="9">
        <f>'Dry peas_Mo'!P132</f>
        <v/>
      </c>
      <c r="N15" s="9">
        <f>'Dry peas_Mo'!P145</f>
        <v/>
      </c>
      <c r="O15" s="9">
        <f>'Dry peas_Mo'!P158</f>
        <v/>
      </c>
      <c r="P15" s="9">
        <f>'Dry peas_Mo'!P171</f>
        <v/>
      </c>
      <c r="Q15" s="9">
        <f>'Dry peas_Mo'!P184</f>
        <v/>
      </c>
      <c r="R15" s="9">
        <f>'Dry peas_Mo'!P197</f>
        <v/>
      </c>
      <c r="S15" s="9">
        <f>'Dry peas_Mo'!P210</f>
        <v/>
      </c>
      <c r="T15" s="9">
        <f>'Dry peas_Mo'!P223</f>
        <v/>
      </c>
      <c r="U15" s="9">
        <f>'Dry peas_Mo'!P236</f>
        <v/>
      </c>
      <c r="V15" s="9">
        <f>'Dry peas_Mo'!P249</f>
        <v/>
      </c>
      <c r="W15" s="9">
        <f>'Dry peas_Mo'!P262</f>
        <v/>
      </c>
      <c r="X15" s="9">
        <f>'Dry peas_Mo'!P275</f>
        <v/>
      </c>
      <c r="Y15" s="9">
        <f>'Dry peas_Mo'!P288</f>
        <v/>
      </c>
      <c r="Z15" s="9">
        <f>'Dry peas_Mo'!P301</f>
        <v/>
      </c>
      <c r="AA15" s="9">
        <f>'Dry peas_Mo'!P314</f>
        <v/>
      </c>
    </row>
    <row r="16">
      <c r="A16" s="2" t="inlineStr">
        <is>
          <t>Dry peas</t>
        </is>
      </c>
      <c r="B16" s="3" t="inlineStr">
        <is>
          <t>Stocks-to-Use</t>
        </is>
      </c>
      <c r="C16" s="12" t="inlineStr">
        <is>
          <t>%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2" t="inlineStr">
        <is>
          <t>Dry peas</t>
        </is>
      </c>
      <c r="B17" s="3" t="inlineStr">
        <is>
          <t>STU Days</t>
        </is>
      </c>
      <c r="C17" s="12" t="inlineStr">
        <is>
          <t>Days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</row>
    <row r="18">
      <c r="A18" s="2" t="inlineStr">
        <is>
          <t>Dry peas</t>
        </is>
      </c>
      <c r="B18" s="11" t="inlineStr">
        <is>
          <t>CHECK</t>
        </is>
      </c>
      <c r="C18" s="15" t="inlineStr">
        <is>
          <t>KMT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</row>
  </sheetData>
  <mergeCells count="1">
    <mergeCell ref="A1:C1"/>
  </mergeCells>
  <conditionalFormatting sqref="D18:AA18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7" customWidth="1" style="46" min="4" max="27"/>
  </cols>
  <sheetData>
    <row r="1" ht="15.6" customHeight="1" s="46">
      <c r="A1" s="45" t="inlineStr">
        <is>
          <t>Lentils</t>
        </is>
      </c>
    </row>
    <row r="2" ht="26.4" customHeight="1" s="46">
      <c r="A2" s="1" t="inlineStr">
        <is>
          <t>Commodity</t>
        </is>
      </c>
      <c r="B2" s="1" t="inlineStr">
        <is>
          <t>Metric</t>
        </is>
      </c>
      <c r="C2" s="1" t="inlineStr">
        <is>
          <t>Unit</t>
        </is>
      </c>
      <c r="D2" s="1" t="inlineStr">
        <is>
          <t>2002-03</t>
        </is>
      </c>
      <c r="E2" s="1" t="inlineStr">
        <is>
          <t>2003-04</t>
        </is>
      </c>
      <c r="F2" s="1" t="inlineStr">
        <is>
          <t>2004-05</t>
        </is>
      </c>
      <c r="G2" s="1" t="inlineStr">
        <is>
          <t>2005-06</t>
        </is>
      </c>
      <c r="H2" s="1" t="inlineStr">
        <is>
          <t>2006-07</t>
        </is>
      </c>
      <c r="I2" s="1" t="inlineStr">
        <is>
          <t>2007-08</t>
        </is>
      </c>
      <c r="J2" s="1" t="inlineStr">
        <is>
          <t>2008-09</t>
        </is>
      </c>
      <c r="K2" s="1" t="inlineStr">
        <is>
          <t>2009-10</t>
        </is>
      </c>
      <c r="L2" s="1" t="inlineStr">
        <is>
          <t>2010-11</t>
        </is>
      </c>
      <c r="M2" s="1" t="inlineStr">
        <is>
          <t>2011-12</t>
        </is>
      </c>
      <c r="N2" s="1" t="inlineStr">
        <is>
          <t>2012-13</t>
        </is>
      </c>
      <c r="O2" s="1" t="inlineStr">
        <is>
          <t>2013-14</t>
        </is>
      </c>
      <c r="P2" s="1" t="inlineStr">
        <is>
          <t>2014-15</t>
        </is>
      </c>
      <c r="Q2" s="1" t="inlineStr">
        <is>
          <t>2015-16</t>
        </is>
      </c>
      <c r="R2" s="1" t="inlineStr">
        <is>
          <t>2016-17</t>
        </is>
      </c>
      <c r="S2" s="1" t="inlineStr">
        <is>
          <t>2017-18</t>
        </is>
      </c>
      <c r="T2" s="1" t="inlineStr">
        <is>
          <t>2018-19</t>
        </is>
      </c>
      <c r="U2" s="1" t="inlineStr">
        <is>
          <t>2019-20</t>
        </is>
      </c>
      <c r="V2" s="1" t="inlineStr">
        <is>
          <t>2020-21</t>
        </is>
      </c>
      <c r="W2" s="1" t="inlineStr">
        <is>
          <t>2021-22</t>
        </is>
      </c>
      <c r="X2" s="1" t="inlineStr">
        <is>
          <t>2022-23</t>
        </is>
      </c>
      <c r="Y2" s="1" t="inlineStr">
        <is>
          <t>2023-24</t>
        </is>
      </c>
      <c r="Z2" s="1" t="inlineStr">
        <is>
          <t>2024-25</t>
        </is>
      </c>
      <c r="AA2" s="1" t="inlineStr">
        <is>
          <t>2025-26</t>
        </is>
      </c>
    </row>
    <row r="3">
      <c r="A3" s="2" t="inlineStr">
        <is>
          <t>Lentils</t>
        </is>
      </c>
      <c r="B3" s="3" t="inlineStr">
        <is>
          <t>Planted Area</t>
        </is>
      </c>
      <c r="C3" s="12" t="inlineStr">
        <is>
          <t>MLN AC</t>
        </is>
      </c>
      <c r="D3" s="9">
        <f>Lentils_Mo!P3</f>
        <v/>
      </c>
      <c r="E3" s="9">
        <f>Lentils_Mo!P16</f>
        <v/>
      </c>
      <c r="F3" s="9">
        <f>Lentils_Mo!P29</f>
        <v/>
      </c>
      <c r="G3" s="9">
        <f>Lentils_Mo!P42</f>
        <v/>
      </c>
      <c r="H3" s="9">
        <f>Lentils_Mo!P55</f>
        <v/>
      </c>
      <c r="I3" s="9">
        <f>Lentils_Mo!P68</f>
        <v/>
      </c>
      <c r="J3" s="9">
        <f>Lentils_Mo!P81</f>
        <v/>
      </c>
      <c r="K3" s="9">
        <f>Lentils_Mo!P94</f>
        <v/>
      </c>
      <c r="L3" s="9">
        <f>Lentils_Mo!P107</f>
        <v/>
      </c>
      <c r="M3" s="9">
        <f>Lentils_Mo!P120</f>
        <v/>
      </c>
      <c r="N3" s="9">
        <f>Lentils_Mo!P133</f>
        <v/>
      </c>
      <c r="O3" s="9">
        <f>Lentils_Mo!P146</f>
        <v/>
      </c>
      <c r="P3" s="9">
        <f>Lentils_Mo!P159</f>
        <v/>
      </c>
      <c r="Q3" s="9">
        <f>Lentils_Mo!P172</f>
        <v/>
      </c>
      <c r="R3" s="9">
        <f>Lentils_Mo!P185</f>
        <v/>
      </c>
      <c r="S3" s="9">
        <f>Lentils_Mo!P198</f>
        <v/>
      </c>
      <c r="T3" s="9">
        <f>Lentils_Mo!P211</f>
        <v/>
      </c>
      <c r="U3" s="9">
        <f>Lentils_Mo!P224</f>
        <v/>
      </c>
      <c r="V3" s="9">
        <f>Lentils_Mo!P237</f>
        <v/>
      </c>
      <c r="W3" s="9">
        <f>Lentils_Mo!P250</f>
        <v/>
      </c>
      <c r="X3" s="9">
        <f>Lentils_Mo!P263</f>
        <v/>
      </c>
      <c r="Y3" s="9">
        <f>Lentils_Mo!P276</f>
        <v/>
      </c>
      <c r="Z3" s="9">
        <f>Lentils_Mo!P289</f>
        <v/>
      </c>
      <c r="AA3" s="9">
        <f>Lentils_Mo!P302</f>
        <v/>
      </c>
    </row>
    <row r="4">
      <c r="A4" s="2" t="inlineStr">
        <is>
          <t>Lentils</t>
        </is>
      </c>
      <c r="B4" s="3" t="inlineStr">
        <is>
          <t>Harvested Area</t>
        </is>
      </c>
      <c r="C4" s="12" t="inlineStr">
        <is>
          <t>MLN AC</t>
        </is>
      </c>
      <c r="D4" s="9">
        <f>Lentils_Mo!P4</f>
        <v/>
      </c>
      <c r="E4" s="9">
        <f>Lentils_Mo!P17</f>
        <v/>
      </c>
      <c r="F4" s="9">
        <f>Lentils_Mo!P30</f>
        <v/>
      </c>
      <c r="G4" s="9">
        <f>Lentils_Mo!P43</f>
        <v/>
      </c>
      <c r="H4" s="9">
        <f>Lentils_Mo!P56</f>
        <v/>
      </c>
      <c r="I4" s="9">
        <f>Lentils_Mo!P69</f>
        <v/>
      </c>
      <c r="J4" s="9">
        <f>Lentils_Mo!P82</f>
        <v/>
      </c>
      <c r="K4" s="9">
        <f>Lentils_Mo!P95</f>
        <v/>
      </c>
      <c r="L4" s="9">
        <f>Lentils_Mo!P108</f>
        <v/>
      </c>
      <c r="M4" s="9">
        <f>Lentils_Mo!P121</f>
        <v/>
      </c>
      <c r="N4" s="9">
        <f>Lentils_Mo!P134</f>
        <v/>
      </c>
      <c r="O4" s="9">
        <f>Lentils_Mo!P147</f>
        <v/>
      </c>
      <c r="P4" s="9">
        <f>Lentils_Mo!P160</f>
        <v/>
      </c>
      <c r="Q4" s="9">
        <f>Lentils_Mo!P173</f>
        <v/>
      </c>
      <c r="R4" s="9">
        <f>Lentils_Mo!P186</f>
        <v/>
      </c>
      <c r="S4" s="9">
        <f>Lentils_Mo!P199</f>
        <v/>
      </c>
      <c r="T4" s="9">
        <f>Lentils_Mo!P212</f>
        <v/>
      </c>
      <c r="U4" s="9">
        <f>Lentils_Mo!P225</f>
        <v/>
      </c>
      <c r="V4" s="9">
        <f>Lentils_Mo!P238</f>
        <v/>
      </c>
      <c r="W4" s="9">
        <f>Lentils_Mo!P251</f>
        <v/>
      </c>
      <c r="X4" s="9">
        <f>Lentils_Mo!P264</f>
        <v/>
      </c>
      <c r="Y4" s="9">
        <f>Lentils_Mo!P277</f>
        <v/>
      </c>
      <c r="Z4" s="9">
        <f>Lentils_Mo!P290</f>
        <v/>
      </c>
      <c r="AA4" s="9">
        <f>Lentils_Mo!P303</f>
        <v/>
      </c>
    </row>
    <row r="5">
      <c r="A5" s="2" t="inlineStr">
        <is>
          <t>Lentils</t>
        </is>
      </c>
      <c r="B5" s="3" t="inlineStr">
        <is>
          <t>Proportion Harvested</t>
        </is>
      </c>
      <c r="C5" s="12" t="inlineStr">
        <is>
          <t>%</t>
        </is>
      </c>
      <c r="D5" s="13">
        <f>IF(D3&lt;&gt;0,D4/D3,"")</f>
        <v/>
      </c>
      <c r="E5" s="13">
        <f>IF(E3&lt;&gt;0,E4/E3,"")</f>
        <v/>
      </c>
      <c r="F5" s="13">
        <f>IF(F3&lt;&gt;0,F4/F3,"")</f>
        <v/>
      </c>
      <c r="G5" s="13">
        <f>IF(G3&lt;&gt;0,G4/G3,"")</f>
        <v/>
      </c>
      <c r="H5" s="13">
        <f>IF(H3&lt;&gt;0,H4/H3,"")</f>
        <v/>
      </c>
      <c r="I5" s="13">
        <f>IF(I3&lt;&gt;0,I4/I3,"")</f>
        <v/>
      </c>
      <c r="J5" s="13">
        <f>IF(J3&lt;&gt;0,J4/J3,"")</f>
        <v/>
      </c>
      <c r="K5" s="13">
        <f>IF(K3&lt;&gt;0,K4/K3,"")</f>
        <v/>
      </c>
      <c r="L5" s="13">
        <f>IF(L3&lt;&gt;0,L4/L3,"")</f>
        <v/>
      </c>
      <c r="M5" s="13">
        <f>IF(M3&lt;&gt;0,M4/M3,"")</f>
        <v/>
      </c>
      <c r="N5" s="13">
        <f>IF(N3&lt;&gt;0,N4/N3,"")</f>
        <v/>
      </c>
      <c r="O5" s="13">
        <f>IF(O3&lt;&gt;0,O4/O3,"")</f>
        <v/>
      </c>
      <c r="P5" s="13">
        <f>IF(P3&lt;&gt;0,P4/P3,"")</f>
        <v/>
      </c>
      <c r="Q5" s="13">
        <f>IF(Q3&lt;&gt;0,Q4/Q3,"")</f>
        <v/>
      </c>
      <c r="R5" s="13">
        <f>IF(R3&lt;&gt;0,R4/R3,"")</f>
        <v/>
      </c>
      <c r="S5" s="13">
        <f>IF(S3&lt;&gt;0,S4/S3,"")</f>
        <v/>
      </c>
      <c r="T5" s="13">
        <f>IF(T3&lt;&gt;0,T4/T3,"")</f>
        <v/>
      </c>
      <c r="U5" s="13">
        <f>IF(U3&lt;&gt;0,U4/U3,"")</f>
        <v/>
      </c>
      <c r="V5" s="13">
        <f>IF(V3&lt;&gt;0,V4/V3,"")</f>
        <v/>
      </c>
      <c r="W5" s="13">
        <f>IF(W3&lt;&gt;0,W4/W3,"")</f>
        <v/>
      </c>
      <c r="X5" s="13">
        <f>IF(X3&lt;&gt;0,X4/X3,"")</f>
        <v/>
      </c>
      <c r="Y5" s="13">
        <f>IF(Y3&lt;&gt;0,Y4/Y3,"")</f>
        <v/>
      </c>
      <c r="Z5" s="13">
        <f>IF(Z3&lt;&gt;0,Z4/Z3,"")</f>
        <v/>
      </c>
      <c r="AA5" s="13">
        <f>IF(AA3&lt;&gt;0,AA4/AA3,"")</f>
        <v/>
      </c>
    </row>
    <row r="6">
      <c r="A6" s="2" t="inlineStr">
        <is>
          <t>Lentils</t>
        </is>
      </c>
      <c r="B6" s="3" t="inlineStr">
        <is>
          <t>Yield</t>
        </is>
      </c>
      <c r="C6" s="12" t="inlineStr">
        <is>
          <t>BU/AC</t>
        </is>
      </c>
      <c r="D6" s="14">
        <f>Lentils_Mo!O6</f>
        <v/>
      </c>
      <c r="E6" s="14">
        <f>Lentils_Mo!O19</f>
        <v/>
      </c>
      <c r="F6" s="14">
        <f>Lentils_Mo!O32</f>
        <v/>
      </c>
      <c r="G6" s="14">
        <f>Lentils_Mo!O45</f>
        <v/>
      </c>
      <c r="H6" s="14">
        <f>Lentils_Mo!O58</f>
        <v/>
      </c>
      <c r="I6" s="14">
        <f>Lentils_Mo!O71</f>
        <v/>
      </c>
      <c r="J6" s="14">
        <f>Lentils_Mo!O84</f>
        <v/>
      </c>
      <c r="K6" s="14">
        <f>Lentils_Mo!O97</f>
        <v/>
      </c>
      <c r="L6" s="14">
        <f>Lentils_Mo!O110</f>
        <v/>
      </c>
      <c r="M6" s="14">
        <f>Lentils_Mo!O123</f>
        <v/>
      </c>
      <c r="N6" s="14">
        <f>Lentils_Mo!O136</f>
        <v/>
      </c>
      <c r="O6" s="14">
        <f>Lentils_Mo!O149</f>
        <v/>
      </c>
      <c r="P6" s="14">
        <f>Lentils_Mo!O162</f>
        <v/>
      </c>
      <c r="Q6" s="14">
        <f>Lentils_Mo!O175</f>
        <v/>
      </c>
      <c r="R6" s="14">
        <f>Lentils_Mo!O188</f>
        <v/>
      </c>
      <c r="S6" s="14">
        <f>Lentils_Mo!O201</f>
        <v/>
      </c>
      <c r="T6" s="14">
        <f>Lentils_Mo!O214</f>
        <v/>
      </c>
      <c r="U6" s="14">
        <f>Lentils_Mo!O227</f>
        <v/>
      </c>
      <c r="V6" s="14">
        <f>Lentils_Mo!O240</f>
        <v/>
      </c>
      <c r="W6" s="14">
        <f>Lentils_Mo!O253</f>
        <v/>
      </c>
      <c r="X6" s="14">
        <f>Lentils_Mo!O266</f>
        <v/>
      </c>
      <c r="Y6" s="14">
        <f>Lentils_Mo!O279</f>
        <v/>
      </c>
      <c r="Z6" s="14">
        <f>Lentils_Mo!O292</f>
        <v/>
      </c>
      <c r="AA6" s="14">
        <f>Lentils_Mo!O305</f>
        <v/>
      </c>
    </row>
    <row r="7">
      <c r="A7" s="2" t="inlineStr">
        <is>
          <t>Lentils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</row>
    <row r="8">
      <c r="A8" s="2" t="inlineStr">
        <is>
          <t>Lentils</t>
        </is>
      </c>
      <c r="B8" s="8" t="inlineStr">
        <is>
          <t>Beginning Stocks</t>
        </is>
      </c>
      <c r="C8" s="2" t="inlineStr">
        <is>
          <t>KMT</t>
        </is>
      </c>
      <c r="D8" s="9">
        <f>Lentils_Mo!P8</f>
        <v/>
      </c>
      <c r="E8" s="9">
        <f>Lentils_Mo!P21</f>
        <v/>
      </c>
      <c r="F8" s="9">
        <f>Lentils_Mo!P34</f>
        <v/>
      </c>
      <c r="G8" s="9">
        <f>Lentils_Mo!P47</f>
        <v/>
      </c>
      <c r="H8" s="9">
        <f>Lentils_Mo!P60</f>
        <v/>
      </c>
      <c r="I8" s="9">
        <f>Lentils_Mo!P73</f>
        <v/>
      </c>
      <c r="J8" s="9">
        <f>Lentils_Mo!P86</f>
        <v/>
      </c>
      <c r="K8" s="9">
        <f>Lentils_Mo!P99</f>
        <v/>
      </c>
      <c r="L8" s="9">
        <f>Lentils_Mo!P112</f>
        <v/>
      </c>
      <c r="M8" s="9">
        <f>Lentils_Mo!P125</f>
        <v/>
      </c>
      <c r="N8" s="9">
        <f>Lentils_Mo!P138</f>
        <v/>
      </c>
      <c r="O8" s="9">
        <f>Lentils_Mo!P151</f>
        <v/>
      </c>
      <c r="P8" s="9">
        <f>Lentils_Mo!P164</f>
        <v/>
      </c>
      <c r="Q8" s="9">
        <f>Lentils_Mo!P177</f>
        <v/>
      </c>
      <c r="R8" s="9">
        <f>Lentils_Mo!P190</f>
        <v/>
      </c>
      <c r="S8" s="9">
        <f>Lentils_Mo!P203</f>
        <v/>
      </c>
      <c r="T8" s="9">
        <f>Lentils_Mo!P216</f>
        <v/>
      </c>
      <c r="U8" s="9">
        <f>Lentils_Mo!P229</f>
        <v/>
      </c>
      <c r="V8" s="9">
        <f>Lentils_Mo!P242</f>
        <v/>
      </c>
      <c r="W8" s="9">
        <f>Lentils_Mo!P255</f>
        <v/>
      </c>
      <c r="X8" s="9">
        <f>Lentils_Mo!P268</f>
        <v/>
      </c>
      <c r="Y8" s="9">
        <f>Lentils_Mo!P281</f>
        <v/>
      </c>
      <c r="Z8" s="9">
        <f>Lentils_Mo!P294</f>
        <v/>
      </c>
      <c r="AA8" s="9">
        <f>Lentils_Mo!P307</f>
        <v/>
      </c>
    </row>
    <row r="9">
      <c r="A9" s="2" t="inlineStr">
        <is>
          <t>Lentils</t>
        </is>
      </c>
      <c r="B9" s="8" t="inlineStr">
        <is>
          <t>Imports</t>
        </is>
      </c>
      <c r="C9" s="2" t="inlineStr">
        <is>
          <t>KMT</t>
        </is>
      </c>
      <c r="D9" s="9">
        <f>Lentils_Mo!P9</f>
        <v/>
      </c>
      <c r="E9" s="9">
        <f>Lentils_Mo!P22</f>
        <v/>
      </c>
      <c r="F9" s="9">
        <f>Lentils_Mo!P35</f>
        <v/>
      </c>
      <c r="G9" s="9">
        <f>Lentils_Mo!P48</f>
        <v/>
      </c>
      <c r="H9" s="9">
        <f>Lentils_Mo!P61</f>
        <v/>
      </c>
      <c r="I9" s="9">
        <f>Lentils_Mo!P74</f>
        <v/>
      </c>
      <c r="J9" s="9">
        <f>Lentils_Mo!P87</f>
        <v/>
      </c>
      <c r="K9" s="9">
        <f>Lentils_Mo!P100</f>
        <v/>
      </c>
      <c r="L9" s="9">
        <f>Lentils_Mo!P113</f>
        <v/>
      </c>
      <c r="M9" s="9">
        <f>Lentils_Mo!P126</f>
        <v/>
      </c>
      <c r="N9" s="9">
        <f>Lentils_Mo!P139</f>
        <v/>
      </c>
      <c r="O9" s="9">
        <f>Lentils_Mo!P152</f>
        <v/>
      </c>
      <c r="P9" s="9">
        <f>Lentils_Mo!P165</f>
        <v/>
      </c>
      <c r="Q9" s="9">
        <f>Lentils_Mo!P178</f>
        <v/>
      </c>
      <c r="R9" s="9">
        <f>Lentils_Mo!P191</f>
        <v/>
      </c>
      <c r="S9" s="9">
        <f>Lentils_Mo!P204</f>
        <v/>
      </c>
      <c r="T9" s="9">
        <f>Lentils_Mo!P217</f>
        <v/>
      </c>
      <c r="U9" s="9">
        <f>Lentils_Mo!P230</f>
        <v/>
      </c>
      <c r="V9" s="9">
        <f>Lentils_Mo!P243</f>
        <v/>
      </c>
      <c r="W9" s="9">
        <f>Lentils_Mo!P256</f>
        <v/>
      </c>
      <c r="X9" s="9">
        <f>Lentils_Mo!P269</f>
        <v/>
      </c>
      <c r="Y9" s="9">
        <f>Lentils_Mo!P282</f>
        <v/>
      </c>
      <c r="Z9" s="9">
        <f>Lentils_Mo!P295</f>
        <v/>
      </c>
      <c r="AA9" s="9">
        <f>Lentils_Mo!P308</f>
        <v/>
      </c>
    </row>
    <row r="10">
      <c r="A10" s="2" t="inlineStr">
        <is>
          <t>Lentils</t>
        </is>
      </c>
      <c r="B10" s="8" t="inlineStr">
        <is>
          <t>Production</t>
        </is>
      </c>
      <c r="C10" s="2" t="inlineStr">
        <is>
          <t>KMT</t>
        </is>
      </c>
      <c r="D10" s="9">
        <f>Lentils_Mo!P10</f>
        <v/>
      </c>
      <c r="E10" s="9">
        <f>Lentils_Mo!P23</f>
        <v/>
      </c>
      <c r="F10" s="9">
        <f>Lentils_Mo!P36</f>
        <v/>
      </c>
      <c r="G10" s="9">
        <f>Lentils_Mo!P49</f>
        <v/>
      </c>
      <c r="H10" s="9">
        <f>Lentils_Mo!P62</f>
        <v/>
      </c>
      <c r="I10" s="9">
        <f>Lentils_Mo!P75</f>
        <v/>
      </c>
      <c r="J10" s="9">
        <f>Lentils_Mo!P88</f>
        <v/>
      </c>
      <c r="K10" s="9">
        <f>Lentils_Mo!P101</f>
        <v/>
      </c>
      <c r="L10" s="9">
        <f>Lentils_Mo!P114</f>
        <v/>
      </c>
      <c r="M10" s="9">
        <f>Lentils_Mo!P127</f>
        <v/>
      </c>
      <c r="N10" s="9">
        <f>Lentils_Mo!P140</f>
        <v/>
      </c>
      <c r="O10" s="9">
        <f>Lentils_Mo!P153</f>
        <v/>
      </c>
      <c r="P10" s="9">
        <f>Lentils_Mo!P166</f>
        <v/>
      </c>
      <c r="Q10" s="9">
        <f>Lentils_Mo!P179</f>
        <v/>
      </c>
      <c r="R10" s="9">
        <f>Lentils_Mo!P192</f>
        <v/>
      </c>
      <c r="S10" s="9">
        <f>Lentils_Mo!P205</f>
        <v/>
      </c>
      <c r="T10" s="9">
        <f>Lentils_Mo!P218</f>
        <v/>
      </c>
      <c r="U10" s="9">
        <f>Lentils_Mo!P231</f>
        <v/>
      </c>
      <c r="V10" s="9">
        <f>Lentils_Mo!P244</f>
        <v/>
      </c>
      <c r="W10" s="9">
        <f>Lentils_Mo!P257</f>
        <v/>
      </c>
      <c r="X10" s="9">
        <f>Lentils_Mo!P270</f>
        <v/>
      </c>
      <c r="Y10" s="9">
        <f>Lentils_Mo!P283</f>
        <v/>
      </c>
      <c r="Z10" s="9">
        <f>Lentils_Mo!P296</f>
        <v/>
      </c>
      <c r="AA10" s="9">
        <f>Lentils_Mo!P309</f>
        <v/>
      </c>
    </row>
    <row r="11">
      <c r="A11" s="2" t="inlineStr">
        <is>
          <t>Lentils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</row>
    <row r="12">
      <c r="A12" s="2" t="inlineStr">
        <is>
          <t>Lentils</t>
        </is>
      </c>
      <c r="B12" s="8" t="inlineStr">
        <is>
          <t>FSR</t>
        </is>
      </c>
      <c r="C12" s="2" t="inlineStr">
        <is>
          <t>KMT</t>
        </is>
      </c>
      <c r="D12" s="9">
        <f>Lentils_Mo!P12</f>
        <v/>
      </c>
      <c r="E12" s="9">
        <f>Lentils_Mo!P25</f>
        <v/>
      </c>
      <c r="F12" s="9">
        <f>Lentils_Mo!P38</f>
        <v/>
      </c>
      <c r="G12" s="9">
        <f>Lentils_Mo!P51</f>
        <v/>
      </c>
      <c r="H12" s="9">
        <f>Lentils_Mo!P64</f>
        <v/>
      </c>
      <c r="I12" s="9">
        <f>Lentils_Mo!P77</f>
        <v/>
      </c>
      <c r="J12" s="9">
        <f>Lentils_Mo!P90</f>
        <v/>
      </c>
      <c r="K12" s="9">
        <f>Lentils_Mo!P103</f>
        <v/>
      </c>
      <c r="L12" s="9">
        <f>Lentils_Mo!P116</f>
        <v/>
      </c>
      <c r="M12" s="9">
        <f>Lentils_Mo!P129</f>
        <v/>
      </c>
      <c r="N12" s="9">
        <f>Lentils_Mo!P142</f>
        <v/>
      </c>
      <c r="O12" s="9">
        <f>Lentils_Mo!P155</f>
        <v/>
      </c>
      <c r="P12" s="9">
        <f>Lentils_Mo!P168</f>
        <v/>
      </c>
      <c r="Q12" s="9">
        <f>Lentils_Mo!P181</f>
        <v/>
      </c>
      <c r="R12" s="9">
        <f>Lentils_Mo!P194</f>
        <v/>
      </c>
      <c r="S12" s="9">
        <f>Lentils_Mo!P207</f>
        <v/>
      </c>
      <c r="T12" s="9">
        <f>Lentils_Mo!P220</f>
        <v/>
      </c>
      <c r="U12" s="9">
        <f>Lentils_Mo!P233</f>
        <v/>
      </c>
      <c r="V12" s="9">
        <f>Lentils_Mo!P246</f>
        <v/>
      </c>
      <c r="W12" s="9">
        <f>Lentils_Mo!P259</f>
        <v/>
      </c>
      <c r="X12" s="9">
        <f>Lentils_Mo!P272</f>
        <v/>
      </c>
      <c r="Y12" s="9">
        <f>Lentils_Mo!P285</f>
        <v/>
      </c>
      <c r="Z12" s="9">
        <f>Lentils_Mo!P298</f>
        <v/>
      </c>
      <c r="AA12" s="9">
        <f>Lentils_Mo!P311</f>
        <v/>
      </c>
    </row>
    <row r="13">
      <c r="A13" s="2" t="inlineStr">
        <is>
          <t>Lentils</t>
        </is>
      </c>
      <c r="B13" s="8" t="inlineStr">
        <is>
          <t>Exports</t>
        </is>
      </c>
      <c r="C13" s="2" t="inlineStr">
        <is>
          <t>KMT</t>
        </is>
      </c>
      <c r="D13" s="9">
        <f>Lentils_Mo!P13</f>
        <v/>
      </c>
      <c r="E13" s="9">
        <f>Lentils_Mo!P26</f>
        <v/>
      </c>
      <c r="F13" s="9">
        <f>Lentils_Mo!P39</f>
        <v/>
      </c>
      <c r="G13" s="9">
        <f>Lentils_Mo!P52</f>
        <v/>
      </c>
      <c r="H13" s="9">
        <f>Lentils_Mo!P65</f>
        <v/>
      </c>
      <c r="I13" s="9">
        <f>Lentils_Mo!P78</f>
        <v/>
      </c>
      <c r="J13" s="9">
        <f>Lentils_Mo!P91</f>
        <v/>
      </c>
      <c r="K13" s="9">
        <f>Lentils_Mo!P104</f>
        <v/>
      </c>
      <c r="L13" s="9">
        <f>Lentils_Mo!P117</f>
        <v/>
      </c>
      <c r="M13" s="9">
        <f>Lentils_Mo!P130</f>
        <v/>
      </c>
      <c r="N13" s="9">
        <f>Lentils_Mo!P143</f>
        <v/>
      </c>
      <c r="O13" s="9">
        <f>Lentils_Mo!P156</f>
        <v/>
      </c>
      <c r="P13" s="9">
        <f>Lentils_Mo!P169</f>
        <v/>
      </c>
      <c r="Q13" s="9">
        <f>Lentils_Mo!P182</f>
        <v/>
      </c>
      <c r="R13" s="9">
        <f>Lentils_Mo!P195</f>
        <v/>
      </c>
      <c r="S13" s="9">
        <f>Lentils_Mo!P208</f>
        <v/>
      </c>
      <c r="T13" s="9">
        <f>Lentils_Mo!P221</f>
        <v/>
      </c>
      <c r="U13" s="9">
        <f>Lentils_Mo!P234</f>
        <v/>
      </c>
      <c r="V13" s="9">
        <f>Lentils_Mo!P247</f>
        <v/>
      </c>
      <c r="W13" s="9">
        <f>Lentils_Mo!P260</f>
        <v/>
      </c>
      <c r="X13" s="9">
        <f>Lentils_Mo!P273</f>
        <v/>
      </c>
      <c r="Y13" s="9">
        <f>Lentils_Mo!P286</f>
        <v/>
      </c>
      <c r="Z13" s="9">
        <f>Lentils_Mo!P299</f>
        <v/>
      </c>
      <c r="AA13" s="9">
        <f>Lentils_Mo!P312</f>
        <v/>
      </c>
    </row>
    <row r="14">
      <c r="A14" s="2" t="inlineStr">
        <is>
          <t>Lentils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</row>
    <row r="15">
      <c r="A15" s="2" t="inlineStr">
        <is>
          <t>Lentils</t>
        </is>
      </c>
      <c r="B15" s="8" t="inlineStr">
        <is>
          <t>Ending Stocks</t>
        </is>
      </c>
      <c r="C15" s="2" t="inlineStr">
        <is>
          <t>KMT</t>
        </is>
      </c>
      <c r="D15" s="9">
        <f>Lentils_Mo!P15</f>
        <v/>
      </c>
      <c r="E15" s="9">
        <f>Lentils_Mo!P28</f>
        <v/>
      </c>
      <c r="F15" s="9">
        <f>Lentils_Mo!P41</f>
        <v/>
      </c>
      <c r="G15" s="9">
        <f>Lentils_Mo!P54</f>
        <v/>
      </c>
      <c r="H15" s="9">
        <f>Lentils_Mo!P67</f>
        <v/>
      </c>
      <c r="I15" s="9">
        <f>Lentils_Mo!P80</f>
        <v/>
      </c>
      <c r="J15" s="9">
        <f>Lentils_Mo!P93</f>
        <v/>
      </c>
      <c r="K15" s="9">
        <f>Lentils_Mo!P106</f>
        <v/>
      </c>
      <c r="L15" s="9">
        <f>Lentils_Mo!P119</f>
        <v/>
      </c>
      <c r="M15" s="9">
        <f>Lentils_Mo!P132</f>
        <v/>
      </c>
      <c r="N15" s="9">
        <f>Lentils_Mo!P145</f>
        <v/>
      </c>
      <c r="O15" s="9">
        <f>Lentils_Mo!P158</f>
        <v/>
      </c>
      <c r="P15" s="9">
        <f>Lentils_Mo!P171</f>
        <v/>
      </c>
      <c r="Q15" s="9">
        <f>Lentils_Mo!P184</f>
        <v/>
      </c>
      <c r="R15" s="9">
        <f>Lentils_Mo!P197</f>
        <v/>
      </c>
      <c r="S15" s="9">
        <f>Lentils_Mo!P210</f>
        <v/>
      </c>
      <c r="T15" s="9">
        <f>Lentils_Mo!P223</f>
        <v/>
      </c>
      <c r="U15" s="9">
        <f>Lentils_Mo!P236</f>
        <v/>
      </c>
      <c r="V15" s="9">
        <f>Lentils_Mo!P249</f>
        <v/>
      </c>
      <c r="W15" s="9">
        <f>Lentils_Mo!P262</f>
        <v/>
      </c>
      <c r="X15" s="9">
        <f>Lentils_Mo!P275</f>
        <v/>
      </c>
      <c r="Y15" s="9">
        <f>Lentils_Mo!P288</f>
        <v/>
      </c>
      <c r="Z15" s="9">
        <f>Lentils_Mo!P301</f>
        <v/>
      </c>
      <c r="AA15" s="9">
        <f>Lentils_Mo!P314</f>
        <v/>
      </c>
    </row>
    <row r="16">
      <c r="A16" s="2" t="inlineStr">
        <is>
          <t>Lentils</t>
        </is>
      </c>
      <c r="B16" s="3" t="inlineStr">
        <is>
          <t>Stocks-to-Use</t>
        </is>
      </c>
      <c r="C16" s="12" t="inlineStr">
        <is>
          <t>%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2" t="inlineStr">
        <is>
          <t>Lentils</t>
        </is>
      </c>
      <c r="B17" s="3" t="inlineStr">
        <is>
          <t>STU Days</t>
        </is>
      </c>
      <c r="C17" s="12" t="inlineStr">
        <is>
          <t>Days</t>
        </is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</row>
    <row r="18">
      <c r="A18" s="2" t="inlineStr">
        <is>
          <t>Lentils</t>
        </is>
      </c>
      <c r="B18" s="11" t="inlineStr">
        <is>
          <t>CHECK</t>
        </is>
      </c>
      <c r="C18" s="15" t="inlineStr">
        <is>
          <t>KMT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</row>
  </sheetData>
  <mergeCells count="1">
    <mergeCell ref="A1:C1"/>
  </mergeCells>
  <conditionalFormatting sqref="D18:AA18">
    <cfRule type="cellIs" priority="1" operator="equal" dxfId="1">
      <formula>0</formula>
    </cfRule>
    <cfRule type="cellIs" priority="2" operator="notEqual" dxfId="0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48"/>
  <sheetViews>
    <sheetView workbookViewId="0">
      <selection activeCell="A1" sqref="A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8" customWidth="1" style="46" min="4" max="15"/>
    <col width="12" customWidth="1" style="46" min="16" max="16"/>
  </cols>
  <sheetData>
    <row r="1" ht="15.6" customHeight="1" s="46">
      <c r="A1" s="48" t="inlineStr">
        <is>
          <t>Canola</t>
        </is>
      </c>
    </row>
    <row r="2">
      <c r="A2" s="33" t="inlineStr">
        <is>
          <t>Commodity</t>
        </is>
      </c>
      <c r="B2" s="33" t="inlineStr">
        <is>
          <t>Metric</t>
        </is>
      </c>
      <c r="C2" s="33" t="inlineStr">
        <is>
          <t>Crop Year</t>
        </is>
      </c>
      <c r="D2" s="33" t="inlineStr">
        <is>
          <t>08</t>
        </is>
      </c>
      <c r="E2" s="33" t="inlineStr">
        <is>
          <t>09</t>
        </is>
      </c>
      <c r="F2" s="33" t="inlineStr">
        <is>
          <t>10</t>
        </is>
      </c>
      <c r="G2" s="33" t="inlineStr">
        <is>
          <t>11</t>
        </is>
      </c>
      <c r="H2" s="33" t="inlineStr">
        <is>
          <t>12</t>
        </is>
      </c>
      <c r="I2" s="33" t="inlineStr">
        <is>
          <t>01</t>
        </is>
      </c>
      <c r="J2" s="33" t="inlineStr">
        <is>
          <t>02</t>
        </is>
      </c>
      <c r="K2" s="33" t="inlineStr">
        <is>
          <t>03</t>
        </is>
      </c>
      <c r="L2" s="33" t="inlineStr">
        <is>
          <t>04</t>
        </is>
      </c>
      <c r="M2" s="33" t="inlineStr">
        <is>
          <t>05</t>
        </is>
      </c>
      <c r="N2" s="33" t="inlineStr">
        <is>
          <t>06</t>
        </is>
      </c>
      <c r="O2" s="33" t="inlineStr">
        <is>
          <t>07</t>
        </is>
      </c>
      <c r="P2" s="33" t="inlineStr">
        <is>
          <t>Total</t>
        </is>
      </c>
    </row>
    <row r="3">
      <c r="A3" s="34" t="inlineStr">
        <is>
          <t>Canola</t>
        </is>
      </c>
      <c r="B3" s="35" t="inlineStr">
        <is>
          <t>Planted Area</t>
        </is>
      </c>
      <c r="C3" s="34" t="inlineStr">
        <is>
          <t>2002-03</t>
        </is>
      </c>
      <c r="P3" s="36">
        <f>SUM(D3:O3)</f>
        <v/>
      </c>
    </row>
    <row r="4">
      <c r="A4" s="34" t="inlineStr">
        <is>
          <t>Canola</t>
        </is>
      </c>
      <c r="B4" s="35" t="inlineStr">
        <is>
          <t>Harvested Area</t>
        </is>
      </c>
      <c r="C4" s="34" t="inlineStr">
        <is>
          <t>2002-03</t>
        </is>
      </c>
      <c r="P4" s="36">
        <f>SUM(D4:O4)</f>
        <v/>
      </c>
    </row>
    <row r="5">
      <c r="A5" s="34" t="inlineStr">
        <is>
          <t>Canola</t>
        </is>
      </c>
      <c r="B5" s="35" t="inlineStr">
        <is>
          <t>Proportion Harvested</t>
        </is>
      </c>
      <c r="C5" s="34" t="inlineStr">
        <is>
          <t>2002-03</t>
        </is>
      </c>
      <c r="P5" s="37">
        <f>SUM(D5:O5)</f>
        <v/>
      </c>
    </row>
    <row r="6">
      <c r="A6" s="34" t="inlineStr">
        <is>
          <t>Canola</t>
        </is>
      </c>
      <c r="B6" s="35" t="inlineStr">
        <is>
          <t>Yield</t>
        </is>
      </c>
      <c r="C6" s="34" t="inlineStr">
        <is>
          <t>2002-03</t>
        </is>
      </c>
      <c r="I6" s="38" t="n">
        <v>0.2302953345070422</v>
      </c>
      <c r="P6" s="38">
        <f>SUM(D6:O6)</f>
        <v/>
      </c>
    </row>
    <row r="7">
      <c r="A7" s="34" t="inlineStr">
        <is>
          <t>Canola</t>
        </is>
      </c>
      <c r="B7" s="39" t="inlineStr">
        <is>
          <t>Beginning Stocks</t>
        </is>
      </c>
      <c r="C7" s="34" t="inlineStr">
        <is>
          <t>2002-03</t>
        </is>
      </c>
      <c r="D7" s="40" t="n">
        <v>1249.6</v>
      </c>
      <c r="O7" s="40" t="n">
        <v>1249.6</v>
      </c>
      <c r="P7" s="41">
        <f>SUM(D7:O7)</f>
        <v/>
      </c>
    </row>
    <row r="8">
      <c r="A8" s="34" t="inlineStr">
        <is>
          <t>Canola</t>
        </is>
      </c>
      <c r="B8" s="39" t="inlineStr">
        <is>
          <t>Imports</t>
        </is>
      </c>
      <c r="C8" s="34" t="inlineStr">
        <is>
          <t>2002-03</t>
        </is>
      </c>
      <c r="O8" s="40" t="n">
        <v>239.6</v>
      </c>
      <c r="P8" s="41">
        <f>SUM(D8:O8)</f>
        <v/>
      </c>
    </row>
    <row r="9">
      <c r="A9" s="34" t="inlineStr">
        <is>
          <t>Canola</t>
        </is>
      </c>
      <c r="B9" s="39" t="inlineStr">
        <is>
          <t>Production</t>
        </is>
      </c>
      <c r="C9" s="34" t="inlineStr">
        <is>
          <t>2002-03</t>
        </is>
      </c>
      <c r="D9" s="40" t="n">
        <v>80.752</v>
      </c>
      <c r="E9" s="40" t="n">
        <v>91.584</v>
      </c>
      <c r="F9" s="40" t="n">
        <v>80.318</v>
      </c>
      <c r="G9" s="40" t="n">
        <v>68.47</v>
      </c>
      <c r="H9" s="40" t="n">
        <v>60.568</v>
      </c>
      <c r="I9" s="40" t="n">
        <v>60.52</v>
      </c>
      <c r="J9" s="40" t="n">
        <v>76.629</v>
      </c>
      <c r="K9" s="40" t="n">
        <v>80.268</v>
      </c>
      <c r="L9" s="40" t="n">
        <v>77.84</v>
      </c>
      <c r="M9" s="40" t="n">
        <v>75.807</v>
      </c>
      <c r="N9" s="40" t="n">
        <v>81.121</v>
      </c>
      <c r="O9" s="40" t="n">
        <v>4520.5</v>
      </c>
      <c r="P9" s="41">
        <f>SUM(D9:O9)</f>
        <v/>
      </c>
    </row>
    <row r="10">
      <c r="A10" s="34" t="inlineStr">
        <is>
          <t>Canola</t>
        </is>
      </c>
      <c r="B10" s="39" t="inlineStr">
        <is>
          <t>Food</t>
        </is>
      </c>
      <c r="C10" s="34" t="inlineStr">
        <is>
          <t>2002-03</t>
        </is>
      </c>
      <c r="O10" s="40" t="n">
        <v>0</v>
      </c>
      <c r="P10" s="41">
        <f>SUM(D10:O10)</f>
        <v/>
      </c>
    </row>
    <row r="11">
      <c r="A11" s="34" t="inlineStr">
        <is>
          <t>Canola</t>
        </is>
      </c>
      <c r="B11" s="39" t="inlineStr">
        <is>
          <t>Crush</t>
        </is>
      </c>
      <c r="C11" s="34" t="inlineStr">
        <is>
          <t>2002-03</t>
        </is>
      </c>
      <c r="P11" s="41">
        <f>SUM(D11:O11)</f>
        <v/>
      </c>
    </row>
    <row r="12">
      <c r="A12" s="34" t="inlineStr">
        <is>
          <t>Canola</t>
        </is>
      </c>
      <c r="B12" s="39" t="inlineStr">
        <is>
          <t>FSR</t>
        </is>
      </c>
      <c r="C12" s="34" t="inlineStr">
        <is>
          <t>2002-03</t>
        </is>
      </c>
      <c r="D12" s="40" t="n">
        <v>2571.408333333334</v>
      </c>
      <c r="E12" s="40" t="n">
        <v>2585.016666666667</v>
      </c>
      <c r="F12" s="40" t="n">
        <v>2598.625</v>
      </c>
      <c r="G12" s="40" t="n">
        <v>2612.233333333334</v>
      </c>
      <c r="H12" s="40" t="n">
        <v>2625.841666666667</v>
      </c>
      <c r="I12" s="40" t="n">
        <v>2639.45</v>
      </c>
      <c r="J12" s="40" t="n">
        <v>2653.058333333333</v>
      </c>
      <c r="K12" s="40" t="n">
        <v>2666.666666666667</v>
      </c>
      <c r="L12" s="40" t="n">
        <v>2680.275000000001</v>
      </c>
      <c r="M12" s="40" t="n">
        <v>2693.883333333334</v>
      </c>
      <c r="N12" s="40" t="n">
        <v>2707.491666666667</v>
      </c>
      <c r="O12" s="40" t="n">
        <v>2721.1</v>
      </c>
      <c r="P12" s="41">
        <f>SUM(D12:O12)</f>
        <v/>
      </c>
    </row>
    <row r="13">
      <c r="A13" s="34" t="inlineStr">
        <is>
          <t>Canola</t>
        </is>
      </c>
      <c r="B13" s="39" t="inlineStr">
        <is>
          <t>Exports</t>
        </is>
      </c>
      <c r="C13" s="34" t="inlineStr">
        <is>
          <t>2002-03</t>
        </is>
      </c>
      <c r="O13" s="40" t="n">
        <v>2394.4</v>
      </c>
      <c r="P13" s="41">
        <f>SUM(D13:O13)</f>
        <v/>
      </c>
    </row>
    <row r="14">
      <c r="A14" s="34" t="inlineStr">
        <is>
          <t>Canola</t>
        </is>
      </c>
      <c r="B14" s="39" t="inlineStr">
        <is>
          <t>Ending Stocks</t>
        </is>
      </c>
      <c r="C14" s="34" t="inlineStr">
        <is>
          <t>2002-03</t>
        </is>
      </c>
      <c r="D14" s="40" t="n">
        <v>-1241.056333333334</v>
      </c>
      <c r="O14" s="40" t="n">
        <v>894.2</v>
      </c>
      <c r="P14" s="41">
        <f>SUM(D14:O14)</f>
        <v/>
      </c>
    </row>
    <row r="15">
      <c r="A15" s="34" t="inlineStr">
        <is>
          <t>Canola</t>
        </is>
      </c>
      <c r="B15" s="35" t="inlineStr">
        <is>
          <t>Stocks-to-Use</t>
        </is>
      </c>
      <c r="C15" s="34" t="inlineStr">
        <is>
          <t>2002-03</t>
        </is>
      </c>
      <c r="P15" s="37">
        <f>SUM(D15:O15)</f>
        <v/>
      </c>
    </row>
    <row r="16">
      <c r="A16" s="34" t="inlineStr">
        <is>
          <t>Canola</t>
        </is>
      </c>
      <c r="B16" s="35" t="inlineStr">
        <is>
          <t>STU Days</t>
        </is>
      </c>
      <c r="C16" s="34" t="inlineStr">
        <is>
          <t>2002-03</t>
        </is>
      </c>
      <c r="P16" s="41">
        <f>SUM(D16:O16)</f>
        <v/>
      </c>
    </row>
    <row r="17">
      <c r="A17" s="34" t="inlineStr">
        <is>
          <t>Canola</t>
        </is>
      </c>
      <c r="B17" s="35" t="inlineStr">
        <is>
          <t>CHECK</t>
        </is>
      </c>
      <c r="C17" s="34" t="inlineStr">
        <is>
          <t>2002-03</t>
        </is>
      </c>
      <c r="D17" s="41" t="n">
        <v>0</v>
      </c>
      <c r="E17" s="41" t="n">
        <v>-2493.432666666667</v>
      </c>
      <c r="F17" s="41" t="n">
        <v>-2518.307</v>
      </c>
      <c r="G17" s="41" t="n">
        <v>-2543.763333333334</v>
      </c>
      <c r="H17" s="41" t="n">
        <v>-2565.273666666667</v>
      </c>
      <c r="I17" s="41" t="n">
        <v>-2578.93</v>
      </c>
      <c r="J17" s="41" t="n">
        <v>-2576.429333333333</v>
      </c>
      <c r="K17" s="41" t="n">
        <v>-2586.398666666667</v>
      </c>
      <c r="L17" s="41" t="n">
        <v>-2602.435</v>
      </c>
      <c r="M17" s="41" t="n">
        <v>-2618.076333333334</v>
      </c>
      <c r="N17" s="41" t="n">
        <v>-2626.370666666667</v>
      </c>
      <c r="O17" s="41" t="n">
        <v>2.273736754432321e-13</v>
      </c>
      <c r="P17" s="41">
        <f>SUM(D17:O17)</f>
        <v/>
      </c>
    </row>
    <row r="18">
      <c r="A18" s="34" t="inlineStr">
        <is>
          <t>Canola</t>
        </is>
      </c>
      <c r="B18" s="35" t="inlineStr">
        <is>
          <t>Planted Area</t>
        </is>
      </c>
      <c r="C18" s="34" t="inlineStr">
        <is>
          <t>2003-04</t>
        </is>
      </c>
      <c r="P18" s="36">
        <f>SUM(D18:O18)</f>
        <v/>
      </c>
    </row>
    <row r="19">
      <c r="A19" s="34" t="inlineStr">
        <is>
          <t>Canola</t>
        </is>
      </c>
      <c r="B19" s="35" t="inlineStr">
        <is>
          <t>Harvested Area</t>
        </is>
      </c>
      <c r="C19" s="34" t="inlineStr">
        <is>
          <t>2003-04</t>
        </is>
      </c>
      <c r="P19" s="36">
        <f>SUM(D19:O19)</f>
        <v/>
      </c>
    </row>
    <row r="20">
      <c r="A20" s="34" t="inlineStr">
        <is>
          <t>Canola</t>
        </is>
      </c>
      <c r="B20" s="35" t="inlineStr">
        <is>
          <t>Proportion Harvested</t>
        </is>
      </c>
      <c r="C20" s="34" t="inlineStr">
        <is>
          <t>2003-04</t>
        </is>
      </c>
      <c r="P20" s="37">
        <f>SUM(D20:O20)</f>
        <v/>
      </c>
    </row>
    <row r="21">
      <c r="A21" s="34" t="inlineStr">
        <is>
          <t>Canola</t>
        </is>
      </c>
      <c r="B21" s="35" t="inlineStr">
        <is>
          <t>Yield</t>
        </is>
      </c>
      <c r="C21" s="34" t="inlineStr">
        <is>
          <t>2003-04</t>
        </is>
      </c>
      <c r="I21" s="38" t="n">
        <v>0.4520190669017012</v>
      </c>
      <c r="P21" s="38">
        <f>SUM(D21:O21)</f>
        <v/>
      </c>
    </row>
    <row r="22">
      <c r="A22" s="34" t="inlineStr">
        <is>
          <t>Canola</t>
        </is>
      </c>
      <c r="B22" s="39" t="inlineStr">
        <is>
          <t>Beginning Stocks</t>
        </is>
      </c>
      <c r="C22" s="34" t="inlineStr">
        <is>
          <t>2003-04</t>
        </is>
      </c>
      <c r="D22" s="40" t="n">
        <v>894.2</v>
      </c>
      <c r="O22" s="40" t="n">
        <v>894.2</v>
      </c>
      <c r="P22" s="41">
        <f>SUM(D22:O22)</f>
        <v/>
      </c>
    </row>
    <row r="23">
      <c r="A23" s="34" t="inlineStr">
        <is>
          <t>Canola</t>
        </is>
      </c>
      <c r="B23" s="39" t="inlineStr">
        <is>
          <t>Imports</t>
        </is>
      </c>
      <c r="C23" s="34" t="inlineStr">
        <is>
          <t>2003-04</t>
        </is>
      </c>
      <c r="O23" s="40" t="n">
        <v>242.6</v>
      </c>
      <c r="P23" s="41">
        <f>SUM(D23:O23)</f>
        <v/>
      </c>
    </row>
    <row r="24">
      <c r="A24" s="34" t="inlineStr">
        <is>
          <t>Canola</t>
        </is>
      </c>
      <c r="B24" s="39" t="inlineStr">
        <is>
          <t>Production</t>
        </is>
      </c>
      <c r="C24" s="34" t="inlineStr">
        <is>
          <t>2003-04</t>
        </is>
      </c>
      <c r="D24" s="40" t="n">
        <v>88.22</v>
      </c>
      <c r="E24" s="40" t="n">
        <v>122.916</v>
      </c>
      <c r="F24" s="40" t="n">
        <v>114.154</v>
      </c>
      <c r="G24" s="40" t="n">
        <v>113.478</v>
      </c>
      <c r="H24" s="40" t="n">
        <v>120.061</v>
      </c>
      <c r="I24" s="40" t="n">
        <v>123.292</v>
      </c>
      <c r="J24" s="40" t="n">
        <v>111.113</v>
      </c>
      <c r="K24" s="40" t="n">
        <v>132.518</v>
      </c>
      <c r="L24" s="40" t="n">
        <v>127.105</v>
      </c>
      <c r="M24" s="40" t="n">
        <v>118.626</v>
      </c>
      <c r="N24" s="40" t="n">
        <v>97.544</v>
      </c>
      <c r="O24" s="40" t="n">
        <v>6771.2</v>
      </c>
      <c r="P24" s="41">
        <f>SUM(D24:O24)</f>
        <v/>
      </c>
    </row>
    <row r="25">
      <c r="A25" s="34" t="inlineStr">
        <is>
          <t>Canola</t>
        </is>
      </c>
      <c r="B25" s="39" t="inlineStr">
        <is>
          <t>Food</t>
        </is>
      </c>
      <c r="C25" s="34" t="inlineStr">
        <is>
          <t>2003-04</t>
        </is>
      </c>
      <c r="O25" s="40" t="n">
        <v>0</v>
      </c>
      <c r="P25" s="41">
        <f>SUM(D25:O25)</f>
        <v/>
      </c>
    </row>
    <row r="26">
      <c r="A26" s="34" t="inlineStr">
        <is>
          <t>Canola</t>
        </is>
      </c>
      <c r="B26" s="39" t="inlineStr">
        <is>
          <t>Crush</t>
        </is>
      </c>
      <c r="C26" s="34" t="inlineStr">
        <is>
          <t>2003-04</t>
        </is>
      </c>
      <c r="P26" s="41">
        <f>SUM(D26:O26)</f>
        <v/>
      </c>
    </row>
    <row r="27">
      <c r="A27" s="34" t="inlineStr">
        <is>
          <t>Canola</t>
        </is>
      </c>
      <c r="B27" s="39" t="inlineStr">
        <is>
          <t>FSR</t>
        </is>
      </c>
      <c r="C27" s="34" t="inlineStr">
        <is>
          <t>2003-04</t>
        </is>
      </c>
      <c r="D27" s="40" t="n">
        <v>2789.766666666667</v>
      </c>
      <c r="E27" s="40" t="n">
        <v>2858.433333333333</v>
      </c>
      <c r="F27" s="40" t="n">
        <v>2927.1</v>
      </c>
      <c r="G27" s="40" t="n">
        <v>2995.766666666667</v>
      </c>
      <c r="H27" s="40" t="n">
        <v>3064.433333333333</v>
      </c>
      <c r="I27" s="40" t="n">
        <v>3133.1</v>
      </c>
      <c r="J27" s="40" t="n">
        <v>3201.766666666667</v>
      </c>
      <c r="K27" s="40" t="n">
        <v>3270.433333333333</v>
      </c>
      <c r="L27" s="40" t="n">
        <v>3339.1</v>
      </c>
      <c r="M27" s="40" t="n">
        <v>3407.766666666666</v>
      </c>
      <c r="N27" s="40" t="n">
        <v>3476.433333333333</v>
      </c>
      <c r="O27" s="40" t="n">
        <v>3545.1</v>
      </c>
      <c r="P27" s="41">
        <f>SUM(D27:O27)</f>
        <v/>
      </c>
    </row>
    <row r="28">
      <c r="A28" s="34" t="inlineStr">
        <is>
          <t>Canola</t>
        </is>
      </c>
      <c r="B28" s="39" t="inlineStr">
        <is>
          <t>Exports</t>
        </is>
      </c>
      <c r="C28" s="34" t="inlineStr">
        <is>
          <t>2003-04</t>
        </is>
      </c>
      <c r="O28" s="40" t="n">
        <v>3754.3</v>
      </c>
      <c r="P28" s="41">
        <f>SUM(D28:O28)</f>
        <v/>
      </c>
    </row>
    <row r="29">
      <c r="A29" s="34" t="inlineStr">
        <is>
          <t>Canola</t>
        </is>
      </c>
      <c r="B29" s="39" t="inlineStr">
        <is>
          <t>Ending Stocks</t>
        </is>
      </c>
      <c r="C29" s="34" t="inlineStr">
        <is>
          <t>2003-04</t>
        </is>
      </c>
      <c r="D29" s="40" t="n">
        <v>-1807.346666666667</v>
      </c>
      <c r="O29" s="40" t="n">
        <v>608.6</v>
      </c>
      <c r="P29" s="41">
        <f>SUM(D29:O29)</f>
        <v/>
      </c>
    </row>
    <row r="30">
      <c r="A30" s="34" t="inlineStr">
        <is>
          <t>Canola</t>
        </is>
      </c>
      <c r="B30" s="35" t="inlineStr">
        <is>
          <t>Stocks-to-Use</t>
        </is>
      </c>
      <c r="C30" s="34" t="inlineStr">
        <is>
          <t>2003-04</t>
        </is>
      </c>
      <c r="P30" s="37">
        <f>SUM(D30:O30)</f>
        <v/>
      </c>
    </row>
    <row r="31">
      <c r="A31" s="34" t="inlineStr">
        <is>
          <t>Canola</t>
        </is>
      </c>
      <c r="B31" s="35" t="inlineStr">
        <is>
          <t>STU Days</t>
        </is>
      </c>
      <c r="C31" s="34" t="inlineStr">
        <is>
          <t>2003-04</t>
        </is>
      </c>
      <c r="P31" s="41">
        <f>SUM(D31:O31)</f>
        <v/>
      </c>
    </row>
    <row r="32">
      <c r="A32" s="34" t="inlineStr">
        <is>
          <t>Canola</t>
        </is>
      </c>
      <c r="B32" s="35" t="inlineStr">
        <is>
          <t>CHECK</t>
        </is>
      </c>
      <c r="C32" s="34" t="inlineStr">
        <is>
          <t>2003-04</t>
        </is>
      </c>
      <c r="D32" s="41" t="n">
        <v>0</v>
      </c>
      <c r="E32" s="41" t="n">
        <v>-2735.517333333333</v>
      </c>
      <c r="F32" s="41" t="n">
        <v>-2812.946</v>
      </c>
      <c r="G32" s="41" t="n">
        <v>-2882.288666666667</v>
      </c>
      <c r="H32" s="41" t="n">
        <v>-2944.372333333333</v>
      </c>
      <c r="I32" s="41" t="n">
        <v>-3009.808</v>
      </c>
      <c r="J32" s="41" t="n">
        <v>-3090.653666666667</v>
      </c>
      <c r="K32" s="41" t="n">
        <v>-3137.915333333333</v>
      </c>
      <c r="L32" s="41" t="n">
        <v>-3211.995</v>
      </c>
      <c r="M32" s="41" t="n">
        <v>-3289.140666666666</v>
      </c>
      <c r="N32" s="41" t="n">
        <v>-3378.889333333333</v>
      </c>
      <c r="O32" s="41" t="n">
        <v>-5.684341886080801e-13</v>
      </c>
      <c r="P32" s="41">
        <f>SUM(D32:O32)</f>
        <v/>
      </c>
    </row>
    <row r="33">
      <c r="A33" s="34" t="inlineStr">
        <is>
          <t>Canola</t>
        </is>
      </c>
      <c r="B33" s="35" t="inlineStr">
        <is>
          <t>Planted Area</t>
        </is>
      </c>
      <c r="C33" s="34" t="inlineStr">
        <is>
          <t>2004-05</t>
        </is>
      </c>
      <c r="P33" s="36">
        <f>SUM(D33:O33)</f>
        <v/>
      </c>
    </row>
    <row r="34">
      <c r="A34" s="34" t="inlineStr">
        <is>
          <t>Canola</t>
        </is>
      </c>
      <c r="B34" s="35" t="inlineStr">
        <is>
          <t>Harvested Area</t>
        </is>
      </c>
      <c r="C34" s="34" t="inlineStr">
        <is>
          <t>2004-05</t>
        </is>
      </c>
      <c r="P34" s="36">
        <f>SUM(D34:O34)</f>
        <v/>
      </c>
    </row>
    <row r="35">
      <c r="A35" s="34" t="inlineStr">
        <is>
          <t>Canola</t>
        </is>
      </c>
      <c r="B35" s="35" t="inlineStr">
        <is>
          <t>Proportion Harvested</t>
        </is>
      </c>
      <c r="C35" s="34" t="inlineStr">
        <is>
          <t>2004-05</t>
        </is>
      </c>
      <c r="P35" s="37">
        <f>SUM(D35:O35)</f>
        <v/>
      </c>
    </row>
    <row r="36">
      <c r="A36" s="34" t="inlineStr">
        <is>
          <t>Canola</t>
        </is>
      </c>
      <c r="B36" s="35" t="inlineStr">
        <is>
          <t>Yield</t>
        </is>
      </c>
      <c r="C36" s="34" t="inlineStr">
        <is>
          <t>2004-05</t>
        </is>
      </c>
      <c r="I36" s="38" t="n">
        <v>0.3513305404813662</v>
      </c>
      <c r="P36" s="38">
        <f>SUM(D36:O36)</f>
        <v/>
      </c>
    </row>
    <row r="37">
      <c r="A37" s="34" t="inlineStr">
        <is>
          <t>Canola</t>
        </is>
      </c>
      <c r="B37" s="39" t="inlineStr">
        <is>
          <t>Beginning Stocks</t>
        </is>
      </c>
      <c r="C37" s="34" t="inlineStr">
        <is>
          <t>2004-05</t>
        </is>
      </c>
      <c r="D37" s="40" t="n">
        <v>608.6</v>
      </c>
      <c r="O37" s="40" t="n">
        <v>608.6</v>
      </c>
      <c r="P37" s="41">
        <f>SUM(D37:O37)</f>
        <v/>
      </c>
    </row>
    <row r="38">
      <c r="A38" s="34" t="inlineStr">
        <is>
          <t>Canola</t>
        </is>
      </c>
      <c r="B38" s="39" t="inlineStr">
        <is>
          <t>Imports</t>
        </is>
      </c>
      <c r="C38" s="34" t="inlineStr">
        <is>
          <t>2004-05</t>
        </is>
      </c>
      <c r="O38" s="40" t="n">
        <v>107.6</v>
      </c>
      <c r="P38" s="41">
        <f>SUM(D38:O38)</f>
        <v/>
      </c>
    </row>
    <row r="39">
      <c r="A39" s="34" t="inlineStr">
        <is>
          <t>Canola</t>
        </is>
      </c>
      <c r="B39" s="39" t="inlineStr">
        <is>
          <t>Production</t>
        </is>
      </c>
      <c r="C39" s="34" t="inlineStr">
        <is>
          <t>2004-05</t>
        </is>
      </c>
      <c r="D39" s="40" t="n">
        <v>106.562</v>
      </c>
      <c r="E39" s="40" t="n">
        <v>92.31999999999999</v>
      </c>
      <c r="F39" s="40" t="n">
        <v>119.778</v>
      </c>
      <c r="G39" s="40" t="n">
        <v>112.658</v>
      </c>
      <c r="H39" s="40" t="n">
        <v>115.971</v>
      </c>
      <c r="I39" s="40" t="n">
        <v>101.9</v>
      </c>
      <c r="J39" s="40" t="n">
        <v>101.367</v>
      </c>
      <c r="K39" s="40" t="n">
        <v>113.559</v>
      </c>
      <c r="L39" s="40" t="n">
        <v>101.641</v>
      </c>
      <c r="M39" s="40" t="n">
        <v>92.258</v>
      </c>
      <c r="N39" s="40" t="n">
        <v>81.758</v>
      </c>
      <c r="O39" s="40" t="n">
        <v>7673.6</v>
      </c>
      <c r="P39" s="41">
        <f>SUM(D39:O39)</f>
        <v/>
      </c>
    </row>
    <row r="40">
      <c r="A40" s="34" t="inlineStr">
        <is>
          <t>Canola</t>
        </is>
      </c>
      <c r="B40" s="39" t="inlineStr">
        <is>
          <t>Food</t>
        </is>
      </c>
      <c r="C40" s="34" t="inlineStr">
        <is>
          <t>2004-05</t>
        </is>
      </c>
      <c r="O40" s="40" t="n">
        <v>0</v>
      </c>
      <c r="P40" s="41">
        <f>SUM(D40:O40)</f>
        <v/>
      </c>
    </row>
    <row r="41">
      <c r="A41" s="34" t="inlineStr">
        <is>
          <t>Canola</t>
        </is>
      </c>
      <c r="B41" s="39" t="inlineStr">
        <is>
          <t>Crush</t>
        </is>
      </c>
      <c r="C41" s="34" t="inlineStr">
        <is>
          <t>2004-05</t>
        </is>
      </c>
      <c r="P41" s="41">
        <f>SUM(D41:O41)</f>
        <v/>
      </c>
    </row>
    <row r="42">
      <c r="A42" s="34" t="inlineStr">
        <is>
          <t>Canola</t>
        </is>
      </c>
      <c r="B42" s="39" t="inlineStr">
        <is>
          <t>FSR</t>
        </is>
      </c>
      <c r="C42" s="34" t="inlineStr">
        <is>
          <t>2004-05</t>
        </is>
      </c>
      <c r="D42" s="40" t="n">
        <v>3532.283333333333</v>
      </c>
      <c r="E42" s="40" t="n">
        <v>3519.466666666667</v>
      </c>
      <c r="F42" s="40" t="n">
        <v>3506.650000000001</v>
      </c>
      <c r="G42" s="40" t="n">
        <v>3493.833333333334</v>
      </c>
      <c r="H42" s="40" t="n">
        <v>3481.016666666668</v>
      </c>
      <c r="I42" s="40" t="n">
        <v>3468.200000000001</v>
      </c>
      <c r="J42" s="40" t="n">
        <v>3455.383333333334</v>
      </c>
      <c r="K42" s="40" t="n">
        <v>3442.566666666668</v>
      </c>
      <c r="L42" s="40" t="n">
        <v>3429.750000000001</v>
      </c>
      <c r="M42" s="40" t="n">
        <v>3416.933333333335</v>
      </c>
      <c r="N42" s="40" t="n">
        <v>3404.116666666668</v>
      </c>
      <c r="O42" s="40" t="n">
        <v>3391.300000000001</v>
      </c>
      <c r="P42" s="41">
        <f>SUM(D42:O42)</f>
        <v/>
      </c>
    </row>
    <row r="43">
      <c r="A43" s="34" t="inlineStr">
        <is>
          <t>Canola</t>
        </is>
      </c>
      <c r="B43" s="39" t="inlineStr">
        <is>
          <t>Exports</t>
        </is>
      </c>
      <c r="C43" s="34" t="inlineStr">
        <is>
          <t>2004-05</t>
        </is>
      </c>
      <c r="O43" s="40" t="n">
        <v>3411.9</v>
      </c>
      <c r="P43" s="41">
        <f>SUM(D43:O43)</f>
        <v/>
      </c>
    </row>
    <row r="44">
      <c r="A44" s="34" t="inlineStr">
        <is>
          <t>Canola</t>
        </is>
      </c>
      <c r="B44" s="39" t="inlineStr">
        <is>
          <t>Ending Stocks</t>
        </is>
      </c>
      <c r="C44" s="34" t="inlineStr">
        <is>
          <t>2004-05</t>
        </is>
      </c>
      <c r="D44" s="40" t="n">
        <v>-2817.121333333333</v>
      </c>
      <c r="O44" s="40" t="n">
        <v>1586.6</v>
      </c>
      <c r="P44" s="41">
        <f>SUM(D44:O44)</f>
        <v/>
      </c>
    </row>
    <row r="45">
      <c r="A45" s="34" t="inlineStr">
        <is>
          <t>Canola</t>
        </is>
      </c>
      <c r="B45" s="35" t="inlineStr">
        <is>
          <t>Stocks-to-Use</t>
        </is>
      </c>
      <c r="C45" s="34" t="inlineStr">
        <is>
          <t>2004-05</t>
        </is>
      </c>
      <c r="P45" s="37">
        <f>SUM(D45:O45)</f>
        <v/>
      </c>
    </row>
    <row r="46">
      <c r="A46" s="34" t="inlineStr">
        <is>
          <t>Canola</t>
        </is>
      </c>
      <c r="B46" s="35" t="inlineStr">
        <is>
          <t>STU Days</t>
        </is>
      </c>
      <c r="C46" s="34" t="inlineStr">
        <is>
          <t>2004-05</t>
        </is>
      </c>
      <c r="P46" s="41">
        <f>SUM(D46:O46)</f>
        <v/>
      </c>
    </row>
    <row r="47">
      <c r="A47" s="34" t="inlineStr">
        <is>
          <t>Canola</t>
        </is>
      </c>
      <c r="B47" s="35" t="inlineStr">
        <is>
          <t>CHECK</t>
        </is>
      </c>
      <c r="C47" s="34" t="inlineStr">
        <is>
          <t>2004-05</t>
        </is>
      </c>
      <c r="D47" s="41" t="n">
        <v>0</v>
      </c>
      <c r="E47" s="41" t="n">
        <v>-3427.146666666667</v>
      </c>
      <c r="F47" s="41" t="n">
        <v>-3386.872000000001</v>
      </c>
      <c r="G47" s="41" t="n">
        <v>-3381.175333333334</v>
      </c>
      <c r="H47" s="41" t="n">
        <v>-3365.045666666668</v>
      </c>
      <c r="I47" s="41" t="n">
        <v>-3366.300000000001</v>
      </c>
      <c r="J47" s="41" t="n">
        <v>-3354.016333333334</v>
      </c>
      <c r="K47" s="41" t="n">
        <v>-3329.007666666668</v>
      </c>
      <c r="L47" s="41" t="n">
        <v>-3328.109000000001</v>
      </c>
      <c r="M47" s="41" t="n">
        <v>-3324.675333333335</v>
      </c>
      <c r="N47" s="41" t="n">
        <v>-3322.358666666668</v>
      </c>
      <c r="O47" s="41" t="n">
        <v>0</v>
      </c>
      <c r="P47" s="41">
        <f>SUM(D47:O47)</f>
        <v/>
      </c>
    </row>
    <row r="48">
      <c r="A48" s="34" t="inlineStr">
        <is>
          <t>Canola</t>
        </is>
      </c>
      <c r="B48" s="35" t="inlineStr">
        <is>
          <t>Planted Area</t>
        </is>
      </c>
      <c r="C48" s="34" t="inlineStr">
        <is>
          <t>2005-06</t>
        </is>
      </c>
      <c r="P48" s="36">
        <f>SUM(D48:O48)</f>
        <v/>
      </c>
    </row>
    <row r="49">
      <c r="A49" s="34" t="inlineStr">
        <is>
          <t>Canola</t>
        </is>
      </c>
      <c r="B49" s="35" t="inlineStr">
        <is>
          <t>Harvested Area</t>
        </is>
      </c>
      <c r="C49" s="34" t="inlineStr">
        <is>
          <t>2005-06</t>
        </is>
      </c>
      <c r="P49" s="36">
        <f>SUM(D49:O49)</f>
        <v/>
      </c>
    </row>
    <row r="50">
      <c r="A50" s="34" t="inlineStr">
        <is>
          <t>Canola</t>
        </is>
      </c>
      <c r="B50" s="35" t="inlineStr">
        <is>
          <t>Proportion Harvested</t>
        </is>
      </c>
      <c r="C50" s="34" t="inlineStr">
        <is>
          <t>2005-06</t>
        </is>
      </c>
      <c r="P50" s="37">
        <f>SUM(D50:O50)</f>
        <v/>
      </c>
    </row>
    <row r="51">
      <c r="A51" s="34" t="inlineStr">
        <is>
          <t>Canola</t>
        </is>
      </c>
      <c r="B51" s="35" t="inlineStr">
        <is>
          <t>Yield</t>
        </is>
      </c>
      <c r="C51" s="34" t="inlineStr">
        <is>
          <t>2005-06</t>
        </is>
      </c>
      <c r="I51" s="38" t="n">
        <v>0.4246864187873731</v>
      </c>
      <c r="P51" s="38">
        <f>SUM(D51:O51)</f>
        <v/>
      </c>
    </row>
    <row r="52">
      <c r="A52" s="34" t="inlineStr">
        <is>
          <t>Canola</t>
        </is>
      </c>
      <c r="B52" s="39" t="inlineStr">
        <is>
          <t>Beginning Stocks</t>
        </is>
      </c>
      <c r="C52" s="34" t="inlineStr">
        <is>
          <t>2005-06</t>
        </is>
      </c>
      <c r="D52" s="40" t="n">
        <v>1586.6</v>
      </c>
      <c r="O52" s="40" t="n">
        <v>1586.6</v>
      </c>
      <c r="P52" s="41">
        <f>SUM(D52:O52)</f>
        <v/>
      </c>
    </row>
    <row r="53">
      <c r="A53" s="34" t="inlineStr">
        <is>
          <t>Canola</t>
        </is>
      </c>
      <c r="B53" s="39" t="inlineStr">
        <is>
          <t>Imports</t>
        </is>
      </c>
      <c r="C53" s="34" t="inlineStr">
        <is>
          <t>2005-06</t>
        </is>
      </c>
      <c r="O53" s="40" t="n">
        <v>139.5</v>
      </c>
      <c r="P53" s="41">
        <f>SUM(D53:O53)</f>
        <v/>
      </c>
    </row>
    <row r="54">
      <c r="A54" s="34" t="inlineStr">
        <is>
          <t>Canola</t>
        </is>
      </c>
      <c r="B54" s="39" t="inlineStr">
        <is>
          <t>Production</t>
        </is>
      </c>
      <c r="C54" s="34" t="inlineStr">
        <is>
          <t>2005-06</t>
        </is>
      </c>
      <c r="D54" s="40" t="n">
        <v>97.845</v>
      </c>
      <c r="E54" s="40" t="n">
        <v>109.823</v>
      </c>
      <c r="F54" s="40" t="n">
        <v>126.619</v>
      </c>
      <c r="G54" s="40" t="n">
        <v>127.174</v>
      </c>
      <c r="H54" s="40" t="n">
        <v>125.661</v>
      </c>
      <c r="I54" s="40" t="n">
        <v>124.671</v>
      </c>
      <c r="J54" s="40" t="n">
        <v>121.353</v>
      </c>
      <c r="K54" s="40" t="n">
        <v>128.806</v>
      </c>
      <c r="L54" s="40" t="n">
        <v>126.297</v>
      </c>
      <c r="M54" s="40" t="n">
        <v>108.907</v>
      </c>
      <c r="N54" s="40" t="n">
        <v>129.73</v>
      </c>
      <c r="O54" s="40" t="n">
        <v>9483.299999999999</v>
      </c>
      <c r="P54" s="41">
        <f>SUM(D54:O54)</f>
        <v/>
      </c>
    </row>
    <row r="55">
      <c r="A55" s="34" t="inlineStr">
        <is>
          <t>Canola</t>
        </is>
      </c>
      <c r="B55" s="39" t="inlineStr">
        <is>
          <t>Food</t>
        </is>
      </c>
      <c r="C55" s="34" t="inlineStr">
        <is>
          <t>2005-06</t>
        </is>
      </c>
      <c r="O55" s="40" t="n">
        <v>0</v>
      </c>
      <c r="P55" s="41">
        <f>SUM(D55:O55)</f>
        <v/>
      </c>
    </row>
    <row r="56">
      <c r="A56" s="34" t="inlineStr">
        <is>
          <t>Canola</t>
        </is>
      </c>
      <c r="B56" s="39" t="inlineStr">
        <is>
          <t>Crush</t>
        </is>
      </c>
      <c r="C56" s="34" t="inlineStr">
        <is>
          <t>2005-06</t>
        </is>
      </c>
      <c r="P56" s="41">
        <f>SUM(D56:O56)</f>
        <v/>
      </c>
    </row>
    <row r="57">
      <c r="A57" s="34" t="inlineStr">
        <is>
          <t>Canola</t>
        </is>
      </c>
      <c r="B57" s="39" t="inlineStr">
        <is>
          <t>FSR</t>
        </is>
      </c>
      <c r="C57" s="34" t="inlineStr">
        <is>
          <t>2005-06</t>
        </is>
      </c>
      <c r="D57" s="40" t="n">
        <v>3424.833333333335</v>
      </c>
      <c r="E57" s="40" t="n">
        <v>3458.366666666668</v>
      </c>
      <c r="F57" s="40" t="n">
        <v>3491.900000000001</v>
      </c>
      <c r="G57" s="40" t="n">
        <v>3525.433333333334</v>
      </c>
      <c r="H57" s="40" t="n">
        <v>3558.966666666668</v>
      </c>
      <c r="I57" s="40" t="n">
        <v>3592.500000000001</v>
      </c>
      <c r="J57" s="40" t="n">
        <v>3626.033333333334</v>
      </c>
      <c r="K57" s="40" t="n">
        <v>3659.566666666667</v>
      </c>
      <c r="L57" s="40" t="n">
        <v>3693.1</v>
      </c>
      <c r="M57" s="40" t="n">
        <v>3726.633333333333</v>
      </c>
      <c r="N57" s="40" t="n">
        <v>3760.166666666667</v>
      </c>
      <c r="O57" s="40" t="n">
        <v>3793.7</v>
      </c>
      <c r="P57" s="41">
        <f>SUM(D57:O57)</f>
        <v/>
      </c>
    </row>
    <row r="58">
      <c r="A58" s="34" t="inlineStr">
        <is>
          <t>Canola</t>
        </is>
      </c>
      <c r="B58" s="39" t="inlineStr">
        <is>
          <t>Exports</t>
        </is>
      </c>
      <c r="C58" s="34" t="inlineStr">
        <is>
          <t>2005-06</t>
        </is>
      </c>
      <c r="O58" s="40" t="n">
        <v>5408.7</v>
      </c>
      <c r="P58" s="41">
        <f>SUM(D58:O58)</f>
        <v/>
      </c>
    </row>
    <row r="59">
      <c r="A59" s="34" t="inlineStr">
        <is>
          <t>Canola</t>
        </is>
      </c>
      <c r="B59" s="39" t="inlineStr">
        <is>
          <t>Ending Stocks</t>
        </is>
      </c>
      <c r="C59" s="34" t="inlineStr">
        <is>
          <t>2005-06</t>
        </is>
      </c>
      <c r="D59" s="40" t="n">
        <v>-1740.388333333335</v>
      </c>
      <c r="O59" s="40" t="n">
        <v>2007</v>
      </c>
      <c r="P59" s="41">
        <f>SUM(D59:O59)</f>
        <v/>
      </c>
    </row>
    <row r="60">
      <c r="A60" s="34" t="inlineStr">
        <is>
          <t>Canola</t>
        </is>
      </c>
      <c r="B60" s="35" t="inlineStr">
        <is>
          <t>Stocks-to-Use</t>
        </is>
      </c>
      <c r="C60" s="34" t="inlineStr">
        <is>
          <t>2005-06</t>
        </is>
      </c>
      <c r="P60" s="37">
        <f>SUM(D60:O60)</f>
        <v/>
      </c>
    </row>
    <row r="61">
      <c r="A61" s="34" t="inlineStr">
        <is>
          <t>Canola</t>
        </is>
      </c>
      <c r="B61" s="35" t="inlineStr">
        <is>
          <t>STU Days</t>
        </is>
      </c>
      <c r="C61" s="34" t="inlineStr">
        <is>
          <t>2005-06</t>
        </is>
      </c>
      <c r="P61" s="41">
        <f>SUM(D61:O61)</f>
        <v/>
      </c>
    </row>
    <row r="62">
      <c r="A62" s="34" t="inlineStr">
        <is>
          <t>Canola</t>
        </is>
      </c>
      <c r="B62" s="35" t="inlineStr">
        <is>
          <t>CHECK</t>
        </is>
      </c>
      <c r="C62" s="34" t="inlineStr">
        <is>
          <t>2005-06</t>
        </is>
      </c>
      <c r="D62" s="41" t="n">
        <v>0</v>
      </c>
      <c r="E62" s="41" t="n">
        <v>-3348.543666666668</v>
      </c>
      <c r="F62" s="41" t="n">
        <v>-3365.281000000001</v>
      </c>
      <c r="G62" s="41" t="n">
        <v>-3398.259333333334</v>
      </c>
      <c r="H62" s="41" t="n">
        <v>-3433.305666666668</v>
      </c>
      <c r="I62" s="41" t="n">
        <v>-3467.829000000001</v>
      </c>
      <c r="J62" s="41" t="n">
        <v>-3504.680333333334</v>
      </c>
      <c r="K62" s="41" t="n">
        <v>-3530.760666666667</v>
      </c>
      <c r="L62" s="41" t="n">
        <v>-3566.803</v>
      </c>
      <c r="M62" s="41" t="n">
        <v>-3617.726333333333</v>
      </c>
      <c r="N62" s="41" t="n">
        <v>-3630.436666666666</v>
      </c>
      <c r="O62" s="41" t="n">
        <v>0</v>
      </c>
      <c r="P62" s="41">
        <f>SUM(D62:O62)</f>
        <v/>
      </c>
    </row>
    <row r="63">
      <c r="A63" s="34" t="inlineStr">
        <is>
          <t>Canola</t>
        </is>
      </c>
      <c r="B63" s="35" t="inlineStr">
        <is>
          <t>Planted Area</t>
        </is>
      </c>
      <c r="C63" s="34" t="inlineStr">
        <is>
          <t>2006-07</t>
        </is>
      </c>
      <c r="P63" s="36">
        <f>SUM(D63:O63)</f>
        <v/>
      </c>
    </row>
    <row r="64">
      <c r="A64" s="34" t="inlineStr">
        <is>
          <t>Canola</t>
        </is>
      </c>
      <c r="B64" s="35" t="inlineStr">
        <is>
          <t>Harvested Area</t>
        </is>
      </c>
      <c r="C64" s="34" t="inlineStr">
        <is>
          <t>2006-07</t>
        </is>
      </c>
      <c r="P64" s="36">
        <f>SUM(D64:O64)</f>
        <v/>
      </c>
    </row>
    <row r="65">
      <c r="A65" s="34" t="inlineStr">
        <is>
          <t>Canola</t>
        </is>
      </c>
      <c r="B65" s="35" t="inlineStr">
        <is>
          <t>Proportion Harvested</t>
        </is>
      </c>
      <c r="C65" s="34" t="inlineStr">
        <is>
          <t>2006-07</t>
        </is>
      </c>
      <c r="P65" s="37">
        <f>SUM(D65:O65)</f>
        <v/>
      </c>
    </row>
    <row r="66">
      <c r="A66" s="34" t="inlineStr">
        <is>
          <t>Canola</t>
        </is>
      </c>
      <c r="B66" s="35" t="inlineStr">
        <is>
          <t>Yield</t>
        </is>
      </c>
      <c r="C66" s="34" t="inlineStr">
        <is>
          <t>2006-07</t>
        </is>
      </c>
      <c r="I66" s="38" t="n">
        <v>0.372826614639913</v>
      </c>
      <c r="P66" s="38">
        <f>SUM(D66:O66)</f>
        <v/>
      </c>
    </row>
    <row r="67">
      <c r="A67" s="34" t="inlineStr">
        <is>
          <t>Canola</t>
        </is>
      </c>
      <c r="B67" s="39" t="inlineStr">
        <is>
          <t>Beginning Stocks</t>
        </is>
      </c>
      <c r="C67" s="34" t="inlineStr">
        <is>
          <t>2006-07</t>
        </is>
      </c>
      <c r="D67" s="40" t="n">
        <v>2007</v>
      </c>
      <c r="O67" s="40" t="n">
        <v>2007</v>
      </c>
      <c r="P67" s="41">
        <f>SUM(D67:O67)</f>
        <v/>
      </c>
    </row>
    <row r="68">
      <c r="A68" s="34" t="inlineStr">
        <is>
          <t>Canola</t>
        </is>
      </c>
      <c r="B68" s="39" t="inlineStr">
        <is>
          <t>Imports</t>
        </is>
      </c>
      <c r="C68" s="34" t="inlineStr">
        <is>
          <t>2006-07</t>
        </is>
      </c>
      <c r="O68" s="40" t="n">
        <v>203</v>
      </c>
      <c r="P68" s="41">
        <f>SUM(D68:O68)</f>
        <v/>
      </c>
    </row>
    <row r="69">
      <c r="A69" s="34" t="inlineStr">
        <is>
          <t>Canola</t>
        </is>
      </c>
      <c r="B69" s="39" t="inlineStr">
        <is>
          <t>Production</t>
        </is>
      </c>
      <c r="C69" s="34" t="inlineStr">
        <is>
          <t>2006-07</t>
        </is>
      </c>
      <c r="D69" s="40" t="n">
        <v>129.12</v>
      </c>
      <c r="E69" s="40" t="n">
        <v>114.213</v>
      </c>
      <c r="F69" s="40" t="n">
        <v>140.962</v>
      </c>
      <c r="G69" s="40" t="n">
        <v>140.453</v>
      </c>
      <c r="H69" s="40" t="n">
        <v>145.538</v>
      </c>
      <c r="I69" s="40" t="n">
        <v>132.321</v>
      </c>
      <c r="J69" s="40" t="n">
        <v>112.411</v>
      </c>
      <c r="K69" s="40" t="n">
        <v>122.056</v>
      </c>
      <c r="L69" s="40" t="n">
        <v>128.132</v>
      </c>
      <c r="M69" s="40" t="n">
        <v>129.55</v>
      </c>
      <c r="N69" s="40" t="n">
        <v>127.213</v>
      </c>
      <c r="O69" s="40" t="n">
        <v>9000.299999999999</v>
      </c>
      <c r="P69" s="41">
        <f>SUM(D69:O69)</f>
        <v/>
      </c>
    </row>
    <row r="70">
      <c r="A70" s="34" t="inlineStr">
        <is>
          <t>Canola</t>
        </is>
      </c>
      <c r="B70" s="39" t="inlineStr">
        <is>
          <t>Food</t>
        </is>
      </c>
      <c r="C70" s="34" t="inlineStr">
        <is>
          <t>2006-07</t>
        </is>
      </c>
      <c r="O70" s="40" t="n">
        <v>0</v>
      </c>
      <c r="P70" s="41">
        <f>SUM(D70:O70)</f>
        <v/>
      </c>
    </row>
    <row r="71">
      <c r="A71" s="34" t="inlineStr">
        <is>
          <t>Canola</t>
        </is>
      </c>
      <c r="B71" s="39" t="inlineStr">
        <is>
          <t>Crush</t>
        </is>
      </c>
      <c r="C71" s="34" t="inlineStr">
        <is>
          <t>2006-07</t>
        </is>
      </c>
      <c r="P71" s="41">
        <f>SUM(D71:O71)</f>
        <v/>
      </c>
    </row>
    <row r="72">
      <c r="A72" s="34" t="inlineStr">
        <is>
          <t>Canola</t>
        </is>
      </c>
      <c r="B72" s="39" t="inlineStr">
        <is>
          <t>FSR</t>
        </is>
      </c>
      <c r="C72" s="34" t="inlineStr">
        <is>
          <t>2006-07</t>
        </is>
      </c>
      <c r="D72" s="40" t="n">
        <v>3806.791666666667</v>
      </c>
      <c r="E72" s="40" t="n">
        <v>3819.883333333333</v>
      </c>
      <c r="F72" s="40" t="n">
        <v>3832.975</v>
      </c>
      <c r="G72" s="40" t="n">
        <v>3846.066666666667</v>
      </c>
      <c r="H72" s="40" t="n">
        <v>3859.158333333333</v>
      </c>
      <c r="I72" s="40" t="n">
        <v>3872.25</v>
      </c>
      <c r="J72" s="40" t="n">
        <v>3885.341666666666</v>
      </c>
      <c r="K72" s="40" t="n">
        <v>3898.433333333333</v>
      </c>
      <c r="L72" s="40" t="n">
        <v>3911.525</v>
      </c>
      <c r="M72" s="40" t="n">
        <v>3924.616666666665</v>
      </c>
      <c r="N72" s="40" t="n">
        <v>3937.708333333333</v>
      </c>
      <c r="O72" s="40" t="n">
        <v>3950.8</v>
      </c>
      <c r="P72" s="41">
        <f>SUM(D72:O72)</f>
        <v/>
      </c>
    </row>
    <row r="73">
      <c r="A73" s="34" t="inlineStr">
        <is>
          <t>Canola</t>
        </is>
      </c>
      <c r="B73" s="39" t="inlineStr">
        <is>
          <t>Exports</t>
        </is>
      </c>
      <c r="C73" s="34" t="inlineStr">
        <is>
          <t>2006-07</t>
        </is>
      </c>
      <c r="O73" s="40" t="n">
        <v>5476.9</v>
      </c>
      <c r="P73" s="41">
        <f>SUM(D73:O73)</f>
        <v/>
      </c>
    </row>
    <row r="74">
      <c r="A74" s="34" t="inlineStr">
        <is>
          <t>Canola</t>
        </is>
      </c>
      <c r="B74" s="39" t="inlineStr">
        <is>
          <t>Ending Stocks</t>
        </is>
      </c>
      <c r="C74" s="34" t="inlineStr">
        <is>
          <t>2006-07</t>
        </is>
      </c>
      <c r="D74" s="40" t="n">
        <v>-1670.671666666667</v>
      </c>
      <c r="O74" s="40" t="n">
        <v>1782.6</v>
      </c>
      <c r="P74" s="41">
        <f>SUM(D74:O74)</f>
        <v/>
      </c>
    </row>
    <row r="75">
      <c r="A75" s="34" t="inlineStr">
        <is>
          <t>Canola</t>
        </is>
      </c>
      <c r="B75" s="35" t="inlineStr">
        <is>
          <t>Stocks-to-Use</t>
        </is>
      </c>
      <c r="C75" s="34" t="inlineStr">
        <is>
          <t>2006-07</t>
        </is>
      </c>
      <c r="P75" s="37">
        <f>SUM(D75:O75)</f>
        <v/>
      </c>
    </row>
    <row r="76">
      <c r="A76" s="34" t="inlineStr">
        <is>
          <t>Canola</t>
        </is>
      </c>
      <c r="B76" s="35" t="inlineStr">
        <is>
          <t>STU Days</t>
        </is>
      </c>
      <c r="C76" s="34" t="inlineStr">
        <is>
          <t>2006-07</t>
        </is>
      </c>
      <c r="P76" s="41">
        <f>SUM(D76:O76)</f>
        <v/>
      </c>
    </row>
    <row r="77">
      <c r="A77" s="34" t="inlineStr">
        <is>
          <t>Canola</t>
        </is>
      </c>
      <c r="B77" s="35" t="inlineStr">
        <is>
          <t>CHECK</t>
        </is>
      </c>
      <c r="C77" s="34" t="inlineStr">
        <is>
          <t>2006-07</t>
        </is>
      </c>
      <c r="D77" s="41" t="n">
        <v>0</v>
      </c>
      <c r="E77" s="41" t="n">
        <v>-3705.670333333333</v>
      </c>
      <c r="F77" s="41" t="n">
        <v>-3692.013</v>
      </c>
      <c r="G77" s="41" t="n">
        <v>-3705.613666666666</v>
      </c>
      <c r="H77" s="41" t="n">
        <v>-3713.620333333333</v>
      </c>
      <c r="I77" s="41" t="n">
        <v>-3739.929</v>
      </c>
      <c r="J77" s="41" t="n">
        <v>-3772.930666666666</v>
      </c>
      <c r="K77" s="41" t="n">
        <v>-3776.377333333333</v>
      </c>
      <c r="L77" s="41" t="n">
        <v>-3783.393</v>
      </c>
      <c r="M77" s="41" t="n">
        <v>-3795.066666666666</v>
      </c>
      <c r="N77" s="41" t="n">
        <v>-3810.495333333333</v>
      </c>
      <c r="O77" s="41" t="n">
        <v>4.547473508864641e-13</v>
      </c>
      <c r="P77" s="41">
        <f>SUM(D77:O77)</f>
        <v/>
      </c>
    </row>
    <row r="78">
      <c r="A78" s="34" t="inlineStr">
        <is>
          <t>Canola</t>
        </is>
      </c>
      <c r="B78" s="35" t="inlineStr">
        <is>
          <t>Planted Area</t>
        </is>
      </c>
      <c r="C78" s="34" t="inlineStr">
        <is>
          <t>2007-08</t>
        </is>
      </c>
      <c r="P78" s="36">
        <f>SUM(D78:O78)</f>
        <v/>
      </c>
    </row>
    <row r="79">
      <c r="A79" s="34" t="inlineStr">
        <is>
          <t>Canola</t>
        </is>
      </c>
      <c r="B79" s="35" t="inlineStr">
        <is>
          <t>Harvested Area</t>
        </is>
      </c>
      <c r="C79" s="34" t="inlineStr">
        <is>
          <t>2007-08</t>
        </is>
      </c>
      <c r="P79" s="36">
        <f>SUM(D79:O79)</f>
        <v/>
      </c>
    </row>
    <row r="80">
      <c r="A80" s="34" t="inlineStr">
        <is>
          <t>Canola</t>
        </is>
      </c>
      <c r="B80" s="35" t="inlineStr">
        <is>
          <t>Proportion Harvested</t>
        </is>
      </c>
      <c r="C80" s="34" t="inlineStr">
        <is>
          <t>2007-08</t>
        </is>
      </c>
      <c r="P80" s="37">
        <f>SUM(D80:O80)</f>
        <v/>
      </c>
    </row>
    <row r="81">
      <c r="A81" s="34" t="inlineStr">
        <is>
          <t>Canola</t>
        </is>
      </c>
      <c r="B81" s="35" t="inlineStr">
        <is>
          <t>Yield</t>
        </is>
      </c>
      <c r="C81" s="34" t="inlineStr">
        <is>
          <t>2007-08</t>
        </is>
      </c>
      <c r="I81" s="38" t="n">
        <v>0.4042407651694493</v>
      </c>
      <c r="P81" s="38">
        <f>SUM(D81:O81)</f>
        <v/>
      </c>
    </row>
    <row r="82">
      <c r="A82" s="34" t="inlineStr">
        <is>
          <t>Canola</t>
        </is>
      </c>
      <c r="B82" s="39" t="inlineStr">
        <is>
          <t>Beginning Stocks</t>
        </is>
      </c>
      <c r="C82" s="34" t="inlineStr">
        <is>
          <t>2007-08</t>
        </is>
      </c>
      <c r="D82" s="40" t="n">
        <v>1782.6</v>
      </c>
      <c r="O82" s="40" t="n">
        <v>1782.6</v>
      </c>
      <c r="P82" s="41">
        <f>SUM(D82:O82)</f>
        <v/>
      </c>
    </row>
    <row r="83">
      <c r="A83" s="34" t="inlineStr">
        <is>
          <t>Canola</t>
        </is>
      </c>
      <c r="B83" s="39" t="inlineStr">
        <is>
          <t>Imports</t>
        </is>
      </c>
      <c r="C83" s="34" t="inlineStr">
        <is>
          <t>2007-08</t>
        </is>
      </c>
      <c r="O83" s="40" t="n">
        <v>178.8</v>
      </c>
      <c r="P83" s="41">
        <f>SUM(D83:O83)</f>
        <v/>
      </c>
    </row>
    <row r="84">
      <c r="A84" s="34" t="inlineStr">
        <is>
          <t>Canola</t>
        </is>
      </c>
      <c r="B84" s="39" t="inlineStr">
        <is>
          <t>Production</t>
        </is>
      </c>
      <c r="C84" s="34" t="inlineStr">
        <is>
          <t>2007-08</t>
        </is>
      </c>
      <c r="D84" s="40" t="n">
        <v>142.747</v>
      </c>
      <c r="E84" s="40" t="n">
        <v>136.003</v>
      </c>
      <c r="F84" s="40" t="n">
        <v>144.62</v>
      </c>
      <c r="G84" s="40" t="n">
        <v>149.816</v>
      </c>
      <c r="H84" s="40" t="n">
        <v>156.429</v>
      </c>
      <c r="I84" s="40" t="n">
        <v>147.165</v>
      </c>
      <c r="J84" s="40" t="n">
        <v>143.025</v>
      </c>
      <c r="K84" s="40" t="n">
        <v>157.355</v>
      </c>
      <c r="L84" s="40" t="n">
        <v>137.049</v>
      </c>
      <c r="M84" s="40" t="n">
        <v>139.315</v>
      </c>
      <c r="N84" s="40" t="n">
        <v>140.895</v>
      </c>
      <c r="O84" s="40" t="n">
        <v>9611.1</v>
      </c>
      <c r="P84" s="41">
        <f>SUM(D84:O84)</f>
        <v/>
      </c>
    </row>
    <row r="85">
      <c r="A85" s="34" t="inlineStr">
        <is>
          <t>Canola</t>
        </is>
      </c>
      <c r="B85" s="39" t="inlineStr">
        <is>
          <t>Food</t>
        </is>
      </c>
      <c r="C85" s="34" t="inlineStr">
        <is>
          <t>2007-08</t>
        </is>
      </c>
      <c r="O85" s="40" t="n">
        <v>0</v>
      </c>
      <c r="P85" s="41">
        <f>SUM(D85:O85)</f>
        <v/>
      </c>
    </row>
    <row r="86">
      <c r="A86" s="34" t="inlineStr">
        <is>
          <t>Canola</t>
        </is>
      </c>
      <c r="B86" s="39" t="inlineStr">
        <is>
          <t>Crush</t>
        </is>
      </c>
      <c r="C86" s="34" t="inlineStr">
        <is>
          <t>2007-08</t>
        </is>
      </c>
      <c r="P86" s="41">
        <f>SUM(D86:O86)</f>
        <v/>
      </c>
    </row>
    <row r="87">
      <c r="A87" s="34" t="inlineStr">
        <is>
          <t>Canola</t>
        </is>
      </c>
      <c r="B87" s="39" t="inlineStr">
        <is>
          <t>FSR</t>
        </is>
      </c>
      <c r="C87" s="34" t="inlineStr">
        <is>
          <t>2007-08</t>
        </is>
      </c>
      <c r="D87" s="40" t="n">
        <v>3992.391666666666</v>
      </c>
      <c r="E87" s="40" t="n">
        <v>4033.983333333333</v>
      </c>
      <c r="F87" s="40" t="n">
        <v>4075.575</v>
      </c>
      <c r="G87" s="40" t="n">
        <v>4117.166666666666</v>
      </c>
      <c r="H87" s="40" t="n">
        <v>4158.758333333333</v>
      </c>
      <c r="I87" s="40" t="n">
        <v>4200.349999999999</v>
      </c>
      <c r="J87" s="40" t="n">
        <v>4241.941666666667</v>
      </c>
      <c r="K87" s="40" t="n">
        <v>4283.533333333333</v>
      </c>
      <c r="L87" s="40" t="n">
        <v>4325.125</v>
      </c>
      <c r="M87" s="40" t="n">
        <v>4366.716666666666</v>
      </c>
      <c r="N87" s="40" t="n">
        <v>4408.308333333333</v>
      </c>
      <c r="O87" s="40" t="n">
        <v>4449.9</v>
      </c>
      <c r="P87" s="41">
        <f>SUM(D87:O87)</f>
        <v/>
      </c>
    </row>
    <row r="88">
      <c r="A88" s="34" t="inlineStr">
        <is>
          <t>Canola</t>
        </is>
      </c>
      <c r="B88" s="39" t="inlineStr">
        <is>
          <t>Exports</t>
        </is>
      </c>
      <c r="C88" s="34" t="inlineStr">
        <is>
          <t>2007-08</t>
        </is>
      </c>
      <c r="O88" s="40" t="n">
        <v>5661.1</v>
      </c>
      <c r="P88" s="41">
        <f>SUM(D88:O88)</f>
        <v/>
      </c>
    </row>
    <row r="89">
      <c r="A89" s="34" t="inlineStr">
        <is>
          <t>Canola</t>
        </is>
      </c>
      <c r="B89" s="39" t="inlineStr">
        <is>
          <t>Ending Stocks</t>
        </is>
      </c>
      <c r="C89" s="34" t="inlineStr">
        <is>
          <t>2007-08</t>
        </is>
      </c>
      <c r="D89" s="40" t="n">
        <v>-2067.044666666667</v>
      </c>
      <c r="O89" s="40" t="n">
        <v>1461.5</v>
      </c>
      <c r="P89" s="41">
        <f>SUM(D89:O89)</f>
        <v/>
      </c>
    </row>
    <row r="90">
      <c r="A90" s="34" t="inlineStr">
        <is>
          <t>Canola</t>
        </is>
      </c>
      <c r="B90" s="35" t="inlineStr">
        <is>
          <t>Stocks-to-Use</t>
        </is>
      </c>
      <c r="C90" s="34" t="inlineStr">
        <is>
          <t>2007-08</t>
        </is>
      </c>
      <c r="P90" s="37">
        <f>SUM(D90:O90)</f>
        <v/>
      </c>
    </row>
    <row r="91">
      <c r="A91" s="34" t="inlineStr">
        <is>
          <t>Canola</t>
        </is>
      </c>
      <c r="B91" s="35" t="inlineStr">
        <is>
          <t>STU Days</t>
        </is>
      </c>
      <c r="C91" s="34" t="inlineStr">
        <is>
          <t>2007-08</t>
        </is>
      </c>
      <c r="P91" s="41">
        <f>SUM(D91:O91)</f>
        <v/>
      </c>
    </row>
    <row r="92">
      <c r="A92" s="34" t="inlineStr">
        <is>
          <t>Canola</t>
        </is>
      </c>
      <c r="B92" s="35" t="inlineStr">
        <is>
          <t>CHECK</t>
        </is>
      </c>
      <c r="C92" s="34" t="inlineStr">
        <is>
          <t>2007-08</t>
        </is>
      </c>
      <c r="D92" s="41" t="n">
        <v>0</v>
      </c>
      <c r="E92" s="41" t="n">
        <v>-3897.980333333333</v>
      </c>
      <c r="F92" s="41" t="n">
        <v>-3930.955</v>
      </c>
      <c r="G92" s="41" t="n">
        <v>-3967.350666666666</v>
      </c>
      <c r="H92" s="41" t="n">
        <v>-4002.329333333333</v>
      </c>
      <c r="I92" s="41" t="n">
        <v>-4053.185</v>
      </c>
      <c r="J92" s="41" t="n">
        <v>-4098.916666666667</v>
      </c>
      <c r="K92" s="41" t="n">
        <v>-4126.178333333333</v>
      </c>
      <c r="L92" s="41" t="n">
        <v>-4188.076</v>
      </c>
      <c r="M92" s="41" t="n">
        <v>-4227.401666666667</v>
      </c>
      <c r="N92" s="41" t="n">
        <v>-4267.413333333333</v>
      </c>
      <c r="O92" s="41" t="n">
        <v>0</v>
      </c>
      <c r="P92" s="41">
        <f>SUM(D92:O92)</f>
        <v/>
      </c>
    </row>
    <row r="93">
      <c r="A93" s="34" t="inlineStr">
        <is>
          <t>Canola</t>
        </is>
      </c>
      <c r="B93" s="35" t="inlineStr">
        <is>
          <t>Planted Area</t>
        </is>
      </c>
      <c r="C93" s="34" t="inlineStr">
        <is>
          <t>2008-09</t>
        </is>
      </c>
      <c r="P93" s="36">
        <f>SUM(D93:O93)</f>
        <v/>
      </c>
    </row>
    <row r="94">
      <c r="A94" s="34" t="inlineStr">
        <is>
          <t>Canola</t>
        </is>
      </c>
      <c r="B94" s="35" t="inlineStr">
        <is>
          <t>Harvested Area</t>
        </is>
      </c>
      <c r="C94" s="34" t="inlineStr">
        <is>
          <t>2008-09</t>
        </is>
      </c>
      <c r="P94" s="36">
        <f>SUM(D94:O94)</f>
        <v/>
      </c>
    </row>
    <row r="95">
      <c r="A95" s="34" t="inlineStr">
        <is>
          <t>Canola</t>
        </is>
      </c>
      <c r="B95" s="35" t="inlineStr">
        <is>
          <t>Proportion Harvested</t>
        </is>
      </c>
      <c r="C95" s="34" t="inlineStr">
        <is>
          <t>2008-09</t>
        </is>
      </c>
      <c r="P95" s="37">
        <f>SUM(D95:O95)</f>
        <v/>
      </c>
    </row>
    <row r="96">
      <c r="A96" s="34" t="inlineStr">
        <is>
          <t>Canola</t>
        </is>
      </c>
      <c r="B96" s="35" t="inlineStr">
        <is>
          <t>Yield</t>
        </is>
      </c>
      <c r="C96" s="34" t="inlineStr">
        <is>
          <t>2008-09</t>
        </is>
      </c>
      <c r="I96" s="38" t="n">
        <v>0.4261049120589751</v>
      </c>
      <c r="P96" s="38">
        <f>SUM(D96:O96)</f>
        <v/>
      </c>
    </row>
    <row r="97">
      <c r="A97" s="34" t="inlineStr">
        <is>
          <t>Canola</t>
        </is>
      </c>
      <c r="B97" s="39" t="inlineStr">
        <is>
          <t>Beginning Stocks</t>
        </is>
      </c>
      <c r="C97" s="34" t="inlineStr">
        <is>
          <t>2008-09</t>
        </is>
      </c>
      <c r="D97" s="40" t="n">
        <v>1461.5</v>
      </c>
      <c r="O97" s="40" t="n">
        <v>1461.5</v>
      </c>
      <c r="P97" s="41">
        <f>SUM(D97:O97)</f>
        <v/>
      </c>
    </row>
    <row r="98">
      <c r="A98" s="34" t="inlineStr">
        <is>
          <t>Canola</t>
        </is>
      </c>
      <c r="B98" s="39" t="inlineStr">
        <is>
          <t>Imports</t>
        </is>
      </c>
      <c r="C98" s="34" t="inlineStr">
        <is>
          <t>2008-09</t>
        </is>
      </c>
      <c r="O98" s="40" t="n">
        <v>120.5</v>
      </c>
      <c r="P98" s="41">
        <f>SUM(D98:O98)</f>
        <v/>
      </c>
    </row>
    <row r="99">
      <c r="A99" s="34" t="inlineStr">
        <is>
          <t>Canola</t>
        </is>
      </c>
      <c r="B99" s="39" t="inlineStr">
        <is>
          <t>Production</t>
        </is>
      </c>
      <c r="C99" s="34" t="inlineStr">
        <is>
          <t>2008-09</t>
        </is>
      </c>
      <c r="D99" s="40" t="n">
        <v>126.328</v>
      </c>
      <c r="E99" s="40" t="n">
        <v>154.031</v>
      </c>
      <c r="F99" s="40" t="n">
        <v>168.982</v>
      </c>
      <c r="G99" s="40" t="n">
        <v>158.086</v>
      </c>
      <c r="H99" s="40" t="n">
        <v>165.73</v>
      </c>
      <c r="I99" s="40" t="n">
        <v>155.605</v>
      </c>
      <c r="J99" s="40" t="n">
        <v>149.154</v>
      </c>
      <c r="K99" s="40" t="n">
        <v>167.96</v>
      </c>
      <c r="L99" s="40" t="n">
        <v>153.15</v>
      </c>
      <c r="M99" s="40" t="n">
        <v>138.734</v>
      </c>
      <c r="N99" s="40" t="n">
        <v>142.469</v>
      </c>
      <c r="O99" s="40" t="n">
        <v>12644.9</v>
      </c>
      <c r="P99" s="41">
        <f>SUM(D99:O99)</f>
        <v/>
      </c>
    </row>
    <row r="100">
      <c r="A100" s="34" t="inlineStr">
        <is>
          <t>Canola</t>
        </is>
      </c>
      <c r="B100" s="39" t="inlineStr">
        <is>
          <t>Food</t>
        </is>
      </c>
      <c r="C100" s="34" t="inlineStr">
        <is>
          <t>2008-09</t>
        </is>
      </c>
      <c r="O100" s="40" t="n">
        <v>0</v>
      </c>
      <c r="P100" s="41">
        <f>SUM(D100:O100)</f>
        <v/>
      </c>
    </row>
    <row r="101">
      <c r="A101" s="34" t="inlineStr">
        <is>
          <t>Canola</t>
        </is>
      </c>
      <c r="B101" s="39" t="inlineStr">
        <is>
          <t>Crush</t>
        </is>
      </c>
      <c r="C101" s="34" t="inlineStr">
        <is>
          <t>2008-09</t>
        </is>
      </c>
      <c r="P101" s="41">
        <f>SUM(D101:O101)</f>
        <v/>
      </c>
    </row>
    <row r="102">
      <c r="A102" s="34" t="inlineStr">
        <is>
          <t>Canola</t>
        </is>
      </c>
      <c r="B102" s="39" t="inlineStr">
        <is>
          <t>FSR</t>
        </is>
      </c>
      <c r="C102" s="34" t="inlineStr">
        <is>
          <t>2008-09</t>
        </is>
      </c>
      <c r="D102" s="40" t="n">
        <v>4443.7</v>
      </c>
      <c r="E102" s="40" t="n">
        <v>4437.5</v>
      </c>
      <c r="F102" s="40" t="n">
        <v>4431.299999999999</v>
      </c>
      <c r="G102" s="40" t="n">
        <v>4425.099999999999</v>
      </c>
      <c r="H102" s="40" t="n">
        <v>4418.9</v>
      </c>
      <c r="I102" s="40" t="n">
        <v>4412.7</v>
      </c>
      <c r="J102" s="40" t="n">
        <v>4406.5</v>
      </c>
      <c r="K102" s="40" t="n">
        <v>4400.3</v>
      </c>
      <c r="L102" s="40" t="n">
        <v>4394.1</v>
      </c>
      <c r="M102" s="40" t="n">
        <v>4387.9</v>
      </c>
      <c r="N102" s="40" t="n">
        <v>4381.7</v>
      </c>
      <c r="O102" s="40" t="n">
        <v>4375.5</v>
      </c>
      <c r="P102" s="41">
        <f>SUM(D102:O102)</f>
        <v/>
      </c>
    </row>
    <row r="103">
      <c r="A103" s="34" t="inlineStr">
        <is>
          <t>Canola</t>
        </is>
      </c>
      <c r="B103" s="39" t="inlineStr">
        <is>
          <t>Exports</t>
        </is>
      </c>
      <c r="C103" s="34" t="inlineStr">
        <is>
          <t>2008-09</t>
        </is>
      </c>
      <c r="O103" s="40" t="n">
        <v>7907.9</v>
      </c>
      <c r="P103" s="41">
        <f>SUM(D103:O103)</f>
        <v/>
      </c>
    </row>
    <row r="104">
      <c r="A104" s="34" t="inlineStr">
        <is>
          <t>Canola</t>
        </is>
      </c>
      <c r="B104" s="39" t="inlineStr">
        <is>
          <t>Ending Stocks</t>
        </is>
      </c>
      <c r="C104" s="34" t="inlineStr">
        <is>
          <t>2008-09</t>
        </is>
      </c>
      <c r="D104" s="40" t="n">
        <v>-2855.872</v>
      </c>
      <c r="O104" s="40" t="n">
        <v>1943.5</v>
      </c>
      <c r="P104" s="41">
        <f>SUM(D104:O104)</f>
        <v/>
      </c>
    </row>
    <row r="105">
      <c r="A105" s="34" t="inlineStr">
        <is>
          <t>Canola</t>
        </is>
      </c>
      <c r="B105" s="35" t="inlineStr">
        <is>
          <t>Stocks-to-Use</t>
        </is>
      </c>
      <c r="C105" s="34" t="inlineStr">
        <is>
          <t>2008-09</t>
        </is>
      </c>
      <c r="P105" s="37">
        <f>SUM(D105:O105)</f>
        <v/>
      </c>
    </row>
    <row r="106">
      <c r="A106" s="34" t="inlineStr">
        <is>
          <t>Canola</t>
        </is>
      </c>
      <c r="B106" s="35" t="inlineStr">
        <is>
          <t>STU Days</t>
        </is>
      </c>
      <c r="C106" s="34" t="inlineStr">
        <is>
          <t>2008-09</t>
        </is>
      </c>
      <c r="P106" s="41">
        <f>SUM(D106:O106)</f>
        <v/>
      </c>
    </row>
    <row r="107">
      <c r="A107" s="34" t="inlineStr">
        <is>
          <t>Canola</t>
        </is>
      </c>
      <c r="B107" s="35" t="inlineStr">
        <is>
          <t>CHECK</t>
        </is>
      </c>
      <c r="C107" s="34" t="inlineStr">
        <is>
          <t>2008-09</t>
        </is>
      </c>
      <c r="D107" s="41" t="n">
        <v>0</v>
      </c>
      <c r="E107" s="41" t="n">
        <v>-4283.469</v>
      </c>
      <c r="F107" s="41" t="n">
        <v>-4262.317999999999</v>
      </c>
      <c r="G107" s="41" t="n">
        <v>-4267.013999999999</v>
      </c>
      <c r="H107" s="41" t="n">
        <v>-4253.17</v>
      </c>
      <c r="I107" s="41" t="n">
        <v>-4257.095</v>
      </c>
      <c r="J107" s="41" t="n">
        <v>-4257.346</v>
      </c>
      <c r="K107" s="41" t="n">
        <v>-4232.34</v>
      </c>
      <c r="L107" s="41" t="n">
        <v>-4240.950000000001</v>
      </c>
      <c r="M107" s="41" t="n">
        <v>-4249.165999999999</v>
      </c>
      <c r="N107" s="41" t="n">
        <v>-4239.231</v>
      </c>
      <c r="O107" s="41" t="n">
        <v>0</v>
      </c>
      <c r="P107" s="41">
        <f>SUM(D107:O107)</f>
        <v/>
      </c>
    </row>
    <row r="108">
      <c r="A108" s="34" t="inlineStr">
        <is>
          <t>Canola</t>
        </is>
      </c>
      <c r="B108" s="35" t="inlineStr">
        <is>
          <t>Planted Area</t>
        </is>
      </c>
      <c r="C108" s="34" t="inlineStr">
        <is>
          <t>2009-10</t>
        </is>
      </c>
      <c r="P108" s="36">
        <f>SUM(D108:O108)</f>
        <v/>
      </c>
    </row>
    <row r="109">
      <c r="A109" s="34" t="inlineStr">
        <is>
          <t>Canola</t>
        </is>
      </c>
      <c r="B109" s="35" t="inlineStr">
        <is>
          <t>Harvested Area</t>
        </is>
      </c>
      <c r="C109" s="34" t="inlineStr">
        <is>
          <t>2009-10</t>
        </is>
      </c>
      <c r="P109" s="36">
        <f>SUM(D109:O109)</f>
        <v/>
      </c>
    </row>
    <row r="110">
      <c r="A110" s="34" t="inlineStr">
        <is>
          <t>Canola</t>
        </is>
      </c>
      <c r="B110" s="35" t="inlineStr">
        <is>
          <t>Proportion Harvested</t>
        </is>
      </c>
      <c r="C110" s="34" t="inlineStr">
        <is>
          <t>2009-10</t>
        </is>
      </c>
      <c r="P110" s="37">
        <f>SUM(D110:O110)</f>
        <v/>
      </c>
    </row>
    <row r="111">
      <c r="A111" s="34" t="inlineStr">
        <is>
          <t>Canola</t>
        </is>
      </c>
      <c r="B111" s="35" t="inlineStr">
        <is>
          <t>Yield</t>
        </is>
      </c>
      <c r="C111" s="34" t="inlineStr">
        <is>
          <t>2009-10</t>
        </is>
      </c>
      <c r="I111" s="38" t="n">
        <v>0.4629661761842097</v>
      </c>
      <c r="P111" s="38">
        <f>SUM(D111:O111)</f>
        <v/>
      </c>
    </row>
    <row r="112">
      <c r="A112" s="34" t="inlineStr">
        <is>
          <t>Canola</t>
        </is>
      </c>
      <c r="B112" s="39" t="inlineStr">
        <is>
          <t>Beginning Stocks</t>
        </is>
      </c>
      <c r="C112" s="34" t="inlineStr">
        <is>
          <t>2009-10</t>
        </is>
      </c>
      <c r="D112" s="40" t="n">
        <v>1943.5</v>
      </c>
      <c r="O112" s="40" t="n">
        <v>1943.5</v>
      </c>
      <c r="P112" s="41">
        <f>SUM(D112:O112)</f>
        <v/>
      </c>
    </row>
    <row r="113">
      <c r="A113" s="34" t="inlineStr">
        <is>
          <t>Canola</t>
        </is>
      </c>
      <c r="B113" s="39" t="inlineStr">
        <is>
          <t>Imports</t>
        </is>
      </c>
      <c r="C113" s="34" t="inlineStr">
        <is>
          <t>2009-10</t>
        </is>
      </c>
      <c r="O113" s="40" t="n">
        <v>127.9</v>
      </c>
      <c r="P113" s="41">
        <f>SUM(D113:O113)</f>
        <v/>
      </c>
    </row>
    <row r="114">
      <c r="A114" s="34" t="inlineStr">
        <is>
          <t>Canola</t>
        </is>
      </c>
      <c r="B114" s="39" t="inlineStr">
        <is>
          <t>Production</t>
        </is>
      </c>
      <c r="C114" s="34" t="inlineStr">
        <is>
          <t>2009-10</t>
        </is>
      </c>
      <c r="D114" s="40" t="n">
        <v>145.801</v>
      </c>
      <c r="E114" s="40" t="n">
        <v>144.419</v>
      </c>
      <c r="F114" s="40" t="n">
        <v>135.433</v>
      </c>
      <c r="G114" s="40" t="n">
        <v>164.176</v>
      </c>
      <c r="H114" s="40" t="n">
        <v>155.368</v>
      </c>
      <c r="I114" s="40" t="n">
        <v>177.93</v>
      </c>
      <c r="J114" s="40" t="n">
        <v>170.754</v>
      </c>
      <c r="K114" s="40" t="n">
        <v>208.994</v>
      </c>
      <c r="L114" s="40" t="n">
        <v>193.466</v>
      </c>
      <c r="M114" s="40" t="n">
        <v>189.016</v>
      </c>
      <c r="N114" s="40" t="n">
        <v>200.514</v>
      </c>
      <c r="O114" s="40" t="n">
        <v>12898.1</v>
      </c>
      <c r="P114" s="41">
        <f>SUM(D114:O114)</f>
        <v/>
      </c>
    </row>
    <row r="115">
      <c r="A115" s="34" t="inlineStr">
        <is>
          <t>Canola</t>
        </is>
      </c>
      <c r="B115" s="39" t="inlineStr">
        <is>
          <t>Food</t>
        </is>
      </c>
      <c r="C115" s="34" t="inlineStr">
        <is>
          <t>2009-10</t>
        </is>
      </c>
      <c r="O115" s="40" t="n">
        <v>0</v>
      </c>
      <c r="P115" s="41">
        <f>SUM(D115:O115)</f>
        <v/>
      </c>
    </row>
    <row r="116">
      <c r="A116" s="34" t="inlineStr">
        <is>
          <t>Canola</t>
        </is>
      </c>
      <c r="B116" s="39" t="inlineStr">
        <is>
          <t>Crush</t>
        </is>
      </c>
      <c r="C116" s="34" t="inlineStr">
        <is>
          <t>2009-10</t>
        </is>
      </c>
      <c r="P116" s="41">
        <f>SUM(D116:O116)</f>
        <v/>
      </c>
    </row>
    <row r="117">
      <c r="A117" s="34" t="inlineStr">
        <is>
          <t>Canola</t>
        </is>
      </c>
      <c r="B117" s="39" t="inlineStr">
        <is>
          <t>FSR</t>
        </is>
      </c>
      <c r="C117" s="34" t="inlineStr">
        <is>
          <t>2009-10</t>
        </is>
      </c>
      <c r="D117" s="40" t="n">
        <v>4432.4</v>
      </c>
      <c r="E117" s="40" t="n">
        <v>4489.3</v>
      </c>
      <c r="F117" s="40" t="n">
        <v>4546.2</v>
      </c>
      <c r="G117" s="40" t="n">
        <v>4603.1</v>
      </c>
      <c r="H117" s="40" t="n">
        <v>4660</v>
      </c>
      <c r="I117" s="40" t="n">
        <v>4716.9</v>
      </c>
      <c r="J117" s="40" t="n">
        <v>4773.8</v>
      </c>
      <c r="K117" s="40" t="n">
        <v>4830.7</v>
      </c>
      <c r="L117" s="40" t="n">
        <v>4887.6</v>
      </c>
      <c r="M117" s="40" t="n">
        <v>4944.5</v>
      </c>
      <c r="N117" s="40" t="n">
        <v>5001.4</v>
      </c>
      <c r="O117" s="40" t="n">
        <v>5058.3</v>
      </c>
      <c r="P117" s="41">
        <f>SUM(D117:O117)</f>
        <v/>
      </c>
    </row>
    <row r="118">
      <c r="A118" s="34" t="inlineStr">
        <is>
          <t>Canola</t>
        </is>
      </c>
      <c r="B118" s="39" t="inlineStr">
        <is>
          <t>Exports</t>
        </is>
      </c>
      <c r="C118" s="34" t="inlineStr">
        <is>
          <t>2009-10</t>
        </is>
      </c>
      <c r="O118" s="40" t="n">
        <v>7162.5</v>
      </c>
      <c r="P118" s="41">
        <f>SUM(D118:O118)</f>
        <v/>
      </c>
    </row>
    <row r="119">
      <c r="A119" s="34" t="inlineStr">
        <is>
          <t>Canola</t>
        </is>
      </c>
      <c r="B119" s="39" t="inlineStr">
        <is>
          <t>Ending Stocks</t>
        </is>
      </c>
      <c r="C119" s="34" t="inlineStr">
        <is>
          <t>2009-10</t>
        </is>
      </c>
      <c r="D119" s="40" t="n">
        <v>-2343.099</v>
      </c>
      <c r="O119" s="40" t="n">
        <v>2748.7</v>
      </c>
      <c r="P119" s="41">
        <f>SUM(D119:O119)</f>
        <v/>
      </c>
    </row>
    <row r="120">
      <c r="A120" s="34" t="inlineStr">
        <is>
          <t>Canola</t>
        </is>
      </c>
      <c r="B120" s="35" t="inlineStr">
        <is>
          <t>Stocks-to-Use</t>
        </is>
      </c>
      <c r="C120" s="34" t="inlineStr">
        <is>
          <t>2009-10</t>
        </is>
      </c>
      <c r="P120" s="37">
        <f>SUM(D120:O120)</f>
        <v/>
      </c>
    </row>
    <row r="121">
      <c r="A121" s="34" t="inlineStr">
        <is>
          <t>Canola</t>
        </is>
      </c>
      <c r="B121" s="35" t="inlineStr">
        <is>
          <t>STU Days</t>
        </is>
      </c>
      <c r="C121" s="34" t="inlineStr">
        <is>
          <t>2009-10</t>
        </is>
      </c>
      <c r="P121" s="41">
        <f>SUM(D121:O121)</f>
        <v/>
      </c>
    </row>
    <row r="122">
      <c r="A122" s="34" t="inlineStr">
        <is>
          <t>Canola</t>
        </is>
      </c>
      <c r="B122" s="35" t="inlineStr">
        <is>
          <t>CHECK</t>
        </is>
      </c>
      <c r="C122" s="34" t="inlineStr">
        <is>
          <t>2009-10</t>
        </is>
      </c>
      <c r="D122" s="41" t="n">
        <v>0</v>
      </c>
      <c r="E122" s="41" t="n">
        <v>-4344.881</v>
      </c>
      <c r="F122" s="41" t="n">
        <v>-4410.767</v>
      </c>
      <c r="G122" s="41" t="n">
        <v>-4438.924</v>
      </c>
      <c r="H122" s="41" t="n">
        <v>-4504.632</v>
      </c>
      <c r="I122" s="41" t="n">
        <v>-4538.969999999999</v>
      </c>
      <c r="J122" s="41" t="n">
        <v>-4603.046</v>
      </c>
      <c r="K122" s="41" t="n">
        <v>-4621.706</v>
      </c>
      <c r="L122" s="41" t="n">
        <v>-4694.134</v>
      </c>
      <c r="M122" s="41" t="n">
        <v>-4755.484</v>
      </c>
      <c r="N122" s="41" t="n">
        <v>-4800.886</v>
      </c>
      <c r="O122" s="41" t="n">
        <v>9.094947017729282e-13</v>
      </c>
      <c r="P122" s="41">
        <f>SUM(D122:O122)</f>
        <v/>
      </c>
    </row>
    <row r="123">
      <c r="A123" s="34" t="inlineStr">
        <is>
          <t>Canola</t>
        </is>
      </c>
      <c r="B123" s="35" t="inlineStr">
        <is>
          <t>Planted Area</t>
        </is>
      </c>
      <c r="C123" s="34" t="inlineStr">
        <is>
          <t>2010-11</t>
        </is>
      </c>
      <c r="P123" s="36">
        <f>SUM(D123:O123)</f>
        <v/>
      </c>
    </row>
    <row r="124">
      <c r="A124" s="34" t="inlineStr">
        <is>
          <t>Canola</t>
        </is>
      </c>
      <c r="B124" s="35" t="inlineStr">
        <is>
          <t>Harvested Area</t>
        </is>
      </c>
      <c r="C124" s="34" t="inlineStr">
        <is>
          <t>2010-11</t>
        </is>
      </c>
      <c r="P124" s="36">
        <f>SUM(D124:O124)</f>
        <v/>
      </c>
    </row>
    <row r="125">
      <c r="A125" s="34" t="inlineStr">
        <is>
          <t>Canola</t>
        </is>
      </c>
      <c r="B125" s="35" t="inlineStr">
        <is>
          <t>Proportion Harvested</t>
        </is>
      </c>
      <c r="C125" s="34" t="inlineStr">
        <is>
          <t>2010-11</t>
        </is>
      </c>
      <c r="P125" s="37">
        <f>SUM(D125:O125)</f>
        <v/>
      </c>
    </row>
    <row r="126">
      <c r="A126" s="34" t="inlineStr">
        <is>
          <t>Canola</t>
        </is>
      </c>
      <c r="B126" s="35" t="inlineStr">
        <is>
          <t>Yield</t>
        </is>
      </c>
      <c r="C126" s="34" t="inlineStr">
        <is>
          <t>2010-11</t>
        </is>
      </c>
      <c r="I126" s="38" t="n">
        <v>0.5213498817572972</v>
      </c>
      <c r="P126" s="38">
        <f>SUM(D126:O126)</f>
        <v/>
      </c>
    </row>
    <row r="127">
      <c r="A127" s="34" t="inlineStr">
        <is>
          <t>Canola</t>
        </is>
      </c>
      <c r="B127" s="39" t="inlineStr">
        <is>
          <t>Beginning Stocks</t>
        </is>
      </c>
      <c r="C127" s="34" t="inlineStr">
        <is>
          <t>2010-11</t>
        </is>
      </c>
      <c r="D127" s="40" t="n">
        <v>2748.7</v>
      </c>
      <c r="O127" s="40" t="n">
        <v>2748.7</v>
      </c>
      <c r="P127" s="41">
        <f>SUM(D127:O127)</f>
        <v/>
      </c>
    </row>
    <row r="128">
      <c r="A128" s="34" t="inlineStr">
        <is>
          <t>Canola</t>
        </is>
      </c>
      <c r="B128" s="39" t="inlineStr">
        <is>
          <t>Imports</t>
        </is>
      </c>
      <c r="C128" s="34" t="inlineStr">
        <is>
          <t>2010-11</t>
        </is>
      </c>
      <c r="O128" s="40" t="n">
        <v>223.7</v>
      </c>
      <c r="P128" s="41">
        <f>SUM(D128:O128)</f>
        <v/>
      </c>
    </row>
    <row r="129">
      <c r="A129" s="34" t="inlineStr">
        <is>
          <t>Canola</t>
        </is>
      </c>
      <c r="B129" s="39" t="inlineStr">
        <is>
          <t>Production</t>
        </is>
      </c>
      <c r="C129" s="34" t="inlineStr">
        <is>
          <t>2010-11</t>
        </is>
      </c>
      <c r="D129" s="40" t="n">
        <v>192.227</v>
      </c>
      <c r="E129" s="40" t="n">
        <v>219.424</v>
      </c>
      <c r="F129" s="40" t="n">
        <v>239.345</v>
      </c>
      <c r="G129" s="40" t="n">
        <v>239.87</v>
      </c>
      <c r="H129" s="40" t="n">
        <v>243.497</v>
      </c>
      <c r="I129" s="40" t="n">
        <v>221.745</v>
      </c>
      <c r="J129" s="40" t="n">
        <v>213.452</v>
      </c>
      <c r="K129" s="40" t="n">
        <v>257.356</v>
      </c>
      <c r="L129" s="40" t="n">
        <v>236.522</v>
      </c>
      <c r="M129" s="40" t="n">
        <v>228.137</v>
      </c>
      <c r="N129" s="40" t="n">
        <v>229.92</v>
      </c>
      <c r="O129" s="40" t="n">
        <v>12788.6</v>
      </c>
      <c r="P129" s="41">
        <f>SUM(D129:O129)</f>
        <v/>
      </c>
    </row>
    <row r="130">
      <c r="A130" s="34" t="inlineStr">
        <is>
          <t>Canola</t>
        </is>
      </c>
      <c r="B130" s="39" t="inlineStr">
        <is>
          <t>Food</t>
        </is>
      </c>
      <c r="C130" s="34" t="inlineStr">
        <is>
          <t>2010-11</t>
        </is>
      </c>
      <c r="O130" s="40" t="n">
        <v>0</v>
      </c>
      <c r="P130" s="41">
        <f>SUM(D130:O130)</f>
        <v/>
      </c>
    </row>
    <row r="131">
      <c r="A131" s="34" t="inlineStr">
        <is>
          <t>Canola</t>
        </is>
      </c>
      <c r="B131" s="39" t="inlineStr">
        <is>
          <t>Crush</t>
        </is>
      </c>
      <c r="C131" s="34" t="inlineStr">
        <is>
          <t>2010-11</t>
        </is>
      </c>
      <c r="P131" s="41">
        <f>SUM(D131:O131)</f>
        <v/>
      </c>
    </row>
    <row r="132">
      <c r="A132" s="34" t="inlineStr">
        <is>
          <t>Canola</t>
        </is>
      </c>
      <c r="B132" s="39" t="inlineStr">
        <is>
          <t>FSR</t>
        </is>
      </c>
      <c r="C132" s="34" t="inlineStr">
        <is>
          <t>2010-11</t>
        </is>
      </c>
      <c r="D132" s="40" t="n">
        <v>5175.991666666667</v>
      </c>
      <c r="E132" s="40" t="n">
        <v>5293.683333333333</v>
      </c>
      <c r="F132" s="40" t="n">
        <v>5411.375</v>
      </c>
      <c r="G132" s="40" t="n">
        <v>5529.066666666667</v>
      </c>
      <c r="H132" s="40" t="n">
        <v>5646.758333333333</v>
      </c>
      <c r="I132" s="40" t="n">
        <v>5764.45</v>
      </c>
      <c r="J132" s="40" t="n">
        <v>5882.141666666666</v>
      </c>
      <c r="K132" s="40" t="n">
        <v>5999.833333333333</v>
      </c>
      <c r="L132" s="40" t="n">
        <v>6117.525</v>
      </c>
      <c r="M132" s="40" t="n">
        <v>6235.216666666666</v>
      </c>
      <c r="N132" s="40" t="n">
        <v>6352.908333333333</v>
      </c>
      <c r="O132" s="40" t="n">
        <v>6470.599999999999</v>
      </c>
      <c r="P132" s="41">
        <f>SUM(D132:O132)</f>
        <v/>
      </c>
    </row>
    <row r="133">
      <c r="A133" s="34" t="inlineStr">
        <is>
          <t>Canola</t>
        </is>
      </c>
      <c r="B133" s="39" t="inlineStr">
        <is>
          <t>Exports</t>
        </is>
      </c>
      <c r="C133" s="34" t="inlineStr">
        <is>
          <t>2010-11</t>
        </is>
      </c>
      <c r="O133" s="40" t="n">
        <v>7104.6</v>
      </c>
      <c r="P133" s="41">
        <f>SUM(D133:O133)</f>
        <v/>
      </c>
    </row>
    <row r="134">
      <c r="A134" s="34" t="inlineStr">
        <is>
          <t>Canola</t>
        </is>
      </c>
      <c r="B134" s="39" t="inlineStr">
        <is>
          <t>Ending Stocks</t>
        </is>
      </c>
      <c r="C134" s="34" t="inlineStr">
        <is>
          <t>2010-11</t>
        </is>
      </c>
      <c r="D134" s="40" t="n">
        <v>-2235.064666666667</v>
      </c>
      <c r="O134" s="40" t="n">
        <v>2185.8</v>
      </c>
      <c r="P134" s="41">
        <f>SUM(D134:O134)</f>
        <v/>
      </c>
    </row>
    <row r="135">
      <c r="A135" s="34" t="inlineStr">
        <is>
          <t>Canola</t>
        </is>
      </c>
      <c r="B135" s="35" t="inlineStr">
        <is>
          <t>Stocks-to-Use</t>
        </is>
      </c>
      <c r="C135" s="34" t="inlineStr">
        <is>
          <t>2010-11</t>
        </is>
      </c>
      <c r="P135" s="37">
        <f>SUM(D135:O135)</f>
        <v/>
      </c>
    </row>
    <row r="136">
      <c r="A136" s="34" t="inlineStr">
        <is>
          <t>Canola</t>
        </is>
      </c>
      <c r="B136" s="35" t="inlineStr">
        <is>
          <t>STU Days</t>
        </is>
      </c>
      <c r="C136" s="34" t="inlineStr">
        <is>
          <t>2010-11</t>
        </is>
      </c>
      <c r="P136" s="41">
        <f>SUM(D136:O136)</f>
        <v/>
      </c>
    </row>
    <row r="137">
      <c r="A137" s="34" t="inlineStr">
        <is>
          <t>Canola</t>
        </is>
      </c>
      <c r="B137" s="35" t="inlineStr">
        <is>
          <t>CHECK</t>
        </is>
      </c>
      <c r="C137" s="34" t="inlineStr">
        <is>
          <t>2010-11</t>
        </is>
      </c>
      <c r="D137" s="41" t="n">
        <v>0</v>
      </c>
      <c r="E137" s="41" t="n">
        <v>-5074.259333333333</v>
      </c>
      <c r="F137" s="41" t="n">
        <v>-5172.03</v>
      </c>
      <c r="G137" s="41" t="n">
        <v>-5289.196666666667</v>
      </c>
      <c r="H137" s="41" t="n">
        <v>-5403.261333333333</v>
      </c>
      <c r="I137" s="41" t="n">
        <v>-5542.705</v>
      </c>
      <c r="J137" s="41" t="n">
        <v>-5668.689666666666</v>
      </c>
      <c r="K137" s="41" t="n">
        <v>-5742.477333333333</v>
      </c>
      <c r="L137" s="41" t="n">
        <v>-5881.003</v>
      </c>
      <c r="M137" s="41" t="n">
        <v>-6007.079666666667</v>
      </c>
      <c r="N137" s="41" t="n">
        <v>-6122.988333333333</v>
      </c>
      <c r="O137" s="41" t="n">
        <v>9.094947017729282e-13</v>
      </c>
      <c r="P137" s="41">
        <f>SUM(D137:O137)</f>
        <v/>
      </c>
    </row>
    <row r="138">
      <c r="A138" s="34" t="inlineStr">
        <is>
          <t>Canola</t>
        </is>
      </c>
      <c r="B138" s="35" t="inlineStr">
        <is>
          <t>Planted Area</t>
        </is>
      </c>
      <c r="C138" s="34" t="inlineStr">
        <is>
          <t>2011-12</t>
        </is>
      </c>
      <c r="P138" s="36">
        <f>SUM(D138:O138)</f>
        <v/>
      </c>
    </row>
    <row r="139">
      <c r="A139" s="34" t="inlineStr">
        <is>
          <t>Canola</t>
        </is>
      </c>
      <c r="B139" s="35" t="inlineStr">
        <is>
          <t>Harvested Area</t>
        </is>
      </c>
      <c r="C139" s="34" t="inlineStr">
        <is>
          <t>2011-12</t>
        </is>
      </c>
      <c r="P139" s="36">
        <f>SUM(D139:O139)</f>
        <v/>
      </c>
    </row>
    <row r="140">
      <c r="A140" s="34" t="inlineStr">
        <is>
          <t>Canola</t>
        </is>
      </c>
      <c r="B140" s="35" t="inlineStr">
        <is>
          <t>Proportion Harvested</t>
        </is>
      </c>
      <c r="C140" s="34" t="inlineStr">
        <is>
          <t>2011-12</t>
        </is>
      </c>
      <c r="P140" s="37">
        <f>SUM(D140:O140)</f>
        <v/>
      </c>
    </row>
    <row r="141">
      <c r="A141" s="34" t="inlineStr">
        <is>
          <t>Canola</t>
        </is>
      </c>
      <c r="B141" s="35" t="inlineStr">
        <is>
          <t>Yield</t>
        </is>
      </c>
      <c r="C141" s="34" t="inlineStr">
        <is>
          <t>2011-12</t>
        </is>
      </c>
      <c r="I141" s="38" t="n">
        <v>0.573753510240342</v>
      </c>
      <c r="P141" s="38">
        <f>SUM(D141:O141)</f>
        <v/>
      </c>
    </row>
    <row r="142">
      <c r="A142" s="34" t="inlineStr">
        <is>
          <t>Canola</t>
        </is>
      </c>
      <c r="B142" s="39" t="inlineStr">
        <is>
          <t>Beginning Stocks</t>
        </is>
      </c>
      <c r="C142" s="34" t="inlineStr">
        <is>
          <t>2011-12</t>
        </is>
      </c>
      <c r="D142" s="40" t="n">
        <v>2185.8</v>
      </c>
      <c r="O142" s="40" t="n">
        <v>2185.8</v>
      </c>
      <c r="P142" s="41">
        <f>SUM(D142:O142)</f>
        <v/>
      </c>
    </row>
    <row r="143">
      <c r="A143" s="34" t="inlineStr">
        <is>
          <t>Canola</t>
        </is>
      </c>
      <c r="B143" s="39" t="inlineStr">
        <is>
          <t>Imports</t>
        </is>
      </c>
      <c r="C143" s="34" t="inlineStr">
        <is>
          <t>2011-12</t>
        </is>
      </c>
      <c r="O143" s="40" t="n">
        <v>96.59999999999999</v>
      </c>
      <c r="P143" s="41">
        <f>SUM(D143:O143)</f>
        <v/>
      </c>
    </row>
    <row r="144">
      <c r="A144" s="34" t="inlineStr">
        <is>
          <t>Canola</t>
        </is>
      </c>
      <c r="B144" s="39" t="inlineStr">
        <is>
          <t>Production</t>
        </is>
      </c>
      <c r="C144" s="34" t="inlineStr">
        <is>
          <t>2011-12</t>
        </is>
      </c>
      <c r="D144" s="40" t="n">
        <v>196.189</v>
      </c>
      <c r="E144" s="40" t="n">
        <v>260.222</v>
      </c>
      <c r="F144" s="40" t="n">
        <v>262.678</v>
      </c>
      <c r="G144" s="40" t="n">
        <v>268.876</v>
      </c>
      <c r="H144" s="40" t="n">
        <v>299.75</v>
      </c>
      <c r="I144" s="40" t="n">
        <v>284.893</v>
      </c>
      <c r="J144" s="40" t="n">
        <v>264.928</v>
      </c>
      <c r="K144" s="40" t="n">
        <v>300.042</v>
      </c>
      <c r="L144" s="40" t="n">
        <v>275.158</v>
      </c>
      <c r="M144" s="40" t="n">
        <v>236.879</v>
      </c>
      <c r="N144" s="40" t="n">
        <v>216.348</v>
      </c>
      <c r="O144" s="40" t="n">
        <v>14608.1</v>
      </c>
      <c r="P144" s="41">
        <f>SUM(D144:O144)</f>
        <v/>
      </c>
    </row>
    <row r="145">
      <c r="A145" s="34" t="inlineStr">
        <is>
          <t>Canola</t>
        </is>
      </c>
      <c r="B145" s="39" t="inlineStr">
        <is>
          <t>Food</t>
        </is>
      </c>
      <c r="C145" s="34" t="inlineStr">
        <is>
          <t>2011-12</t>
        </is>
      </c>
      <c r="O145" s="40" t="n">
        <v>0</v>
      </c>
      <c r="P145" s="41">
        <f>SUM(D145:O145)</f>
        <v/>
      </c>
    </row>
    <row r="146">
      <c r="A146" s="34" t="inlineStr">
        <is>
          <t>Canola</t>
        </is>
      </c>
      <c r="B146" s="39" t="inlineStr">
        <is>
          <t>Crush</t>
        </is>
      </c>
      <c r="C146" s="34" t="inlineStr">
        <is>
          <t>2011-12</t>
        </is>
      </c>
      <c r="P146" s="41">
        <f>SUM(D146:O146)</f>
        <v/>
      </c>
    </row>
    <row r="147">
      <c r="A147" s="34" t="inlineStr">
        <is>
          <t>Canola</t>
        </is>
      </c>
      <c r="B147" s="39" t="inlineStr">
        <is>
          <t>FSR</t>
        </is>
      </c>
      <c r="C147" s="34" t="inlineStr">
        <is>
          <t>2011-12</t>
        </is>
      </c>
      <c r="D147" s="40" t="n">
        <v>6555.058333333332</v>
      </c>
      <c r="E147" s="40" t="n">
        <v>6639.516666666666</v>
      </c>
      <c r="F147" s="40" t="n">
        <v>6723.974999999999</v>
      </c>
      <c r="G147" s="40" t="n">
        <v>6808.433333333333</v>
      </c>
      <c r="H147" s="40" t="n">
        <v>6892.891666666666</v>
      </c>
      <c r="I147" s="40" t="n">
        <v>6977.35</v>
      </c>
      <c r="J147" s="40" t="n">
        <v>7061.808333333333</v>
      </c>
      <c r="K147" s="40" t="n">
        <v>7146.266666666666</v>
      </c>
      <c r="L147" s="40" t="n">
        <v>7230.725</v>
      </c>
      <c r="M147" s="40" t="n">
        <v>7315.183333333333</v>
      </c>
      <c r="N147" s="40" t="n">
        <v>7399.641666666667</v>
      </c>
      <c r="O147" s="40" t="n">
        <v>7484.1</v>
      </c>
      <c r="P147" s="41">
        <f>SUM(D147:O147)</f>
        <v/>
      </c>
    </row>
    <row r="148">
      <c r="A148" s="34" t="inlineStr">
        <is>
          <t>Canola</t>
        </is>
      </c>
      <c r="B148" s="39" t="inlineStr">
        <is>
          <t>Exports</t>
        </is>
      </c>
      <c r="C148" s="34" t="inlineStr">
        <is>
          <t>2011-12</t>
        </is>
      </c>
      <c r="O148" s="40" t="n">
        <v>8699</v>
      </c>
      <c r="P148" s="41">
        <f>SUM(D148:O148)</f>
        <v/>
      </c>
    </row>
    <row r="149">
      <c r="A149" s="34" t="inlineStr">
        <is>
          <t>Canola</t>
        </is>
      </c>
      <c r="B149" s="39" t="inlineStr">
        <is>
          <t>Ending Stocks</t>
        </is>
      </c>
      <c r="C149" s="34" t="inlineStr">
        <is>
          <t>2011-12</t>
        </is>
      </c>
      <c r="D149" s="40" t="n">
        <v>-4173.069333333333</v>
      </c>
      <c r="O149" s="40" t="n">
        <v>707.4</v>
      </c>
      <c r="P149" s="41">
        <f>SUM(D149:O149)</f>
        <v/>
      </c>
    </row>
    <row r="150">
      <c r="A150" s="34" t="inlineStr">
        <is>
          <t>Canola</t>
        </is>
      </c>
      <c r="B150" s="35" t="inlineStr">
        <is>
          <t>Stocks-to-Use</t>
        </is>
      </c>
      <c r="C150" s="34" t="inlineStr">
        <is>
          <t>2011-12</t>
        </is>
      </c>
      <c r="P150" s="37">
        <f>SUM(D150:O150)</f>
        <v/>
      </c>
    </row>
    <row r="151">
      <c r="A151" s="34" t="inlineStr">
        <is>
          <t>Canola</t>
        </is>
      </c>
      <c r="B151" s="35" t="inlineStr">
        <is>
          <t>STU Days</t>
        </is>
      </c>
      <c r="C151" s="34" t="inlineStr">
        <is>
          <t>2011-12</t>
        </is>
      </c>
      <c r="P151" s="41">
        <f>SUM(D151:O151)</f>
        <v/>
      </c>
    </row>
    <row r="152">
      <c r="A152" s="34" t="inlineStr">
        <is>
          <t>Canola</t>
        </is>
      </c>
      <c r="B152" s="35" t="inlineStr">
        <is>
          <t>CHECK</t>
        </is>
      </c>
      <c r="C152" s="34" t="inlineStr">
        <is>
          <t>2011-12</t>
        </is>
      </c>
      <c r="D152" s="41" t="n">
        <v>0</v>
      </c>
      <c r="E152" s="41" t="n">
        <v>-6379.294666666667</v>
      </c>
      <c r="F152" s="41" t="n">
        <v>-6461.297</v>
      </c>
      <c r="G152" s="41" t="n">
        <v>-6539.557333333333</v>
      </c>
      <c r="H152" s="41" t="n">
        <v>-6593.141666666666</v>
      </c>
      <c r="I152" s="41" t="n">
        <v>-6692.457</v>
      </c>
      <c r="J152" s="41" t="n">
        <v>-6796.880333333334</v>
      </c>
      <c r="K152" s="41" t="n">
        <v>-6846.224666666666</v>
      </c>
      <c r="L152" s="41" t="n">
        <v>-6955.567</v>
      </c>
      <c r="M152" s="41" t="n">
        <v>-7078.304333333333</v>
      </c>
      <c r="N152" s="41" t="n">
        <v>-7183.293666666667</v>
      </c>
      <c r="O152" s="41" t="n">
        <v>-3.410605131648481e-13</v>
      </c>
      <c r="P152" s="41">
        <f>SUM(D152:O152)</f>
        <v/>
      </c>
    </row>
    <row r="153">
      <c r="A153" s="34" t="inlineStr">
        <is>
          <t>Canola</t>
        </is>
      </c>
      <c r="B153" s="35" t="inlineStr">
        <is>
          <t>Planted Area</t>
        </is>
      </c>
      <c r="C153" s="34" t="inlineStr">
        <is>
          <t>2012-13</t>
        </is>
      </c>
      <c r="P153" s="36">
        <f>SUM(D153:O153)</f>
        <v/>
      </c>
    </row>
    <row r="154">
      <c r="A154" s="34" t="inlineStr">
        <is>
          <t>Canola</t>
        </is>
      </c>
      <c r="B154" s="35" t="inlineStr">
        <is>
          <t>Harvested Area</t>
        </is>
      </c>
      <c r="C154" s="34" t="inlineStr">
        <is>
          <t>2012-13</t>
        </is>
      </c>
      <c r="P154" s="36">
        <f>SUM(D154:O154)</f>
        <v/>
      </c>
    </row>
    <row r="155">
      <c r="A155" s="34" t="inlineStr">
        <is>
          <t>Canola</t>
        </is>
      </c>
      <c r="B155" s="35" t="inlineStr">
        <is>
          <t>Proportion Harvested</t>
        </is>
      </c>
      <c r="C155" s="34" t="inlineStr">
        <is>
          <t>2012-13</t>
        </is>
      </c>
      <c r="P155" s="37">
        <f>SUM(D155:O155)</f>
        <v/>
      </c>
    </row>
    <row r="156">
      <c r="A156" s="34" t="inlineStr">
        <is>
          <t>Canola</t>
        </is>
      </c>
      <c r="B156" s="35" t="inlineStr">
        <is>
          <t>Yield</t>
        </is>
      </c>
      <c r="C156" s="34" t="inlineStr">
        <is>
          <t>2012-13</t>
        </is>
      </c>
      <c r="I156" s="38" t="n">
        <v>0.5276661917365852</v>
      </c>
      <c r="P156" s="38">
        <f>SUM(D156:O156)</f>
        <v/>
      </c>
    </row>
    <row r="157">
      <c r="A157" s="34" t="inlineStr">
        <is>
          <t>Canola</t>
        </is>
      </c>
      <c r="B157" s="39" t="inlineStr">
        <is>
          <t>Beginning Stocks</t>
        </is>
      </c>
      <c r="C157" s="34" t="inlineStr">
        <is>
          <t>2012-13</t>
        </is>
      </c>
      <c r="D157" s="40" t="n">
        <v>707.4</v>
      </c>
      <c r="O157" s="40" t="n">
        <v>707.4</v>
      </c>
      <c r="P157" s="41">
        <f>SUM(D157:O157)</f>
        <v/>
      </c>
    </row>
    <row r="158">
      <c r="A158" s="34" t="inlineStr">
        <is>
          <t>Canola</t>
        </is>
      </c>
      <c r="B158" s="39" t="inlineStr">
        <is>
          <t>Imports</t>
        </is>
      </c>
      <c r="C158" s="34" t="inlineStr">
        <is>
          <t>2012-13</t>
        </is>
      </c>
      <c r="O158" s="40" t="n">
        <v>127.6</v>
      </c>
      <c r="P158" s="41">
        <f>SUM(D158:O158)</f>
        <v/>
      </c>
    </row>
    <row r="159">
      <c r="A159" s="34" t="inlineStr">
        <is>
          <t>Canola</t>
        </is>
      </c>
      <c r="B159" s="39" t="inlineStr">
        <is>
          <t>Production</t>
        </is>
      </c>
      <c r="C159" s="34" t="inlineStr">
        <is>
          <t>2012-13</t>
        </is>
      </c>
      <c r="D159" s="40" t="n">
        <v>216.581</v>
      </c>
      <c r="E159" s="40" t="n">
        <v>270.501</v>
      </c>
      <c r="F159" s="40" t="n">
        <v>284.9</v>
      </c>
      <c r="G159" s="40" t="n">
        <v>255.546</v>
      </c>
      <c r="H159" s="40" t="n">
        <v>282.006</v>
      </c>
      <c r="I159" s="40" t="n">
        <v>243.475</v>
      </c>
      <c r="J159" s="40" t="n">
        <v>230.567</v>
      </c>
      <c r="K159" s="40" t="n">
        <v>261.608</v>
      </c>
      <c r="L159" s="40" t="n">
        <v>252.302</v>
      </c>
      <c r="M159" s="40" t="n">
        <v>192.378</v>
      </c>
      <c r="N159" s="40" t="n">
        <v>209.07</v>
      </c>
      <c r="O159" s="40" t="n">
        <v>13868.5</v>
      </c>
      <c r="P159" s="41">
        <f>SUM(D159:O159)</f>
        <v/>
      </c>
    </row>
    <row r="160">
      <c r="A160" s="34" t="inlineStr">
        <is>
          <t>Canola</t>
        </is>
      </c>
      <c r="B160" s="39" t="inlineStr">
        <is>
          <t>Food</t>
        </is>
      </c>
      <c r="C160" s="34" t="inlineStr">
        <is>
          <t>2012-13</t>
        </is>
      </c>
      <c r="O160" s="40" t="n">
        <v>0</v>
      </c>
      <c r="P160" s="41">
        <f>SUM(D160:O160)</f>
        <v/>
      </c>
    </row>
    <row r="161">
      <c r="A161" s="34" t="inlineStr">
        <is>
          <t>Canola</t>
        </is>
      </c>
      <c r="B161" s="39" t="inlineStr">
        <is>
          <t>Crush</t>
        </is>
      </c>
      <c r="C161" s="34" t="inlineStr">
        <is>
          <t>2012-13</t>
        </is>
      </c>
      <c r="P161" s="41">
        <f>SUM(D161:O161)</f>
        <v/>
      </c>
    </row>
    <row r="162">
      <c r="A162" s="34" t="inlineStr">
        <is>
          <t>Canola</t>
        </is>
      </c>
      <c r="B162" s="39" t="inlineStr">
        <is>
          <t>FSR</t>
        </is>
      </c>
      <c r="C162" s="34" t="inlineStr">
        <is>
          <t>2012-13</t>
        </is>
      </c>
      <c r="D162" s="40" t="n">
        <v>7428.216666666667</v>
      </c>
      <c r="E162" s="40" t="n">
        <v>7372.333333333334</v>
      </c>
      <c r="F162" s="40" t="n">
        <v>7316.450000000001</v>
      </c>
      <c r="G162" s="40" t="n">
        <v>7260.566666666667</v>
      </c>
      <c r="H162" s="40" t="n">
        <v>7204.683333333333</v>
      </c>
      <c r="I162" s="40" t="n">
        <v>7148.8</v>
      </c>
      <c r="J162" s="40" t="n">
        <v>7092.916666666667</v>
      </c>
      <c r="K162" s="40" t="n">
        <v>7037.033333333334</v>
      </c>
      <c r="L162" s="40" t="n">
        <v>6981.15</v>
      </c>
      <c r="M162" s="40" t="n">
        <v>6925.266666666666</v>
      </c>
      <c r="N162" s="40" t="n">
        <v>6869.383333333333</v>
      </c>
      <c r="O162" s="40" t="n">
        <v>6813.5</v>
      </c>
      <c r="P162" s="41">
        <f>SUM(D162:O162)</f>
        <v/>
      </c>
    </row>
    <row r="163">
      <c r="A163" s="34" t="inlineStr">
        <is>
          <t>Canola</t>
        </is>
      </c>
      <c r="B163" s="39" t="inlineStr">
        <is>
          <t>Exports</t>
        </is>
      </c>
      <c r="C163" s="34" t="inlineStr">
        <is>
          <t>2012-13</t>
        </is>
      </c>
      <c r="O163" s="40" t="n">
        <v>7301.9</v>
      </c>
      <c r="P163" s="41">
        <f>SUM(D163:O163)</f>
        <v/>
      </c>
    </row>
    <row r="164">
      <c r="A164" s="34" t="inlineStr">
        <is>
          <t>Canola</t>
        </is>
      </c>
      <c r="B164" s="39" t="inlineStr">
        <is>
          <t>Ending Stocks</t>
        </is>
      </c>
      <c r="C164" s="34" t="inlineStr">
        <is>
          <t>2012-13</t>
        </is>
      </c>
      <c r="D164" s="40" t="n">
        <v>-6504.235666666667</v>
      </c>
      <c r="O164" s="40" t="n">
        <v>588.1</v>
      </c>
      <c r="P164" s="41">
        <f>SUM(D164:O164)</f>
        <v/>
      </c>
    </row>
    <row r="165">
      <c r="A165" s="34" t="inlineStr">
        <is>
          <t>Canola</t>
        </is>
      </c>
      <c r="B165" s="35" t="inlineStr">
        <is>
          <t>Stocks-to-Use</t>
        </is>
      </c>
      <c r="C165" s="34" t="inlineStr">
        <is>
          <t>2012-13</t>
        </is>
      </c>
      <c r="P165" s="37">
        <f>SUM(D165:O165)</f>
        <v/>
      </c>
    </row>
    <row r="166">
      <c r="A166" s="34" t="inlineStr">
        <is>
          <t>Canola</t>
        </is>
      </c>
      <c r="B166" s="35" t="inlineStr">
        <is>
          <t>STU Days</t>
        </is>
      </c>
      <c r="C166" s="34" t="inlineStr">
        <is>
          <t>2012-13</t>
        </is>
      </c>
      <c r="P166" s="41">
        <f>SUM(D166:O166)</f>
        <v/>
      </c>
    </row>
    <row r="167">
      <c r="A167" s="34" t="inlineStr">
        <is>
          <t>Canola</t>
        </is>
      </c>
      <c r="B167" s="35" t="inlineStr">
        <is>
          <t>CHECK</t>
        </is>
      </c>
      <c r="C167" s="34" t="inlineStr">
        <is>
          <t>2012-13</t>
        </is>
      </c>
      <c r="D167" s="41" t="n">
        <v>0</v>
      </c>
      <c r="E167" s="41" t="n">
        <v>-7101.832333333334</v>
      </c>
      <c r="F167" s="41" t="n">
        <v>-7031.550000000001</v>
      </c>
      <c r="G167" s="41" t="n">
        <v>-7005.020666666666</v>
      </c>
      <c r="H167" s="41" t="n">
        <v>-6922.677333333333</v>
      </c>
      <c r="I167" s="41" t="n">
        <v>-6905.325</v>
      </c>
      <c r="J167" s="41" t="n">
        <v>-6862.349666666667</v>
      </c>
      <c r="K167" s="41" t="n">
        <v>-6775.425333333334</v>
      </c>
      <c r="L167" s="41" t="n">
        <v>-6728.848</v>
      </c>
      <c r="M167" s="41" t="n">
        <v>-6732.888666666667</v>
      </c>
      <c r="N167" s="41" t="n">
        <v>-6660.313333333334</v>
      </c>
      <c r="O167" s="41" t="n">
        <v>3.410605131648481e-13</v>
      </c>
      <c r="P167" s="41">
        <f>SUM(D167:O167)</f>
        <v/>
      </c>
    </row>
    <row r="168">
      <c r="A168" s="34" t="inlineStr">
        <is>
          <t>Canola</t>
        </is>
      </c>
      <c r="B168" s="35" t="inlineStr">
        <is>
          <t>Planted Area</t>
        </is>
      </c>
      <c r="C168" s="34" t="inlineStr">
        <is>
          <t>2013-14</t>
        </is>
      </c>
      <c r="P168" s="36">
        <f>SUM(D168:O168)</f>
        <v/>
      </c>
    </row>
    <row r="169">
      <c r="A169" s="34" t="inlineStr">
        <is>
          <t>Canola</t>
        </is>
      </c>
      <c r="B169" s="35" t="inlineStr">
        <is>
          <t>Harvested Area</t>
        </is>
      </c>
      <c r="C169" s="34" t="inlineStr">
        <is>
          <t>2013-14</t>
        </is>
      </c>
      <c r="P169" s="36">
        <f>SUM(D169:O169)</f>
        <v/>
      </c>
    </row>
    <row r="170">
      <c r="A170" s="34" t="inlineStr">
        <is>
          <t>Canola</t>
        </is>
      </c>
      <c r="B170" s="35" t="inlineStr">
        <is>
          <t>Proportion Harvested</t>
        </is>
      </c>
      <c r="C170" s="34" t="inlineStr">
        <is>
          <t>2013-14</t>
        </is>
      </c>
      <c r="P170" s="37">
        <f>SUM(D170:O170)</f>
        <v/>
      </c>
    </row>
    <row r="171">
      <c r="A171" s="34" t="inlineStr">
        <is>
          <t>Canola</t>
        </is>
      </c>
      <c r="B171" s="35" t="inlineStr">
        <is>
          <t>Yield</t>
        </is>
      </c>
      <c r="C171" s="34" t="inlineStr">
        <is>
          <t>2013-14</t>
        </is>
      </c>
      <c r="I171" s="38" t="n">
        <v>0.5532903821950903</v>
      </c>
      <c r="P171" s="38">
        <f>SUM(D171:O171)</f>
        <v/>
      </c>
    </row>
    <row r="172">
      <c r="A172" s="34" t="inlineStr">
        <is>
          <t>Canola</t>
        </is>
      </c>
      <c r="B172" s="39" t="inlineStr">
        <is>
          <t>Beginning Stocks</t>
        </is>
      </c>
      <c r="C172" s="34" t="inlineStr">
        <is>
          <t>2013-14</t>
        </is>
      </c>
      <c r="D172" s="40" t="n">
        <v>588.1</v>
      </c>
      <c r="O172" s="40" t="n">
        <v>588.1</v>
      </c>
      <c r="P172" s="41">
        <f>SUM(D172:O172)</f>
        <v/>
      </c>
    </row>
    <row r="173">
      <c r="A173" s="34" t="inlineStr">
        <is>
          <t>Canola</t>
        </is>
      </c>
      <c r="B173" s="39" t="inlineStr">
        <is>
          <t>Imports</t>
        </is>
      </c>
      <c r="C173" s="34" t="inlineStr">
        <is>
          <t>2013-14</t>
        </is>
      </c>
      <c r="O173" s="40" t="n">
        <v>66.09999999999999</v>
      </c>
      <c r="P173" s="41">
        <f>SUM(D173:O173)</f>
        <v/>
      </c>
    </row>
    <row r="174">
      <c r="A174" s="34" t="inlineStr">
        <is>
          <t>Canola</t>
        </is>
      </c>
      <c r="B174" s="39" t="inlineStr">
        <is>
          <t>Production</t>
        </is>
      </c>
      <c r="C174" s="34" t="inlineStr">
        <is>
          <t>2013-14</t>
        </is>
      </c>
      <c r="D174" s="40" t="n">
        <v>152.453</v>
      </c>
      <c r="E174" s="40" t="n">
        <v>245.685</v>
      </c>
      <c r="F174" s="40" t="n">
        <v>275.937</v>
      </c>
      <c r="G174" s="40" t="n">
        <v>267.181</v>
      </c>
      <c r="H174" s="40" t="n">
        <v>277.087</v>
      </c>
      <c r="I174" s="40" t="n">
        <v>260.23</v>
      </c>
      <c r="J174" s="40" t="n">
        <v>234.43</v>
      </c>
      <c r="K174" s="40" t="n">
        <v>269.012</v>
      </c>
      <c r="L174" s="40" t="n">
        <v>252.672</v>
      </c>
      <c r="M174" s="40" t="n">
        <v>255.663</v>
      </c>
      <c r="N174" s="40" t="n">
        <v>252.664</v>
      </c>
      <c r="O174" s="40" t="n">
        <v>18551</v>
      </c>
      <c r="P174" s="41">
        <f>SUM(D174:O174)</f>
        <v/>
      </c>
    </row>
    <row r="175">
      <c r="A175" s="34" t="inlineStr">
        <is>
          <t>Canola</t>
        </is>
      </c>
      <c r="B175" s="39" t="inlineStr">
        <is>
          <t>Food</t>
        </is>
      </c>
      <c r="C175" s="34" t="inlineStr">
        <is>
          <t>2013-14</t>
        </is>
      </c>
      <c r="O175" s="40" t="n">
        <v>0</v>
      </c>
      <c r="P175" s="41">
        <f>SUM(D175:O175)</f>
        <v/>
      </c>
    </row>
    <row r="176">
      <c r="A176" s="34" t="inlineStr">
        <is>
          <t>Canola</t>
        </is>
      </c>
      <c r="B176" s="39" t="inlineStr">
        <is>
          <t>Crush</t>
        </is>
      </c>
      <c r="C176" s="34" t="inlineStr">
        <is>
          <t>2013-14</t>
        </is>
      </c>
      <c r="P176" s="41">
        <f>SUM(D176:O176)</f>
        <v/>
      </c>
    </row>
    <row r="177">
      <c r="A177" s="34" t="inlineStr">
        <is>
          <t>Canola</t>
        </is>
      </c>
      <c r="B177" s="39" t="inlineStr">
        <is>
          <t>FSR</t>
        </is>
      </c>
      <c r="C177" s="34" t="inlineStr">
        <is>
          <t>2013-14</t>
        </is>
      </c>
      <c r="D177" s="40" t="n">
        <v>6837.508333333333</v>
      </c>
      <c r="E177" s="40" t="n">
        <v>6861.516666666666</v>
      </c>
      <c r="F177" s="40" t="n">
        <v>6885.525</v>
      </c>
      <c r="G177" s="40" t="n">
        <v>6909.533333333332</v>
      </c>
      <c r="H177" s="40" t="n">
        <v>6933.541666666665</v>
      </c>
      <c r="I177" s="40" t="n">
        <v>6957.549999999998</v>
      </c>
      <c r="J177" s="40" t="n">
        <v>6981.558333333332</v>
      </c>
      <c r="K177" s="40" t="n">
        <v>7005.566666666665</v>
      </c>
      <c r="L177" s="40" t="n">
        <v>7029.574999999997</v>
      </c>
      <c r="M177" s="40" t="n">
        <v>7053.58333333333</v>
      </c>
      <c r="N177" s="40" t="n">
        <v>7077.591666666664</v>
      </c>
      <c r="O177" s="40" t="n">
        <v>7101.599999999997</v>
      </c>
      <c r="P177" s="41">
        <f>SUM(D177:O177)</f>
        <v/>
      </c>
    </row>
    <row r="178">
      <c r="A178" s="34" t="inlineStr">
        <is>
          <t>Canola</t>
        </is>
      </c>
      <c r="B178" s="39" t="inlineStr">
        <is>
          <t>Exports</t>
        </is>
      </c>
      <c r="C178" s="34" t="inlineStr">
        <is>
          <t>2013-14</t>
        </is>
      </c>
      <c r="O178" s="40" t="n">
        <v>9095.6</v>
      </c>
      <c r="P178" s="41">
        <f>SUM(D178:O178)</f>
        <v/>
      </c>
    </row>
    <row r="179">
      <c r="A179" s="34" t="inlineStr">
        <is>
          <t>Canola</t>
        </is>
      </c>
      <c r="B179" s="39" t="inlineStr">
        <is>
          <t>Ending Stocks</t>
        </is>
      </c>
      <c r="C179" s="34" t="inlineStr">
        <is>
          <t>2013-14</t>
        </is>
      </c>
      <c r="D179" s="40" t="n">
        <v>-6096.955333333333</v>
      </c>
      <c r="O179" s="40" t="n">
        <v>3008</v>
      </c>
      <c r="P179" s="41">
        <f>SUM(D179:O179)</f>
        <v/>
      </c>
    </row>
    <row r="180">
      <c r="A180" s="34" t="inlineStr">
        <is>
          <t>Canola</t>
        </is>
      </c>
      <c r="B180" s="35" t="inlineStr">
        <is>
          <t>Stocks-to-Use</t>
        </is>
      </c>
      <c r="C180" s="34" t="inlineStr">
        <is>
          <t>2013-14</t>
        </is>
      </c>
      <c r="P180" s="37">
        <f>SUM(D180:O180)</f>
        <v/>
      </c>
    </row>
    <row r="181">
      <c r="A181" s="34" t="inlineStr">
        <is>
          <t>Canola</t>
        </is>
      </c>
      <c r="B181" s="35" t="inlineStr">
        <is>
          <t>STU Days</t>
        </is>
      </c>
      <c r="C181" s="34" t="inlineStr">
        <is>
          <t>2013-14</t>
        </is>
      </c>
      <c r="P181" s="41">
        <f>SUM(D181:O181)</f>
        <v/>
      </c>
    </row>
    <row r="182">
      <c r="A182" s="34" t="inlineStr">
        <is>
          <t>Canola</t>
        </is>
      </c>
      <c r="B182" s="35" t="inlineStr">
        <is>
          <t>CHECK</t>
        </is>
      </c>
      <c r="C182" s="34" t="inlineStr">
        <is>
          <t>2013-14</t>
        </is>
      </c>
      <c r="D182" s="41" t="n">
        <v>0</v>
      </c>
      <c r="E182" s="41" t="n">
        <v>-6615.831666666666</v>
      </c>
      <c r="F182" s="41" t="n">
        <v>-6609.588</v>
      </c>
      <c r="G182" s="41" t="n">
        <v>-6642.352333333332</v>
      </c>
      <c r="H182" s="41" t="n">
        <v>-6656.454666666665</v>
      </c>
      <c r="I182" s="41" t="n">
        <v>-6697.319999999998</v>
      </c>
      <c r="J182" s="41" t="n">
        <v>-6747.128333333331</v>
      </c>
      <c r="K182" s="41" t="n">
        <v>-6736.554666666665</v>
      </c>
      <c r="L182" s="41" t="n">
        <v>-6776.902999999998</v>
      </c>
      <c r="M182" s="41" t="n">
        <v>-6797.92033333333</v>
      </c>
      <c r="N182" s="41" t="n">
        <v>-6824.927666666664</v>
      </c>
      <c r="O182" s="41" t="n">
        <v>0</v>
      </c>
      <c r="P182" s="41">
        <f>SUM(D182:O182)</f>
        <v/>
      </c>
    </row>
    <row r="183">
      <c r="A183" s="34" t="inlineStr">
        <is>
          <t>Canola</t>
        </is>
      </c>
      <c r="B183" s="35" t="inlineStr">
        <is>
          <t>Planted Area</t>
        </is>
      </c>
      <c r="C183" s="34" t="inlineStr">
        <is>
          <t>2014-15</t>
        </is>
      </c>
      <c r="P183" s="36">
        <f>SUM(D183:O183)</f>
        <v/>
      </c>
    </row>
    <row r="184">
      <c r="A184" s="34" t="inlineStr">
        <is>
          <t>Canola</t>
        </is>
      </c>
      <c r="B184" s="35" t="inlineStr">
        <is>
          <t>Harvested Area</t>
        </is>
      </c>
      <c r="C184" s="34" t="inlineStr">
        <is>
          <t>2014-15</t>
        </is>
      </c>
      <c r="P184" s="36">
        <f>SUM(D184:O184)</f>
        <v/>
      </c>
    </row>
    <row r="185">
      <c r="A185" s="34" t="inlineStr">
        <is>
          <t>Canola</t>
        </is>
      </c>
      <c r="B185" s="35" t="inlineStr">
        <is>
          <t>Proportion Harvested</t>
        </is>
      </c>
      <c r="C185" s="34" t="inlineStr">
        <is>
          <t>2014-15</t>
        </is>
      </c>
      <c r="P185" s="37">
        <f>SUM(D185:O185)</f>
        <v/>
      </c>
    </row>
    <row r="186">
      <c r="A186" s="34" t="inlineStr">
        <is>
          <t>Canola</t>
        </is>
      </c>
      <c r="B186" s="35" t="inlineStr">
        <is>
          <t>Yield</t>
        </is>
      </c>
      <c r="C186" s="34" t="inlineStr">
        <is>
          <t>2014-15</t>
        </is>
      </c>
      <c r="I186" s="38" t="n">
        <v>0.5994467201931404</v>
      </c>
      <c r="P186" s="38">
        <f>SUM(D186:O186)</f>
        <v/>
      </c>
    </row>
    <row r="187">
      <c r="A187" s="34" t="inlineStr">
        <is>
          <t>Canola</t>
        </is>
      </c>
      <c r="B187" s="39" t="inlineStr">
        <is>
          <t>Beginning Stocks</t>
        </is>
      </c>
      <c r="C187" s="34" t="inlineStr">
        <is>
          <t>2014-15</t>
        </is>
      </c>
      <c r="D187" s="40" t="n">
        <v>3008</v>
      </c>
      <c r="O187" s="40" t="n">
        <v>3008</v>
      </c>
      <c r="P187" s="41">
        <f>SUM(D187:O187)</f>
        <v/>
      </c>
    </row>
    <row r="188">
      <c r="A188" s="34" t="inlineStr">
        <is>
          <t>Canola</t>
        </is>
      </c>
      <c r="B188" s="39" t="inlineStr">
        <is>
          <t>Imports</t>
        </is>
      </c>
      <c r="C188" s="34" t="inlineStr">
        <is>
          <t>2014-15</t>
        </is>
      </c>
      <c r="O188" s="40" t="n">
        <v>76.59999999999999</v>
      </c>
      <c r="P188" s="41">
        <f>SUM(D188:O188)</f>
        <v/>
      </c>
    </row>
    <row r="189">
      <c r="A189" s="34" t="inlineStr">
        <is>
          <t>Canola</t>
        </is>
      </c>
      <c r="B189" s="39" t="inlineStr">
        <is>
          <t>Production</t>
        </is>
      </c>
      <c r="C189" s="34" t="inlineStr">
        <is>
          <t>2014-15</t>
        </is>
      </c>
      <c r="D189" s="40" t="n">
        <v>243.606</v>
      </c>
      <c r="E189" s="40" t="n">
        <v>272.518</v>
      </c>
      <c r="F189" s="40" t="n">
        <v>266.855</v>
      </c>
      <c r="G189" s="40" t="n">
        <v>232.795</v>
      </c>
      <c r="H189" s="40" t="n">
        <v>277.662</v>
      </c>
      <c r="I189" s="40" t="n">
        <v>280.998</v>
      </c>
      <c r="J189" s="40" t="n">
        <v>241.525</v>
      </c>
      <c r="K189" s="40" t="n">
        <v>293.208</v>
      </c>
      <c r="L189" s="40" t="n">
        <v>260.152</v>
      </c>
      <c r="M189" s="40" t="n">
        <v>251.305</v>
      </c>
      <c r="N189" s="40" t="n">
        <v>277.9</v>
      </c>
      <c r="O189" s="40" t="n">
        <v>16410.1</v>
      </c>
      <c r="P189" s="41">
        <f>SUM(D189:O189)</f>
        <v/>
      </c>
    </row>
    <row r="190">
      <c r="A190" s="34" t="inlineStr">
        <is>
          <t>Canola</t>
        </is>
      </c>
      <c r="B190" s="39" t="inlineStr">
        <is>
          <t>Food</t>
        </is>
      </c>
      <c r="C190" s="34" t="inlineStr">
        <is>
          <t>2014-15</t>
        </is>
      </c>
      <c r="O190" s="40" t="n">
        <v>0</v>
      </c>
      <c r="P190" s="41">
        <f>SUM(D190:O190)</f>
        <v/>
      </c>
    </row>
    <row r="191">
      <c r="A191" s="34" t="inlineStr">
        <is>
          <t>Canola</t>
        </is>
      </c>
      <c r="B191" s="39" t="inlineStr">
        <is>
          <t>Crush</t>
        </is>
      </c>
      <c r="C191" s="34" t="inlineStr">
        <is>
          <t>2014-15</t>
        </is>
      </c>
      <c r="P191" s="41">
        <f>SUM(D191:O191)</f>
        <v/>
      </c>
    </row>
    <row r="192">
      <c r="A192" s="34" t="inlineStr">
        <is>
          <t>Canola</t>
        </is>
      </c>
      <c r="B192" s="39" t="inlineStr">
        <is>
          <t>FSR</t>
        </is>
      </c>
      <c r="C192" s="34" t="inlineStr">
        <is>
          <t>2014-15</t>
        </is>
      </c>
      <c r="D192" s="40" t="n">
        <v>7156.30833333333</v>
      </c>
      <c r="E192" s="40" t="n">
        <v>7211.016666666664</v>
      </c>
      <c r="F192" s="40" t="n">
        <v>7265.724999999997</v>
      </c>
      <c r="G192" s="40" t="n">
        <v>7320.433333333331</v>
      </c>
      <c r="H192" s="40" t="n">
        <v>7375.141666666664</v>
      </c>
      <c r="I192" s="40" t="n">
        <v>7429.849999999997</v>
      </c>
      <c r="J192" s="40" t="n">
        <v>7484.558333333331</v>
      </c>
      <c r="K192" s="40" t="n">
        <v>7539.266666666664</v>
      </c>
      <c r="L192" s="40" t="n">
        <v>7593.974999999998</v>
      </c>
      <c r="M192" s="40" t="n">
        <v>7648.683333333331</v>
      </c>
      <c r="N192" s="40" t="n">
        <v>7703.391666666665</v>
      </c>
      <c r="O192" s="40" t="n">
        <v>7758.099999999998</v>
      </c>
      <c r="P192" s="41">
        <f>SUM(D192:O192)</f>
        <v/>
      </c>
    </row>
    <row r="193">
      <c r="A193" s="34" t="inlineStr">
        <is>
          <t>Canola</t>
        </is>
      </c>
      <c r="B193" s="39" t="inlineStr">
        <is>
          <t>Exports</t>
        </is>
      </c>
      <c r="C193" s="34" t="inlineStr">
        <is>
          <t>2014-15</t>
        </is>
      </c>
      <c r="O193" s="40" t="n">
        <v>9163.299999999999</v>
      </c>
      <c r="P193" s="41">
        <f>SUM(D193:O193)</f>
        <v/>
      </c>
    </row>
    <row r="194">
      <c r="A194" s="34" t="inlineStr">
        <is>
          <t>Canola</t>
        </is>
      </c>
      <c r="B194" s="39" t="inlineStr">
        <is>
          <t>Ending Stocks</t>
        </is>
      </c>
      <c r="C194" s="34" t="inlineStr">
        <is>
          <t>2014-15</t>
        </is>
      </c>
      <c r="D194" s="40" t="n">
        <v>-3904.70233333333</v>
      </c>
      <c r="O194" s="40" t="n">
        <v>2573.3</v>
      </c>
      <c r="P194" s="41">
        <f>SUM(D194:O194)</f>
        <v/>
      </c>
    </row>
    <row r="195">
      <c r="A195" s="34" t="inlineStr">
        <is>
          <t>Canola</t>
        </is>
      </c>
      <c r="B195" s="35" t="inlineStr">
        <is>
          <t>Stocks-to-Use</t>
        </is>
      </c>
      <c r="C195" s="34" t="inlineStr">
        <is>
          <t>2014-15</t>
        </is>
      </c>
      <c r="P195" s="37">
        <f>SUM(D195:O195)</f>
        <v/>
      </c>
    </row>
    <row r="196">
      <c r="A196" s="34" t="inlineStr">
        <is>
          <t>Canola</t>
        </is>
      </c>
      <c r="B196" s="35" t="inlineStr">
        <is>
          <t>STU Days</t>
        </is>
      </c>
      <c r="C196" s="34" t="inlineStr">
        <is>
          <t>2014-15</t>
        </is>
      </c>
      <c r="P196" s="41">
        <f>SUM(D196:O196)</f>
        <v/>
      </c>
    </row>
    <row r="197">
      <c r="A197" s="34" t="inlineStr">
        <is>
          <t>Canola</t>
        </is>
      </c>
      <c r="B197" s="35" t="inlineStr">
        <is>
          <t>CHECK</t>
        </is>
      </c>
      <c r="C197" s="34" t="inlineStr">
        <is>
          <t>2014-15</t>
        </is>
      </c>
      <c r="D197" s="41" t="n">
        <v>0</v>
      </c>
      <c r="E197" s="41" t="n">
        <v>-6938.498666666664</v>
      </c>
      <c r="F197" s="41" t="n">
        <v>-6998.869999999997</v>
      </c>
      <c r="G197" s="41" t="n">
        <v>-7087.638333333331</v>
      </c>
      <c r="H197" s="41" t="n">
        <v>-7097.479666666663</v>
      </c>
      <c r="I197" s="41" t="n">
        <v>-7148.851999999997</v>
      </c>
      <c r="J197" s="41" t="n">
        <v>-7243.033333333331</v>
      </c>
      <c r="K197" s="41" t="n">
        <v>-7246.058666666664</v>
      </c>
      <c r="L197" s="41" t="n">
        <v>-7333.822999999998</v>
      </c>
      <c r="M197" s="41" t="n">
        <v>-7397.37833333333</v>
      </c>
      <c r="N197" s="41" t="n">
        <v>-7425.491666666665</v>
      </c>
      <c r="O197" s="41" t="n">
        <v>-9.094947017729282e-13</v>
      </c>
      <c r="P197" s="41">
        <f>SUM(D197:O197)</f>
        <v/>
      </c>
    </row>
    <row r="198">
      <c r="A198" s="34" t="inlineStr">
        <is>
          <t>Canola</t>
        </is>
      </c>
      <c r="B198" s="35" t="inlineStr">
        <is>
          <t>Planted Area</t>
        </is>
      </c>
      <c r="C198" s="34" t="inlineStr">
        <is>
          <t>2015-16</t>
        </is>
      </c>
      <c r="P198" s="36">
        <f>SUM(D198:O198)</f>
        <v/>
      </c>
    </row>
    <row r="199">
      <c r="A199" s="34" t="inlineStr">
        <is>
          <t>Canola</t>
        </is>
      </c>
      <c r="B199" s="35" t="inlineStr">
        <is>
          <t>Harvested Area</t>
        </is>
      </c>
      <c r="C199" s="34" t="inlineStr">
        <is>
          <t>2015-16</t>
        </is>
      </c>
      <c r="P199" s="36">
        <f>SUM(D199:O199)</f>
        <v/>
      </c>
    </row>
    <row r="200">
      <c r="A200" s="34" t="inlineStr">
        <is>
          <t>Canola</t>
        </is>
      </c>
      <c r="B200" s="35" t="inlineStr">
        <is>
          <t>Proportion Harvested</t>
        </is>
      </c>
      <c r="C200" s="34" t="inlineStr">
        <is>
          <t>2015-16</t>
        </is>
      </c>
      <c r="P200" s="37">
        <f>SUM(D200:O200)</f>
        <v/>
      </c>
    </row>
    <row r="201">
      <c r="A201" s="34" t="inlineStr">
        <is>
          <t>Canola</t>
        </is>
      </c>
      <c r="B201" s="35" t="inlineStr">
        <is>
          <t>Yield</t>
        </is>
      </c>
      <c r="C201" s="34" t="inlineStr">
        <is>
          <t>2015-16</t>
        </is>
      </c>
      <c r="I201" s="38" t="n">
        <v>0.6479908013046545</v>
      </c>
      <c r="P201" s="38">
        <f>SUM(D201:O201)</f>
        <v/>
      </c>
    </row>
    <row r="202">
      <c r="A202" s="34" t="inlineStr">
        <is>
          <t>Canola</t>
        </is>
      </c>
      <c r="B202" s="39" t="inlineStr">
        <is>
          <t>Beginning Stocks</t>
        </is>
      </c>
      <c r="C202" s="34" t="inlineStr">
        <is>
          <t>2015-16</t>
        </is>
      </c>
      <c r="D202" s="40" t="n">
        <v>94.889</v>
      </c>
      <c r="E202" s="40" t="n">
        <v>98.58199999999999</v>
      </c>
      <c r="F202" s="40" t="n">
        <v>102.637</v>
      </c>
      <c r="G202" s="40" t="n">
        <v>93.77</v>
      </c>
      <c r="H202" s="40" t="n">
        <v>99.364</v>
      </c>
      <c r="I202" s="40" t="n">
        <v>104.783</v>
      </c>
      <c r="J202" s="40" t="n">
        <v>71.96899999999999</v>
      </c>
      <c r="K202" s="40" t="n">
        <v>97.096</v>
      </c>
      <c r="L202" s="40" t="n">
        <v>97.70699999999999</v>
      </c>
      <c r="M202" s="40" t="n">
        <v>80.667</v>
      </c>
      <c r="N202" s="40" t="n">
        <v>93.541</v>
      </c>
      <c r="O202" s="40" t="n">
        <v>2573.3</v>
      </c>
      <c r="P202" s="41">
        <f>SUM(D202:O202)</f>
        <v/>
      </c>
    </row>
    <row r="203">
      <c r="A203" s="34" t="inlineStr">
        <is>
          <t>Canola</t>
        </is>
      </c>
      <c r="B203" s="39" t="inlineStr">
        <is>
          <t>Imports</t>
        </is>
      </c>
      <c r="C203" s="34" t="inlineStr">
        <is>
          <t>2015-16</t>
        </is>
      </c>
      <c r="O203" s="40" t="n">
        <v>105</v>
      </c>
      <c r="P203" s="41">
        <f>SUM(D203:O203)</f>
        <v/>
      </c>
    </row>
    <row r="204">
      <c r="A204" s="34" t="inlineStr">
        <is>
          <t>Canola</t>
        </is>
      </c>
      <c r="B204" s="39" t="inlineStr">
        <is>
          <t>Production</t>
        </is>
      </c>
      <c r="C204" s="34" t="inlineStr">
        <is>
          <t>2015-16</t>
        </is>
      </c>
      <c r="D204" s="40" t="n">
        <v>259.326</v>
      </c>
      <c r="E204" s="40" t="n">
        <v>263.864</v>
      </c>
      <c r="F204" s="40" t="n">
        <v>310.917</v>
      </c>
      <c r="G204" s="40" t="n">
        <v>297.651</v>
      </c>
      <c r="H204" s="40" t="n">
        <v>321.648</v>
      </c>
      <c r="I204" s="40" t="n">
        <v>300.084</v>
      </c>
      <c r="J204" s="40" t="n">
        <v>308.866</v>
      </c>
      <c r="K204" s="40" t="n">
        <v>329.029</v>
      </c>
      <c r="L204" s="40" t="n">
        <v>265.914</v>
      </c>
      <c r="M204" s="40" t="n">
        <v>306.39</v>
      </c>
      <c r="N204" s="40" t="n">
        <v>306.037</v>
      </c>
      <c r="O204" s="40" t="n">
        <v>18376.5</v>
      </c>
      <c r="P204" s="41">
        <f>SUM(D204:O204)</f>
        <v/>
      </c>
    </row>
    <row r="205">
      <c r="A205" s="34" t="inlineStr">
        <is>
          <t>Canola</t>
        </is>
      </c>
      <c r="B205" s="39" t="inlineStr">
        <is>
          <t>Food</t>
        </is>
      </c>
      <c r="C205" s="34" t="inlineStr">
        <is>
          <t>2015-16</t>
        </is>
      </c>
      <c r="O205" s="40" t="n">
        <v>0</v>
      </c>
      <c r="P205" s="41">
        <f>SUM(D205:O205)</f>
        <v/>
      </c>
    </row>
    <row r="206">
      <c r="A206" s="34" t="inlineStr">
        <is>
          <t>Canola</t>
        </is>
      </c>
      <c r="B206" s="39" t="inlineStr">
        <is>
          <t>Crush</t>
        </is>
      </c>
      <c r="C206" s="34" t="inlineStr">
        <is>
          <t>2015-16</t>
        </is>
      </c>
      <c r="P206" s="41">
        <f>SUM(D206:O206)</f>
        <v/>
      </c>
    </row>
    <row r="207">
      <c r="A207" s="34" t="inlineStr">
        <is>
          <t>Canola</t>
        </is>
      </c>
      <c r="B207" s="39" t="inlineStr">
        <is>
          <t>FSR</t>
        </is>
      </c>
      <c r="C207" s="34" t="inlineStr">
        <is>
          <t>2015-16</t>
        </is>
      </c>
      <c r="D207" s="40" t="n">
        <v>259.326</v>
      </c>
      <c r="E207" s="40" t="n">
        <v>263.864</v>
      </c>
      <c r="F207" s="40" t="n">
        <v>310.917</v>
      </c>
      <c r="G207" s="40" t="n">
        <v>297.651</v>
      </c>
      <c r="H207" s="40" t="n">
        <v>321.648</v>
      </c>
      <c r="I207" s="40" t="n">
        <v>300.084</v>
      </c>
      <c r="J207" s="40" t="n">
        <v>308.866</v>
      </c>
      <c r="K207" s="40" t="n">
        <v>329.029</v>
      </c>
      <c r="L207" s="40" t="n">
        <v>265.914</v>
      </c>
      <c r="M207" s="40" t="n">
        <v>306.39</v>
      </c>
      <c r="N207" s="40" t="n">
        <v>306.037</v>
      </c>
      <c r="O207" s="40" t="n">
        <v>8665</v>
      </c>
      <c r="P207" s="41">
        <f>SUM(D207:O207)</f>
        <v/>
      </c>
    </row>
    <row r="208">
      <c r="A208" s="34" t="inlineStr">
        <is>
          <t>Canola</t>
        </is>
      </c>
      <c r="B208" s="39" t="inlineStr">
        <is>
          <t>Exports</t>
        </is>
      </c>
      <c r="C208" s="34" t="inlineStr">
        <is>
          <t>2015-16</t>
        </is>
      </c>
      <c r="O208" s="40" t="n">
        <v>10299</v>
      </c>
      <c r="P208" s="41">
        <f>SUM(D208:O208)</f>
        <v/>
      </c>
    </row>
    <row r="209">
      <c r="A209" s="34" t="inlineStr">
        <is>
          <t>Canola</t>
        </is>
      </c>
      <c r="B209" s="39" t="inlineStr">
        <is>
          <t>Ending Stocks</t>
        </is>
      </c>
      <c r="C209" s="34" t="inlineStr">
        <is>
          <t>2015-16</t>
        </is>
      </c>
      <c r="D209" s="40" t="n">
        <v>94.889</v>
      </c>
      <c r="E209" s="40" t="n">
        <v>98.58199999999999</v>
      </c>
      <c r="F209" s="40" t="n">
        <v>102.637</v>
      </c>
      <c r="G209" s="40" t="n">
        <v>93.77</v>
      </c>
      <c r="H209" s="40" t="n">
        <v>99.364</v>
      </c>
      <c r="I209" s="40" t="n">
        <v>104.783</v>
      </c>
      <c r="J209" s="40" t="n">
        <v>71.96899999999999</v>
      </c>
      <c r="K209" s="40" t="n">
        <v>97.096</v>
      </c>
      <c r="L209" s="40" t="n">
        <v>97.70699999999999</v>
      </c>
      <c r="M209" s="40" t="n">
        <v>80.667</v>
      </c>
      <c r="N209" s="40" t="n">
        <v>93.541</v>
      </c>
      <c r="O209" s="40" t="n">
        <v>2090.8</v>
      </c>
      <c r="P209" s="41">
        <f>SUM(D209:O209)</f>
        <v/>
      </c>
    </row>
    <row r="210">
      <c r="A210" s="34" t="inlineStr">
        <is>
          <t>Canola</t>
        </is>
      </c>
      <c r="B210" s="35" t="inlineStr">
        <is>
          <t>Stocks-to-Use</t>
        </is>
      </c>
      <c r="C210" s="34" t="inlineStr">
        <is>
          <t>2015-16</t>
        </is>
      </c>
      <c r="P210" s="37">
        <f>SUM(D210:O210)</f>
        <v/>
      </c>
    </row>
    <row r="211">
      <c r="A211" s="34" t="inlineStr">
        <is>
          <t>Canola</t>
        </is>
      </c>
      <c r="B211" s="35" t="inlineStr">
        <is>
          <t>STU Days</t>
        </is>
      </c>
      <c r="C211" s="34" t="inlineStr">
        <is>
          <t>2015-16</t>
        </is>
      </c>
      <c r="P211" s="41">
        <f>SUM(D211:O211)</f>
        <v/>
      </c>
    </row>
    <row r="212">
      <c r="A212" s="34" t="inlineStr">
        <is>
          <t>Canola</t>
        </is>
      </c>
      <c r="B212" s="35" t="inlineStr">
        <is>
          <t>CHECK</t>
        </is>
      </c>
      <c r="C212" s="34" t="inlineStr">
        <is>
          <t>2015-16</t>
        </is>
      </c>
      <c r="D212" s="41" t="n">
        <v>1.4210854715202e-14</v>
      </c>
      <c r="E212" s="41" t="n">
        <v>0</v>
      </c>
      <c r="F212" s="41" t="n">
        <v>0</v>
      </c>
      <c r="G212" s="41" t="n">
        <v>-1.4210854715202e-14</v>
      </c>
      <c r="H212" s="41" t="n">
        <v>2.842170943040401e-14</v>
      </c>
      <c r="I212" s="41" t="n">
        <v>1.4210854715202e-14</v>
      </c>
      <c r="J212" s="41" t="n">
        <v>0</v>
      </c>
      <c r="K212" s="41" t="n">
        <v>0</v>
      </c>
      <c r="L212" s="41" t="n">
        <v>0</v>
      </c>
      <c r="M212" s="41" t="n">
        <v>2.842170943040401e-14</v>
      </c>
      <c r="N212" s="41" t="n">
        <v>0</v>
      </c>
      <c r="O212" s="41" t="n">
        <v>-9.094947017729282e-13</v>
      </c>
      <c r="P212" s="41">
        <f>SUM(D212:O212)</f>
        <v/>
      </c>
    </row>
    <row r="213">
      <c r="A213" s="34" t="inlineStr">
        <is>
          <t>Canola</t>
        </is>
      </c>
      <c r="B213" s="35" t="inlineStr">
        <is>
          <t>Planted Area</t>
        </is>
      </c>
      <c r="C213" s="34" t="inlineStr">
        <is>
          <t>2016-17</t>
        </is>
      </c>
      <c r="P213" s="36">
        <f>SUM(D213:O213)</f>
        <v/>
      </c>
    </row>
    <row r="214">
      <c r="A214" s="34" t="inlineStr">
        <is>
          <t>Canola</t>
        </is>
      </c>
      <c r="B214" s="35" t="inlineStr">
        <is>
          <t>Harvested Area</t>
        </is>
      </c>
      <c r="C214" s="34" t="inlineStr">
        <is>
          <t>2016-17</t>
        </is>
      </c>
      <c r="P214" s="36">
        <f>SUM(D214:O214)</f>
        <v/>
      </c>
    </row>
    <row r="215">
      <c r="A215" s="34" t="inlineStr">
        <is>
          <t>Canola</t>
        </is>
      </c>
      <c r="B215" s="35" t="inlineStr">
        <is>
          <t>Proportion Harvested</t>
        </is>
      </c>
      <c r="C215" s="34" t="inlineStr">
        <is>
          <t>2016-17</t>
        </is>
      </c>
      <c r="P215" s="37">
        <f>SUM(D215:O215)</f>
        <v/>
      </c>
    </row>
    <row r="216">
      <c r="A216" s="34" t="inlineStr">
        <is>
          <t>Canola</t>
        </is>
      </c>
      <c r="B216" s="35" t="inlineStr">
        <is>
          <t>Yield</t>
        </is>
      </c>
      <c r="C216" s="34" t="inlineStr">
        <is>
          <t>2016-17</t>
        </is>
      </c>
      <c r="I216" s="38" t="n">
        <v>0.666451124625234</v>
      </c>
      <c r="P216" s="38">
        <f>SUM(D216:O216)</f>
        <v/>
      </c>
    </row>
    <row r="217">
      <c r="A217" s="34" t="inlineStr">
        <is>
          <t>Canola</t>
        </is>
      </c>
      <c r="B217" s="39" t="inlineStr">
        <is>
          <t>Beginning Stocks</t>
        </is>
      </c>
      <c r="C217" s="34" t="inlineStr">
        <is>
          <t>2016-17</t>
        </is>
      </c>
      <c r="D217" s="40" t="n">
        <v>70.18600000000001</v>
      </c>
      <c r="E217" s="40" t="n">
        <v>80.014</v>
      </c>
      <c r="F217" s="40" t="n">
        <v>62.864</v>
      </c>
      <c r="G217" s="40" t="n">
        <v>70.268</v>
      </c>
      <c r="H217" s="40" t="n">
        <v>96.449</v>
      </c>
      <c r="I217" s="40" t="n">
        <v>92.627</v>
      </c>
      <c r="J217" s="40" t="n">
        <v>97.867</v>
      </c>
      <c r="K217" s="40" t="n">
        <v>135.45</v>
      </c>
      <c r="L217" s="40" t="n">
        <v>99.937</v>
      </c>
      <c r="M217" s="40" t="n">
        <v>83.16500000000001</v>
      </c>
      <c r="N217" s="40" t="n">
        <v>95.673</v>
      </c>
      <c r="O217" s="40" t="n">
        <v>2090.8</v>
      </c>
      <c r="P217" s="41">
        <f>SUM(D217:O217)</f>
        <v/>
      </c>
    </row>
    <row r="218">
      <c r="A218" s="34" t="inlineStr">
        <is>
          <t>Canola</t>
        </is>
      </c>
      <c r="B218" s="39" t="inlineStr">
        <is>
          <t>Imports</t>
        </is>
      </c>
      <c r="C218" s="34" t="inlineStr">
        <is>
          <t>2016-17</t>
        </is>
      </c>
      <c r="O218" s="40" t="n">
        <v>94.5</v>
      </c>
      <c r="P218" s="41">
        <f>SUM(D218:O218)</f>
        <v/>
      </c>
    </row>
    <row r="219">
      <c r="A219" s="34" t="inlineStr">
        <is>
          <t>Canola</t>
        </is>
      </c>
      <c r="B219" s="39" t="inlineStr">
        <is>
          <t>Production</t>
        </is>
      </c>
      <c r="C219" s="34" t="inlineStr">
        <is>
          <t>2016-17</t>
        </is>
      </c>
      <c r="D219" s="40" t="n">
        <v>290.544</v>
      </c>
      <c r="E219" s="40" t="n">
        <v>339.091</v>
      </c>
      <c r="F219" s="40" t="n">
        <v>349.516</v>
      </c>
      <c r="G219" s="40" t="n">
        <v>349.242</v>
      </c>
      <c r="H219" s="40" t="n">
        <v>365.225</v>
      </c>
      <c r="I219" s="40" t="n">
        <v>346.346</v>
      </c>
      <c r="J219" s="40" t="n">
        <v>329.866</v>
      </c>
      <c r="K219" s="40" t="n">
        <v>358.861</v>
      </c>
      <c r="L219" s="40" t="n">
        <v>328.58</v>
      </c>
      <c r="M219" s="40" t="n">
        <v>310.778</v>
      </c>
      <c r="N219" s="40" t="n">
        <v>321.671</v>
      </c>
      <c r="O219" s="40" t="n">
        <v>19599.2</v>
      </c>
      <c r="P219" s="41">
        <f>SUM(D219:O219)</f>
        <v/>
      </c>
    </row>
    <row r="220">
      <c r="A220" s="34" t="inlineStr">
        <is>
          <t>Canola</t>
        </is>
      </c>
      <c r="B220" s="39" t="inlineStr">
        <is>
          <t>Food</t>
        </is>
      </c>
      <c r="C220" s="34" t="inlineStr">
        <is>
          <t>2016-17</t>
        </is>
      </c>
      <c r="O220" s="40" t="n">
        <v>0</v>
      </c>
      <c r="P220" s="41">
        <f>SUM(D220:O220)</f>
        <v/>
      </c>
    </row>
    <row r="221">
      <c r="A221" s="34" t="inlineStr">
        <is>
          <t>Canola</t>
        </is>
      </c>
      <c r="B221" s="39" t="inlineStr">
        <is>
          <t>Crush</t>
        </is>
      </c>
      <c r="C221" s="34" t="inlineStr">
        <is>
          <t>2016-17</t>
        </is>
      </c>
      <c r="P221" s="41">
        <f>SUM(D221:O221)</f>
        <v/>
      </c>
    </row>
    <row r="222">
      <c r="A222" s="34" t="inlineStr">
        <is>
          <t>Canola</t>
        </is>
      </c>
      <c r="B222" s="39" t="inlineStr">
        <is>
          <t>FSR</t>
        </is>
      </c>
      <c r="C222" s="34" t="inlineStr">
        <is>
          <t>2016-17</t>
        </is>
      </c>
      <c r="D222" s="40" t="n">
        <v>290.544</v>
      </c>
      <c r="E222" s="40" t="n">
        <v>339.091</v>
      </c>
      <c r="F222" s="40" t="n">
        <v>349.516</v>
      </c>
      <c r="G222" s="40" t="n">
        <v>349.242</v>
      </c>
      <c r="H222" s="40" t="n">
        <v>365.225</v>
      </c>
      <c r="I222" s="40" t="n">
        <v>346.346</v>
      </c>
      <c r="J222" s="40" t="n">
        <v>329.866</v>
      </c>
      <c r="K222" s="40" t="n">
        <v>358.861</v>
      </c>
      <c r="L222" s="40" t="n">
        <v>328.58</v>
      </c>
      <c r="M222" s="40" t="n">
        <v>310.778</v>
      </c>
      <c r="N222" s="40" t="n">
        <v>321.671</v>
      </c>
      <c r="O222" s="40" t="n">
        <v>9426.4</v>
      </c>
      <c r="P222" s="41">
        <f>SUM(D222:O222)</f>
        <v/>
      </c>
    </row>
    <row r="223">
      <c r="A223" s="34" t="inlineStr">
        <is>
          <t>Canola</t>
        </is>
      </c>
      <c r="B223" s="39" t="inlineStr">
        <is>
          <t>Exports</t>
        </is>
      </c>
      <c r="C223" s="34" t="inlineStr">
        <is>
          <t>2016-17</t>
        </is>
      </c>
      <c r="O223" s="40" t="n">
        <v>11016.4</v>
      </c>
      <c r="P223" s="41">
        <f>SUM(D223:O223)</f>
        <v/>
      </c>
    </row>
    <row r="224">
      <c r="A224" s="34" t="inlineStr">
        <is>
          <t>Canola</t>
        </is>
      </c>
      <c r="B224" s="39" t="inlineStr">
        <is>
          <t>Ending Stocks</t>
        </is>
      </c>
      <c r="C224" s="34" t="inlineStr">
        <is>
          <t>2016-17</t>
        </is>
      </c>
      <c r="D224" s="40" t="n">
        <v>70.18600000000001</v>
      </c>
      <c r="E224" s="40" t="n">
        <v>80.014</v>
      </c>
      <c r="F224" s="40" t="n">
        <v>62.864</v>
      </c>
      <c r="G224" s="40" t="n">
        <v>70.268</v>
      </c>
      <c r="H224" s="40" t="n">
        <v>96.449</v>
      </c>
      <c r="I224" s="40" t="n">
        <v>92.627</v>
      </c>
      <c r="J224" s="40" t="n">
        <v>97.867</v>
      </c>
      <c r="K224" s="40" t="n">
        <v>135.45</v>
      </c>
      <c r="L224" s="40" t="n">
        <v>99.937</v>
      </c>
      <c r="M224" s="40" t="n">
        <v>83.16500000000001</v>
      </c>
      <c r="N224" s="40" t="n">
        <v>95.673</v>
      </c>
      <c r="O224" s="40" t="n">
        <v>1341.7</v>
      </c>
      <c r="P224" s="41">
        <f>SUM(D224:O224)</f>
        <v/>
      </c>
    </row>
    <row r="225">
      <c r="A225" s="34" t="inlineStr">
        <is>
          <t>Canola</t>
        </is>
      </c>
      <c r="B225" s="35" t="inlineStr">
        <is>
          <t>Stocks-to-Use</t>
        </is>
      </c>
      <c r="C225" s="34" t="inlineStr">
        <is>
          <t>2016-17</t>
        </is>
      </c>
      <c r="P225" s="37">
        <f>SUM(D225:O225)</f>
        <v/>
      </c>
    </row>
    <row r="226">
      <c r="A226" s="34" t="inlineStr">
        <is>
          <t>Canola</t>
        </is>
      </c>
      <c r="B226" s="35" t="inlineStr">
        <is>
          <t>STU Days</t>
        </is>
      </c>
      <c r="C226" s="34" t="inlineStr">
        <is>
          <t>2016-17</t>
        </is>
      </c>
      <c r="P226" s="41">
        <f>SUM(D226:O226)</f>
        <v/>
      </c>
    </row>
    <row r="227">
      <c r="A227" s="34" t="inlineStr">
        <is>
          <t>Canola</t>
        </is>
      </c>
      <c r="B227" s="35" t="inlineStr">
        <is>
          <t>CHECK</t>
        </is>
      </c>
      <c r="C227" s="34" t="inlineStr">
        <is>
          <t>2016-17</t>
        </is>
      </c>
      <c r="D227" s="41" t="n">
        <v>2.842170943040401e-14</v>
      </c>
      <c r="E227" s="41" t="n">
        <v>1.4210854715202e-14</v>
      </c>
      <c r="F227" s="41" t="n">
        <v>-2.131628207280301e-14</v>
      </c>
      <c r="G227" s="41" t="n">
        <v>2.842170943040401e-14</v>
      </c>
      <c r="H227" s="41" t="n">
        <v>1.4210854715202e-14</v>
      </c>
      <c r="I227" s="41" t="n">
        <v>1.4210854715202e-14</v>
      </c>
      <c r="J227" s="41" t="n">
        <v>1.4210854715202e-14</v>
      </c>
      <c r="K227" s="41" t="n">
        <v>0</v>
      </c>
      <c r="L227" s="41" t="n">
        <v>1.4210854715202e-14</v>
      </c>
      <c r="M227" s="41" t="n">
        <v>1.4210854715202e-14</v>
      </c>
      <c r="N227" s="41" t="n">
        <v>0</v>
      </c>
      <c r="O227" s="41" t="n">
        <v>6.821210263296962e-13</v>
      </c>
      <c r="P227" s="41">
        <f>SUM(D227:O227)</f>
        <v/>
      </c>
    </row>
    <row r="228">
      <c r="A228" s="34" t="inlineStr">
        <is>
          <t>Canola</t>
        </is>
      </c>
      <c r="B228" s="35" t="inlineStr">
        <is>
          <t>Planted Area</t>
        </is>
      </c>
      <c r="C228" s="34" t="inlineStr">
        <is>
          <t>2017-18</t>
        </is>
      </c>
      <c r="P228" s="36">
        <f>SUM(D228:O228)</f>
        <v/>
      </c>
    </row>
    <row r="229">
      <c r="A229" s="34" t="inlineStr">
        <is>
          <t>Canola</t>
        </is>
      </c>
      <c r="B229" s="35" t="inlineStr">
        <is>
          <t>Harvested Area</t>
        </is>
      </c>
      <c r="C229" s="34" t="inlineStr">
        <is>
          <t>2017-18</t>
        </is>
      </c>
      <c r="P229" s="36">
        <f>SUM(D229:O229)</f>
        <v/>
      </c>
    </row>
    <row r="230">
      <c r="A230" s="34" t="inlineStr">
        <is>
          <t>Canola</t>
        </is>
      </c>
      <c r="B230" s="35" t="inlineStr">
        <is>
          <t>Proportion Harvested</t>
        </is>
      </c>
      <c r="C230" s="34" t="inlineStr">
        <is>
          <t>2017-18</t>
        </is>
      </c>
      <c r="P230" s="37">
        <f>SUM(D230:O230)</f>
        <v/>
      </c>
    </row>
    <row r="231">
      <c r="A231" s="34" t="inlineStr">
        <is>
          <t>Canola</t>
        </is>
      </c>
      <c r="B231" s="35" t="inlineStr">
        <is>
          <t>Yield</t>
        </is>
      </c>
      <c r="C231" s="34" t="inlineStr">
        <is>
          <t>2017-18</t>
        </is>
      </c>
      <c r="I231" s="38" t="n">
        <v>0.665198967836984</v>
      </c>
      <c r="P231" s="38">
        <f>SUM(D231:O231)</f>
        <v/>
      </c>
    </row>
    <row r="232">
      <c r="A232" s="34" t="inlineStr">
        <is>
          <t>Canola</t>
        </is>
      </c>
      <c r="B232" s="39" t="inlineStr">
        <is>
          <t>Beginning Stocks</t>
        </is>
      </c>
      <c r="C232" s="34" t="inlineStr">
        <is>
          <t>2017-18</t>
        </is>
      </c>
      <c r="D232" s="40" t="n">
        <v>81.309</v>
      </c>
      <c r="E232" s="40" t="n">
        <v>97.807</v>
      </c>
      <c r="F232" s="40" t="n">
        <v>79.541</v>
      </c>
      <c r="G232" s="40" t="n">
        <v>79.57899999999999</v>
      </c>
      <c r="H232" s="40" t="n">
        <v>119.348</v>
      </c>
      <c r="I232" s="40" t="n">
        <v>115.796</v>
      </c>
      <c r="J232" s="40" t="n">
        <v>117.411</v>
      </c>
      <c r="K232" s="40" t="n">
        <v>133.795</v>
      </c>
      <c r="L232" s="40" t="n">
        <v>92.23699999999999</v>
      </c>
      <c r="M232" s="40" t="n">
        <v>80.114</v>
      </c>
      <c r="N232" s="40" t="n">
        <v>96.559</v>
      </c>
      <c r="O232" s="40" t="n">
        <v>1341.7</v>
      </c>
      <c r="P232" s="41">
        <f>SUM(D232:O232)</f>
        <v/>
      </c>
    </row>
    <row r="233">
      <c r="A233" s="34" t="inlineStr">
        <is>
          <t>Canola</t>
        </is>
      </c>
      <c r="B233" s="39" t="inlineStr">
        <is>
          <t>Imports</t>
        </is>
      </c>
      <c r="C233" s="34" t="inlineStr">
        <is>
          <t>2017-18</t>
        </is>
      </c>
      <c r="O233" s="40" t="n">
        <v>108</v>
      </c>
      <c r="P233" s="41">
        <f>SUM(D233:O233)</f>
        <v/>
      </c>
    </row>
    <row r="234">
      <c r="A234" s="34" t="inlineStr">
        <is>
          <t>Canola</t>
        </is>
      </c>
      <c r="B234" s="39" t="inlineStr">
        <is>
          <t>Production</t>
        </is>
      </c>
      <c r="C234" s="34" t="inlineStr">
        <is>
          <t>2017-18</t>
        </is>
      </c>
      <c r="D234" s="40" t="n">
        <v>275.594</v>
      </c>
      <c r="E234" s="40" t="n">
        <v>333.206</v>
      </c>
      <c r="F234" s="40" t="n">
        <v>385.406</v>
      </c>
      <c r="G234" s="40" t="n">
        <v>358.596</v>
      </c>
      <c r="H234" s="40" t="n">
        <v>369.068</v>
      </c>
      <c r="I234" s="40" t="n">
        <v>339.976</v>
      </c>
      <c r="J234" s="40" t="n">
        <v>302.001</v>
      </c>
      <c r="K234" s="40" t="n">
        <v>369.137</v>
      </c>
      <c r="L234" s="40" t="n">
        <v>352.397</v>
      </c>
      <c r="M234" s="40" t="n">
        <v>343.755</v>
      </c>
      <c r="N234" s="40" t="n">
        <v>334.184</v>
      </c>
      <c r="O234" s="40" t="n">
        <v>21458.1</v>
      </c>
      <c r="P234" s="41">
        <f>SUM(D234:O234)</f>
        <v/>
      </c>
    </row>
    <row r="235">
      <c r="A235" s="34" t="inlineStr">
        <is>
          <t>Canola</t>
        </is>
      </c>
      <c r="B235" s="39" t="inlineStr">
        <is>
          <t>Food</t>
        </is>
      </c>
      <c r="C235" s="34" t="inlineStr">
        <is>
          <t>2017-18</t>
        </is>
      </c>
      <c r="O235" s="40" t="n">
        <v>0</v>
      </c>
      <c r="P235" s="41">
        <f>SUM(D235:O235)</f>
        <v/>
      </c>
    </row>
    <row r="236">
      <c r="A236" s="34" t="inlineStr">
        <is>
          <t>Canola</t>
        </is>
      </c>
      <c r="B236" s="39" t="inlineStr">
        <is>
          <t>Crush</t>
        </is>
      </c>
      <c r="C236" s="34" t="inlineStr">
        <is>
          <t>2017-18</t>
        </is>
      </c>
      <c r="P236" s="41">
        <f>SUM(D236:O236)</f>
        <v/>
      </c>
    </row>
    <row r="237">
      <c r="A237" s="34" t="inlineStr">
        <is>
          <t>Canola</t>
        </is>
      </c>
      <c r="B237" s="39" t="inlineStr">
        <is>
          <t>FSR</t>
        </is>
      </c>
      <c r="C237" s="34" t="inlineStr">
        <is>
          <t>2017-18</t>
        </is>
      </c>
      <c r="D237" s="40" t="n">
        <v>275.5940000000001</v>
      </c>
      <c r="E237" s="40" t="n">
        <v>333.206</v>
      </c>
      <c r="F237" s="40" t="n">
        <v>385.406</v>
      </c>
      <c r="G237" s="40" t="n">
        <v>358.596</v>
      </c>
      <c r="H237" s="40" t="n">
        <v>369.068</v>
      </c>
      <c r="I237" s="40" t="n">
        <v>339.976</v>
      </c>
      <c r="J237" s="40" t="n">
        <v>302.001</v>
      </c>
      <c r="K237" s="40" t="n">
        <v>369.1370000000001</v>
      </c>
      <c r="L237" s="40" t="n">
        <v>352.397</v>
      </c>
      <c r="M237" s="40" t="n">
        <v>343.755</v>
      </c>
      <c r="N237" s="40" t="n">
        <v>334.1840000000001</v>
      </c>
      <c r="O237" s="40" t="n">
        <v>9489.200000000001</v>
      </c>
      <c r="P237" s="41">
        <f>SUM(D237:O237)</f>
        <v/>
      </c>
    </row>
    <row r="238">
      <c r="A238" s="34" t="inlineStr">
        <is>
          <t>Canola</t>
        </is>
      </c>
      <c r="B238" s="39" t="inlineStr">
        <is>
          <t>Exports</t>
        </is>
      </c>
      <c r="C238" s="34" t="inlineStr">
        <is>
          <t>2017-18</t>
        </is>
      </c>
      <c r="O238" s="40" t="n">
        <v>10782.9</v>
      </c>
      <c r="P238" s="41">
        <f>SUM(D238:O238)</f>
        <v/>
      </c>
    </row>
    <row r="239">
      <c r="A239" s="34" t="inlineStr">
        <is>
          <t>Canola</t>
        </is>
      </c>
      <c r="B239" s="39" t="inlineStr">
        <is>
          <t>Ending Stocks</t>
        </is>
      </c>
      <c r="C239" s="34" t="inlineStr">
        <is>
          <t>2017-18</t>
        </is>
      </c>
      <c r="D239" s="40" t="n">
        <v>81.309</v>
      </c>
      <c r="E239" s="40" t="n">
        <v>97.807</v>
      </c>
      <c r="F239" s="40" t="n">
        <v>79.541</v>
      </c>
      <c r="G239" s="40" t="n">
        <v>79.57899999999999</v>
      </c>
      <c r="H239" s="40" t="n">
        <v>119.348</v>
      </c>
      <c r="I239" s="40" t="n">
        <v>115.796</v>
      </c>
      <c r="J239" s="40" t="n">
        <v>117.411</v>
      </c>
      <c r="K239" s="40" t="n">
        <v>133.795</v>
      </c>
      <c r="L239" s="40" t="n">
        <v>92.23699999999999</v>
      </c>
      <c r="M239" s="40" t="n">
        <v>80.114</v>
      </c>
      <c r="N239" s="40" t="n">
        <v>96.559</v>
      </c>
      <c r="O239" s="40" t="n">
        <v>2635.7</v>
      </c>
      <c r="P239" s="41">
        <f>SUM(D239:O239)</f>
        <v/>
      </c>
    </row>
    <row r="240">
      <c r="A240" s="34" t="inlineStr">
        <is>
          <t>Canola</t>
        </is>
      </c>
      <c r="B240" s="35" t="inlineStr">
        <is>
          <t>Stocks-to-Use</t>
        </is>
      </c>
      <c r="C240" s="34" t="inlineStr">
        <is>
          <t>2017-18</t>
        </is>
      </c>
      <c r="P240" s="37">
        <f>SUM(D240:O240)</f>
        <v/>
      </c>
    </row>
    <row r="241">
      <c r="A241" s="34" t="inlineStr">
        <is>
          <t>Canola</t>
        </is>
      </c>
      <c r="B241" s="35" t="inlineStr">
        <is>
          <t>STU Days</t>
        </is>
      </c>
      <c r="C241" s="34" t="inlineStr">
        <is>
          <t>2017-18</t>
        </is>
      </c>
      <c r="P241" s="41">
        <f>SUM(D241:O241)</f>
        <v/>
      </c>
    </row>
    <row r="242">
      <c r="A242" s="34" t="inlineStr">
        <is>
          <t>Canola</t>
        </is>
      </c>
      <c r="B242" s="35" t="inlineStr">
        <is>
          <t>CHECK</t>
        </is>
      </c>
      <c r="C242" s="34" t="inlineStr">
        <is>
          <t>2017-18</t>
        </is>
      </c>
      <c r="D242" s="41" t="n">
        <v>-2.842170943040401e-14</v>
      </c>
      <c r="E242" s="41" t="n">
        <v>1.4210854715202e-14</v>
      </c>
      <c r="F242" s="41" t="n">
        <v>0</v>
      </c>
      <c r="G242" s="41" t="n">
        <v>1.4210854715202e-14</v>
      </c>
      <c r="H242" s="41" t="n">
        <v>1.4210854715202e-14</v>
      </c>
      <c r="I242" s="41" t="n">
        <v>-1.4210854715202e-14</v>
      </c>
      <c r="J242" s="41" t="n">
        <v>0</v>
      </c>
      <c r="K242" s="41" t="n">
        <v>-2.842170943040401e-14</v>
      </c>
      <c r="L242" s="41" t="n">
        <v>-2.842170943040401e-14</v>
      </c>
      <c r="M242" s="41" t="n">
        <v>2.842170943040401e-14</v>
      </c>
      <c r="N242" s="41" t="n">
        <v>-2.842170943040401e-14</v>
      </c>
      <c r="O242" s="41" t="n">
        <v>-9.094947017729282e-13</v>
      </c>
      <c r="P242" s="41">
        <f>SUM(D242:O242)</f>
        <v/>
      </c>
    </row>
    <row r="243">
      <c r="A243" s="34" t="inlineStr">
        <is>
          <t>Canola</t>
        </is>
      </c>
      <c r="B243" s="35" t="inlineStr">
        <is>
          <t>Planted Area</t>
        </is>
      </c>
      <c r="C243" s="34" t="inlineStr">
        <is>
          <t>2018-19</t>
        </is>
      </c>
      <c r="P243" s="36">
        <f>SUM(D243:O243)</f>
        <v/>
      </c>
    </row>
    <row r="244">
      <c r="A244" s="34" t="inlineStr">
        <is>
          <t>Canola</t>
        </is>
      </c>
      <c r="B244" s="35" t="inlineStr">
        <is>
          <t>Harvested Area</t>
        </is>
      </c>
      <c r="C244" s="34" t="inlineStr">
        <is>
          <t>2018-19</t>
        </is>
      </c>
      <c r="P244" s="36">
        <f>SUM(D244:O244)</f>
        <v/>
      </c>
    </row>
    <row r="245">
      <c r="A245" s="34" t="inlineStr">
        <is>
          <t>Canola</t>
        </is>
      </c>
      <c r="B245" s="35" t="inlineStr">
        <is>
          <t>Proportion Harvested</t>
        </is>
      </c>
      <c r="C245" s="34" t="inlineStr">
        <is>
          <t>2018-19</t>
        </is>
      </c>
      <c r="P245" s="37">
        <f>SUM(D245:O245)</f>
        <v/>
      </c>
    </row>
    <row r="246">
      <c r="A246" s="34" t="inlineStr">
        <is>
          <t>Canola</t>
        </is>
      </c>
      <c r="B246" s="35" t="inlineStr">
        <is>
          <t>Yield</t>
        </is>
      </c>
      <c r="C246" s="34" t="inlineStr">
        <is>
          <t>2018-19</t>
        </is>
      </c>
      <c r="I246" s="38" t="n">
        <v>0.7577545352270122</v>
      </c>
      <c r="P246" s="38">
        <f>SUM(D246:O246)</f>
        <v/>
      </c>
    </row>
    <row r="247">
      <c r="A247" s="34" t="inlineStr">
        <is>
          <t>Canola</t>
        </is>
      </c>
      <c r="B247" s="39" t="inlineStr">
        <is>
          <t>Beginning Stocks</t>
        </is>
      </c>
      <c r="C247" s="34" t="inlineStr">
        <is>
          <t>2018-19</t>
        </is>
      </c>
      <c r="D247" s="40" t="n">
        <v>95.66800000000001</v>
      </c>
      <c r="E247" s="40" t="n">
        <v>105.353</v>
      </c>
      <c r="F247" s="40" t="n">
        <v>110.422</v>
      </c>
      <c r="G247" s="40" t="n">
        <v>92.474</v>
      </c>
      <c r="H247" s="40" t="n">
        <v>121.384</v>
      </c>
      <c r="I247" s="40" t="n">
        <v>129.548</v>
      </c>
      <c r="J247" s="40" t="n">
        <v>126.139</v>
      </c>
      <c r="K247" s="40" t="n">
        <v>140.341</v>
      </c>
      <c r="L247" s="40" t="n">
        <v>108.193</v>
      </c>
      <c r="M247" s="40" t="n">
        <v>97.185</v>
      </c>
      <c r="N247" s="40" t="n">
        <v>87.922</v>
      </c>
      <c r="O247" s="40" t="n">
        <v>2635.7</v>
      </c>
      <c r="P247" s="41">
        <f>SUM(D247:O247)</f>
        <v/>
      </c>
    </row>
    <row r="248">
      <c r="A248" s="34" t="inlineStr">
        <is>
          <t>Canola</t>
        </is>
      </c>
      <c r="B248" s="39" t="inlineStr">
        <is>
          <t>Imports</t>
        </is>
      </c>
      <c r="C248" s="34" t="inlineStr">
        <is>
          <t>2018-19</t>
        </is>
      </c>
      <c r="O248" s="40" t="n">
        <v>146.5</v>
      </c>
      <c r="P248" s="41">
        <f>SUM(D248:O248)</f>
        <v/>
      </c>
    </row>
    <row r="249">
      <c r="A249" s="34" t="inlineStr">
        <is>
          <t>Canola</t>
        </is>
      </c>
      <c r="B249" s="39" t="inlineStr">
        <is>
          <t>Production</t>
        </is>
      </c>
      <c r="C249" s="34" t="inlineStr">
        <is>
          <t>2018-19</t>
        </is>
      </c>
      <c r="D249" s="40" t="n">
        <v>333.324</v>
      </c>
      <c r="E249" s="40" t="n">
        <v>305.492</v>
      </c>
      <c r="F249" s="40" t="n">
        <v>338.867</v>
      </c>
      <c r="G249" s="40" t="n">
        <v>351.37</v>
      </c>
      <c r="H249" s="40" t="n">
        <v>368.101</v>
      </c>
      <c r="I249" s="40" t="n">
        <v>359.742</v>
      </c>
      <c r="J249" s="40" t="n">
        <v>277.382</v>
      </c>
      <c r="K249" s="40" t="n">
        <v>313.282</v>
      </c>
      <c r="L249" s="40" t="n">
        <v>353.144</v>
      </c>
      <c r="M249" s="40" t="n">
        <v>354.617</v>
      </c>
      <c r="N249" s="40" t="n">
        <v>318.648</v>
      </c>
      <c r="O249" s="40" t="n">
        <v>20723.5</v>
      </c>
      <c r="P249" s="41">
        <f>SUM(D249:O249)</f>
        <v/>
      </c>
    </row>
    <row r="250">
      <c r="A250" s="34" t="inlineStr">
        <is>
          <t>Canola</t>
        </is>
      </c>
      <c r="B250" s="39" t="inlineStr">
        <is>
          <t>Food</t>
        </is>
      </c>
      <c r="C250" s="34" t="inlineStr">
        <is>
          <t>2018-19</t>
        </is>
      </c>
      <c r="O250" s="40" t="n">
        <v>0</v>
      </c>
      <c r="P250" s="41">
        <f>SUM(D250:O250)</f>
        <v/>
      </c>
    </row>
    <row r="251">
      <c r="A251" s="34" t="inlineStr">
        <is>
          <t>Canola</t>
        </is>
      </c>
      <c r="B251" s="39" t="inlineStr">
        <is>
          <t>Crush</t>
        </is>
      </c>
      <c r="C251" s="34" t="inlineStr">
        <is>
          <t>2018-19</t>
        </is>
      </c>
      <c r="P251" s="41">
        <f>SUM(D251:O251)</f>
        <v/>
      </c>
    </row>
    <row r="252">
      <c r="A252" s="34" t="inlineStr">
        <is>
          <t>Canola</t>
        </is>
      </c>
      <c r="B252" s="39" t="inlineStr">
        <is>
          <t>FSR</t>
        </is>
      </c>
      <c r="C252" s="34" t="inlineStr">
        <is>
          <t>2018-19</t>
        </is>
      </c>
      <c r="D252" s="40" t="n">
        <v>333.324</v>
      </c>
      <c r="E252" s="40" t="n">
        <v>305.492</v>
      </c>
      <c r="F252" s="40" t="n">
        <v>338.867</v>
      </c>
      <c r="G252" s="40" t="n">
        <v>351.37</v>
      </c>
      <c r="H252" s="40" t="n">
        <v>368.101</v>
      </c>
      <c r="I252" s="40" t="n">
        <v>359.742</v>
      </c>
      <c r="J252" s="40" t="n">
        <v>277.382</v>
      </c>
      <c r="K252" s="40" t="n">
        <v>313.282</v>
      </c>
      <c r="L252" s="40" t="n">
        <v>353.144</v>
      </c>
      <c r="M252" s="40" t="n">
        <v>354.617</v>
      </c>
      <c r="N252" s="40" t="n">
        <v>318.648</v>
      </c>
      <c r="O252" s="40" t="n">
        <v>9868.9</v>
      </c>
      <c r="P252" s="41">
        <f>SUM(D252:O252)</f>
        <v/>
      </c>
    </row>
    <row r="253">
      <c r="A253" s="34" t="inlineStr">
        <is>
          <t>Canola</t>
        </is>
      </c>
      <c r="B253" s="39" t="inlineStr">
        <is>
          <t>Exports</t>
        </is>
      </c>
      <c r="C253" s="34" t="inlineStr">
        <is>
          <t>2018-19</t>
        </is>
      </c>
      <c r="O253" s="40" t="n">
        <v>9202</v>
      </c>
      <c r="P253" s="41">
        <f>SUM(D253:O253)</f>
        <v/>
      </c>
    </row>
    <row r="254">
      <c r="A254" s="34" t="inlineStr">
        <is>
          <t>Canola</t>
        </is>
      </c>
      <c r="B254" s="39" t="inlineStr">
        <is>
          <t>Ending Stocks</t>
        </is>
      </c>
      <c r="C254" s="34" t="inlineStr">
        <is>
          <t>2018-19</t>
        </is>
      </c>
      <c r="D254" s="40" t="n">
        <v>95.66800000000001</v>
      </c>
      <c r="E254" s="40" t="n">
        <v>105.353</v>
      </c>
      <c r="F254" s="40" t="n">
        <v>110.422</v>
      </c>
      <c r="G254" s="40" t="n">
        <v>92.474</v>
      </c>
      <c r="H254" s="40" t="n">
        <v>121.384</v>
      </c>
      <c r="I254" s="40" t="n">
        <v>129.548</v>
      </c>
      <c r="J254" s="40" t="n">
        <v>126.139</v>
      </c>
      <c r="K254" s="40" t="n">
        <v>140.341</v>
      </c>
      <c r="L254" s="40" t="n">
        <v>108.193</v>
      </c>
      <c r="M254" s="40" t="n">
        <v>97.185</v>
      </c>
      <c r="N254" s="40" t="n">
        <v>87.922</v>
      </c>
      <c r="O254" s="40" t="n">
        <v>4434.8</v>
      </c>
      <c r="P254" s="41">
        <f>SUM(D254:O254)</f>
        <v/>
      </c>
    </row>
    <row r="255">
      <c r="A255" s="34" t="inlineStr">
        <is>
          <t>Canola</t>
        </is>
      </c>
      <c r="B255" s="35" t="inlineStr">
        <is>
          <t>Stocks-to-Use</t>
        </is>
      </c>
      <c r="C255" s="34" t="inlineStr">
        <is>
          <t>2018-19</t>
        </is>
      </c>
      <c r="P255" s="37">
        <f>SUM(D255:O255)</f>
        <v/>
      </c>
    </row>
    <row r="256">
      <c r="A256" s="34" t="inlineStr">
        <is>
          <t>Canola</t>
        </is>
      </c>
      <c r="B256" s="35" t="inlineStr">
        <is>
          <t>STU Days</t>
        </is>
      </c>
      <c r="C256" s="34" t="inlineStr">
        <is>
          <t>2018-19</t>
        </is>
      </c>
      <c r="P256" s="41">
        <f>SUM(D256:O256)</f>
        <v/>
      </c>
    </row>
    <row r="257">
      <c r="A257" s="34" t="inlineStr">
        <is>
          <t>Canola</t>
        </is>
      </c>
      <c r="B257" s="35" t="inlineStr">
        <is>
          <t>CHECK</t>
        </is>
      </c>
      <c r="C257" s="34" t="inlineStr">
        <is>
          <t>2018-19</t>
        </is>
      </c>
      <c r="D257" s="41" t="n">
        <v>0</v>
      </c>
      <c r="E257" s="41" t="n">
        <v>1.4210854715202e-14</v>
      </c>
      <c r="F257" s="41" t="n">
        <v>2.842170943040401e-14</v>
      </c>
      <c r="G257" s="41" t="n">
        <v>-1.4210854715202e-14</v>
      </c>
      <c r="H257" s="41" t="n">
        <v>1.4210854715202e-14</v>
      </c>
      <c r="I257" s="41" t="n">
        <v>0</v>
      </c>
      <c r="J257" s="41" t="n">
        <v>1.4210854715202e-14</v>
      </c>
      <c r="K257" s="41" t="n">
        <v>0</v>
      </c>
      <c r="L257" s="41" t="n">
        <v>-1.4210854715202e-14</v>
      </c>
      <c r="M257" s="41" t="n">
        <v>0</v>
      </c>
      <c r="N257" s="41" t="n">
        <v>2.842170943040401e-14</v>
      </c>
      <c r="O257" s="41" t="n">
        <v>-9.094947017729282e-13</v>
      </c>
      <c r="P257" s="41">
        <f>SUM(D257:O257)</f>
        <v/>
      </c>
    </row>
    <row r="258">
      <c r="A258" s="34" t="inlineStr">
        <is>
          <t>Canola</t>
        </is>
      </c>
      <c r="B258" s="35" t="inlineStr">
        <is>
          <t>Planted Area</t>
        </is>
      </c>
      <c r="C258" s="34" t="inlineStr">
        <is>
          <t>2019-20</t>
        </is>
      </c>
      <c r="P258" s="36">
        <f>SUM(D258:O258)</f>
        <v/>
      </c>
    </row>
    <row r="259">
      <c r="A259" s="34" t="inlineStr">
        <is>
          <t>Canola</t>
        </is>
      </c>
      <c r="B259" s="35" t="inlineStr">
        <is>
          <t>Harvested Area</t>
        </is>
      </c>
      <c r="C259" s="34" t="inlineStr">
        <is>
          <t>2019-20</t>
        </is>
      </c>
      <c r="P259" s="36">
        <f>SUM(D259:O259)</f>
        <v/>
      </c>
    </row>
    <row r="260">
      <c r="A260" s="34" t="inlineStr">
        <is>
          <t>Canola</t>
        </is>
      </c>
      <c r="B260" s="35" t="inlineStr">
        <is>
          <t>Proportion Harvested</t>
        </is>
      </c>
      <c r="C260" s="34" t="inlineStr">
        <is>
          <t>2019-20</t>
        </is>
      </c>
      <c r="P260" s="37">
        <f>SUM(D260:O260)</f>
        <v/>
      </c>
    </row>
    <row r="261">
      <c r="A261" s="34" t="inlineStr">
        <is>
          <t>Canola</t>
        </is>
      </c>
      <c r="B261" s="35" t="inlineStr">
        <is>
          <t>Yield</t>
        </is>
      </c>
      <c r="C261" s="34" t="inlineStr">
        <is>
          <t>2019-20</t>
        </is>
      </c>
      <c r="I261" s="38" t="n">
        <v>0.804389565510101</v>
      </c>
      <c r="P261" s="38">
        <f>SUM(D261:O261)</f>
        <v/>
      </c>
    </row>
    <row r="262">
      <c r="A262" s="34" t="inlineStr">
        <is>
          <t>Canola</t>
        </is>
      </c>
      <c r="B262" s="39" t="inlineStr">
        <is>
          <t>Beginning Stocks</t>
        </is>
      </c>
      <c r="C262" s="34" t="inlineStr">
        <is>
          <t>2019-20</t>
        </is>
      </c>
      <c r="D262" s="40" t="n">
        <v>90.949</v>
      </c>
      <c r="E262" s="40" t="n">
        <v>82.625</v>
      </c>
      <c r="F262" s="40" t="n">
        <v>78.682</v>
      </c>
      <c r="G262" s="40" t="n">
        <v>94.61499999999999</v>
      </c>
      <c r="H262" s="40" t="n">
        <v>112.988</v>
      </c>
      <c r="I262" s="40" t="n">
        <v>104.829</v>
      </c>
      <c r="J262" s="40" t="n">
        <v>100.927</v>
      </c>
      <c r="K262" s="40" t="n">
        <v>79.039</v>
      </c>
      <c r="L262" s="40" t="n">
        <v>101.405</v>
      </c>
      <c r="M262" s="40" t="n">
        <v>97.02500000000001</v>
      </c>
      <c r="N262" s="40" t="n">
        <v>107.896</v>
      </c>
      <c r="O262" s="40" t="n">
        <v>4434.8</v>
      </c>
      <c r="P262" s="41">
        <f>SUM(D262:O262)</f>
        <v/>
      </c>
    </row>
    <row r="263">
      <c r="A263" s="34" t="inlineStr">
        <is>
          <t>Canola</t>
        </is>
      </c>
      <c r="B263" s="39" t="inlineStr">
        <is>
          <t>Imports</t>
        </is>
      </c>
      <c r="C263" s="34" t="inlineStr">
        <is>
          <t>2019-20</t>
        </is>
      </c>
      <c r="O263" s="40" t="n">
        <v>132.5</v>
      </c>
      <c r="P263" s="41">
        <f>SUM(D263:O263)</f>
        <v/>
      </c>
    </row>
    <row r="264">
      <c r="A264" s="34" t="inlineStr">
        <is>
          <t>Canola</t>
        </is>
      </c>
      <c r="B264" s="39" t="inlineStr">
        <is>
          <t>Production</t>
        </is>
      </c>
      <c r="C264" s="34" t="inlineStr">
        <is>
          <t>2019-20</t>
        </is>
      </c>
      <c r="D264" s="40" t="n">
        <v>362.351</v>
      </c>
      <c r="E264" s="40" t="n">
        <v>335.473</v>
      </c>
      <c r="F264" s="40" t="n">
        <v>382.839</v>
      </c>
      <c r="G264" s="40" t="n">
        <v>360.183</v>
      </c>
      <c r="H264" s="40" t="n">
        <v>395.209</v>
      </c>
      <c r="I264" s="40" t="n">
        <v>375.307</v>
      </c>
      <c r="J264" s="40" t="n">
        <v>352.268</v>
      </c>
      <c r="K264" s="40" t="n">
        <v>386.965</v>
      </c>
      <c r="L264" s="40" t="n">
        <v>370.176</v>
      </c>
      <c r="M264" s="40" t="n">
        <v>375.88</v>
      </c>
      <c r="N264" s="40" t="n">
        <v>382.121</v>
      </c>
      <c r="O264" s="40" t="n">
        <v>19912.3</v>
      </c>
      <c r="P264" s="41">
        <f>SUM(D264:O264)</f>
        <v/>
      </c>
    </row>
    <row r="265">
      <c r="A265" s="34" t="inlineStr">
        <is>
          <t>Canola</t>
        </is>
      </c>
      <c r="B265" s="39" t="inlineStr">
        <is>
          <t>Food</t>
        </is>
      </c>
      <c r="C265" s="34" t="inlineStr">
        <is>
          <t>2019-20</t>
        </is>
      </c>
      <c r="O265" s="40" t="n">
        <v>0</v>
      </c>
      <c r="P265" s="41">
        <f>SUM(D265:O265)</f>
        <v/>
      </c>
    </row>
    <row r="266">
      <c r="A266" s="34" t="inlineStr">
        <is>
          <t>Canola</t>
        </is>
      </c>
      <c r="B266" s="39" t="inlineStr">
        <is>
          <t>Crush</t>
        </is>
      </c>
      <c r="C266" s="34" t="inlineStr">
        <is>
          <t>2019-20</t>
        </is>
      </c>
      <c r="P266" s="41">
        <f>SUM(D266:O266)</f>
        <v/>
      </c>
    </row>
    <row r="267">
      <c r="A267" s="34" t="inlineStr">
        <is>
          <t>Canola</t>
        </is>
      </c>
      <c r="B267" s="39" t="inlineStr">
        <is>
          <t>FSR</t>
        </is>
      </c>
      <c r="C267" s="34" t="inlineStr">
        <is>
          <t>2019-20</t>
        </is>
      </c>
      <c r="D267" s="40" t="n">
        <v>362.351</v>
      </c>
      <c r="E267" s="40" t="n">
        <v>335.473</v>
      </c>
      <c r="F267" s="40" t="n">
        <v>382.839</v>
      </c>
      <c r="G267" s="40" t="n">
        <v>360.183</v>
      </c>
      <c r="H267" s="40" t="n">
        <v>395.209</v>
      </c>
      <c r="I267" s="40" t="n">
        <v>375.307</v>
      </c>
      <c r="J267" s="40" t="n">
        <v>352.268</v>
      </c>
      <c r="K267" s="40" t="n">
        <v>386.965</v>
      </c>
      <c r="L267" s="40" t="n">
        <v>370.176</v>
      </c>
      <c r="M267" s="40" t="n">
        <v>375.88</v>
      </c>
      <c r="N267" s="40" t="n">
        <v>382.121</v>
      </c>
      <c r="O267" s="40" t="n">
        <v>11005.3</v>
      </c>
      <c r="P267" s="41">
        <f>SUM(D267:O267)</f>
        <v/>
      </c>
    </row>
    <row r="268">
      <c r="A268" s="34" t="inlineStr">
        <is>
          <t>Canola</t>
        </is>
      </c>
      <c r="B268" s="39" t="inlineStr">
        <is>
          <t>Exports</t>
        </is>
      </c>
      <c r="C268" s="34" t="inlineStr">
        <is>
          <t>2019-20</t>
        </is>
      </c>
      <c r="O268" s="40" t="n">
        <v>10039.7</v>
      </c>
      <c r="P268" s="41">
        <f>SUM(D268:O268)</f>
        <v/>
      </c>
    </row>
    <row r="269">
      <c r="A269" s="34" t="inlineStr">
        <is>
          <t>Canola</t>
        </is>
      </c>
      <c r="B269" s="39" t="inlineStr">
        <is>
          <t>Ending Stocks</t>
        </is>
      </c>
      <c r="C269" s="34" t="inlineStr">
        <is>
          <t>2019-20</t>
        </is>
      </c>
      <c r="D269" s="40" t="n">
        <v>90.949</v>
      </c>
      <c r="E269" s="40" t="n">
        <v>82.625</v>
      </c>
      <c r="F269" s="40" t="n">
        <v>78.682</v>
      </c>
      <c r="G269" s="40" t="n">
        <v>94.61499999999999</v>
      </c>
      <c r="H269" s="40" t="n">
        <v>112.988</v>
      </c>
      <c r="I269" s="40" t="n">
        <v>104.829</v>
      </c>
      <c r="J269" s="40" t="n">
        <v>100.927</v>
      </c>
      <c r="K269" s="40" t="n">
        <v>79.039</v>
      </c>
      <c r="L269" s="40" t="n">
        <v>101.405</v>
      </c>
      <c r="M269" s="40" t="n">
        <v>97.02500000000001</v>
      </c>
      <c r="N269" s="40" t="n">
        <v>107.896</v>
      </c>
      <c r="O269" s="40" t="n">
        <v>3434.6</v>
      </c>
      <c r="P269" s="41">
        <f>SUM(D269:O269)</f>
        <v/>
      </c>
    </row>
    <row r="270">
      <c r="A270" s="34" t="inlineStr">
        <is>
          <t>Canola</t>
        </is>
      </c>
      <c r="B270" s="35" t="inlineStr">
        <is>
          <t>Stocks-to-Use</t>
        </is>
      </c>
      <c r="C270" s="34" t="inlineStr">
        <is>
          <t>2019-20</t>
        </is>
      </c>
      <c r="P270" s="37">
        <f>SUM(D270:O270)</f>
        <v/>
      </c>
    </row>
    <row r="271">
      <c r="A271" s="34" t="inlineStr">
        <is>
          <t>Canola</t>
        </is>
      </c>
      <c r="B271" s="35" t="inlineStr">
        <is>
          <t>STU Days</t>
        </is>
      </c>
      <c r="C271" s="34" t="inlineStr">
        <is>
          <t>2019-20</t>
        </is>
      </c>
      <c r="P271" s="41">
        <f>SUM(D271:O271)</f>
        <v/>
      </c>
    </row>
    <row r="272">
      <c r="A272" s="34" t="inlineStr">
        <is>
          <t>Canola</t>
        </is>
      </c>
      <c r="B272" s="35" t="inlineStr">
        <is>
          <t>CHECK</t>
        </is>
      </c>
      <c r="C272" s="34" t="inlineStr">
        <is>
          <t>2019-20</t>
        </is>
      </c>
      <c r="D272" s="41" t="n">
        <v>1.4210854715202e-14</v>
      </c>
      <c r="E272" s="41" t="n">
        <v>0</v>
      </c>
      <c r="F272" s="41" t="n">
        <v>1.4210854715202e-14</v>
      </c>
      <c r="G272" s="41" t="n">
        <v>1.4210854715202e-14</v>
      </c>
      <c r="H272" s="41" t="n">
        <v>0</v>
      </c>
      <c r="I272" s="41" t="n">
        <v>1.4210854715202e-14</v>
      </c>
      <c r="J272" s="41" t="n">
        <v>1.4210854715202e-14</v>
      </c>
      <c r="K272" s="41" t="n">
        <v>-1.4210854715202e-14</v>
      </c>
      <c r="L272" s="41" t="n">
        <v>-2.842170943040401e-14</v>
      </c>
      <c r="M272" s="41" t="n">
        <v>-2.842170943040401e-14</v>
      </c>
      <c r="N272" s="41" t="n">
        <v>1.4210854715202e-14</v>
      </c>
      <c r="O272" s="41" t="n">
        <v>4.547473508864641e-13</v>
      </c>
      <c r="P272" s="41">
        <f>SUM(D272:O272)</f>
        <v/>
      </c>
    </row>
    <row r="273">
      <c r="A273" s="34" t="inlineStr">
        <is>
          <t>Canola</t>
        </is>
      </c>
      <c r="B273" s="35" t="inlineStr">
        <is>
          <t>Planted Area</t>
        </is>
      </c>
      <c r="C273" s="34" t="inlineStr">
        <is>
          <t>2020-21</t>
        </is>
      </c>
      <c r="P273" s="36">
        <f>SUM(D273:O273)</f>
        <v/>
      </c>
    </row>
    <row r="274">
      <c r="A274" s="34" t="inlineStr">
        <is>
          <t>Canola</t>
        </is>
      </c>
      <c r="B274" s="35" t="inlineStr">
        <is>
          <t>Harvested Area</t>
        </is>
      </c>
      <c r="C274" s="34" t="inlineStr">
        <is>
          <t>2020-21</t>
        </is>
      </c>
      <c r="P274" s="36">
        <f>SUM(D274:O274)</f>
        <v/>
      </c>
    </row>
    <row r="275">
      <c r="A275" s="34" t="inlineStr">
        <is>
          <t>Canola</t>
        </is>
      </c>
      <c r="B275" s="35" t="inlineStr">
        <is>
          <t>Proportion Harvested</t>
        </is>
      </c>
      <c r="C275" s="34" t="inlineStr">
        <is>
          <t>2020-21</t>
        </is>
      </c>
      <c r="P275" s="37">
        <f>SUM(D275:O275)</f>
        <v/>
      </c>
    </row>
    <row r="276">
      <c r="A276" s="34" t="inlineStr">
        <is>
          <t>Canola</t>
        </is>
      </c>
      <c r="B276" s="35" t="inlineStr">
        <is>
          <t>Yield</t>
        </is>
      </c>
      <c r="C276" s="34" t="inlineStr">
        <is>
          <t>2020-21</t>
        </is>
      </c>
      <c r="I276" s="38" t="n">
        <v>0.7864905957463556</v>
      </c>
      <c r="P276" s="38">
        <f>SUM(D276:O276)</f>
        <v/>
      </c>
    </row>
    <row r="277">
      <c r="A277" s="34" t="inlineStr">
        <is>
          <t>Canola</t>
        </is>
      </c>
      <c r="B277" s="39" t="inlineStr">
        <is>
          <t>Beginning Stocks</t>
        </is>
      </c>
      <c r="C277" s="34" t="inlineStr">
        <is>
          <t>2020-21</t>
        </is>
      </c>
      <c r="D277" s="40" t="n">
        <v>75.59099999999999</v>
      </c>
      <c r="E277" s="40" t="n">
        <v>72.673</v>
      </c>
      <c r="F277" s="40" t="n">
        <v>110.422</v>
      </c>
      <c r="G277" s="40" t="n">
        <v>124.741</v>
      </c>
      <c r="H277" s="40" t="n">
        <v>146.293</v>
      </c>
      <c r="I277" s="40" t="n">
        <v>139.78</v>
      </c>
      <c r="J277" s="40" t="n">
        <v>130.333</v>
      </c>
      <c r="K277" s="40" t="n">
        <v>101.723</v>
      </c>
      <c r="L277" s="40" t="n">
        <v>88.087</v>
      </c>
      <c r="M277" s="40" t="n">
        <v>90.782</v>
      </c>
      <c r="N277" s="40" t="n">
        <v>118.74</v>
      </c>
      <c r="O277" s="40" t="n">
        <v>3434.6</v>
      </c>
      <c r="P277" s="41">
        <f>SUM(D277:O277)</f>
        <v/>
      </c>
    </row>
    <row r="278">
      <c r="A278" s="34" t="inlineStr">
        <is>
          <t>Canola</t>
        </is>
      </c>
      <c r="B278" s="39" t="inlineStr">
        <is>
          <t>Imports</t>
        </is>
      </c>
      <c r="C278" s="34" t="inlineStr">
        <is>
          <t>2020-21</t>
        </is>
      </c>
      <c r="O278" s="40" t="n">
        <v>125.1</v>
      </c>
      <c r="P278" s="41">
        <f>SUM(D278:O278)</f>
        <v/>
      </c>
    </row>
    <row r="279">
      <c r="A279" s="34" t="inlineStr">
        <is>
          <t>Canola</t>
        </is>
      </c>
      <c r="B279" s="39" t="inlineStr">
        <is>
          <t>Production</t>
        </is>
      </c>
      <c r="C279" s="34" t="inlineStr">
        <is>
          <t>2020-21</t>
        </is>
      </c>
      <c r="D279" s="40" t="n">
        <v>363.424</v>
      </c>
      <c r="E279" s="40" t="n">
        <v>339.884</v>
      </c>
      <c r="F279" s="40" t="n">
        <v>400.909</v>
      </c>
      <c r="G279" s="40" t="n">
        <v>395.613</v>
      </c>
      <c r="H279" s="40" t="n">
        <v>397.85</v>
      </c>
      <c r="I279" s="40" t="n">
        <v>394.315</v>
      </c>
      <c r="J279" s="40" t="n">
        <v>346.41</v>
      </c>
      <c r="K279" s="40" t="n">
        <v>416.849</v>
      </c>
      <c r="L279" s="40" t="n">
        <v>391</v>
      </c>
      <c r="M279" s="40" t="n">
        <v>357.446</v>
      </c>
      <c r="N279" s="40" t="n">
        <v>362.131</v>
      </c>
      <c r="O279" s="40" t="n">
        <v>19484.7</v>
      </c>
      <c r="P279" s="41">
        <f>SUM(D279:O279)</f>
        <v/>
      </c>
    </row>
    <row r="280">
      <c r="A280" s="34" t="inlineStr">
        <is>
          <t>Canola</t>
        </is>
      </c>
      <c r="B280" s="39" t="inlineStr">
        <is>
          <t>Food</t>
        </is>
      </c>
      <c r="C280" s="34" t="inlineStr">
        <is>
          <t>2020-21</t>
        </is>
      </c>
      <c r="O280" s="40" t="n">
        <v>0</v>
      </c>
      <c r="P280" s="41">
        <f>SUM(D280:O280)</f>
        <v/>
      </c>
    </row>
    <row r="281">
      <c r="A281" s="34" t="inlineStr">
        <is>
          <t>Canola</t>
        </is>
      </c>
      <c r="B281" s="39" t="inlineStr">
        <is>
          <t>Crush</t>
        </is>
      </c>
      <c r="C281" s="34" t="inlineStr">
        <is>
          <t>2020-21</t>
        </is>
      </c>
      <c r="P281" s="41">
        <f>SUM(D281:O281)</f>
        <v/>
      </c>
    </row>
    <row r="282">
      <c r="A282" s="34" t="inlineStr">
        <is>
          <t>Canola</t>
        </is>
      </c>
      <c r="B282" s="39" t="inlineStr">
        <is>
          <t>FSR</t>
        </is>
      </c>
      <c r="C282" s="34" t="inlineStr">
        <is>
          <t>2020-21</t>
        </is>
      </c>
      <c r="D282" s="40" t="n">
        <v>363.424</v>
      </c>
      <c r="E282" s="40" t="n">
        <v>339.884</v>
      </c>
      <c r="F282" s="40" t="n">
        <v>400.909</v>
      </c>
      <c r="G282" s="40" t="n">
        <v>395.6130000000001</v>
      </c>
      <c r="H282" s="40" t="n">
        <v>397.85</v>
      </c>
      <c r="I282" s="40" t="n">
        <v>394.3150000000001</v>
      </c>
      <c r="J282" s="40" t="n">
        <v>346.4100000000001</v>
      </c>
      <c r="K282" s="40" t="n">
        <v>416.849</v>
      </c>
      <c r="L282" s="40" t="n">
        <v>391</v>
      </c>
      <c r="M282" s="40" t="n">
        <v>357.446</v>
      </c>
      <c r="N282" s="40" t="n">
        <v>362.131</v>
      </c>
      <c r="O282" s="40" t="n">
        <v>10679.8</v>
      </c>
      <c r="P282" s="41">
        <f>SUM(D282:O282)</f>
        <v/>
      </c>
    </row>
    <row r="283">
      <c r="A283" s="34" t="inlineStr">
        <is>
          <t>Canola</t>
        </is>
      </c>
      <c r="B283" s="39" t="inlineStr">
        <is>
          <t>Exports</t>
        </is>
      </c>
      <c r="C283" s="34" t="inlineStr">
        <is>
          <t>2020-21</t>
        </is>
      </c>
      <c r="O283" s="40" t="n">
        <v>10588.6</v>
      </c>
      <c r="P283" s="41">
        <f>SUM(D283:O283)</f>
        <v/>
      </c>
    </row>
    <row r="284">
      <c r="A284" s="34" t="inlineStr">
        <is>
          <t>Canola</t>
        </is>
      </c>
      <c r="B284" s="39" t="inlineStr">
        <is>
          <t>Ending Stocks</t>
        </is>
      </c>
      <c r="C284" s="34" t="inlineStr">
        <is>
          <t>2020-21</t>
        </is>
      </c>
      <c r="D284" s="40" t="n">
        <v>75.59099999999999</v>
      </c>
      <c r="E284" s="40" t="n">
        <v>72.673</v>
      </c>
      <c r="F284" s="40" t="n">
        <v>110.422</v>
      </c>
      <c r="G284" s="40" t="n">
        <v>124.741</v>
      </c>
      <c r="H284" s="40" t="n">
        <v>146.293</v>
      </c>
      <c r="I284" s="40" t="n">
        <v>139.78</v>
      </c>
      <c r="J284" s="40" t="n">
        <v>130.333</v>
      </c>
      <c r="K284" s="40" t="n">
        <v>101.723</v>
      </c>
      <c r="L284" s="40" t="n">
        <v>88.087</v>
      </c>
      <c r="M284" s="40" t="n">
        <v>90.782</v>
      </c>
      <c r="N284" s="40" t="n">
        <v>118.74</v>
      </c>
      <c r="O284" s="40" t="n">
        <v>1776</v>
      </c>
      <c r="P284" s="41">
        <f>SUM(D284:O284)</f>
        <v/>
      </c>
    </row>
    <row r="285">
      <c r="A285" s="34" t="inlineStr">
        <is>
          <t>Canola</t>
        </is>
      </c>
      <c r="B285" s="35" t="inlineStr">
        <is>
          <t>Stocks-to-Use</t>
        </is>
      </c>
      <c r="C285" s="34" t="inlineStr">
        <is>
          <t>2020-21</t>
        </is>
      </c>
      <c r="P285" s="37">
        <f>SUM(D285:O285)</f>
        <v/>
      </c>
    </row>
    <row r="286">
      <c r="A286" s="34" t="inlineStr">
        <is>
          <t>Canola</t>
        </is>
      </c>
      <c r="B286" s="35" t="inlineStr">
        <is>
          <t>STU Days</t>
        </is>
      </c>
      <c r="C286" s="34" t="inlineStr">
        <is>
          <t>2020-21</t>
        </is>
      </c>
      <c r="P286" s="41">
        <f>SUM(D286:O286)</f>
        <v/>
      </c>
    </row>
    <row r="287">
      <c r="A287" s="34" t="inlineStr">
        <is>
          <t>Canola</t>
        </is>
      </c>
      <c r="B287" s="35" t="inlineStr">
        <is>
          <t>CHECK</t>
        </is>
      </c>
      <c r="C287" s="34" t="inlineStr">
        <is>
          <t>2020-21</t>
        </is>
      </c>
      <c r="D287" s="41" t="n">
        <v>1.4210854715202e-14</v>
      </c>
      <c r="E287" s="41" t="n">
        <v>0</v>
      </c>
      <c r="F287" s="41" t="n">
        <v>2.842170943040401e-14</v>
      </c>
      <c r="G287" s="41" t="n">
        <v>-1.4210854715202e-14</v>
      </c>
      <c r="H287" s="41" t="n">
        <v>0</v>
      </c>
      <c r="I287" s="41" t="n">
        <v>-2.842170943040401e-14</v>
      </c>
      <c r="J287" s="41" t="n">
        <v>-2.842170943040401e-14</v>
      </c>
      <c r="K287" s="41" t="n">
        <v>1.4210854715202e-14</v>
      </c>
      <c r="L287" s="41" t="n">
        <v>-1.4210854715202e-14</v>
      </c>
      <c r="M287" s="41" t="n">
        <v>-1.4210854715202e-14</v>
      </c>
      <c r="N287" s="41" t="n">
        <v>1.4210854715202e-14</v>
      </c>
      <c r="O287" s="41" t="n">
        <v>0</v>
      </c>
      <c r="P287" s="41">
        <f>SUM(D287:O287)</f>
        <v/>
      </c>
    </row>
    <row r="288">
      <c r="A288" s="34" t="inlineStr">
        <is>
          <t>Canola</t>
        </is>
      </c>
      <c r="B288" s="35" t="inlineStr">
        <is>
          <t>Planted Area</t>
        </is>
      </c>
      <c r="C288" s="34" t="inlineStr">
        <is>
          <t>2021-22</t>
        </is>
      </c>
      <c r="P288" s="36">
        <f>SUM(D288:O288)</f>
        <v/>
      </c>
    </row>
    <row r="289">
      <c r="A289" s="34" t="inlineStr">
        <is>
          <t>Canola</t>
        </is>
      </c>
      <c r="B289" s="35" t="inlineStr">
        <is>
          <t>Harvested Area</t>
        </is>
      </c>
      <c r="C289" s="34" t="inlineStr">
        <is>
          <t>2021-22</t>
        </is>
      </c>
      <c r="P289" s="36">
        <f>SUM(D289:O289)</f>
        <v/>
      </c>
    </row>
    <row r="290">
      <c r="A290" s="34" t="inlineStr">
        <is>
          <t>Canola</t>
        </is>
      </c>
      <c r="B290" s="35" t="inlineStr">
        <is>
          <t>Proportion Harvested</t>
        </is>
      </c>
      <c r="C290" s="34" t="inlineStr">
        <is>
          <t>2021-22</t>
        </is>
      </c>
      <c r="P290" s="37">
        <f>SUM(D290:O290)</f>
        <v/>
      </c>
    </row>
    <row r="291">
      <c r="A291" s="34" t="inlineStr">
        <is>
          <t>Canola</t>
        </is>
      </c>
      <c r="B291" s="35" t="inlineStr">
        <is>
          <t>Yield</t>
        </is>
      </c>
      <c r="C291" s="34" t="inlineStr">
        <is>
          <t>2021-22</t>
        </is>
      </c>
      <c r="I291" s="38" t="n">
        <v>0.5638317695534277</v>
      </c>
      <c r="P291" s="38">
        <f>SUM(D291:O291)</f>
        <v/>
      </c>
    </row>
    <row r="292">
      <c r="A292" s="34" t="inlineStr">
        <is>
          <t>Canola</t>
        </is>
      </c>
      <c r="B292" s="39" t="inlineStr">
        <is>
          <t>Beginning Stocks</t>
        </is>
      </c>
      <c r="C292" s="34" t="inlineStr">
        <is>
          <t>2021-22</t>
        </is>
      </c>
      <c r="D292" s="40" t="n">
        <v>104.079</v>
      </c>
      <c r="E292" s="40" t="n">
        <v>98.866</v>
      </c>
      <c r="F292" s="40" t="n">
        <v>89.82899999999999</v>
      </c>
      <c r="G292" s="40" t="n">
        <v>103.276</v>
      </c>
      <c r="H292" s="40" t="n">
        <v>139.756</v>
      </c>
      <c r="I292" s="40" t="n">
        <v>111.51</v>
      </c>
      <c r="J292" s="40" t="n">
        <v>106.825</v>
      </c>
      <c r="K292" s="40" t="n">
        <v>92.435</v>
      </c>
      <c r="L292" s="40" t="n">
        <v>96.236</v>
      </c>
      <c r="M292" s="40" t="n">
        <v>73.946</v>
      </c>
      <c r="N292" s="40" t="n">
        <v>79.652</v>
      </c>
      <c r="O292" s="40" t="n">
        <v>1776</v>
      </c>
      <c r="P292" s="41">
        <f>SUM(D292:O292)</f>
        <v/>
      </c>
    </row>
    <row r="293">
      <c r="A293" s="34" t="inlineStr">
        <is>
          <t>Canola</t>
        </is>
      </c>
      <c r="B293" s="39" t="inlineStr">
        <is>
          <t>Imports</t>
        </is>
      </c>
      <c r="C293" s="34" t="inlineStr">
        <is>
          <t>2021-22</t>
        </is>
      </c>
      <c r="O293" s="40" t="n">
        <v>104.7</v>
      </c>
      <c r="P293" s="41">
        <f>SUM(D293:O293)</f>
        <v/>
      </c>
    </row>
    <row r="294">
      <c r="A294" s="34" t="inlineStr">
        <is>
          <t>Canola</t>
        </is>
      </c>
      <c r="B294" s="39" t="inlineStr">
        <is>
          <t>Production</t>
        </is>
      </c>
      <c r="C294" s="34" t="inlineStr">
        <is>
          <t>2021-22</t>
        </is>
      </c>
      <c r="D294" s="40" t="n">
        <v>287.295</v>
      </c>
      <c r="E294" s="40" t="n">
        <v>320.564</v>
      </c>
      <c r="F294" s="40" t="n">
        <v>360.223</v>
      </c>
      <c r="G294" s="40" t="n">
        <v>325.474</v>
      </c>
      <c r="H294" s="40" t="n">
        <v>293.945</v>
      </c>
      <c r="I294" s="40" t="n">
        <v>271.629</v>
      </c>
      <c r="J294" s="40" t="n">
        <v>262.732</v>
      </c>
      <c r="K294" s="40" t="n">
        <v>308.449</v>
      </c>
      <c r="L294" s="40" t="n">
        <v>293.812</v>
      </c>
      <c r="M294" s="40" t="n">
        <v>247.535</v>
      </c>
      <c r="N294" s="40" t="n">
        <v>276.389</v>
      </c>
      <c r="O294" s="40" t="n">
        <v>14248.3</v>
      </c>
      <c r="P294" s="41">
        <f>SUM(D294:O294)</f>
        <v/>
      </c>
    </row>
    <row r="295">
      <c r="A295" s="34" t="inlineStr">
        <is>
          <t>Canola</t>
        </is>
      </c>
      <c r="B295" s="39" t="inlineStr">
        <is>
          <t>Food</t>
        </is>
      </c>
      <c r="C295" s="34" t="inlineStr">
        <is>
          <t>2021-22</t>
        </is>
      </c>
      <c r="O295" s="40" t="n">
        <v>0</v>
      </c>
      <c r="P295" s="41">
        <f>SUM(D295:O295)</f>
        <v/>
      </c>
    </row>
    <row r="296">
      <c r="A296" s="34" t="inlineStr">
        <is>
          <t>Canola</t>
        </is>
      </c>
      <c r="B296" s="39" t="inlineStr">
        <is>
          <t>Crush</t>
        </is>
      </c>
      <c r="C296" s="34" t="inlineStr">
        <is>
          <t>2021-22</t>
        </is>
      </c>
      <c r="P296" s="41">
        <f>SUM(D296:O296)</f>
        <v/>
      </c>
    </row>
    <row r="297">
      <c r="A297" s="34" t="inlineStr">
        <is>
          <t>Canola</t>
        </is>
      </c>
      <c r="B297" s="39" t="inlineStr">
        <is>
          <t>FSR</t>
        </is>
      </c>
      <c r="C297" s="34" t="inlineStr">
        <is>
          <t>2021-22</t>
        </is>
      </c>
      <c r="D297" s="40" t="n">
        <v>287.295</v>
      </c>
      <c r="E297" s="40" t="n">
        <v>320.564</v>
      </c>
      <c r="F297" s="40" t="n">
        <v>360.223</v>
      </c>
      <c r="G297" s="40" t="n">
        <v>325.474</v>
      </c>
      <c r="H297" s="40" t="n">
        <v>293.9450000000001</v>
      </c>
      <c r="I297" s="40" t="n">
        <v>271.629</v>
      </c>
      <c r="J297" s="40" t="n">
        <v>262.732</v>
      </c>
      <c r="K297" s="40" t="n">
        <v>308.449</v>
      </c>
      <c r="L297" s="40" t="n">
        <v>293.812</v>
      </c>
      <c r="M297" s="40" t="n">
        <v>247.535</v>
      </c>
      <c r="N297" s="40" t="n">
        <v>276.389</v>
      </c>
      <c r="O297" s="40" t="n">
        <v>9399.9</v>
      </c>
      <c r="P297" s="41">
        <f>SUM(D297:O297)</f>
        <v/>
      </c>
    </row>
    <row r="298">
      <c r="A298" s="34" t="inlineStr">
        <is>
          <t>Canola</t>
        </is>
      </c>
      <c r="B298" s="39" t="inlineStr">
        <is>
          <t>Exports</t>
        </is>
      </c>
      <c r="C298" s="34" t="inlineStr">
        <is>
          <t>2021-22</t>
        </is>
      </c>
      <c r="O298" s="40" t="n">
        <v>5245</v>
      </c>
      <c r="P298" s="41">
        <f>SUM(D298:O298)</f>
        <v/>
      </c>
    </row>
    <row r="299">
      <c r="A299" s="34" t="inlineStr">
        <is>
          <t>Canola</t>
        </is>
      </c>
      <c r="B299" s="39" t="inlineStr">
        <is>
          <t>Ending Stocks</t>
        </is>
      </c>
      <c r="C299" s="34" t="inlineStr">
        <is>
          <t>2021-22</t>
        </is>
      </c>
      <c r="D299" s="40" t="n">
        <v>104.079</v>
      </c>
      <c r="E299" s="40" t="n">
        <v>98.866</v>
      </c>
      <c r="F299" s="40" t="n">
        <v>89.82899999999999</v>
      </c>
      <c r="G299" s="40" t="n">
        <v>103.276</v>
      </c>
      <c r="H299" s="40" t="n">
        <v>139.756</v>
      </c>
      <c r="I299" s="40" t="n">
        <v>111.51</v>
      </c>
      <c r="J299" s="40" t="n">
        <v>106.825</v>
      </c>
      <c r="K299" s="40" t="n">
        <v>92.435</v>
      </c>
      <c r="L299" s="40" t="n">
        <v>96.236</v>
      </c>
      <c r="M299" s="40" t="n">
        <v>73.946</v>
      </c>
      <c r="N299" s="40" t="n">
        <v>79.652</v>
      </c>
      <c r="O299" s="40" t="n">
        <v>1484.1</v>
      </c>
      <c r="P299" s="41">
        <f>SUM(D299:O299)</f>
        <v/>
      </c>
    </row>
    <row r="300">
      <c r="A300" s="34" t="inlineStr">
        <is>
          <t>Canola</t>
        </is>
      </c>
      <c r="B300" s="35" t="inlineStr">
        <is>
          <t>Stocks-to-Use</t>
        </is>
      </c>
      <c r="C300" s="34" t="inlineStr">
        <is>
          <t>2021-22</t>
        </is>
      </c>
      <c r="P300" s="37">
        <f>SUM(D300:O300)</f>
        <v/>
      </c>
    </row>
    <row r="301">
      <c r="A301" s="34" t="inlineStr">
        <is>
          <t>Canola</t>
        </is>
      </c>
      <c r="B301" s="35" t="inlineStr">
        <is>
          <t>STU Days</t>
        </is>
      </c>
      <c r="C301" s="34" t="inlineStr">
        <is>
          <t>2021-22</t>
        </is>
      </c>
      <c r="P301" s="41">
        <f>SUM(D301:O301)</f>
        <v/>
      </c>
    </row>
    <row r="302">
      <c r="A302" s="34" t="inlineStr">
        <is>
          <t>Canola</t>
        </is>
      </c>
      <c r="B302" s="35" t="inlineStr">
        <is>
          <t>CHECK</t>
        </is>
      </c>
      <c r="C302" s="34" t="inlineStr">
        <is>
          <t>2021-22</t>
        </is>
      </c>
      <c r="D302" s="41" t="n">
        <v>1.4210854715202e-14</v>
      </c>
      <c r="E302" s="41" t="n">
        <v>-1.4210854715202e-14</v>
      </c>
      <c r="F302" s="41" t="n">
        <v>1.4210854715202e-14</v>
      </c>
      <c r="G302" s="41" t="n">
        <v>1.4210854715202e-14</v>
      </c>
      <c r="H302" s="41" t="n">
        <v>-2.842170943040401e-14</v>
      </c>
      <c r="I302" s="41" t="n">
        <v>-1.4210854715202e-14</v>
      </c>
      <c r="J302" s="41" t="n">
        <v>-1.4210854715202e-14</v>
      </c>
      <c r="K302" s="41" t="n">
        <v>0</v>
      </c>
      <c r="L302" s="41" t="n">
        <v>-1.4210854715202e-14</v>
      </c>
      <c r="M302" s="41" t="n">
        <v>0</v>
      </c>
      <c r="N302" s="41" t="n">
        <v>-1.4210854715202e-14</v>
      </c>
      <c r="O302" s="41" t="n">
        <v>4.547473508864641e-13</v>
      </c>
      <c r="P302" s="41">
        <f>SUM(D302:O302)</f>
        <v/>
      </c>
    </row>
    <row r="303">
      <c r="A303" s="34" t="inlineStr">
        <is>
          <t>Canola</t>
        </is>
      </c>
      <c r="B303" s="35" t="inlineStr">
        <is>
          <t>Planted Area</t>
        </is>
      </c>
      <c r="C303" s="34" t="inlineStr">
        <is>
          <t>2022-23</t>
        </is>
      </c>
      <c r="P303" s="36">
        <f>SUM(D303:O303)</f>
        <v/>
      </c>
    </row>
    <row r="304">
      <c r="A304" s="34" t="inlineStr">
        <is>
          <t>Canola</t>
        </is>
      </c>
      <c r="B304" s="35" t="inlineStr">
        <is>
          <t>Harvested Area</t>
        </is>
      </c>
      <c r="C304" s="34" t="inlineStr">
        <is>
          <t>2022-23</t>
        </is>
      </c>
      <c r="P304" s="36">
        <f>SUM(D304:O304)</f>
        <v/>
      </c>
    </row>
    <row r="305">
      <c r="A305" s="34" t="inlineStr">
        <is>
          <t>Canola</t>
        </is>
      </c>
      <c r="B305" s="35" t="inlineStr">
        <is>
          <t>Proportion Harvested</t>
        </is>
      </c>
      <c r="C305" s="34" t="inlineStr">
        <is>
          <t>2022-23</t>
        </is>
      </c>
      <c r="P305" s="37">
        <f>SUM(D305:O305)</f>
        <v/>
      </c>
    </row>
    <row r="306">
      <c r="A306" s="34" t="inlineStr">
        <is>
          <t>Canola</t>
        </is>
      </c>
      <c r="B306" s="35" t="inlineStr">
        <is>
          <t>Yield</t>
        </is>
      </c>
      <c r="C306" s="34" t="inlineStr">
        <is>
          <t>2022-23</t>
        </is>
      </c>
      <c r="I306" s="38" t="n">
        <v>0.7334197022416976</v>
      </c>
      <c r="P306" s="38">
        <f>SUM(D306:O306)</f>
        <v/>
      </c>
    </row>
    <row r="307">
      <c r="A307" s="34" t="inlineStr">
        <is>
          <t>Canola</t>
        </is>
      </c>
      <c r="B307" s="39" t="inlineStr">
        <is>
          <t>Beginning Stocks</t>
        </is>
      </c>
      <c r="C307" s="34" t="inlineStr">
        <is>
          <t>2022-23</t>
        </is>
      </c>
      <c r="D307" s="40" t="n">
        <v>71.176</v>
      </c>
      <c r="E307" s="40" t="n">
        <v>69.824</v>
      </c>
      <c r="F307" s="40" t="n">
        <v>70.85299999999999</v>
      </c>
      <c r="G307" s="40" t="n">
        <v>71.595</v>
      </c>
      <c r="H307" s="40" t="n">
        <v>114.543</v>
      </c>
      <c r="I307" s="40" t="n">
        <v>93.387</v>
      </c>
      <c r="J307" s="40" t="n">
        <v>110.143</v>
      </c>
      <c r="K307" s="40" t="n">
        <v>93.258</v>
      </c>
      <c r="L307" s="40" t="n">
        <v>99.401</v>
      </c>
      <c r="M307" s="40" t="n">
        <v>78.633</v>
      </c>
      <c r="N307" s="40" t="n">
        <v>95.381</v>
      </c>
      <c r="O307" s="40" t="n">
        <v>1484.1</v>
      </c>
      <c r="P307" s="41">
        <f>SUM(D307:O307)</f>
        <v/>
      </c>
    </row>
    <row r="308">
      <c r="A308" s="34" t="inlineStr">
        <is>
          <t>Canola</t>
        </is>
      </c>
      <c r="B308" s="39" t="inlineStr">
        <is>
          <t>Imports</t>
        </is>
      </c>
      <c r="C308" s="34" t="inlineStr">
        <is>
          <t>2022-23</t>
        </is>
      </c>
      <c r="O308" s="40" t="n">
        <v>151.3</v>
      </c>
      <c r="P308" s="41">
        <f>SUM(D308:O308)</f>
        <v/>
      </c>
    </row>
    <row r="309">
      <c r="A309" s="34" t="inlineStr">
        <is>
          <t>Canola</t>
        </is>
      </c>
      <c r="B309" s="39" t="inlineStr">
        <is>
          <t>Production</t>
        </is>
      </c>
      <c r="C309" s="34" t="inlineStr">
        <is>
          <t>2022-23</t>
        </is>
      </c>
      <c r="D309" s="40" t="n">
        <v>261.54</v>
      </c>
      <c r="E309" s="40" t="n">
        <v>331.683</v>
      </c>
      <c r="F309" s="40" t="n">
        <v>366.915</v>
      </c>
      <c r="G309" s="40" t="n">
        <v>361.145</v>
      </c>
      <c r="H309" s="40" t="n">
        <v>345.687</v>
      </c>
      <c r="I309" s="40" t="n">
        <v>364.031</v>
      </c>
      <c r="J309" s="40" t="n">
        <v>336.866</v>
      </c>
      <c r="K309" s="40" t="n">
        <v>384.817</v>
      </c>
      <c r="L309" s="40" t="n">
        <v>371.693</v>
      </c>
      <c r="M309" s="40" t="n">
        <v>323.217</v>
      </c>
      <c r="N309" s="40" t="n">
        <v>300.078</v>
      </c>
      <c r="O309" s="40" t="n">
        <v>18849.8</v>
      </c>
      <c r="P309" s="41">
        <f>SUM(D309:O309)</f>
        <v/>
      </c>
    </row>
    <row r="310">
      <c r="A310" s="34" t="inlineStr">
        <is>
          <t>Canola</t>
        </is>
      </c>
      <c r="B310" s="39" t="inlineStr">
        <is>
          <t>Food</t>
        </is>
      </c>
      <c r="C310" s="34" t="inlineStr">
        <is>
          <t>2022-23</t>
        </is>
      </c>
      <c r="O310" s="40" t="n">
        <v>0</v>
      </c>
      <c r="P310" s="41">
        <f>SUM(D310:O310)</f>
        <v/>
      </c>
    </row>
    <row r="311">
      <c r="A311" s="34" t="inlineStr">
        <is>
          <t>Canola</t>
        </is>
      </c>
      <c r="B311" s="39" t="inlineStr">
        <is>
          <t>Crush</t>
        </is>
      </c>
      <c r="C311" s="34" t="inlineStr">
        <is>
          <t>2022-23</t>
        </is>
      </c>
      <c r="P311" s="41">
        <f>SUM(D311:O311)</f>
        <v/>
      </c>
    </row>
    <row r="312">
      <c r="A312" s="34" t="inlineStr">
        <is>
          <t>Canola</t>
        </is>
      </c>
      <c r="B312" s="39" t="inlineStr">
        <is>
          <t>FSR</t>
        </is>
      </c>
      <c r="C312" s="34" t="inlineStr">
        <is>
          <t>2022-23</t>
        </is>
      </c>
      <c r="D312" s="40" t="n">
        <v>261.54</v>
      </c>
      <c r="E312" s="40" t="n">
        <v>331.683</v>
      </c>
      <c r="F312" s="40" t="n">
        <v>366.915</v>
      </c>
      <c r="G312" s="40" t="n">
        <v>361.145</v>
      </c>
      <c r="H312" s="40" t="n">
        <v>345.687</v>
      </c>
      <c r="I312" s="40" t="n">
        <v>364.031</v>
      </c>
      <c r="J312" s="40" t="n">
        <v>336.866</v>
      </c>
      <c r="K312" s="40" t="n">
        <v>384.817</v>
      </c>
      <c r="L312" s="40" t="n">
        <v>371.693</v>
      </c>
      <c r="M312" s="40" t="n">
        <v>323.217</v>
      </c>
      <c r="N312" s="40" t="n">
        <v>300.078</v>
      </c>
      <c r="O312" s="40" t="n">
        <v>10672.6</v>
      </c>
      <c r="P312" s="41">
        <f>SUM(D312:O312)</f>
        <v/>
      </c>
    </row>
    <row r="313">
      <c r="A313" s="34" t="inlineStr">
        <is>
          <t>Canola</t>
        </is>
      </c>
      <c r="B313" s="39" t="inlineStr">
        <is>
          <t>Exports</t>
        </is>
      </c>
      <c r="C313" s="34" t="inlineStr">
        <is>
          <t>2022-23</t>
        </is>
      </c>
      <c r="O313" s="40" t="n">
        <v>7950.1</v>
      </c>
      <c r="P313" s="41">
        <f>SUM(D313:O313)</f>
        <v/>
      </c>
    </row>
    <row r="314">
      <c r="A314" s="34" t="inlineStr">
        <is>
          <t>Canola</t>
        </is>
      </c>
      <c r="B314" s="39" t="inlineStr">
        <is>
          <t>Ending Stocks</t>
        </is>
      </c>
      <c r="C314" s="34" t="inlineStr">
        <is>
          <t>2022-23</t>
        </is>
      </c>
      <c r="D314" s="40" t="n">
        <v>71.176</v>
      </c>
      <c r="E314" s="40" t="n">
        <v>69.824</v>
      </c>
      <c r="F314" s="40" t="n">
        <v>70.85299999999999</v>
      </c>
      <c r="G314" s="40" t="n">
        <v>71.595</v>
      </c>
      <c r="H314" s="40" t="n">
        <v>114.543</v>
      </c>
      <c r="I314" s="40" t="n">
        <v>93.387</v>
      </c>
      <c r="J314" s="40" t="n">
        <v>110.143</v>
      </c>
      <c r="K314" s="40" t="n">
        <v>93.258</v>
      </c>
      <c r="L314" s="40" t="n">
        <v>99.401</v>
      </c>
      <c r="M314" s="40" t="n">
        <v>78.633</v>
      </c>
      <c r="N314" s="40" t="n">
        <v>95.381</v>
      </c>
      <c r="O314" s="40" t="n">
        <v>1862.5</v>
      </c>
      <c r="P314" s="41">
        <f>SUM(D314:O314)</f>
        <v/>
      </c>
    </row>
    <row r="315">
      <c r="A315" s="34" t="inlineStr">
        <is>
          <t>Canola</t>
        </is>
      </c>
      <c r="B315" s="35" t="inlineStr">
        <is>
          <t>Stocks-to-Use</t>
        </is>
      </c>
      <c r="C315" s="34" t="inlineStr">
        <is>
          <t>2022-23</t>
        </is>
      </c>
      <c r="P315" s="37">
        <f>SUM(D315:O315)</f>
        <v/>
      </c>
    </row>
    <row r="316">
      <c r="A316" s="34" t="inlineStr">
        <is>
          <t>Canola</t>
        </is>
      </c>
      <c r="B316" s="35" t="inlineStr">
        <is>
          <t>STU Days</t>
        </is>
      </c>
      <c r="C316" s="34" t="inlineStr">
        <is>
          <t>2022-23</t>
        </is>
      </c>
      <c r="P316" s="41">
        <f>SUM(D316:O316)</f>
        <v/>
      </c>
    </row>
    <row r="317">
      <c r="A317" s="34" t="inlineStr">
        <is>
          <t>Canola</t>
        </is>
      </c>
      <c r="B317" s="35" t="inlineStr">
        <is>
          <t>CHECK</t>
        </is>
      </c>
      <c r="C317" s="34" t="inlineStr">
        <is>
          <t>2022-23</t>
        </is>
      </c>
      <c r="D317" s="41" t="n">
        <v>-1.4210854715202e-14</v>
      </c>
      <c r="E317" s="41" t="n">
        <v>1.4210854715202e-14</v>
      </c>
      <c r="F317" s="41" t="n">
        <v>1.4210854715202e-14</v>
      </c>
      <c r="G317" s="41" t="n">
        <v>2.842170943040401e-14</v>
      </c>
      <c r="H317" s="41" t="n">
        <v>0</v>
      </c>
      <c r="I317" s="41" t="n">
        <v>0</v>
      </c>
      <c r="J317" s="41" t="n">
        <v>2.842170943040401e-14</v>
      </c>
      <c r="K317" s="41" t="n">
        <v>-1.4210854715202e-14</v>
      </c>
      <c r="L317" s="41" t="n">
        <v>1.4210854715202e-14</v>
      </c>
      <c r="M317" s="41" t="n">
        <v>-1.4210854715202e-14</v>
      </c>
      <c r="N317" s="41" t="n">
        <v>-2.842170943040401e-14</v>
      </c>
      <c r="O317" s="41" t="n">
        <v>0</v>
      </c>
      <c r="P317" s="41">
        <f>SUM(D317:O317)</f>
        <v/>
      </c>
    </row>
    <row r="318">
      <c r="A318" s="34" t="inlineStr">
        <is>
          <t>Canola</t>
        </is>
      </c>
      <c r="B318" s="35" t="inlineStr">
        <is>
          <t>Planted Area</t>
        </is>
      </c>
      <c r="C318" s="34" t="inlineStr">
        <is>
          <t>2023-24</t>
        </is>
      </c>
      <c r="P318" s="36">
        <f>SUM(D318:O318)</f>
        <v/>
      </c>
    </row>
    <row r="319">
      <c r="A319" s="34" t="inlineStr">
        <is>
          <t>Canola</t>
        </is>
      </c>
      <c r="B319" s="35" t="inlineStr">
        <is>
          <t>Harvested Area</t>
        </is>
      </c>
      <c r="C319" s="34" t="inlineStr">
        <is>
          <t>2023-24</t>
        </is>
      </c>
      <c r="P319" s="36">
        <f>SUM(D319:O319)</f>
        <v/>
      </c>
    </row>
    <row r="320">
      <c r="A320" s="34" t="inlineStr">
        <is>
          <t>Canola</t>
        </is>
      </c>
      <c r="B320" s="35" t="inlineStr">
        <is>
          <t>Proportion Harvested</t>
        </is>
      </c>
      <c r="C320" s="34" t="inlineStr">
        <is>
          <t>2023-24</t>
        </is>
      </c>
      <c r="P320" s="37">
        <f>SUM(D320:O320)</f>
        <v/>
      </c>
    </row>
    <row r="321">
      <c r="A321" s="34" t="inlineStr">
        <is>
          <t>Canola</t>
        </is>
      </c>
      <c r="B321" s="35" t="inlineStr">
        <is>
          <t>Yield</t>
        </is>
      </c>
      <c r="C321" s="34" t="inlineStr">
        <is>
          <t>2023-24</t>
        </is>
      </c>
      <c r="I321" s="38" t="n">
        <v>0.8038561434629848</v>
      </c>
      <c r="P321" s="38">
        <f>SUM(D321:O321)</f>
        <v/>
      </c>
    </row>
    <row r="322">
      <c r="A322" s="34" t="inlineStr">
        <is>
          <t>Canola</t>
        </is>
      </c>
      <c r="B322" s="39" t="inlineStr">
        <is>
          <t>Beginning Stocks</t>
        </is>
      </c>
      <c r="C322" s="34" t="inlineStr">
        <is>
          <t>2023-24</t>
        </is>
      </c>
      <c r="D322" s="40" t="n">
        <v>67.43300000000001</v>
      </c>
      <c r="E322" s="40" t="n">
        <v>73.417</v>
      </c>
      <c r="F322" s="40" t="n">
        <v>79.72199999999999</v>
      </c>
      <c r="G322" s="40" t="n">
        <v>68.474</v>
      </c>
      <c r="H322" s="40" t="n">
        <v>84.95399999999999</v>
      </c>
      <c r="I322" s="40" t="n">
        <v>95.20699999999999</v>
      </c>
      <c r="J322" s="40" t="n">
        <v>100.454</v>
      </c>
      <c r="K322" s="40" t="n">
        <v>102.184</v>
      </c>
      <c r="L322" s="40" t="n">
        <v>89.182</v>
      </c>
      <c r="M322" s="40" t="n">
        <v>79.35299999999999</v>
      </c>
      <c r="N322" s="40" t="n">
        <v>76.36799999999999</v>
      </c>
      <c r="O322" s="40" t="n">
        <v>1862.5</v>
      </c>
      <c r="P322" s="41">
        <f>SUM(D322:O322)</f>
        <v/>
      </c>
    </row>
    <row r="323">
      <c r="A323" s="34" t="inlineStr">
        <is>
          <t>Canola</t>
        </is>
      </c>
      <c r="B323" s="39" t="inlineStr">
        <is>
          <t>Imports</t>
        </is>
      </c>
      <c r="C323" s="34" t="inlineStr">
        <is>
          <t>2023-24</t>
        </is>
      </c>
      <c r="O323" s="40" t="n">
        <v>276.1</v>
      </c>
      <c r="P323" s="41">
        <f>SUM(D323:O323)</f>
        <v/>
      </c>
    </row>
    <row r="324">
      <c r="A324" s="34" t="inlineStr">
        <is>
          <t>Canola</t>
        </is>
      </c>
      <c r="B324" s="39" t="inlineStr">
        <is>
          <t>Production</t>
        </is>
      </c>
      <c r="C324" s="34" t="inlineStr">
        <is>
          <t>2023-24</t>
        </is>
      </c>
      <c r="D324" s="40" t="n">
        <v>347.606</v>
      </c>
      <c r="E324" s="40" t="n">
        <v>390.46</v>
      </c>
      <c r="F324" s="40" t="n">
        <v>411.664</v>
      </c>
      <c r="G324" s="40" t="n">
        <v>386.867</v>
      </c>
      <c r="H324" s="40" t="n">
        <v>402.183</v>
      </c>
      <c r="I324" s="40" t="n">
        <v>398.507</v>
      </c>
      <c r="J324" s="40" t="n">
        <v>382.013</v>
      </c>
      <c r="K324" s="40" t="n">
        <v>410.916</v>
      </c>
      <c r="L324" s="40" t="n">
        <v>412.867</v>
      </c>
      <c r="M324" s="40" t="n">
        <v>393.501</v>
      </c>
      <c r="N324" s="40" t="n">
        <v>334.909</v>
      </c>
      <c r="O324" s="40" t="n">
        <v>19463.6</v>
      </c>
      <c r="P324" s="41">
        <f>SUM(D324:O324)</f>
        <v/>
      </c>
    </row>
    <row r="325">
      <c r="A325" s="34" t="inlineStr">
        <is>
          <t>Canola</t>
        </is>
      </c>
      <c r="B325" s="39" t="inlineStr">
        <is>
          <t>Food</t>
        </is>
      </c>
      <c r="C325" s="34" t="inlineStr">
        <is>
          <t>2023-24</t>
        </is>
      </c>
      <c r="O325" s="40" t="n">
        <v>0</v>
      </c>
      <c r="P325" s="41">
        <f>SUM(D325:O325)</f>
        <v/>
      </c>
    </row>
    <row r="326">
      <c r="A326" s="34" t="inlineStr">
        <is>
          <t>Canola</t>
        </is>
      </c>
      <c r="B326" s="39" t="inlineStr">
        <is>
          <t>Crush</t>
        </is>
      </c>
      <c r="C326" s="34" t="inlineStr">
        <is>
          <t>2023-24</t>
        </is>
      </c>
      <c r="P326" s="41">
        <f>SUM(D326:O326)</f>
        <v/>
      </c>
    </row>
    <row r="327">
      <c r="A327" s="34" t="inlineStr">
        <is>
          <t>Canola</t>
        </is>
      </c>
      <c r="B327" s="39" t="inlineStr">
        <is>
          <t>FSR</t>
        </is>
      </c>
      <c r="C327" s="34" t="inlineStr">
        <is>
          <t>2023-24</t>
        </is>
      </c>
      <c r="D327" s="40" t="n">
        <v>347.606</v>
      </c>
      <c r="E327" s="40" t="n">
        <v>390.4599999999999</v>
      </c>
      <c r="F327" s="40" t="n">
        <v>411.664</v>
      </c>
      <c r="G327" s="40" t="n">
        <v>386.867</v>
      </c>
      <c r="H327" s="40" t="n">
        <v>402.183</v>
      </c>
      <c r="I327" s="40" t="n">
        <v>398.507</v>
      </c>
      <c r="J327" s="40" t="n">
        <v>382.013</v>
      </c>
      <c r="K327" s="40" t="n">
        <v>410.9160000000001</v>
      </c>
      <c r="L327" s="40" t="n">
        <v>412.867</v>
      </c>
      <c r="M327" s="40" t="n">
        <v>393.501</v>
      </c>
      <c r="N327" s="40" t="n">
        <v>334.909</v>
      </c>
      <c r="O327" s="40" t="n">
        <v>11633.2</v>
      </c>
      <c r="P327" s="41">
        <f>SUM(D327:O327)</f>
        <v/>
      </c>
    </row>
    <row r="328">
      <c r="A328" s="34" t="inlineStr">
        <is>
          <t>Canola</t>
        </is>
      </c>
      <c r="B328" s="39" t="inlineStr">
        <is>
          <t>Exports</t>
        </is>
      </c>
      <c r="C328" s="34" t="inlineStr">
        <is>
          <t>2023-24</t>
        </is>
      </c>
      <c r="O328" s="40" t="n">
        <v>6744.2</v>
      </c>
      <c r="P328" s="41">
        <f>SUM(D328:O328)</f>
        <v/>
      </c>
    </row>
    <row r="329">
      <c r="A329" s="34" t="inlineStr">
        <is>
          <t>Canola</t>
        </is>
      </c>
      <c r="B329" s="39" t="inlineStr">
        <is>
          <t>Ending Stocks</t>
        </is>
      </c>
      <c r="C329" s="34" t="inlineStr">
        <is>
          <t>2023-24</t>
        </is>
      </c>
      <c r="D329" s="40" t="n">
        <v>67.43300000000001</v>
      </c>
      <c r="E329" s="40" t="n">
        <v>73.417</v>
      </c>
      <c r="F329" s="40" t="n">
        <v>79.72199999999999</v>
      </c>
      <c r="G329" s="40" t="n">
        <v>68.474</v>
      </c>
      <c r="H329" s="40" t="n">
        <v>84.95399999999999</v>
      </c>
      <c r="I329" s="40" t="n">
        <v>95.20699999999999</v>
      </c>
      <c r="J329" s="40" t="n">
        <v>100.454</v>
      </c>
      <c r="K329" s="40" t="n">
        <v>102.184</v>
      </c>
      <c r="L329" s="40" t="n">
        <v>89.182</v>
      </c>
      <c r="M329" s="40" t="n">
        <v>79.35299999999999</v>
      </c>
      <c r="N329" s="40" t="n">
        <v>76.36799999999999</v>
      </c>
      <c r="O329" s="40" t="n">
        <v>3224.8</v>
      </c>
      <c r="P329" s="41">
        <f>SUM(D329:O329)</f>
        <v/>
      </c>
    </row>
    <row r="330">
      <c r="A330" s="34" t="inlineStr">
        <is>
          <t>Canola</t>
        </is>
      </c>
      <c r="B330" s="35" t="inlineStr">
        <is>
          <t>Stocks-to-Use</t>
        </is>
      </c>
      <c r="C330" s="34" t="inlineStr">
        <is>
          <t>2023-24</t>
        </is>
      </c>
      <c r="P330" s="37">
        <f>SUM(D330:O330)</f>
        <v/>
      </c>
    </row>
    <row r="331">
      <c r="A331" s="34" t="inlineStr">
        <is>
          <t>Canola</t>
        </is>
      </c>
      <c r="B331" s="35" t="inlineStr">
        <is>
          <t>STU Days</t>
        </is>
      </c>
      <c r="C331" s="34" t="inlineStr">
        <is>
          <t>2023-24</t>
        </is>
      </c>
      <c r="P331" s="41">
        <f>SUM(D331:O331)</f>
        <v/>
      </c>
    </row>
    <row r="332">
      <c r="A332" s="34" t="inlineStr">
        <is>
          <t>Canola</t>
        </is>
      </c>
      <c r="B332" s="35" t="inlineStr">
        <is>
          <t>CHECK</t>
        </is>
      </c>
      <c r="C332" s="34" t="inlineStr">
        <is>
          <t>2023-24</t>
        </is>
      </c>
      <c r="D332" s="41" t="n">
        <v>-1.4210854715202e-14</v>
      </c>
      <c r="E332" s="41" t="n">
        <v>2.842170943040401e-14</v>
      </c>
      <c r="F332" s="41" t="n">
        <v>-1.4210854715202e-14</v>
      </c>
      <c r="G332" s="41" t="n">
        <v>-1.4210854715202e-14</v>
      </c>
      <c r="H332" s="41" t="n">
        <v>1.4210854715202e-14</v>
      </c>
      <c r="I332" s="41" t="n">
        <v>0</v>
      </c>
      <c r="J332" s="41" t="n">
        <v>1.4210854715202e-14</v>
      </c>
      <c r="K332" s="41" t="n">
        <v>-2.842170943040401e-14</v>
      </c>
      <c r="L332" s="41" t="n">
        <v>1.4210854715202e-14</v>
      </c>
      <c r="M332" s="41" t="n">
        <v>1.4210854715202e-14</v>
      </c>
      <c r="N332" s="41" t="n">
        <v>0</v>
      </c>
      <c r="O332" s="41" t="n">
        <v>0</v>
      </c>
      <c r="P332" s="41">
        <f>SUM(D332:O332)</f>
        <v/>
      </c>
    </row>
    <row r="333">
      <c r="A333" s="34" t="inlineStr">
        <is>
          <t>Canola</t>
        </is>
      </c>
      <c r="B333" s="35" t="inlineStr">
        <is>
          <t>Planted Area</t>
        </is>
      </c>
      <c r="C333" s="34" t="inlineStr">
        <is>
          <t>2024-25</t>
        </is>
      </c>
      <c r="P333" s="36">
        <f>SUM(D333:O333)</f>
        <v/>
      </c>
    </row>
    <row r="334">
      <c r="A334" s="34" t="inlineStr">
        <is>
          <t>Canola</t>
        </is>
      </c>
      <c r="B334" s="35" t="inlineStr">
        <is>
          <t>Harvested Area</t>
        </is>
      </c>
      <c r="C334" s="34" t="inlineStr">
        <is>
          <t>2024-25</t>
        </is>
      </c>
      <c r="P334" s="36">
        <f>SUM(D334:O334)</f>
        <v/>
      </c>
    </row>
    <row r="335">
      <c r="A335" s="34" t="inlineStr">
        <is>
          <t>Canola</t>
        </is>
      </c>
      <c r="B335" s="35" t="inlineStr">
        <is>
          <t>Proportion Harvested</t>
        </is>
      </c>
      <c r="C335" s="34" t="inlineStr">
        <is>
          <t>2024-25</t>
        </is>
      </c>
      <c r="P335" s="37">
        <f>SUM(D335:O335)</f>
        <v/>
      </c>
    </row>
    <row r="336">
      <c r="A336" s="34" t="inlineStr">
        <is>
          <t>Canola</t>
        </is>
      </c>
      <c r="B336" s="35" t="inlineStr">
        <is>
          <t>Yield</t>
        </is>
      </c>
      <c r="C336" s="34" t="inlineStr">
        <is>
          <t>2024-25</t>
        </is>
      </c>
      <c r="I336" s="38" t="n">
        <v>0.868706722003468</v>
      </c>
      <c r="P336" s="38">
        <f>SUM(D336:O336)</f>
        <v/>
      </c>
    </row>
    <row r="337">
      <c r="A337" s="34" t="inlineStr">
        <is>
          <t>Canola</t>
        </is>
      </c>
      <c r="B337" s="39" t="inlineStr">
        <is>
          <t>Beginning Stocks</t>
        </is>
      </c>
      <c r="C337" s="34" t="inlineStr">
        <is>
          <t>2024-25</t>
        </is>
      </c>
      <c r="D337" s="40" t="n">
        <v>107.458</v>
      </c>
      <c r="E337" s="40" t="n">
        <v>98.242</v>
      </c>
      <c r="F337" s="40" t="n">
        <v>118.461</v>
      </c>
      <c r="G337" s="40" t="n">
        <v>105.271</v>
      </c>
      <c r="H337" s="40" t="n">
        <v>105.962</v>
      </c>
      <c r="I337" s="40" t="n">
        <v>116.841</v>
      </c>
      <c r="J337" s="40" t="n">
        <v>106.884</v>
      </c>
      <c r="K337" s="40" t="n">
        <v>124.086</v>
      </c>
      <c r="L337" s="40" t="n">
        <v>142.802</v>
      </c>
      <c r="M337" s="40" t="n">
        <v>115.734</v>
      </c>
      <c r="N337" s="40" t="n">
        <v>99.794</v>
      </c>
      <c r="O337" s="40" t="n">
        <v>3224.8</v>
      </c>
      <c r="P337" s="41">
        <f>SUM(D337:O337)</f>
        <v/>
      </c>
    </row>
    <row r="338">
      <c r="A338" s="34" t="inlineStr">
        <is>
          <t>Canola</t>
        </is>
      </c>
      <c r="B338" s="39" t="inlineStr">
        <is>
          <t>Imports</t>
        </is>
      </c>
      <c r="C338" s="34" t="inlineStr">
        <is>
          <t>2024-25</t>
        </is>
      </c>
      <c r="O338" s="40" t="n">
        <v>130.9</v>
      </c>
      <c r="P338" s="41">
        <f>SUM(D338:O338)</f>
        <v/>
      </c>
    </row>
    <row r="339">
      <c r="A339" s="34" t="inlineStr">
        <is>
          <t>Canola</t>
        </is>
      </c>
      <c r="B339" s="39" t="inlineStr">
        <is>
          <t>Production</t>
        </is>
      </c>
      <c r="C339" s="34" t="inlineStr">
        <is>
          <t>2024-25</t>
        </is>
      </c>
      <c r="D339" s="40" t="n">
        <v>363.165</v>
      </c>
      <c r="E339" s="40" t="n">
        <v>394.851</v>
      </c>
      <c r="F339" s="40" t="n">
        <v>459.22</v>
      </c>
      <c r="G339" s="40" t="n">
        <v>427.366</v>
      </c>
      <c r="H339" s="40" t="n">
        <v>426.519</v>
      </c>
      <c r="I339" s="40" t="n">
        <v>423.802</v>
      </c>
      <c r="J339" s="40" t="n">
        <v>373.427</v>
      </c>
      <c r="K339" s="40" t="n">
        <v>436.06</v>
      </c>
      <c r="L339" s="40" t="n">
        <v>390.276</v>
      </c>
      <c r="M339" s="40" t="n">
        <v>353.218</v>
      </c>
      <c r="N339" s="40" t="n">
        <v>364.592</v>
      </c>
      <c r="O339" s="40" t="n">
        <v>19239.5</v>
      </c>
      <c r="P339" s="41">
        <f>SUM(D339:O339)</f>
        <v/>
      </c>
    </row>
    <row r="340">
      <c r="A340" s="34" t="inlineStr">
        <is>
          <t>Canola</t>
        </is>
      </c>
      <c r="B340" s="39" t="inlineStr">
        <is>
          <t>Food</t>
        </is>
      </c>
      <c r="C340" s="34" t="inlineStr">
        <is>
          <t>2024-25</t>
        </is>
      </c>
      <c r="O340" s="40" t="n">
        <v>0</v>
      </c>
      <c r="P340" s="41">
        <f>SUM(D340:O340)</f>
        <v/>
      </c>
    </row>
    <row r="341">
      <c r="A341" s="34" t="inlineStr">
        <is>
          <t>Canola</t>
        </is>
      </c>
      <c r="B341" s="39" t="inlineStr">
        <is>
          <t>Crush</t>
        </is>
      </c>
      <c r="C341" s="34" t="inlineStr">
        <is>
          <t>2024-25</t>
        </is>
      </c>
      <c r="P341" s="41">
        <f>SUM(D341:O341)</f>
        <v/>
      </c>
    </row>
    <row r="342">
      <c r="A342" s="34" t="inlineStr">
        <is>
          <t>Canola</t>
        </is>
      </c>
      <c r="B342" s="39" t="inlineStr">
        <is>
          <t>FSR</t>
        </is>
      </c>
      <c r="C342" s="34" t="inlineStr">
        <is>
          <t>2024-25</t>
        </is>
      </c>
      <c r="D342" s="40" t="n">
        <v>363.1650000000001</v>
      </c>
      <c r="E342" s="40" t="n">
        <v>394.851</v>
      </c>
      <c r="F342" s="40" t="n">
        <v>459.22</v>
      </c>
      <c r="G342" s="40" t="n">
        <v>427.3659999999999</v>
      </c>
      <c r="H342" s="40" t="n">
        <v>426.519</v>
      </c>
      <c r="I342" s="40" t="n">
        <v>423.802</v>
      </c>
      <c r="J342" s="40" t="n">
        <v>373.427</v>
      </c>
      <c r="K342" s="40" t="n">
        <v>436.06</v>
      </c>
      <c r="L342" s="40" t="n">
        <v>390.276</v>
      </c>
      <c r="M342" s="40" t="n">
        <v>353.218</v>
      </c>
      <c r="N342" s="40" t="n">
        <v>364.592</v>
      </c>
      <c r="O342" s="40" t="n">
        <v>11618.6</v>
      </c>
      <c r="P342" s="41">
        <f>SUM(D342:O342)</f>
        <v/>
      </c>
    </row>
    <row r="343">
      <c r="A343" s="34" t="inlineStr">
        <is>
          <t>Canola</t>
        </is>
      </c>
      <c r="B343" s="39" t="inlineStr">
        <is>
          <t>Exports</t>
        </is>
      </c>
      <c r="C343" s="34" t="inlineStr">
        <is>
          <t>2024-25</t>
        </is>
      </c>
      <c r="O343" s="40" t="n">
        <v>9379.299999999999</v>
      </c>
      <c r="P343" s="41">
        <f>SUM(D343:O343)</f>
        <v/>
      </c>
    </row>
    <row r="344">
      <c r="A344" s="34" t="inlineStr">
        <is>
          <t>Canola</t>
        </is>
      </c>
      <c r="B344" s="39" t="inlineStr">
        <is>
          <t>Ending Stocks</t>
        </is>
      </c>
      <c r="C344" s="34" t="inlineStr">
        <is>
          <t>2024-25</t>
        </is>
      </c>
      <c r="D344" s="40" t="n">
        <v>107.458</v>
      </c>
      <c r="E344" s="40" t="n">
        <v>98.242</v>
      </c>
      <c r="F344" s="40" t="n">
        <v>118.461</v>
      </c>
      <c r="G344" s="40" t="n">
        <v>105.271</v>
      </c>
      <c r="H344" s="40" t="n">
        <v>105.962</v>
      </c>
      <c r="I344" s="40" t="n">
        <v>116.841</v>
      </c>
      <c r="J344" s="40" t="n">
        <v>106.884</v>
      </c>
      <c r="K344" s="40" t="n">
        <v>124.086</v>
      </c>
      <c r="L344" s="40" t="n">
        <v>142.802</v>
      </c>
      <c r="M344" s="40" t="n">
        <v>115.734</v>
      </c>
      <c r="N344" s="40" t="n">
        <v>99.794</v>
      </c>
      <c r="O344" s="40" t="n">
        <v>1597.3</v>
      </c>
      <c r="P344" s="41">
        <f>SUM(D344:O344)</f>
        <v/>
      </c>
    </row>
    <row r="345">
      <c r="A345" s="34" t="inlineStr">
        <is>
          <t>Canola</t>
        </is>
      </c>
      <c r="B345" s="35" t="inlineStr">
        <is>
          <t>Stocks-to-Use</t>
        </is>
      </c>
      <c r="C345" s="34" t="inlineStr">
        <is>
          <t>2024-25</t>
        </is>
      </c>
      <c r="P345" s="37">
        <f>SUM(D345:O345)</f>
        <v/>
      </c>
    </row>
    <row r="346">
      <c r="A346" s="34" t="inlineStr">
        <is>
          <t>Canola</t>
        </is>
      </c>
      <c r="B346" s="35" t="inlineStr">
        <is>
          <t>STU Days</t>
        </is>
      </c>
      <c r="C346" s="34" t="inlineStr">
        <is>
          <t>2024-25</t>
        </is>
      </c>
      <c r="P346" s="41">
        <f>SUM(D346:O346)</f>
        <v/>
      </c>
    </row>
    <row r="347">
      <c r="A347" s="34" t="inlineStr">
        <is>
          <t>Canola</t>
        </is>
      </c>
      <c r="B347" s="35" t="inlineStr">
        <is>
          <t>CHECK</t>
        </is>
      </c>
      <c r="C347" s="34" t="inlineStr">
        <is>
          <t>2024-25</t>
        </is>
      </c>
      <c r="D347" s="41" t="n">
        <v>-2.842170943040401e-14</v>
      </c>
      <c r="E347" s="41" t="n">
        <v>1.4210854715202e-14</v>
      </c>
      <c r="F347" s="41" t="n">
        <v>1.4210854715202e-14</v>
      </c>
      <c r="G347" s="41" t="n">
        <v>1.4210854715202e-14</v>
      </c>
      <c r="H347" s="41" t="n">
        <v>-1.4210854715202e-14</v>
      </c>
      <c r="I347" s="41" t="n">
        <v>1.4210854715202e-14</v>
      </c>
      <c r="J347" s="41" t="n">
        <v>1.4210854715202e-14</v>
      </c>
      <c r="K347" s="41" t="n">
        <v>1.4210854715202e-14</v>
      </c>
      <c r="L347" s="41" t="n">
        <v>2.842170943040401e-14</v>
      </c>
      <c r="M347" s="41" t="n">
        <v>-1.4210854715202e-14</v>
      </c>
      <c r="N347" s="41" t="n">
        <v>-1.4210854715202e-14</v>
      </c>
      <c r="O347" s="41" t="n">
        <v>-6.821210263296962e-13</v>
      </c>
      <c r="P347" s="41">
        <f>SUM(D347:O347)</f>
        <v/>
      </c>
    </row>
    <row r="348">
      <c r="A348" s="34" t="inlineStr">
        <is>
          <t>Canola</t>
        </is>
      </c>
      <c r="B348" s="42" t="inlineStr">
        <is>
          <t>CHECK</t>
        </is>
      </c>
      <c r="C348" s="43" t="inlineStr">
        <is>
          <t>KMT</t>
        </is>
      </c>
      <c r="D348" s="40" t="n">
        <v>0</v>
      </c>
      <c r="E348" s="40" t="n">
        <v>0</v>
      </c>
      <c r="F348" s="40" t="n">
        <v>0</v>
      </c>
      <c r="G348" s="40" t="n">
        <v>0</v>
      </c>
      <c r="H348" s="40" t="n">
        <v>0</v>
      </c>
      <c r="I348" s="40" t="n">
        <v>0</v>
      </c>
      <c r="J348" s="40" t="n">
        <v>0</v>
      </c>
      <c r="K348" s="40" t="n">
        <v>0</v>
      </c>
      <c r="L348" s="40" t="n">
        <v>0</v>
      </c>
      <c r="M348" s="40" t="n">
        <v>0</v>
      </c>
      <c r="N348" s="40" t="n">
        <v>0</v>
      </c>
      <c r="O348" s="40" t="n">
        <v>0</v>
      </c>
      <c r="P348" s="44" t="n">
        <v>0</v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48"/>
  <sheetViews>
    <sheetView workbookViewId="0">
      <selection activeCell="A1" sqref="A1:C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8" customWidth="1" style="46" min="4" max="15"/>
    <col width="12" customWidth="1" style="46" min="16" max="16"/>
  </cols>
  <sheetData>
    <row r="1" ht="15.6" customHeight="1" s="46">
      <c r="A1" s="48" t="inlineStr">
        <is>
          <t>Barley</t>
        </is>
      </c>
    </row>
    <row r="2">
      <c r="A2" s="33" t="inlineStr">
        <is>
          <t>Commodity</t>
        </is>
      </c>
      <c r="B2" s="33" t="inlineStr">
        <is>
          <t>Metric</t>
        </is>
      </c>
      <c r="C2" s="33" t="inlineStr">
        <is>
          <t>Crop Year</t>
        </is>
      </c>
      <c r="D2" s="33" t="inlineStr">
        <is>
          <t>08</t>
        </is>
      </c>
      <c r="E2" s="33" t="inlineStr">
        <is>
          <t>09</t>
        </is>
      </c>
      <c r="F2" s="33" t="inlineStr">
        <is>
          <t>10</t>
        </is>
      </c>
      <c r="G2" s="33" t="inlineStr">
        <is>
          <t>11</t>
        </is>
      </c>
      <c r="H2" s="33" t="inlineStr">
        <is>
          <t>12</t>
        </is>
      </c>
      <c r="I2" s="33" t="inlineStr">
        <is>
          <t>01</t>
        </is>
      </c>
      <c r="J2" s="33" t="inlineStr">
        <is>
          <t>02</t>
        </is>
      </c>
      <c r="K2" s="33" t="inlineStr">
        <is>
          <t>03</t>
        </is>
      </c>
      <c r="L2" s="33" t="inlineStr">
        <is>
          <t>04</t>
        </is>
      </c>
      <c r="M2" s="33" t="inlineStr">
        <is>
          <t>05</t>
        </is>
      </c>
      <c r="N2" s="33" t="inlineStr">
        <is>
          <t>06</t>
        </is>
      </c>
      <c r="O2" s="33" t="inlineStr">
        <is>
          <t>07</t>
        </is>
      </c>
      <c r="P2" s="33" t="inlineStr">
        <is>
          <t>Total</t>
        </is>
      </c>
    </row>
    <row r="3">
      <c r="A3" s="34" t="inlineStr">
        <is>
          <t>Barley</t>
        </is>
      </c>
      <c r="B3" s="35" t="inlineStr">
        <is>
          <t>Planted Area</t>
        </is>
      </c>
      <c r="C3" s="34" t="inlineStr">
        <is>
          <t>2002-03</t>
        </is>
      </c>
      <c r="P3" s="36">
        <f>SUM(D3:O3)</f>
        <v/>
      </c>
    </row>
    <row r="4">
      <c r="A4" s="34" t="inlineStr">
        <is>
          <t>Barley</t>
        </is>
      </c>
      <c r="B4" s="35" t="inlineStr">
        <is>
          <t>Harvested Area</t>
        </is>
      </c>
      <c r="C4" s="34" t="inlineStr">
        <is>
          <t>2002-03</t>
        </is>
      </c>
      <c r="P4" s="36">
        <f>SUM(D4:O4)</f>
        <v/>
      </c>
    </row>
    <row r="5">
      <c r="A5" s="34" t="inlineStr">
        <is>
          <t>Barley</t>
        </is>
      </c>
      <c r="B5" s="35" t="inlineStr">
        <is>
          <t>Proportion Harvested</t>
        </is>
      </c>
      <c r="C5" s="34" t="inlineStr">
        <is>
          <t>2002-03</t>
        </is>
      </c>
      <c r="P5" s="37">
        <f>SUM(D5:O5)</f>
        <v/>
      </c>
    </row>
    <row r="6">
      <c r="A6" s="34" t="inlineStr">
        <is>
          <t>Barley</t>
        </is>
      </c>
      <c r="B6" s="35" t="inlineStr">
        <is>
          <t>Yield</t>
        </is>
      </c>
      <c r="C6" s="34" t="inlineStr">
        <is>
          <t>2002-03</t>
        </is>
      </c>
      <c r="P6" s="38">
        <f>SUM(D6:O6)</f>
        <v/>
      </c>
    </row>
    <row r="7">
      <c r="A7" s="34" t="inlineStr">
        <is>
          <t>Barley</t>
        </is>
      </c>
      <c r="B7" s="39" t="inlineStr">
        <is>
          <t>Beginning Stocks</t>
        </is>
      </c>
      <c r="C7" s="34" t="inlineStr">
        <is>
          <t>2002-03</t>
        </is>
      </c>
      <c r="O7" s="40" t="n">
        <v>2047.5</v>
      </c>
      <c r="P7" s="41">
        <f>SUM(D7:O7)</f>
        <v/>
      </c>
    </row>
    <row r="8">
      <c r="A8" s="34" t="inlineStr">
        <is>
          <t>Barley</t>
        </is>
      </c>
      <c r="B8" s="39" t="inlineStr">
        <is>
          <t>Imports</t>
        </is>
      </c>
      <c r="C8" s="34" t="inlineStr">
        <is>
          <t>2002-03</t>
        </is>
      </c>
      <c r="O8" s="40" t="n">
        <v>258.8</v>
      </c>
      <c r="P8" s="41">
        <f>SUM(D8:O8)</f>
        <v/>
      </c>
    </row>
    <row r="9">
      <c r="A9" s="34" t="inlineStr">
        <is>
          <t>Barley</t>
        </is>
      </c>
      <c r="B9" s="39" t="inlineStr">
        <is>
          <t>Production</t>
        </is>
      </c>
      <c r="C9" s="34" t="inlineStr">
        <is>
          <t>2002-03</t>
        </is>
      </c>
      <c r="O9" s="40" t="n">
        <v>7467.7</v>
      </c>
      <c r="P9" s="41">
        <f>SUM(D9:O9)</f>
        <v/>
      </c>
    </row>
    <row r="10">
      <c r="A10" s="34" t="inlineStr">
        <is>
          <t>Barley</t>
        </is>
      </c>
      <c r="B10" s="39" t="inlineStr">
        <is>
          <t>Food</t>
        </is>
      </c>
      <c r="C10" s="34" t="inlineStr">
        <is>
          <t>2002-03</t>
        </is>
      </c>
      <c r="O10" s="40" t="n">
        <v>6.1</v>
      </c>
      <c r="P10" s="41">
        <f>SUM(D10:O10)</f>
        <v/>
      </c>
    </row>
    <row r="11">
      <c r="A11" s="34" t="inlineStr">
        <is>
          <t>Barley</t>
        </is>
      </c>
      <c r="B11" s="39" t="inlineStr">
        <is>
          <t>Industrial</t>
        </is>
      </c>
      <c r="C11" s="34" t="inlineStr">
        <is>
          <t>2002-03</t>
        </is>
      </c>
      <c r="O11" s="40" t="n">
        <v>311.5</v>
      </c>
      <c r="P11" s="41">
        <f>SUM(D11:O11)</f>
        <v/>
      </c>
    </row>
    <row r="12">
      <c r="A12" s="34" t="inlineStr">
        <is>
          <t>Barley</t>
        </is>
      </c>
      <c r="B12" s="39" t="inlineStr">
        <is>
          <t>FSR</t>
        </is>
      </c>
      <c r="C12" s="34" t="inlineStr">
        <is>
          <t>2002-03</t>
        </is>
      </c>
      <c r="O12" s="40" t="n">
        <v>7036.599999999999</v>
      </c>
      <c r="P12" s="41">
        <f>SUM(D12:O12)</f>
        <v/>
      </c>
    </row>
    <row r="13">
      <c r="A13" s="34" t="inlineStr">
        <is>
          <t>Barley</t>
        </is>
      </c>
      <c r="B13" s="39" t="inlineStr">
        <is>
          <t>Exports</t>
        </is>
      </c>
      <c r="C13" s="34" t="inlineStr">
        <is>
          <t>2002-03</t>
        </is>
      </c>
      <c r="O13" s="40" t="n">
        <v>945</v>
      </c>
      <c r="P13" s="41">
        <f>SUM(D13:O13)</f>
        <v/>
      </c>
    </row>
    <row r="14">
      <c r="A14" s="34" t="inlineStr">
        <is>
          <t>Barley</t>
        </is>
      </c>
      <c r="B14" s="39" t="inlineStr">
        <is>
          <t>Ending Stocks</t>
        </is>
      </c>
      <c r="C14" s="34" t="inlineStr">
        <is>
          <t>2002-03</t>
        </is>
      </c>
      <c r="O14" s="40" t="n">
        <v>1474.8</v>
      </c>
      <c r="P14" s="41">
        <f>SUM(D14:O14)</f>
        <v/>
      </c>
    </row>
    <row r="15">
      <c r="A15" s="34" t="inlineStr">
        <is>
          <t>Barley</t>
        </is>
      </c>
      <c r="B15" s="35" t="inlineStr">
        <is>
          <t>Stocks-to-Use</t>
        </is>
      </c>
      <c r="C15" s="34" t="inlineStr">
        <is>
          <t>2002-03</t>
        </is>
      </c>
      <c r="P15" s="37">
        <f>SUM(D15:O15)</f>
        <v/>
      </c>
    </row>
    <row r="16">
      <c r="A16" s="34" t="inlineStr">
        <is>
          <t>Barley</t>
        </is>
      </c>
      <c r="B16" s="35" t="inlineStr">
        <is>
          <t>STU Days</t>
        </is>
      </c>
      <c r="C16" s="34" t="inlineStr">
        <is>
          <t>2002-03</t>
        </is>
      </c>
      <c r="P16" s="41">
        <f>SUM(D16:O16)</f>
        <v/>
      </c>
    </row>
    <row r="17">
      <c r="A17" s="34" t="inlineStr">
        <is>
          <t>Barley</t>
        </is>
      </c>
      <c r="B17" s="35" t="inlineStr">
        <is>
          <t>CHECK</t>
        </is>
      </c>
      <c r="C17" s="34" t="inlineStr">
        <is>
          <t>2002-03</t>
        </is>
      </c>
      <c r="O17" s="41" t="n">
        <v>2.273736754432321e-13</v>
      </c>
      <c r="P17" s="41">
        <f>SUM(D17:O17)</f>
        <v/>
      </c>
    </row>
    <row r="18">
      <c r="A18" s="34" t="inlineStr">
        <is>
          <t>Barley</t>
        </is>
      </c>
      <c r="B18" s="35" t="inlineStr">
        <is>
          <t>Planted Area</t>
        </is>
      </c>
      <c r="C18" s="34" t="inlineStr">
        <is>
          <t>2003-04</t>
        </is>
      </c>
      <c r="P18" s="36">
        <f>SUM(D18:O18)</f>
        <v/>
      </c>
    </row>
    <row r="19">
      <c r="A19" s="34" t="inlineStr">
        <is>
          <t>Barley</t>
        </is>
      </c>
      <c r="B19" s="35" t="inlineStr">
        <is>
          <t>Harvested Area</t>
        </is>
      </c>
      <c r="C19" s="34" t="inlineStr">
        <is>
          <t>2003-04</t>
        </is>
      </c>
      <c r="P19" s="36">
        <f>SUM(D19:O19)</f>
        <v/>
      </c>
    </row>
    <row r="20">
      <c r="A20" s="34" t="inlineStr">
        <is>
          <t>Barley</t>
        </is>
      </c>
      <c r="B20" s="35" t="inlineStr">
        <is>
          <t>Proportion Harvested</t>
        </is>
      </c>
      <c r="C20" s="34" t="inlineStr">
        <is>
          <t>2003-04</t>
        </is>
      </c>
      <c r="P20" s="37">
        <f>SUM(D20:O20)</f>
        <v/>
      </c>
    </row>
    <row r="21">
      <c r="A21" s="34" t="inlineStr">
        <is>
          <t>Barley</t>
        </is>
      </c>
      <c r="B21" s="35" t="inlineStr">
        <is>
          <t>Yield</t>
        </is>
      </c>
      <c r="C21" s="34" t="inlineStr">
        <is>
          <t>2003-04</t>
        </is>
      </c>
      <c r="P21" s="38">
        <f>SUM(D21:O21)</f>
        <v/>
      </c>
    </row>
    <row r="22">
      <c r="A22" s="34" t="inlineStr">
        <is>
          <t>Barley</t>
        </is>
      </c>
      <c r="B22" s="39" t="inlineStr">
        <is>
          <t>Beginning Stocks</t>
        </is>
      </c>
      <c r="C22" s="34" t="inlineStr">
        <is>
          <t>2003-04</t>
        </is>
      </c>
      <c r="O22" s="40" t="n">
        <v>1474.8</v>
      </c>
      <c r="P22" s="41">
        <f>SUM(D22:O22)</f>
        <v/>
      </c>
    </row>
    <row r="23">
      <c r="A23" s="34" t="inlineStr">
        <is>
          <t>Barley</t>
        </is>
      </c>
      <c r="B23" s="39" t="inlineStr">
        <is>
          <t>Imports</t>
        </is>
      </c>
      <c r="C23" s="34" t="inlineStr">
        <is>
          <t>2003-04</t>
        </is>
      </c>
      <c r="O23" s="40" t="n">
        <v>35.5</v>
      </c>
      <c r="P23" s="41">
        <f>SUM(D23:O23)</f>
        <v/>
      </c>
    </row>
    <row r="24">
      <c r="A24" s="34" t="inlineStr">
        <is>
          <t>Barley</t>
        </is>
      </c>
      <c r="B24" s="39" t="inlineStr">
        <is>
          <t>Production</t>
        </is>
      </c>
      <c r="C24" s="34" t="inlineStr">
        <is>
          <t>2003-04</t>
        </is>
      </c>
      <c r="O24" s="40" t="n">
        <v>12164.2</v>
      </c>
      <c r="P24" s="41">
        <f>SUM(D24:O24)</f>
        <v/>
      </c>
    </row>
    <row r="25">
      <c r="A25" s="34" t="inlineStr">
        <is>
          <t>Barley</t>
        </is>
      </c>
      <c r="B25" s="39" t="inlineStr">
        <is>
          <t>Food</t>
        </is>
      </c>
      <c r="C25" s="34" t="inlineStr">
        <is>
          <t>2003-04</t>
        </is>
      </c>
      <c r="O25" s="40" t="n">
        <v>9</v>
      </c>
      <c r="P25" s="41">
        <f>SUM(D25:O25)</f>
        <v/>
      </c>
    </row>
    <row r="26">
      <c r="A26" s="34" t="inlineStr">
        <is>
          <t>Barley</t>
        </is>
      </c>
      <c r="B26" s="39" t="inlineStr">
        <is>
          <t>Industrial</t>
        </is>
      </c>
      <c r="C26" s="34" t="inlineStr">
        <is>
          <t>2003-04</t>
        </is>
      </c>
      <c r="O26" s="40" t="n">
        <v>277.9</v>
      </c>
      <c r="P26" s="41">
        <f>SUM(D26:O26)</f>
        <v/>
      </c>
    </row>
    <row r="27">
      <c r="A27" s="34" t="inlineStr">
        <is>
          <t>Barley</t>
        </is>
      </c>
      <c r="B27" s="39" t="inlineStr">
        <is>
          <t>FSR</t>
        </is>
      </c>
      <c r="C27" s="34" t="inlineStr">
        <is>
          <t>2003-04</t>
        </is>
      </c>
      <c r="O27" s="40" t="n">
        <v>8804.799999999999</v>
      </c>
      <c r="P27" s="41">
        <f>SUM(D27:O27)</f>
        <v/>
      </c>
    </row>
    <row r="28">
      <c r="A28" s="34" t="inlineStr">
        <is>
          <t>Barley</t>
        </is>
      </c>
      <c r="B28" s="39" t="inlineStr">
        <is>
          <t>Exports</t>
        </is>
      </c>
      <c r="C28" s="34" t="inlineStr">
        <is>
          <t>2003-04</t>
        </is>
      </c>
      <c r="O28" s="40" t="n">
        <v>2480.8</v>
      </c>
      <c r="P28" s="41">
        <f>SUM(D28:O28)</f>
        <v/>
      </c>
    </row>
    <row r="29">
      <c r="A29" s="34" t="inlineStr">
        <is>
          <t>Barley</t>
        </is>
      </c>
      <c r="B29" s="39" t="inlineStr">
        <is>
          <t>Ending Stocks</t>
        </is>
      </c>
      <c r="C29" s="34" t="inlineStr">
        <is>
          <t>2003-04</t>
        </is>
      </c>
      <c r="O29" s="40" t="n">
        <v>2102</v>
      </c>
      <c r="P29" s="41">
        <f>SUM(D29:O29)</f>
        <v/>
      </c>
    </row>
    <row r="30">
      <c r="A30" s="34" t="inlineStr">
        <is>
          <t>Barley</t>
        </is>
      </c>
      <c r="B30" s="35" t="inlineStr">
        <is>
          <t>Stocks-to-Use</t>
        </is>
      </c>
      <c r="C30" s="34" t="inlineStr">
        <is>
          <t>2003-04</t>
        </is>
      </c>
      <c r="P30" s="37">
        <f>SUM(D30:O30)</f>
        <v/>
      </c>
    </row>
    <row r="31">
      <c r="A31" s="34" t="inlineStr">
        <is>
          <t>Barley</t>
        </is>
      </c>
      <c r="B31" s="35" t="inlineStr">
        <is>
          <t>STU Days</t>
        </is>
      </c>
      <c r="C31" s="34" t="inlineStr">
        <is>
          <t>2003-04</t>
        </is>
      </c>
      <c r="P31" s="41">
        <f>SUM(D31:O31)</f>
        <v/>
      </c>
    </row>
    <row r="32">
      <c r="A32" s="34" t="inlineStr">
        <is>
          <t>Barley</t>
        </is>
      </c>
      <c r="B32" s="35" t="inlineStr">
        <is>
          <t>CHECK</t>
        </is>
      </c>
      <c r="C32" s="34" t="inlineStr">
        <is>
          <t>2003-04</t>
        </is>
      </c>
      <c r="O32" s="41" t="n">
        <v>9.094947017729282e-13</v>
      </c>
      <c r="P32" s="41">
        <f>SUM(D32:O32)</f>
        <v/>
      </c>
    </row>
    <row r="33">
      <c r="A33" s="34" t="inlineStr">
        <is>
          <t>Barley</t>
        </is>
      </c>
      <c r="B33" s="35" t="inlineStr">
        <is>
          <t>Planted Area</t>
        </is>
      </c>
      <c r="C33" s="34" t="inlineStr">
        <is>
          <t>2004-05</t>
        </is>
      </c>
      <c r="P33" s="36">
        <f>SUM(D33:O33)</f>
        <v/>
      </c>
    </row>
    <row r="34">
      <c r="A34" s="34" t="inlineStr">
        <is>
          <t>Barley</t>
        </is>
      </c>
      <c r="B34" s="35" t="inlineStr">
        <is>
          <t>Harvested Area</t>
        </is>
      </c>
      <c r="C34" s="34" t="inlineStr">
        <is>
          <t>2004-05</t>
        </is>
      </c>
      <c r="P34" s="36">
        <f>SUM(D34:O34)</f>
        <v/>
      </c>
    </row>
    <row r="35">
      <c r="A35" s="34" t="inlineStr">
        <is>
          <t>Barley</t>
        </is>
      </c>
      <c r="B35" s="35" t="inlineStr">
        <is>
          <t>Proportion Harvested</t>
        </is>
      </c>
      <c r="C35" s="34" t="inlineStr">
        <is>
          <t>2004-05</t>
        </is>
      </c>
      <c r="P35" s="37">
        <f>SUM(D35:O35)</f>
        <v/>
      </c>
    </row>
    <row r="36">
      <c r="A36" s="34" t="inlineStr">
        <is>
          <t>Barley</t>
        </is>
      </c>
      <c r="B36" s="35" t="inlineStr">
        <is>
          <t>Yield</t>
        </is>
      </c>
      <c r="C36" s="34" t="inlineStr">
        <is>
          <t>2004-05</t>
        </is>
      </c>
      <c r="P36" s="38">
        <f>SUM(D36:O36)</f>
        <v/>
      </c>
    </row>
    <row r="37">
      <c r="A37" s="34" t="inlineStr">
        <is>
          <t>Barley</t>
        </is>
      </c>
      <c r="B37" s="39" t="inlineStr">
        <is>
          <t>Beginning Stocks</t>
        </is>
      </c>
      <c r="C37" s="34" t="inlineStr">
        <is>
          <t>2004-05</t>
        </is>
      </c>
      <c r="O37" s="40" t="n">
        <v>2102</v>
      </c>
      <c r="P37" s="41">
        <f>SUM(D37:O37)</f>
        <v/>
      </c>
    </row>
    <row r="38">
      <c r="A38" s="34" t="inlineStr">
        <is>
          <t>Barley</t>
        </is>
      </c>
      <c r="B38" s="39" t="inlineStr">
        <is>
          <t>Imports</t>
        </is>
      </c>
      <c r="C38" s="34" t="inlineStr">
        <is>
          <t>2004-05</t>
        </is>
      </c>
      <c r="O38" s="40" t="n">
        <v>82.59999999999999</v>
      </c>
      <c r="P38" s="41">
        <f>SUM(D38:O38)</f>
        <v/>
      </c>
    </row>
    <row r="39">
      <c r="A39" s="34" t="inlineStr">
        <is>
          <t>Barley</t>
        </is>
      </c>
      <c r="B39" s="39" t="inlineStr">
        <is>
          <t>Production</t>
        </is>
      </c>
      <c r="C39" s="34" t="inlineStr">
        <is>
          <t>2004-05</t>
        </is>
      </c>
      <c r="O39" s="40" t="n">
        <v>12556.7</v>
      </c>
      <c r="P39" s="41">
        <f>SUM(D39:O39)</f>
        <v/>
      </c>
    </row>
    <row r="40">
      <c r="A40" s="34" t="inlineStr">
        <is>
          <t>Barley</t>
        </is>
      </c>
      <c r="B40" s="39" t="inlineStr">
        <is>
          <t>Food</t>
        </is>
      </c>
      <c r="C40" s="34" t="inlineStr">
        <is>
          <t>2004-05</t>
        </is>
      </c>
      <c r="O40" s="40" t="n">
        <v>9.5</v>
      </c>
      <c r="P40" s="41">
        <f>SUM(D40:O40)</f>
        <v/>
      </c>
    </row>
    <row r="41">
      <c r="A41" s="34" t="inlineStr">
        <is>
          <t>Barley</t>
        </is>
      </c>
      <c r="B41" s="39" t="inlineStr">
        <is>
          <t>Industrial</t>
        </is>
      </c>
      <c r="C41" s="34" t="inlineStr">
        <is>
          <t>2004-05</t>
        </is>
      </c>
      <c r="O41" s="40" t="n">
        <v>257.6</v>
      </c>
      <c r="P41" s="41">
        <f>SUM(D41:O41)</f>
        <v/>
      </c>
    </row>
    <row r="42">
      <c r="A42" s="34" t="inlineStr">
        <is>
          <t>Barley</t>
        </is>
      </c>
      <c r="B42" s="39" t="inlineStr">
        <is>
          <t>FSR</t>
        </is>
      </c>
      <c r="C42" s="34" t="inlineStr">
        <is>
          <t>2004-05</t>
        </is>
      </c>
      <c r="O42" s="40" t="n">
        <v>9175.9</v>
      </c>
      <c r="P42" s="41">
        <f>SUM(D42:O42)</f>
        <v/>
      </c>
    </row>
    <row r="43">
      <c r="A43" s="34" t="inlineStr">
        <is>
          <t>Barley</t>
        </is>
      </c>
      <c r="B43" s="39" t="inlineStr">
        <is>
          <t>Exports</t>
        </is>
      </c>
      <c r="C43" s="34" t="inlineStr">
        <is>
          <t>2004-05</t>
        </is>
      </c>
      <c r="O43" s="40" t="n">
        <v>1863.2</v>
      </c>
      <c r="P43" s="41">
        <f>SUM(D43:O43)</f>
        <v/>
      </c>
    </row>
    <row r="44">
      <c r="A44" s="34" t="inlineStr">
        <is>
          <t>Barley</t>
        </is>
      </c>
      <c r="B44" s="39" t="inlineStr">
        <is>
          <t>Ending Stocks</t>
        </is>
      </c>
      <c r="C44" s="34" t="inlineStr">
        <is>
          <t>2004-05</t>
        </is>
      </c>
      <c r="O44" s="40" t="n">
        <v>3435.1</v>
      </c>
      <c r="P44" s="41">
        <f>SUM(D44:O44)</f>
        <v/>
      </c>
    </row>
    <row r="45">
      <c r="A45" s="34" t="inlineStr">
        <is>
          <t>Barley</t>
        </is>
      </c>
      <c r="B45" s="35" t="inlineStr">
        <is>
          <t>Stocks-to-Use</t>
        </is>
      </c>
      <c r="C45" s="34" t="inlineStr">
        <is>
          <t>2004-05</t>
        </is>
      </c>
      <c r="P45" s="37">
        <f>SUM(D45:O45)</f>
        <v/>
      </c>
    </row>
    <row r="46">
      <c r="A46" s="34" t="inlineStr">
        <is>
          <t>Barley</t>
        </is>
      </c>
      <c r="B46" s="35" t="inlineStr">
        <is>
          <t>STU Days</t>
        </is>
      </c>
      <c r="C46" s="34" t="inlineStr">
        <is>
          <t>2004-05</t>
        </is>
      </c>
      <c r="P46" s="41">
        <f>SUM(D46:O46)</f>
        <v/>
      </c>
    </row>
    <row r="47">
      <c r="A47" s="34" t="inlineStr">
        <is>
          <t>Barley</t>
        </is>
      </c>
      <c r="B47" s="35" t="inlineStr">
        <is>
          <t>CHECK</t>
        </is>
      </c>
      <c r="C47" s="34" t="inlineStr">
        <is>
          <t>2004-05</t>
        </is>
      </c>
      <c r="O47" s="41" t="n">
        <v>1.364242052659392e-12</v>
      </c>
      <c r="P47" s="41">
        <f>SUM(D47:O47)</f>
        <v/>
      </c>
    </row>
    <row r="48">
      <c r="A48" s="34" t="inlineStr">
        <is>
          <t>Barley</t>
        </is>
      </c>
      <c r="B48" s="35" t="inlineStr">
        <is>
          <t>Planted Area</t>
        </is>
      </c>
      <c r="C48" s="34" t="inlineStr">
        <is>
          <t>2005-06</t>
        </is>
      </c>
      <c r="P48" s="36">
        <f>SUM(D48:O48)</f>
        <v/>
      </c>
    </row>
    <row r="49">
      <c r="A49" s="34" t="inlineStr">
        <is>
          <t>Barley</t>
        </is>
      </c>
      <c r="B49" s="35" t="inlineStr">
        <is>
          <t>Harvested Area</t>
        </is>
      </c>
      <c r="C49" s="34" t="inlineStr">
        <is>
          <t>2005-06</t>
        </is>
      </c>
      <c r="P49" s="36">
        <f>SUM(D49:O49)</f>
        <v/>
      </c>
    </row>
    <row r="50">
      <c r="A50" s="34" t="inlineStr">
        <is>
          <t>Barley</t>
        </is>
      </c>
      <c r="B50" s="35" t="inlineStr">
        <is>
          <t>Proportion Harvested</t>
        </is>
      </c>
      <c r="C50" s="34" t="inlineStr">
        <is>
          <t>2005-06</t>
        </is>
      </c>
      <c r="P50" s="37">
        <f>SUM(D50:O50)</f>
        <v/>
      </c>
    </row>
    <row r="51">
      <c r="A51" s="34" t="inlineStr">
        <is>
          <t>Barley</t>
        </is>
      </c>
      <c r="B51" s="35" t="inlineStr">
        <is>
          <t>Yield</t>
        </is>
      </c>
      <c r="C51" s="34" t="inlineStr">
        <is>
          <t>2005-06</t>
        </is>
      </c>
      <c r="P51" s="38">
        <f>SUM(D51:O51)</f>
        <v/>
      </c>
    </row>
    <row r="52">
      <c r="A52" s="34" t="inlineStr">
        <is>
          <t>Barley</t>
        </is>
      </c>
      <c r="B52" s="39" t="inlineStr">
        <is>
          <t>Beginning Stocks</t>
        </is>
      </c>
      <c r="C52" s="34" t="inlineStr">
        <is>
          <t>2005-06</t>
        </is>
      </c>
      <c r="O52" s="40" t="n">
        <v>3435.1</v>
      </c>
      <c r="P52" s="41">
        <f>SUM(D52:O52)</f>
        <v/>
      </c>
    </row>
    <row r="53">
      <c r="A53" s="34" t="inlineStr">
        <is>
          <t>Barley</t>
        </is>
      </c>
      <c r="B53" s="39" t="inlineStr">
        <is>
          <t>Imports</t>
        </is>
      </c>
      <c r="C53" s="34" t="inlineStr">
        <is>
          <t>2005-06</t>
        </is>
      </c>
      <c r="O53" s="40" t="n">
        <v>45.8</v>
      </c>
      <c r="P53" s="41">
        <f>SUM(D53:O53)</f>
        <v/>
      </c>
    </row>
    <row r="54">
      <c r="A54" s="34" t="inlineStr">
        <is>
          <t>Barley</t>
        </is>
      </c>
      <c r="B54" s="39" t="inlineStr">
        <is>
          <t>Production</t>
        </is>
      </c>
      <c r="C54" s="34" t="inlineStr">
        <is>
          <t>2005-06</t>
        </is>
      </c>
      <c r="O54" s="40" t="n">
        <v>11677.6</v>
      </c>
      <c r="P54" s="41">
        <f>SUM(D54:O54)</f>
        <v/>
      </c>
    </row>
    <row r="55">
      <c r="A55" s="34" t="inlineStr">
        <is>
          <t>Barley</t>
        </is>
      </c>
      <c r="B55" s="39" t="inlineStr">
        <is>
          <t>Food</t>
        </is>
      </c>
      <c r="C55" s="34" t="inlineStr">
        <is>
          <t>2005-06</t>
        </is>
      </c>
      <c r="O55" s="40" t="n">
        <v>13.5</v>
      </c>
      <c r="P55" s="41">
        <f>SUM(D55:O55)</f>
        <v/>
      </c>
    </row>
    <row r="56">
      <c r="A56" s="34" t="inlineStr">
        <is>
          <t>Barley</t>
        </is>
      </c>
      <c r="B56" s="39" t="inlineStr">
        <is>
          <t>Industrial</t>
        </is>
      </c>
      <c r="C56" s="34" t="inlineStr">
        <is>
          <t>2005-06</t>
        </is>
      </c>
      <c r="O56" s="40" t="n">
        <v>153.3</v>
      </c>
      <c r="P56" s="41">
        <f>SUM(D56:O56)</f>
        <v/>
      </c>
    </row>
    <row r="57">
      <c r="A57" s="34" t="inlineStr">
        <is>
          <t>Barley</t>
        </is>
      </c>
      <c r="B57" s="39" t="inlineStr">
        <is>
          <t>FSR</t>
        </is>
      </c>
      <c r="C57" s="34" t="inlineStr">
        <is>
          <t>2005-06</t>
        </is>
      </c>
      <c r="O57" s="40" t="n">
        <v>8727.900000000001</v>
      </c>
      <c r="P57" s="41">
        <f>SUM(D57:O57)</f>
        <v/>
      </c>
    </row>
    <row r="58">
      <c r="A58" s="34" t="inlineStr">
        <is>
          <t>Barley</t>
        </is>
      </c>
      <c r="B58" s="39" t="inlineStr">
        <is>
          <t>Exports</t>
        </is>
      </c>
      <c r="C58" s="34" t="inlineStr">
        <is>
          <t>2005-06</t>
        </is>
      </c>
      <c r="O58" s="40" t="n">
        <v>2975.1</v>
      </c>
      <c r="P58" s="41">
        <f>SUM(D58:O58)</f>
        <v/>
      </c>
    </row>
    <row r="59">
      <c r="A59" s="34" t="inlineStr">
        <is>
          <t>Barley</t>
        </is>
      </c>
      <c r="B59" s="39" t="inlineStr">
        <is>
          <t>Ending Stocks</t>
        </is>
      </c>
      <c r="C59" s="34" t="inlineStr">
        <is>
          <t>2005-06</t>
        </is>
      </c>
      <c r="O59" s="40" t="n">
        <v>3288.7</v>
      </c>
      <c r="P59" s="41">
        <f>SUM(D59:O59)</f>
        <v/>
      </c>
    </row>
    <row r="60">
      <c r="A60" s="34" t="inlineStr">
        <is>
          <t>Barley</t>
        </is>
      </c>
      <c r="B60" s="35" t="inlineStr">
        <is>
          <t>Stocks-to-Use</t>
        </is>
      </c>
      <c r="C60" s="34" t="inlineStr">
        <is>
          <t>2005-06</t>
        </is>
      </c>
      <c r="P60" s="37">
        <f>SUM(D60:O60)</f>
        <v/>
      </c>
    </row>
    <row r="61">
      <c r="A61" s="34" t="inlineStr">
        <is>
          <t>Barley</t>
        </is>
      </c>
      <c r="B61" s="35" t="inlineStr">
        <is>
          <t>STU Days</t>
        </is>
      </c>
      <c r="C61" s="34" t="inlineStr">
        <is>
          <t>2005-06</t>
        </is>
      </c>
      <c r="P61" s="41">
        <f>SUM(D61:O61)</f>
        <v/>
      </c>
    </row>
    <row r="62">
      <c r="A62" s="34" t="inlineStr">
        <is>
          <t>Barley</t>
        </is>
      </c>
      <c r="B62" s="35" t="inlineStr">
        <is>
          <t>CHECK</t>
        </is>
      </c>
      <c r="C62" s="34" t="inlineStr">
        <is>
          <t>2005-06</t>
        </is>
      </c>
      <c r="O62" s="41" t="n">
        <v>-4.547473508864641e-13</v>
      </c>
      <c r="P62" s="41">
        <f>SUM(D62:O62)</f>
        <v/>
      </c>
    </row>
    <row r="63">
      <c r="A63" s="34" t="inlineStr">
        <is>
          <t>Barley</t>
        </is>
      </c>
      <c r="B63" s="35" t="inlineStr">
        <is>
          <t>Planted Area</t>
        </is>
      </c>
      <c r="C63" s="34" t="inlineStr">
        <is>
          <t>2006-07</t>
        </is>
      </c>
      <c r="P63" s="36">
        <f>SUM(D63:O63)</f>
        <v/>
      </c>
    </row>
    <row r="64">
      <c r="A64" s="34" t="inlineStr">
        <is>
          <t>Barley</t>
        </is>
      </c>
      <c r="B64" s="35" t="inlineStr">
        <is>
          <t>Harvested Area</t>
        </is>
      </c>
      <c r="C64" s="34" t="inlineStr">
        <is>
          <t>2006-07</t>
        </is>
      </c>
      <c r="P64" s="36">
        <f>SUM(D64:O64)</f>
        <v/>
      </c>
    </row>
    <row r="65">
      <c r="A65" s="34" t="inlineStr">
        <is>
          <t>Barley</t>
        </is>
      </c>
      <c r="B65" s="35" t="inlineStr">
        <is>
          <t>Proportion Harvested</t>
        </is>
      </c>
      <c r="C65" s="34" t="inlineStr">
        <is>
          <t>2006-07</t>
        </is>
      </c>
      <c r="P65" s="37">
        <f>SUM(D65:O65)</f>
        <v/>
      </c>
    </row>
    <row r="66">
      <c r="A66" s="34" t="inlineStr">
        <is>
          <t>Barley</t>
        </is>
      </c>
      <c r="B66" s="35" t="inlineStr">
        <is>
          <t>Yield</t>
        </is>
      </c>
      <c r="C66" s="34" t="inlineStr">
        <is>
          <t>2006-07</t>
        </is>
      </c>
      <c r="P66" s="38">
        <f>SUM(D66:O66)</f>
        <v/>
      </c>
    </row>
    <row r="67">
      <c r="A67" s="34" t="inlineStr">
        <is>
          <t>Barley</t>
        </is>
      </c>
      <c r="B67" s="39" t="inlineStr">
        <is>
          <t>Beginning Stocks</t>
        </is>
      </c>
      <c r="C67" s="34" t="inlineStr">
        <is>
          <t>2006-07</t>
        </is>
      </c>
      <c r="O67" s="40" t="n">
        <v>3288.7</v>
      </c>
      <c r="P67" s="41">
        <f>SUM(D67:O67)</f>
        <v/>
      </c>
    </row>
    <row r="68">
      <c r="A68" s="34" t="inlineStr">
        <is>
          <t>Barley</t>
        </is>
      </c>
      <c r="B68" s="39" t="inlineStr">
        <is>
          <t>Imports</t>
        </is>
      </c>
      <c r="C68" s="34" t="inlineStr">
        <is>
          <t>2006-07</t>
        </is>
      </c>
      <c r="O68" s="40" t="n">
        <v>43.6</v>
      </c>
      <c r="P68" s="41">
        <f>SUM(D68:O68)</f>
        <v/>
      </c>
    </row>
    <row r="69">
      <c r="A69" s="34" t="inlineStr">
        <is>
          <t>Barley</t>
        </is>
      </c>
      <c r="B69" s="39" t="inlineStr">
        <is>
          <t>Production</t>
        </is>
      </c>
      <c r="C69" s="34" t="inlineStr">
        <is>
          <t>2006-07</t>
        </is>
      </c>
      <c r="O69" s="40" t="n">
        <v>9573.1</v>
      </c>
      <c r="P69" s="41">
        <f>SUM(D69:O69)</f>
        <v/>
      </c>
    </row>
    <row r="70">
      <c r="A70" s="34" t="inlineStr">
        <is>
          <t>Barley</t>
        </is>
      </c>
      <c r="B70" s="39" t="inlineStr">
        <is>
          <t>Food</t>
        </is>
      </c>
      <c r="C70" s="34" t="inlineStr">
        <is>
          <t>2006-07</t>
        </is>
      </c>
      <c r="O70" s="40" t="n">
        <v>21.5</v>
      </c>
      <c r="P70" s="41">
        <f>SUM(D70:O70)</f>
        <v/>
      </c>
    </row>
    <row r="71">
      <c r="A71" s="34" t="inlineStr">
        <is>
          <t>Barley</t>
        </is>
      </c>
      <c r="B71" s="39" t="inlineStr">
        <is>
          <t>Industrial</t>
        </is>
      </c>
      <c r="C71" s="34" t="inlineStr">
        <is>
          <t>2006-07</t>
        </is>
      </c>
      <c r="O71" s="40" t="n">
        <v>169.8</v>
      </c>
      <c r="P71" s="41">
        <f>SUM(D71:O71)</f>
        <v/>
      </c>
    </row>
    <row r="72">
      <c r="A72" s="34" t="inlineStr">
        <is>
          <t>Barley</t>
        </is>
      </c>
      <c r="B72" s="39" t="inlineStr">
        <is>
          <t>FSR</t>
        </is>
      </c>
      <c r="C72" s="34" t="inlineStr">
        <is>
          <t>2006-07</t>
        </is>
      </c>
      <c r="O72" s="40" t="n">
        <v>9195.1</v>
      </c>
      <c r="P72" s="41">
        <f>SUM(D72:O72)</f>
        <v/>
      </c>
    </row>
    <row r="73">
      <c r="A73" s="34" t="inlineStr">
        <is>
          <t>Barley</t>
        </is>
      </c>
      <c r="B73" s="39" t="inlineStr">
        <is>
          <t>Exports</t>
        </is>
      </c>
      <c r="C73" s="34" t="inlineStr">
        <is>
          <t>2006-07</t>
        </is>
      </c>
      <c r="O73" s="40" t="n">
        <v>2028.3</v>
      </c>
      <c r="P73" s="41">
        <f>SUM(D73:O73)</f>
        <v/>
      </c>
    </row>
    <row r="74">
      <c r="A74" s="34" t="inlineStr">
        <is>
          <t>Barley</t>
        </is>
      </c>
      <c r="B74" s="39" t="inlineStr">
        <is>
          <t>Ending Stocks</t>
        </is>
      </c>
      <c r="C74" s="34" t="inlineStr">
        <is>
          <t>2006-07</t>
        </is>
      </c>
      <c r="O74" s="40" t="n">
        <v>1490.7</v>
      </c>
      <c r="P74" s="41">
        <f>SUM(D74:O74)</f>
        <v/>
      </c>
    </row>
    <row r="75">
      <c r="A75" s="34" t="inlineStr">
        <is>
          <t>Barley</t>
        </is>
      </c>
      <c r="B75" s="35" t="inlineStr">
        <is>
          <t>Stocks-to-Use</t>
        </is>
      </c>
      <c r="C75" s="34" t="inlineStr">
        <is>
          <t>2006-07</t>
        </is>
      </c>
      <c r="P75" s="37">
        <f>SUM(D75:O75)</f>
        <v/>
      </c>
    </row>
    <row r="76">
      <c r="A76" s="34" t="inlineStr">
        <is>
          <t>Barley</t>
        </is>
      </c>
      <c r="B76" s="35" t="inlineStr">
        <is>
          <t>STU Days</t>
        </is>
      </c>
      <c r="C76" s="34" t="inlineStr">
        <is>
          <t>2006-07</t>
        </is>
      </c>
      <c r="P76" s="41">
        <f>SUM(D76:O76)</f>
        <v/>
      </c>
    </row>
    <row r="77">
      <c r="A77" s="34" t="inlineStr">
        <is>
          <t>Barley</t>
        </is>
      </c>
      <c r="B77" s="35" t="inlineStr">
        <is>
          <t>CHECK</t>
        </is>
      </c>
      <c r="C77" s="34" t="inlineStr">
        <is>
          <t>2006-07</t>
        </is>
      </c>
      <c r="O77" s="41" t="n">
        <v>1.818989403545856e-12</v>
      </c>
      <c r="P77" s="41">
        <f>SUM(D77:O77)</f>
        <v/>
      </c>
    </row>
    <row r="78">
      <c r="A78" s="34" t="inlineStr">
        <is>
          <t>Barley</t>
        </is>
      </c>
      <c r="B78" s="35" t="inlineStr">
        <is>
          <t>Planted Area</t>
        </is>
      </c>
      <c r="C78" s="34" t="inlineStr">
        <is>
          <t>2007-08</t>
        </is>
      </c>
      <c r="P78" s="36">
        <f>SUM(D78:O78)</f>
        <v/>
      </c>
    </row>
    <row r="79">
      <c r="A79" s="34" t="inlineStr">
        <is>
          <t>Barley</t>
        </is>
      </c>
      <c r="B79" s="35" t="inlineStr">
        <is>
          <t>Harvested Area</t>
        </is>
      </c>
      <c r="C79" s="34" t="inlineStr">
        <is>
          <t>2007-08</t>
        </is>
      </c>
      <c r="P79" s="36">
        <f>SUM(D79:O79)</f>
        <v/>
      </c>
    </row>
    <row r="80">
      <c r="A80" s="34" t="inlineStr">
        <is>
          <t>Barley</t>
        </is>
      </c>
      <c r="B80" s="35" t="inlineStr">
        <is>
          <t>Proportion Harvested</t>
        </is>
      </c>
      <c r="C80" s="34" t="inlineStr">
        <is>
          <t>2007-08</t>
        </is>
      </c>
      <c r="P80" s="37">
        <f>SUM(D80:O80)</f>
        <v/>
      </c>
    </row>
    <row r="81">
      <c r="A81" s="34" t="inlineStr">
        <is>
          <t>Barley</t>
        </is>
      </c>
      <c r="B81" s="35" t="inlineStr">
        <is>
          <t>Yield</t>
        </is>
      </c>
      <c r="C81" s="34" t="inlineStr">
        <is>
          <t>2007-08</t>
        </is>
      </c>
      <c r="P81" s="38">
        <f>SUM(D81:O81)</f>
        <v/>
      </c>
    </row>
    <row r="82">
      <c r="A82" s="34" t="inlineStr">
        <is>
          <t>Barley</t>
        </is>
      </c>
      <c r="B82" s="39" t="inlineStr">
        <is>
          <t>Beginning Stocks</t>
        </is>
      </c>
      <c r="C82" s="34" t="inlineStr">
        <is>
          <t>2007-08</t>
        </is>
      </c>
      <c r="O82" s="40" t="n">
        <v>1490.7</v>
      </c>
      <c r="P82" s="41">
        <f>SUM(D82:O82)</f>
        <v/>
      </c>
    </row>
    <row r="83">
      <c r="A83" s="34" t="inlineStr">
        <is>
          <t>Barley</t>
        </is>
      </c>
      <c r="B83" s="39" t="inlineStr">
        <is>
          <t>Imports</t>
        </is>
      </c>
      <c r="C83" s="34" t="inlineStr">
        <is>
          <t>2007-08</t>
        </is>
      </c>
      <c r="O83" s="40" t="n">
        <v>57.8</v>
      </c>
      <c r="P83" s="41">
        <f>SUM(D83:O83)</f>
        <v/>
      </c>
    </row>
    <row r="84">
      <c r="A84" s="34" t="inlineStr">
        <is>
          <t>Barley</t>
        </is>
      </c>
      <c r="B84" s="39" t="inlineStr">
        <is>
          <t>Production</t>
        </is>
      </c>
      <c r="C84" s="34" t="inlineStr">
        <is>
          <t>2007-08</t>
        </is>
      </c>
      <c r="O84" s="40" t="n">
        <v>10909.8</v>
      </c>
      <c r="P84" s="41">
        <f>SUM(D84:O84)</f>
        <v/>
      </c>
    </row>
    <row r="85">
      <c r="A85" s="34" t="inlineStr">
        <is>
          <t>Barley</t>
        </is>
      </c>
      <c r="B85" s="39" t="inlineStr">
        <is>
          <t>Food</t>
        </is>
      </c>
      <c r="C85" s="34" t="inlineStr">
        <is>
          <t>2007-08</t>
        </is>
      </c>
      <c r="O85" s="40" t="n">
        <v>15.7</v>
      </c>
      <c r="P85" s="41">
        <f>SUM(D85:O85)</f>
        <v/>
      </c>
    </row>
    <row r="86">
      <c r="A86" s="34" t="inlineStr">
        <is>
          <t>Barley</t>
        </is>
      </c>
      <c r="B86" s="39" t="inlineStr">
        <is>
          <t>Industrial</t>
        </is>
      </c>
      <c r="C86" s="34" t="inlineStr">
        <is>
          <t>2007-08</t>
        </is>
      </c>
      <c r="O86" s="40" t="n">
        <v>140.3</v>
      </c>
      <c r="P86" s="41">
        <f>SUM(D86:O86)</f>
        <v/>
      </c>
    </row>
    <row r="87">
      <c r="A87" s="34" t="inlineStr">
        <is>
          <t>Barley</t>
        </is>
      </c>
      <c r="B87" s="39" t="inlineStr">
        <is>
          <t>FSR</t>
        </is>
      </c>
      <c r="C87" s="34" t="inlineStr">
        <is>
          <t>2007-08</t>
        </is>
      </c>
      <c r="O87" s="40" t="n">
        <v>6822.699999999999</v>
      </c>
      <c r="P87" s="41">
        <f>SUM(D87:O87)</f>
        <v/>
      </c>
    </row>
    <row r="88">
      <c r="A88" s="34" t="inlineStr">
        <is>
          <t>Barley</t>
        </is>
      </c>
      <c r="B88" s="39" t="inlineStr">
        <is>
          <t>Exports</t>
        </is>
      </c>
      <c r="C88" s="34" t="inlineStr">
        <is>
          <t>2007-08</t>
        </is>
      </c>
      <c r="O88" s="40" t="n">
        <v>3911.2</v>
      </c>
      <c r="P88" s="41">
        <f>SUM(D88:O88)</f>
        <v/>
      </c>
    </row>
    <row r="89">
      <c r="A89" s="34" t="inlineStr">
        <is>
          <t>Barley</t>
        </is>
      </c>
      <c r="B89" s="39" t="inlineStr">
        <is>
          <t>Ending Stocks</t>
        </is>
      </c>
      <c r="C89" s="34" t="inlineStr">
        <is>
          <t>2007-08</t>
        </is>
      </c>
      <c r="O89" s="40" t="n">
        <v>1568.4</v>
      </c>
      <c r="P89" s="41">
        <f>SUM(D89:O89)</f>
        <v/>
      </c>
    </row>
    <row r="90">
      <c r="A90" s="34" t="inlineStr">
        <is>
          <t>Barley</t>
        </is>
      </c>
      <c r="B90" s="35" t="inlineStr">
        <is>
          <t>Stocks-to-Use</t>
        </is>
      </c>
      <c r="C90" s="34" t="inlineStr">
        <is>
          <t>2007-08</t>
        </is>
      </c>
      <c r="P90" s="37">
        <f>SUM(D90:O90)</f>
        <v/>
      </c>
    </row>
    <row r="91">
      <c r="A91" s="34" t="inlineStr">
        <is>
          <t>Barley</t>
        </is>
      </c>
      <c r="B91" s="35" t="inlineStr">
        <is>
          <t>STU Days</t>
        </is>
      </c>
      <c r="C91" s="34" t="inlineStr">
        <is>
          <t>2007-08</t>
        </is>
      </c>
      <c r="P91" s="41">
        <f>SUM(D91:O91)</f>
        <v/>
      </c>
    </row>
    <row r="92">
      <c r="A92" s="34" t="inlineStr">
        <is>
          <t>Barley</t>
        </is>
      </c>
      <c r="B92" s="35" t="inlineStr">
        <is>
          <t>CHECK</t>
        </is>
      </c>
      <c r="C92" s="34" t="inlineStr">
        <is>
          <t>2007-08</t>
        </is>
      </c>
      <c r="O92" s="41" t="n">
        <v>4.547473508864641e-13</v>
      </c>
      <c r="P92" s="41">
        <f>SUM(D92:O92)</f>
        <v/>
      </c>
    </row>
    <row r="93">
      <c r="A93" s="34" t="inlineStr">
        <is>
          <t>Barley</t>
        </is>
      </c>
      <c r="B93" s="35" t="inlineStr">
        <is>
          <t>Planted Area</t>
        </is>
      </c>
      <c r="C93" s="34" t="inlineStr">
        <is>
          <t>2008-09</t>
        </is>
      </c>
      <c r="P93" s="36">
        <f>SUM(D93:O93)</f>
        <v/>
      </c>
    </row>
    <row r="94">
      <c r="A94" s="34" t="inlineStr">
        <is>
          <t>Barley</t>
        </is>
      </c>
      <c r="B94" s="35" t="inlineStr">
        <is>
          <t>Harvested Area</t>
        </is>
      </c>
      <c r="C94" s="34" t="inlineStr">
        <is>
          <t>2008-09</t>
        </is>
      </c>
      <c r="P94" s="36">
        <f>SUM(D94:O94)</f>
        <v/>
      </c>
    </row>
    <row r="95">
      <c r="A95" s="34" t="inlineStr">
        <is>
          <t>Barley</t>
        </is>
      </c>
      <c r="B95" s="35" t="inlineStr">
        <is>
          <t>Proportion Harvested</t>
        </is>
      </c>
      <c r="C95" s="34" t="inlineStr">
        <is>
          <t>2008-09</t>
        </is>
      </c>
      <c r="P95" s="37">
        <f>SUM(D95:O95)</f>
        <v/>
      </c>
    </row>
    <row r="96">
      <c r="A96" s="34" t="inlineStr">
        <is>
          <t>Barley</t>
        </is>
      </c>
      <c r="B96" s="35" t="inlineStr">
        <is>
          <t>Yield</t>
        </is>
      </c>
      <c r="C96" s="34" t="inlineStr">
        <is>
          <t>2008-09</t>
        </is>
      </c>
      <c r="P96" s="38">
        <f>SUM(D96:O96)</f>
        <v/>
      </c>
    </row>
    <row r="97">
      <c r="A97" s="34" t="inlineStr">
        <is>
          <t>Barley</t>
        </is>
      </c>
      <c r="B97" s="39" t="inlineStr">
        <is>
          <t>Beginning Stocks</t>
        </is>
      </c>
      <c r="C97" s="34" t="inlineStr">
        <is>
          <t>2008-09</t>
        </is>
      </c>
      <c r="O97" s="40" t="n">
        <v>1568.4</v>
      </c>
      <c r="P97" s="41">
        <f>SUM(D97:O97)</f>
        <v/>
      </c>
    </row>
    <row r="98">
      <c r="A98" s="34" t="inlineStr">
        <is>
          <t>Barley</t>
        </is>
      </c>
      <c r="B98" s="39" t="inlineStr">
        <is>
          <t>Imports</t>
        </is>
      </c>
      <c r="C98" s="34" t="inlineStr">
        <is>
          <t>2008-09</t>
        </is>
      </c>
      <c r="O98" s="40" t="n">
        <v>41.7</v>
      </c>
      <c r="P98" s="41">
        <f>SUM(D98:O98)</f>
        <v/>
      </c>
    </row>
    <row r="99">
      <c r="A99" s="34" t="inlineStr">
        <is>
          <t>Barley</t>
        </is>
      </c>
      <c r="B99" s="39" t="inlineStr">
        <is>
          <t>Production</t>
        </is>
      </c>
      <c r="C99" s="34" t="inlineStr">
        <is>
          <t>2008-09</t>
        </is>
      </c>
      <c r="O99" s="40" t="n">
        <v>11785.8</v>
      </c>
      <c r="P99" s="41">
        <f>SUM(D99:O99)</f>
        <v/>
      </c>
    </row>
    <row r="100">
      <c r="A100" s="34" t="inlineStr">
        <is>
          <t>Barley</t>
        </is>
      </c>
      <c r="B100" s="39" t="inlineStr">
        <is>
          <t>Food</t>
        </is>
      </c>
      <c r="C100" s="34" t="inlineStr">
        <is>
          <t>2008-09</t>
        </is>
      </c>
      <c r="O100" s="40" t="n">
        <v>15.6</v>
      </c>
      <c r="P100" s="41">
        <f>SUM(D100:O100)</f>
        <v/>
      </c>
    </row>
    <row r="101">
      <c r="A101" s="34" t="inlineStr">
        <is>
          <t>Barley</t>
        </is>
      </c>
      <c r="B101" s="39" t="inlineStr">
        <is>
          <t>Industrial</t>
        </is>
      </c>
      <c r="C101" s="34" t="inlineStr">
        <is>
          <t>2008-09</t>
        </is>
      </c>
      <c r="O101" s="40" t="n">
        <v>143.8</v>
      </c>
      <c r="P101" s="41">
        <f>SUM(D101:O101)</f>
        <v/>
      </c>
    </row>
    <row r="102">
      <c r="A102" s="34" t="inlineStr">
        <is>
          <t>Barley</t>
        </is>
      </c>
      <c r="B102" s="39" t="inlineStr">
        <is>
          <t>FSR</t>
        </is>
      </c>
      <c r="C102" s="34" t="inlineStr">
        <is>
          <t>2008-09</t>
        </is>
      </c>
      <c r="O102" s="40" t="n">
        <v>7874.199999999999</v>
      </c>
      <c r="P102" s="41">
        <f>SUM(D102:O102)</f>
        <v/>
      </c>
    </row>
    <row r="103">
      <c r="A103" s="34" t="inlineStr">
        <is>
          <t>Barley</t>
        </is>
      </c>
      <c r="B103" s="39" t="inlineStr">
        <is>
          <t>Exports</t>
        </is>
      </c>
      <c r="C103" s="34" t="inlineStr">
        <is>
          <t>2008-09</t>
        </is>
      </c>
      <c r="O103" s="40" t="n">
        <v>2398.7</v>
      </c>
      <c r="P103" s="41">
        <f>SUM(D103:O103)</f>
        <v/>
      </c>
    </row>
    <row r="104">
      <c r="A104" s="34" t="inlineStr">
        <is>
          <t>Barley</t>
        </is>
      </c>
      <c r="B104" s="39" t="inlineStr">
        <is>
          <t>Ending Stocks</t>
        </is>
      </c>
      <c r="C104" s="34" t="inlineStr">
        <is>
          <t>2008-09</t>
        </is>
      </c>
      <c r="O104" s="40" t="n">
        <v>2963.6</v>
      </c>
      <c r="P104" s="41">
        <f>SUM(D104:O104)</f>
        <v/>
      </c>
    </row>
    <row r="105">
      <c r="A105" s="34" t="inlineStr">
        <is>
          <t>Barley</t>
        </is>
      </c>
      <c r="B105" s="35" t="inlineStr">
        <is>
          <t>Stocks-to-Use</t>
        </is>
      </c>
      <c r="C105" s="34" t="inlineStr">
        <is>
          <t>2008-09</t>
        </is>
      </c>
      <c r="P105" s="37">
        <f>SUM(D105:O105)</f>
        <v/>
      </c>
    </row>
    <row r="106">
      <c r="A106" s="34" t="inlineStr">
        <is>
          <t>Barley</t>
        </is>
      </c>
      <c r="B106" s="35" t="inlineStr">
        <is>
          <t>STU Days</t>
        </is>
      </c>
      <c r="C106" s="34" t="inlineStr">
        <is>
          <t>2008-09</t>
        </is>
      </c>
      <c r="P106" s="41">
        <f>SUM(D106:O106)</f>
        <v/>
      </c>
    </row>
    <row r="107">
      <c r="A107" s="34" t="inlineStr">
        <is>
          <t>Barley</t>
        </is>
      </c>
      <c r="B107" s="35" t="inlineStr">
        <is>
          <t>CHECK</t>
        </is>
      </c>
      <c r="C107" s="34" t="inlineStr">
        <is>
          <t>2008-09</t>
        </is>
      </c>
      <c r="O107" s="41" t="n">
        <v>1.364242052659392e-12</v>
      </c>
      <c r="P107" s="41">
        <f>SUM(D107:O107)</f>
        <v/>
      </c>
    </row>
    <row r="108">
      <c r="A108" s="34" t="inlineStr">
        <is>
          <t>Barley</t>
        </is>
      </c>
      <c r="B108" s="35" t="inlineStr">
        <is>
          <t>Planted Area</t>
        </is>
      </c>
      <c r="C108" s="34" t="inlineStr">
        <is>
          <t>2009-10</t>
        </is>
      </c>
      <c r="P108" s="36">
        <f>SUM(D108:O108)</f>
        <v/>
      </c>
    </row>
    <row r="109">
      <c r="A109" s="34" t="inlineStr">
        <is>
          <t>Barley</t>
        </is>
      </c>
      <c r="B109" s="35" t="inlineStr">
        <is>
          <t>Harvested Area</t>
        </is>
      </c>
      <c r="C109" s="34" t="inlineStr">
        <is>
          <t>2009-10</t>
        </is>
      </c>
      <c r="P109" s="36">
        <f>SUM(D109:O109)</f>
        <v/>
      </c>
    </row>
    <row r="110">
      <c r="A110" s="34" t="inlineStr">
        <is>
          <t>Barley</t>
        </is>
      </c>
      <c r="B110" s="35" t="inlineStr">
        <is>
          <t>Proportion Harvested</t>
        </is>
      </c>
      <c r="C110" s="34" t="inlineStr">
        <is>
          <t>2009-10</t>
        </is>
      </c>
      <c r="P110" s="37">
        <f>SUM(D110:O110)</f>
        <v/>
      </c>
    </row>
    <row r="111">
      <c r="A111" s="34" t="inlineStr">
        <is>
          <t>Barley</t>
        </is>
      </c>
      <c r="B111" s="35" t="inlineStr">
        <is>
          <t>Yield</t>
        </is>
      </c>
      <c r="C111" s="34" t="inlineStr">
        <is>
          <t>2009-10</t>
        </is>
      </c>
      <c r="P111" s="38">
        <f>SUM(D111:O111)</f>
        <v/>
      </c>
    </row>
    <row r="112">
      <c r="A112" s="34" t="inlineStr">
        <is>
          <t>Barley</t>
        </is>
      </c>
      <c r="B112" s="39" t="inlineStr">
        <is>
          <t>Beginning Stocks</t>
        </is>
      </c>
      <c r="C112" s="34" t="inlineStr">
        <is>
          <t>2009-10</t>
        </is>
      </c>
      <c r="O112" s="40" t="n">
        <v>2963.6</v>
      </c>
      <c r="P112" s="41">
        <f>SUM(D112:O112)</f>
        <v/>
      </c>
    </row>
    <row r="113">
      <c r="A113" s="34" t="inlineStr">
        <is>
          <t>Barley</t>
        </is>
      </c>
      <c r="B113" s="39" t="inlineStr">
        <is>
          <t>Imports</t>
        </is>
      </c>
      <c r="C113" s="34" t="inlineStr">
        <is>
          <t>2009-10</t>
        </is>
      </c>
      <c r="O113" s="40" t="n">
        <v>42.4</v>
      </c>
      <c r="P113" s="41">
        <f>SUM(D113:O113)</f>
        <v/>
      </c>
    </row>
    <row r="114">
      <c r="A114" s="34" t="inlineStr">
        <is>
          <t>Barley</t>
        </is>
      </c>
      <c r="B114" s="39" t="inlineStr">
        <is>
          <t>Production</t>
        </is>
      </c>
      <c r="C114" s="34" t="inlineStr">
        <is>
          <t>2009-10</t>
        </is>
      </c>
      <c r="O114" s="40" t="n">
        <v>9528.200000000001</v>
      </c>
      <c r="P114" s="41">
        <f>SUM(D114:O114)</f>
        <v/>
      </c>
    </row>
    <row r="115">
      <c r="A115" s="34" t="inlineStr">
        <is>
          <t>Barley</t>
        </is>
      </c>
      <c r="B115" s="39" t="inlineStr">
        <is>
          <t>Food</t>
        </is>
      </c>
      <c r="C115" s="34" t="inlineStr">
        <is>
          <t>2009-10</t>
        </is>
      </c>
      <c r="O115" s="40" t="n">
        <v>10.1</v>
      </c>
      <c r="P115" s="41">
        <f>SUM(D115:O115)</f>
        <v/>
      </c>
    </row>
    <row r="116">
      <c r="A116" s="34" t="inlineStr">
        <is>
          <t>Barley</t>
        </is>
      </c>
      <c r="B116" s="39" t="inlineStr">
        <is>
          <t>Industrial</t>
        </is>
      </c>
      <c r="C116" s="34" t="inlineStr">
        <is>
          <t>2009-10</t>
        </is>
      </c>
      <c r="O116" s="40" t="n">
        <v>125</v>
      </c>
      <c r="P116" s="41">
        <f>SUM(D116:O116)</f>
        <v/>
      </c>
    </row>
    <row r="117">
      <c r="A117" s="34" t="inlineStr">
        <is>
          <t>Barley</t>
        </is>
      </c>
      <c r="B117" s="39" t="inlineStr">
        <is>
          <t>FSR</t>
        </is>
      </c>
      <c r="C117" s="34" t="inlineStr">
        <is>
          <t>2009-10</t>
        </is>
      </c>
      <c r="O117" s="40" t="n">
        <v>7748.300000000001</v>
      </c>
      <c r="P117" s="41">
        <f>SUM(D117:O117)</f>
        <v/>
      </c>
    </row>
    <row r="118">
      <c r="A118" s="34" t="inlineStr">
        <is>
          <t>Barley</t>
        </is>
      </c>
      <c r="B118" s="39" t="inlineStr">
        <is>
          <t>Exports</t>
        </is>
      </c>
      <c r="C118" s="34" t="inlineStr">
        <is>
          <t>2009-10</t>
        </is>
      </c>
      <c r="O118" s="40" t="n">
        <v>2149.2</v>
      </c>
      <c r="P118" s="41">
        <f>SUM(D118:O118)</f>
        <v/>
      </c>
    </row>
    <row r="119">
      <c r="A119" s="34" t="inlineStr">
        <is>
          <t>Barley</t>
        </is>
      </c>
      <c r="B119" s="39" t="inlineStr">
        <is>
          <t>Ending Stocks</t>
        </is>
      </c>
      <c r="C119" s="34" t="inlineStr">
        <is>
          <t>2009-10</t>
        </is>
      </c>
      <c r="O119" s="40" t="n">
        <v>2501.6</v>
      </c>
      <c r="P119" s="41">
        <f>SUM(D119:O119)</f>
        <v/>
      </c>
    </row>
    <row r="120">
      <c r="A120" s="34" t="inlineStr">
        <is>
          <t>Barley</t>
        </is>
      </c>
      <c r="B120" s="35" t="inlineStr">
        <is>
          <t>Stocks-to-Use</t>
        </is>
      </c>
      <c r="C120" s="34" t="inlineStr">
        <is>
          <t>2009-10</t>
        </is>
      </c>
      <c r="P120" s="37">
        <f>SUM(D120:O120)</f>
        <v/>
      </c>
    </row>
    <row r="121">
      <c r="A121" s="34" t="inlineStr">
        <is>
          <t>Barley</t>
        </is>
      </c>
      <c r="B121" s="35" t="inlineStr">
        <is>
          <t>STU Days</t>
        </is>
      </c>
      <c r="C121" s="34" t="inlineStr">
        <is>
          <t>2009-10</t>
        </is>
      </c>
      <c r="P121" s="41">
        <f>SUM(D121:O121)</f>
        <v/>
      </c>
    </row>
    <row r="122">
      <c r="A122" s="34" t="inlineStr">
        <is>
          <t>Barley</t>
        </is>
      </c>
      <c r="B122" s="35" t="inlineStr">
        <is>
          <t>CHECK</t>
        </is>
      </c>
      <c r="C122" s="34" t="inlineStr">
        <is>
          <t>2009-10</t>
        </is>
      </c>
      <c r="O122" s="41" t="n">
        <v>-4.547473508864641e-13</v>
      </c>
      <c r="P122" s="41">
        <f>SUM(D122:O122)</f>
        <v/>
      </c>
    </row>
    <row r="123">
      <c r="A123" s="34" t="inlineStr">
        <is>
          <t>Barley</t>
        </is>
      </c>
      <c r="B123" s="35" t="inlineStr">
        <is>
          <t>Planted Area</t>
        </is>
      </c>
      <c r="C123" s="34" t="inlineStr">
        <is>
          <t>2010-11</t>
        </is>
      </c>
      <c r="P123" s="36">
        <f>SUM(D123:O123)</f>
        <v/>
      </c>
    </row>
    <row r="124">
      <c r="A124" s="34" t="inlineStr">
        <is>
          <t>Barley</t>
        </is>
      </c>
      <c r="B124" s="35" t="inlineStr">
        <is>
          <t>Harvested Area</t>
        </is>
      </c>
      <c r="C124" s="34" t="inlineStr">
        <is>
          <t>2010-11</t>
        </is>
      </c>
      <c r="P124" s="36">
        <f>SUM(D124:O124)</f>
        <v/>
      </c>
    </row>
    <row r="125">
      <c r="A125" s="34" t="inlineStr">
        <is>
          <t>Barley</t>
        </is>
      </c>
      <c r="B125" s="35" t="inlineStr">
        <is>
          <t>Proportion Harvested</t>
        </is>
      </c>
      <c r="C125" s="34" t="inlineStr">
        <is>
          <t>2010-11</t>
        </is>
      </c>
      <c r="P125" s="37">
        <f>SUM(D125:O125)</f>
        <v/>
      </c>
    </row>
    <row r="126">
      <c r="A126" s="34" t="inlineStr">
        <is>
          <t>Barley</t>
        </is>
      </c>
      <c r="B126" s="35" t="inlineStr">
        <is>
          <t>Yield</t>
        </is>
      </c>
      <c r="C126" s="34" t="inlineStr">
        <is>
          <t>2010-11</t>
        </is>
      </c>
      <c r="P126" s="38">
        <f>SUM(D126:O126)</f>
        <v/>
      </c>
    </row>
    <row r="127">
      <c r="A127" s="34" t="inlineStr">
        <is>
          <t>Barley</t>
        </is>
      </c>
      <c r="B127" s="39" t="inlineStr">
        <is>
          <t>Beginning Stocks</t>
        </is>
      </c>
      <c r="C127" s="34" t="inlineStr">
        <is>
          <t>2010-11</t>
        </is>
      </c>
      <c r="O127" s="40" t="n">
        <v>2501.6</v>
      </c>
      <c r="P127" s="41">
        <f>SUM(D127:O127)</f>
        <v/>
      </c>
    </row>
    <row r="128">
      <c r="A128" s="34" t="inlineStr">
        <is>
          <t>Barley</t>
        </is>
      </c>
      <c r="B128" s="39" t="inlineStr">
        <is>
          <t>Imports</t>
        </is>
      </c>
      <c r="C128" s="34" t="inlineStr">
        <is>
          <t>2010-11</t>
        </is>
      </c>
      <c r="O128" s="40" t="n">
        <v>42.7</v>
      </c>
      <c r="P128" s="41">
        <f>SUM(D128:O128)</f>
        <v/>
      </c>
    </row>
    <row r="129">
      <c r="A129" s="34" t="inlineStr">
        <is>
          <t>Barley</t>
        </is>
      </c>
      <c r="B129" s="39" t="inlineStr">
        <is>
          <t>Production</t>
        </is>
      </c>
      <c r="C129" s="34" t="inlineStr">
        <is>
          <t>2010-11</t>
        </is>
      </c>
      <c r="O129" s="40" t="n">
        <v>7627.2</v>
      </c>
      <c r="P129" s="41">
        <f>SUM(D129:O129)</f>
        <v/>
      </c>
    </row>
    <row r="130">
      <c r="A130" s="34" t="inlineStr">
        <is>
          <t>Barley</t>
        </is>
      </c>
      <c r="B130" s="39" t="inlineStr">
        <is>
          <t>Food</t>
        </is>
      </c>
      <c r="C130" s="34" t="inlineStr">
        <is>
          <t>2010-11</t>
        </is>
      </c>
      <c r="O130" s="40" t="n">
        <v>27.9</v>
      </c>
      <c r="P130" s="41">
        <f>SUM(D130:O130)</f>
        <v/>
      </c>
    </row>
    <row r="131">
      <c r="A131" s="34" t="inlineStr">
        <is>
          <t>Barley</t>
        </is>
      </c>
      <c r="B131" s="39" t="inlineStr">
        <is>
          <t>Industrial</t>
        </is>
      </c>
      <c r="C131" s="34" t="inlineStr">
        <is>
          <t>2010-11</t>
        </is>
      </c>
      <c r="O131" s="40" t="n">
        <v>127.1</v>
      </c>
      <c r="P131" s="41">
        <f>SUM(D131:O131)</f>
        <v/>
      </c>
    </row>
    <row r="132">
      <c r="A132" s="34" t="inlineStr">
        <is>
          <t>Barley</t>
        </is>
      </c>
      <c r="B132" s="39" t="inlineStr">
        <is>
          <t>FSR</t>
        </is>
      </c>
      <c r="C132" s="34" t="inlineStr">
        <is>
          <t>2010-11</t>
        </is>
      </c>
      <c r="O132" s="40" t="n">
        <v>6497.9</v>
      </c>
      <c r="P132" s="41">
        <f>SUM(D132:O132)</f>
        <v/>
      </c>
    </row>
    <row r="133">
      <c r="A133" s="34" t="inlineStr">
        <is>
          <t>Barley</t>
        </is>
      </c>
      <c r="B133" s="39" t="inlineStr">
        <is>
          <t>Exports</t>
        </is>
      </c>
      <c r="C133" s="34" t="inlineStr">
        <is>
          <t>2010-11</t>
        </is>
      </c>
      <c r="O133" s="40" t="n">
        <v>2016.7</v>
      </c>
      <c r="P133" s="41">
        <f>SUM(D133:O133)</f>
        <v/>
      </c>
    </row>
    <row r="134">
      <c r="A134" s="34" t="inlineStr">
        <is>
          <t>Barley</t>
        </is>
      </c>
      <c r="B134" s="39" t="inlineStr">
        <is>
          <t>Ending Stocks</t>
        </is>
      </c>
      <c r="C134" s="34" t="inlineStr">
        <is>
          <t>2010-11</t>
        </is>
      </c>
      <c r="O134" s="40" t="n">
        <v>1501.9</v>
      </c>
      <c r="P134" s="41">
        <f>SUM(D134:O134)</f>
        <v/>
      </c>
    </row>
    <row r="135">
      <c r="A135" s="34" t="inlineStr">
        <is>
          <t>Barley</t>
        </is>
      </c>
      <c r="B135" s="35" t="inlineStr">
        <is>
          <t>Stocks-to-Use</t>
        </is>
      </c>
      <c r="C135" s="34" t="inlineStr">
        <is>
          <t>2010-11</t>
        </is>
      </c>
      <c r="P135" s="37">
        <f>SUM(D135:O135)</f>
        <v/>
      </c>
    </row>
    <row r="136">
      <c r="A136" s="34" t="inlineStr">
        <is>
          <t>Barley</t>
        </is>
      </c>
      <c r="B136" s="35" t="inlineStr">
        <is>
          <t>STU Days</t>
        </is>
      </c>
      <c r="C136" s="34" t="inlineStr">
        <is>
          <t>2010-11</t>
        </is>
      </c>
      <c r="P136" s="41">
        <f>SUM(D136:O136)</f>
        <v/>
      </c>
    </row>
    <row r="137">
      <c r="A137" s="34" t="inlineStr">
        <is>
          <t>Barley</t>
        </is>
      </c>
      <c r="B137" s="35" t="inlineStr">
        <is>
          <t>CHECK</t>
        </is>
      </c>
      <c r="C137" s="34" t="inlineStr">
        <is>
          <t>2010-11</t>
        </is>
      </c>
      <c r="O137" s="41" t="n">
        <v>2.273736754432321e-13</v>
      </c>
      <c r="P137" s="41">
        <f>SUM(D137:O137)</f>
        <v/>
      </c>
    </row>
    <row r="138">
      <c r="A138" s="34" t="inlineStr">
        <is>
          <t>Barley</t>
        </is>
      </c>
      <c r="B138" s="35" t="inlineStr">
        <is>
          <t>Planted Area</t>
        </is>
      </c>
      <c r="C138" s="34" t="inlineStr">
        <is>
          <t>2011-12</t>
        </is>
      </c>
      <c r="P138" s="36">
        <f>SUM(D138:O138)</f>
        <v/>
      </c>
    </row>
    <row r="139">
      <c r="A139" s="34" t="inlineStr">
        <is>
          <t>Barley</t>
        </is>
      </c>
      <c r="B139" s="35" t="inlineStr">
        <is>
          <t>Harvested Area</t>
        </is>
      </c>
      <c r="C139" s="34" t="inlineStr">
        <is>
          <t>2011-12</t>
        </is>
      </c>
      <c r="P139" s="36">
        <f>SUM(D139:O139)</f>
        <v/>
      </c>
    </row>
    <row r="140">
      <c r="A140" s="34" t="inlineStr">
        <is>
          <t>Barley</t>
        </is>
      </c>
      <c r="B140" s="35" t="inlineStr">
        <is>
          <t>Proportion Harvested</t>
        </is>
      </c>
      <c r="C140" s="34" t="inlineStr">
        <is>
          <t>2011-12</t>
        </is>
      </c>
      <c r="P140" s="37">
        <f>SUM(D140:O140)</f>
        <v/>
      </c>
    </row>
    <row r="141">
      <c r="A141" s="34" t="inlineStr">
        <is>
          <t>Barley</t>
        </is>
      </c>
      <c r="B141" s="35" t="inlineStr">
        <is>
          <t>Yield</t>
        </is>
      </c>
      <c r="C141" s="34" t="inlineStr">
        <is>
          <t>2011-12</t>
        </is>
      </c>
      <c r="P141" s="38">
        <f>SUM(D141:O141)</f>
        <v/>
      </c>
    </row>
    <row r="142">
      <c r="A142" s="34" t="inlineStr">
        <is>
          <t>Barley</t>
        </is>
      </c>
      <c r="B142" s="39" t="inlineStr">
        <is>
          <t>Beginning Stocks</t>
        </is>
      </c>
      <c r="C142" s="34" t="inlineStr">
        <is>
          <t>2011-12</t>
        </is>
      </c>
      <c r="O142" s="40" t="n">
        <v>1501.9</v>
      </c>
      <c r="P142" s="41">
        <f>SUM(D142:O142)</f>
        <v/>
      </c>
    </row>
    <row r="143">
      <c r="A143" s="34" t="inlineStr">
        <is>
          <t>Barley</t>
        </is>
      </c>
      <c r="B143" s="39" t="inlineStr">
        <is>
          <t>Imports</t>
        </is>
      </c>
      <c r="C143" s="34" t="inlineStr">
        <is>
          <t>2011-12</t>
        </is>
      </c>
      <c r="O143" s="40" t="n">
        <v>13.5</v>
      </c>
      <c r="P143" s="41">
        <f>SUM(D143:O143)</f>
        <v/>
      </c>
    </row>
    <row r="144">
      <c r="A144" s="34" t="inlineStr">
        <is>
          <t>Barley</t>
        </is>
      </c>
      <c r="B144" s="39" t="inlineStr">
        <is>
          <t>Production</t>
        </is>
      </c>
      <c r="C144" s="34" t="inlineStr">
        <is>
          <t>2011-12</t>
        </is>
      </c>
      <c r="O144" s="40" t="n">
        <v>7891.5</v>
      </c>
      <c r="P144" s="41">
        <f>SUM(D144:O144)</f>
        <v/>
      </c>
    </row>
    <row r="145">
      <c r="A145" s="34" t="inlineStr">
        <is>
          <t>Barley</t>
        </is>
      </c>
      <c r="B145" s="39" t="inlineStr">
        <is>
          <t>Food</t>
        </is>
      </c>
      <c r="C145" s="34" t="inlineStr">
        <is>
          <t>2011-12</t>
        </is>
      </c>
      <c r="O145" s="40" t="n">
        <v>23.6</v>
      </c>
      <c r="P145" s="41">
        <f>SUM(D145:O145)</f>
        <v/>
      </c>
    </row>
    <row r="146">
      <c r="A146" s="34" t="inlineStr">
        <is>
          <t>Barley</t>
        </is>
      </c>
      <c r="B146" s="39" t="inlineStr">
        <is>
          <t>Industrial</t>
        </is>
      </c>
      <c r="C146" s="34" t="inlineStr">
        <is>
          <t>2011-12</t>
        </is>
      </c>
      <c r="O146" s="40" t="n">
        <v>96.3</v>
      </c>
      <c r="P146" s="41">
        <f>SUM(D146:O146)</f>
        <v/>
      </c>
    </row>
    <row r="147">
      <c r="A147" s="34" t="inlineStr">
        <is>
          <t>Barley</t>
        </is>
      </c>
      <c r="B147" s="39" t="inlineStr">
        <is>
          <t>FSR</t>
        </is>
      </c>
      <c r="C147" s="34" t="inlineStr">
        <is>
          <t>2011-12</t>
        </is>
      </c>
      <c r="O147" s="40" t="n">
        <v>6033</v>
      </c>
      <c r="P147" s="41">
        <f>SUM(D147:O147)</f>
        <v/>
      </c>
    </row>
    <row r="148">
      <c r="A148" s="34" t="inlineStr">
        <is>
          <t>Barley</t>
        </is>
      </c>
      <c r="B148" s="39" t="inlineStr">
        <is>
          <t>Exports</t>
        </is>
      </c>
      <c r="C148" s="34" t="inlineStr">
        <is>
          <t>2011-12</t>
        </is>
      </c>
      <c r="O148" s="40" t="n">
        <v>2058.6</v>
      </c>
      <c r="P148" s="41">
        <f>SUM(D148:O148)</f>
        <v/>
      </c>
    </row>
    <row r="149">
      <c r="A149" s="34" t="inlineStr">
        <is>
          <t>Barley</t>
        </is>
      </c>
      <c r="B149" s="39" t="inlineStr">
        <is>
          <t>Ending Stocks</t>
        </is>
      </c>
      <c r="C149" s="34" t="inlineStr">
        <is>
          <t>2011-12</t>
        </is>
      </c>
      <c r="O149" s="40" t="n">
        <v>1195.4</v>
      </c>
      <c r="P149" s="41">
        <f>SUM(D149:O149)</f>
        <v/>
      </c>
    </row>
    <row r="150">
      <c r="A150" s="34" t="inlineStr">
        <is>
          <t>Barley</t>
        </is>
      </c>
      <c r="B150" s="35" t="inlineStr">
        <is>
          <t>Stocks-to-Use</t>
        </is>
      </c>
      <c r="C150" s="34" t="inlineStr">
        <is>
          <t>2011-12</t>
        </is>
      </c>
      <c r="P150" s="37">
        <f>SUM(D150:O150)</f>
        <v/>
      </c>
    </row>
    <row r="151">
      <c r="A151" s="34" t="inlineStr">
        <is>
          <t>Barley</t>
        </is>
      </c>
      <c r="B151" s="35" t="inlineStr">
        <is>
          <t>STU Days</t>
        </is>
      </c>
      <c r="C151" s="34" t="inlineStr">
        <is>
          <t>2011-12</t>
        </is>
      </c>
      <c r="P151" s="41">
        <f>SUM(D151:O151)</f>
        <v/>
      </c>
    </row>
    <row r="152">
      <c r="A152" s="34" t="inlineStr">
        <is>
          <t>Barley</t>
        </is>
      </c>
      <c r="B152" s="35" t="inlineStr">
        <is>
          <t>CHECK</t>
        </is>
      </c>
      <c r="C152" s="34" t="inlineStr">
        <is>
          <t>2011-12</t>
        </is>
      </c>
      <c r="O152" s="41" t="n">
        <v>0</v>
      </c>
      <c r="P152" s="41">
        <f>SUM(D152:O152)</f>
        <v/>
      </c>
    </row>
    <row r="153">
      <c r="A153" s="34" t="inlineStr">
        <is>
          <t>Barley</t>
        </is>
      </c>
      <c r="B153" s="35" t="inlineStr">
        <is>
          <t>Planted Area</t>
        </is>
      </c>
      <c r="C153" s="34" t="inlineStr">
        <is>
          <t>2012-13</t>
        </is>
      </c>
      <c r="P153" s="36">
        <f>SUM(D153:O153)</f>
        <v/>
      </c>
    </row>
    <row r="154">
      <c r="A154" s="34" t="inlineStr">
        <is>
          <t>Barley</t>
        </is>
      </c>
      <c r="B154" s="35" t="inlineStr">
        <is>
          <t>Harvested Area</t>
        </is>
      </c>
      <c r="C154" s="34" t="inlineStr">
        <is>
          <t>2012-13</t>
        </is>
      </c>
      <c r="P154" s="36">
        <f>SUM(D154:O154)</f>
        <v/>
      </c>
    </row>
    <row r="155">
      <c r="A155" s="34" t="inlineStr">
        <is>
          <t>Barley</t>
        </is>
      </c>
      <c r="B155" s="35" t="inlineStr">
        <is>
          <t>Proportion Harvested</t>
        </is>
      </c>
      <c r="C155" s="34" t="inlineStr">
        <is>
          <t>2012-13</t>
        </is>
      </c>
      <c r="P155" s="37">
        <f>SUM(D155:O155)</f>
        <v/>
      </c>
    </row>
    <row r="156">
      <c r="A156" s="34" t="inlineStr">
        <is>
          <t>Barley</t>
        </is>
      </c>
      <c r="B156" s="35" t="inlineStr">
        <is>
          <t>Yield</t>
        </is>
      </c>
      <c r="C156" s="34" t="inlineStr">
        <is>
          <t>2012-13</t>
        </is>
      </c>
      <c r="P156" s="38">
        <f>SUM(D156:O156)</f>
        <v/>
      </c>
    </row>
    <row r="157">
      <c r="A157" s="34" t="inlineStr">
        <is>
          <t>Barley</t>
        </is>
      </c>
      <c r="B157" s="39" t="inlineStr">
        <is>
          <t>Beginning Stocks</t>
        </is>
      </c>
      <c r="C157" s="34" t="inlineStr">
        <is>
          <t>2012-13</t>
        </is>
      </c>
      <c r="O157" s="40" t="n">
        <v>1195.4</v>
      </c>
      <c r="P157" s="41">
        <f>SUM(D157:O157)</f>
        <v/>
      </c>
    </row>
    <row r="158">
      <c r="A158" s="34" t="inlineStr">
        <is>
          <t>Barley</t>
        </is>
      </c>
      <c r="B158" s="39" t="inlineStr">
        <is>
          <t>Imports</t>
        </is>
      </c>
      <c r="C158" s="34" t="inlineStr">
        <is>
          <t>2012-13</t>
        </is>
      </c>
      <c r="O158" s="40" t="n">
        <v>19</v>
      </c>
      <c r="P158" s="41">
        <f>SUM(D158:O158)</f>
        <v/>
      </c>
    </row>
    <row r="159">
      <c r="A159" s="34" t="inlineStr">
        <is>
          <t>Barley</t>
        </is>
      </c>
      <c r="B159" s="39" t="inlineStr">
        <is>
          <t>Production</t>
        </is>
      </c>
      <c r="C159" s="34" t="inlineStr">
        <is>
          <t>2012-13</t>
        </is>
      </c>
      <c r="O159" s="40" t="n">
        <v>8012.3</v>
      </c>
      <c r="P159" s="41">
        <f>SUM(D159:O159)</f>
        <v/>
      </c>
    </row>
    <row r="160">
      <c r="A160" s="34" t="inlineStr">
        <is>
          <t>Barley</t>
        </is>
      </c>
      <c r="B160" s="39" t="inlineStr">
        <is>
          <t>Food</t>
        </is>
      </c>
      <c r="C160" s="34" t="inlineStr">
        <is>
          <t>2012-13</t>
        </is>
      </c>
      <c r="O160" s="40" t="n">
        <v>24.9</v>
      </c>
      <c r="P160" s="41">
        <f>SUM(D160:O160)</f>
        <v/>
      </c>
    </row>
    <row r="161">
      <c r="A161" s="34" t="inlineStr">
        <is>
          <t>Barley</t>
        </is>
      </c>
      <c r="B161" s="39" t="inlineStr">
        <is>
          <t>Industrial</t>
        </is>
      </c>
      <c r="C161" s="34" t="inlineStr">
        <is>
          <t>2012-13</t>
        </is>
      </c>
      <c r="O161" s="40" t="n">
        <v>109.1</v>
      </c>
      <c r="P161" s="41">
        <f>SUM(D161:O161)</f>
        <v/>
      </c>
    </row>
    <row r="162">
      <c r="A162" s="34" t="inlineStr">
        <is>
          <t>Barley</t>
        </is>
      </c>
      <c r="B162" s="39" t="inlineStr">
        <is>
          <t>FSR</t>
        </is>
      </c>
      <c r="C162" s="34" t="inlineStr">
        <is>
          <t>2012-13</t>
        </is>
      </c>
      <c r="O162" s="40" t="n">
        <v>5925.000000000001</v>
      </c>
      <c r="P162" s="41">
        <f>SUM(D162:O162)</f>
        <v/>
      </c>
    </row>
    <row r="163">
      <c r="A163" s="34" t="inlineStr">
        <is>
          <t>Barley</t>
        </is>
      </c>
      <c r="B163" s="39" t="inlineStr">
        <is>
          <t>Exports</t>
        </is>
      </c>
      <c r="C163" s="34" t="inlineStr">
        <is>
          <t>2012-13</t>
        </is>
      </c>
      <c r="O163" s="40" t="n">
        <v>2184.3</v>
      </c>
      <c r="P163" s="41">
        <f>SUM(D163:O163)</f>
        <v/>
      </c>
    </row>
    <row r="164">
      <c r="A164" s="34" t="inlineStr">
        <is>
          <t>Barley</t>
        </is>
      </c>
      <c r="B164" s="39" t="inlineStr">
        <is>
          <t>Ending Stocks</t>
        </is>
      </c>
      <c r="C164" s="34" t="inlineStr">
        <is>
          <t>2012-13</t>
        </is>
      </c>
      <c r="O164" s="40" t="n">
        <v>983.4</v>
      </c>
      <c r="P164" s="41">
        <f>SUM(D164:O164)</f>
        <v/>
      </c>
    </row>
    <row r="165">
      <c r="A165" s="34" t="inlineStr">
        <is>
          <t>Barley</t>
        </is>
      </c>
      <c r="B165" s="35" t="inlineStr">
        <is>
          <t>Stocks-to-Use</t>
        </is>
      </c>
      <c r="C165" s="34" t="inlineStr">
        <is>
          <t>2012-13</t>
        </is>
      </c>
      <c r="P165" s="37">
        <f>SUM(D165:O165)</f>
        <v/>
      </c>
    </row>
    <row r="166">
      <c r="A166" s="34" t="inlineStr">
        <is>
          <t>Barley</t>
        </is>
      </c>
      <c r="B166" s="35" t="inlineStr">
        <is>
          <t>STU Days</t>
        </is>
      </c>
      <c r="C166" s="34" t="inlineStr">
        <is>
          <t>2012-13</t>
        </is>
      </c>
      <c r="P166" s="41">
        <f>SUM(D166:O166)</f>
        <v/>
      </c>
    </row>
    <row r="167">
      <c r="A167" s="34" t="inlineStr">
        <is>
          <t>Barley</t>
        </is>
      </c>
      <c r="B167" s="35" t="inlineStr">
        <is>
          <t>CHECK</t>
        </is>
      </c>
      <c r="C167" s="34" t="inlineStr">
        <is>
          <t>2012-13</t>
        </is>
      </c>
      <c r="O167" s="41" t="n">
        <v>-3.410605131648481e-13</v>
      </c>
      <c r="P167" s="41">
        <f>SUM(D167:O167)</f>
        <v/>
      </c>
    </row>
    <row r="168">
      <c r="A168" s="34" t="inlineStr">
        <is>
          <t>Barley</t>
        </is>
      </c>
      <c r="B168" s="35" t="inlineStr">
        <is>
          <t>Planted Area</t>
        </is>
      </c>
      <c r="C168" s="34" t="inlineStr">
        <is>
          <t>2013-14</t>
        </is>
      </c>
      <c r="P168" s="36">
        <f>SUM(D168:O168)</f>
        <v/>
      </c>
    </row>
    <row r="169">
      <c r="A169" s="34" t="inlineStr">
        <is>
          <t>Barley</t>
        </is>
      </c>
      <c r="B169" s="35" t="inlineStr">
        <is>
          <t>Harvested Area</t>
        </is>
      </c>
      <c r="C169" s="34" t="inlineStr">
        <is>
          <t>2013-14</t>
        </is>
      </c>
      <c r="P169" s="36">
        <f>SUM(D169:O169)</f>
        <v/>
      </c>
    </row>
    <row r="170">
      <c r="A170" s="34" t="inlineStr">
        <is>
          <t>Barley</t>
        </is>
      </c>
      <c r="B170" s="35" t="inlineStr">
        <is>
          <t>Proportion Harvested</t>
        </is>
      </c>
      <c r="C170" s="34" t="inlineStr">
        <is>
          <t>2013-14</t>
        </is>
      </c>
      <c r="P170" s="37">
        <f>SUM(D170:O170)</f>
        <v/>
      </c>
    </row>
    <row r="171">
      <c r="A171" s="34" t="inlineStr">
        <is>
          <t>Barley</t>
        </is>
      </c>
      <c r="B171" s="35" t="inlineStr">
        <is>
          <t>Yield</t>
        </is>
      </c>
      <c r="C171" s="34" t="inlineStr">
        <is>
          <t>2013-14</t>
        </is>
      </c>
      <c r="P171" s="38">
        <f>SUM(D171:O171)</f>
        <v/>
      </c>
    </row>
    <row r="172">
      <c r="A172" s="34" t="inlineStr">
        <is>
          <t>Barley</t>
        </is>
      </c>
      <c r="B172" s="39" t="inlineStr">
        <is>
          <t>Beginning Stocks</t>
        </is>
      </c>
      <c r="C172" s="34" t="inlineStr">
        <is>
          <t>2013-14</t>
        </is>
      </c>
      <c r="O172" s="40" t="n">
        <v>983.4</v>
      </c>
      <c r="P172" s="41">
        <f>SUM(D172:O172)</f>
        <v/>
      </c>
    </row>
    <row r="173">
      <c r="A173" s="34" t="inlineStr">
        <is>
          <t>Barley</t>
        </is>
      </c>
      <c r="B173" s="39" t="inlineStr">
        <is>
          <t>Imports</t>
        </is>
      </c>
      <c r="C173" s="34" t="inlineStr">
        <is>
          <t>2013-14</t>
        </is>
      </c>
      <c r="O173" s="40" t="n">
        <v>9</v>
      </c>
      <c r="P173" s="41">
        <f>SUM(D173:O173)</f>
        <v/>
      </c>
    </row>
    <row r="174">
      <c r="A174" s="34" t="inlineStr">
        <is>
          <t>Barley</t>
        </is>
      </c>
      <c r="B174" s="39" t="inlineStr">
        <is>
          <t>Production</t>
        </is>
      </c>
      <c r="C174" s="34" t="inlineStr">
        <is>
          <t>2013-14</t>
        </is>
      </c>
      <c r="O174" s="40" t="n">
        <v>10281.6</v>
      </c>
      <c r="P174" s="41">
        <f>SUM(D174:O174)</f>
        <v/>
      </c>
    </row>
    <row r="175">
      <c r="A175" s="34" t="inlineStr">
        <is>
          <t>Barley</t>
        </is>
      </c>
      <c r="B175" s="39" t="inlineStr">
        <is>
          <t>Food</t>
        </is>
      </c>
      <c r="C175" s="34" t="inlineStr">
        <is>
          <t>2013-14</t>
        </is>
      </c>
      <c r="O175" s="40" t="n">
        <v>23.9</v>
      </c>
      <c r="P175" s="41">
        <f>SUM(D175:O175)</f>
        <v/>
      </c>
    </row>
    <row r="176">
      <c r="A176" s="34" t="inlineStr">
        <is>
          <t>Barley</t>
        </is>
      </c>
      <c r="B176" s="39" t="inlineStr">
        <is>
          <t>Industrial</t>
        </is>
      </c>
      <c r="C176" s="34" t="inlineStr">
        <is>
          <t>2013-14</t>
        </is>
      </c>
      <c r="O176" s="40" t="n">
        <v>90.2</v>
      </c>
      <c r="P176" s="41">
        <f>SUM(D176:O176)</f>
        <v/>
      </c>
    </row>
    <row r="177">
      <c r="A177" s="34" t="inlineStr">
        <is>
          <t>Barley</t>
        </is>
      </c>
      <c r="B177" s="39" t="inlineStr">
        <is>
          <t>FSR</t>
        </is>
      </c>
      <c r="C177" s="34" t="inlineStr">
        <is>
          <t>2013-14</t>
        </is>
      </c>
      <c r="O177" s="40" t="n">
        <v>6827</v>
      </c>
      <c r="P177" s="41">
        <f>SUM(D177:O177)</f>
        <v/>
      </c>
    </row>
    <row r="178">
      <c r="A178" s="34" t="inlineStr">
        <is>
          <t>Barley</t>
        </is>
      </c>
      <c r="B178" s="39" t="inlineStr">
        <is>
          <t>Exports</t>
        </is>
      </c>
      <c r="C178" s="34" t="inlineStr">
        <is>
          <t>2013-14</t>
        </is>
      </c>
      <c r="O178" s="40" t="n">
        <v>2390.9</v>
      </c>
      <c r="P178" s="41">
        <f>SUM(D178:O178)</f>
        <v/>
      </c>
    </row>
    <row r="179">
      <c r="A179" s="34" t="inlineStr">
        <is>
          <t>Barley</t>
        </is>
      </c>
      <c r="B179" s="39" t="inlineStr">
        <is>
          <t>Ending Stocks</t>
        </is>
      </c>
      <c r="C179" s="34" t="inlineStr">
        <is>
          <t>2013-14</t>
        </is>
      </c>
      <c r="O179" s="40" t="n">
        <v>1942</v>
      </c>
      <c r="P179" s="41">
        <f>SUM(D179:O179)</f>
        <v/>
      </c>
    </row>
    <row r="180">
      <c r="A180" s="34" t="inlineStr">
        <is>
          <t>Barley</t>
        </is>
      </c>
      <c r="B180" s="35" t="inlineStr">
        <is>
          <t>Stocks-to-Use</t>
        </is>
      </c>
      <c r="C180" s="34" t="inlineStr">
        <is>
          <t>2013-14</t>
        </is>
      </c>
      <c r="P180" s="37">
        <f>SUM(D180:O180)</f>
        <v/>
      </c>
    </row>
    <row r="181">
      <c r="A181" s="34" t="inlineStr">
        <is>
          <t>Barley</t>
        </is>
      </c>
      <c r="B181" s="35" t="inlineStr">
        <is>
          <t>STU Days</t>
        </is>
      </c>
      <c r="C181" s="34" t="inlineStr">
        <is>
          <t>2013-14</t>
        </is>
      </c>
      <c r="P181" s="41">
        <f>SUM(D181:O181)</f>
        <v/>
      </c>
    </row>
    <row r="182">
      <c r="A182" s="34" t="inlineStr">
        <is>
          <t>Barley</t>
        </is>
      </c>
      <c r="B182" s="35" t="inlineStr">
        <is>
          <t>CHECK</t>
        </is>
      </c>
      <c r="C182" s="34" t="inlineStr">
        <is>
          <t>2013-14</t>
        </is>
      </c>
      <c r="O182" s="41" t="n">
        <v>-4.547473508864641e-13</v>
      </c>
      <c r="P182" s="41">
        <f>SUM(D182:O182)</f>
        <v/>
      </c>
    </row>
    <row r="183">
      <c r="A183" s="34" t="inlineStr">
        <is>
          <t>Barley</t>
        </is>
      </c>
      <c r="B183" s="35" t="inlineStr">
        <is>
          <t>Planted Area</t>
        </is>
      </c>
      <c r="C183" s="34" t="inlineStr">
        <is>
          <t>2014-15</t>
        </is>
      </c>
      <c r="P183" s="36">
        <f>SUM(D183:O183)</f>
        <v/>
      </c>
    </row>
    <row r="184">
      <c r="A184" s="34" t="inlineStr">
        <is>
          <t>Barley</t>
        </is>
      </c>
      <c r="B184" s="35" t="inlineStr">
        <is>
          <t>Harvested Area</t>
        </is>
      </c>
      <c r="C184" s="34" t="inlineStr">
        <is>
          <t>2014-15</t>
        </is>
      </c>
      <c r="P184" s="36">
        <f>SUM(D184:O184)</f>
        <v/>
      </c>
    </row>
    <row r="185">
      <c r="A185" s="34" t="inlineStr">
        <is>
          <t>Barley</t>
        </is>
      </c>
      <c r="B185" s="35" t="inlineStr">
        <is>
          <t>Proportion Harvested</t>
        </is>
      </c>
      <c r="C185" s="34" t="inlineStr">
        <is>
          <t>2014-15</t>
        </is>
      </c>
      <c r="P185" s="37">
        <f>SUM(D185:O185)</f>
        <v/>
      </c>
    </row>
    <row r="186">
      <c r="A186" s="34" t="inlineStr">
        <is>
          <t>Barley</t>
        </is>
      </c>
      <c r="B186" s="35" t="inlineStr">
        <is>
          <t>Yield</t>
        </is>
      </c>
      <c r="C186" s="34" t="inlineStr">
        <is>
          <t>2014-15</t>
        </is>
      </c>
      <c r="P186" s="38">
        <f>SUM(D186:O186)</f>
        <v/>
      </c>
    </row>
    <row r="187">
      <c r="A187" s="34" t="inlineStr">
        <is>
          <t>Barley</t>
        </is>
      </c>
      <c r="B187" s="39" t="inlineStr">
        <is>
          <t>Beginning Stocks</t>
        </is>
      </c>
      <c r="C187" s="34" t="inlineStr">
        <is>
          <t>2014-15</t>
        </is>
      </c>
      <c r="O187" s="40" t="n">
        <v>1942</v>
      </c>
      <c r="P187" s="41">
        <f>SUM(D187:O187)</f>
        <v/>
      </c>
    </row>
    <row r="188">
      <c r="A188" s="34" t="inlineStr">
        <is>
          <t>Barley</t>
        </is>
      </c>
      <c r="B188" s="39" t="inlineStr">
        <is>
          <t>Imports</t>
        </is>
      </c>
      <c r="C188" s="34" t="inlineStr">
        <is>
          <t>2014-15</t>
        </is>
      </c>
      <c r="O188" s="40" t="n">
        <v>136.1</v>
      </c>
      <c r="P188" s="41">
        <f>SUM(D188:O188)</f>
        <v/>
      </c>
    </row>
    <row r="189">
      <c r="A189" s="34" t="inlineStr">
        <is>
          <t>Barley</t>
        </is>
      </c>
      <c r="B189" s="39" t="inlineStr">
        <is>
          <t>Production</t>
        </is>
      </c>
      <c r="C189" s="34" t="inlineStr">
        <is>
          <t>2014-15</t>
        </is>
      </c>
      <c r="O189" s="40" t="n">
        <v>7116.8</v>
      </c>
      <c r="P189" s="41">
        <f>SUM(D189:O189)</f>
        <v/>
      </c>
    </row>
    <row r="190">
      <c r="A190" s="34" t="inlineStr">
        <is>
          <t>Barley</t>
        </is>
      </c>
      <c r="B190" s="39" t="inlineStr">
        <is>
          <t>Food</t>
        </is>
      </c>
      <c r="C190" s="34" t="inlineStr">
        <is>
          <t>2014-15</t>
        </is>
      </c>
      <c r="O190" s="40" t="n">
        <v>18.4</v>
      </c>
      <c r="P190" s="41">
        <f>SUM(D190:O190)</f>
        <v/>
      </c>
    </row>
    <row r="191">
      <c r="A191" s="34" t="inlineStr">
        <is>
          <t>Barley</t>
        </is>
      </c>
      <c r="B191" s="39" t="inlineStr">
        <is>
          <t>Industrial</t>
        </is>
      </c>
      <c r="C191" s="34" t="inlineStr">
        <is>
          <t>2014-15</t>
        </is>
      </c>
      <c r="O191" s="40" t="n">
        <v>160.7</v>
      </c>
      <c r="P191" s="41">
        <f>SUM(D191:O191)</f>
        <v/>
      </c>
    </row>
    <row r="192">
      <c r="A192" s="34" t="inlineStr">
        <is>
          <t>Barley</t>
        </is>
      </c>
      <c r="B192" s="39" t="inlineStr">
        <is>
          <t>FSR</t>
        </is>
      </c>
      <c r="C192" s="34" t="inlineStr">
        <is>
          <t>2014-15</t>
        </is>
      </c>
      <c r="O192" s="40" t="n">
        <v>5335.499999999999</v>
      </c>
      <c r="P192" s="41">
        <f>SUM(D192:O192)</f>
        <v/>
      </c>
    </row>
    <row r="193">
      <c r="A193" s="34" t="inlineStr">
        <is>
          <t>Barley</t>
        </is>
      </c>
      <c r="B193" s="39" t="inlineStr">
        <is>
          <t>Exports</t>
        </is>
      </c>
      <c r="C193" s="34" t="inlineStr">
        <is>
          <t>2014-15</t>
        </is>
      </c>
      <c r="O193" s="40" t="n">
        <v>2463</v>
      </c>
      <c r="P193" s="41">
        <f>SUM(D193:O193)</f>
        <v/>
      </c>
    </row>
    <row r="194">
      <c r="A194" s="34" t="inlineStr">
        <is>
          <t>Barley</t>
        </is>
      </c>
      <c r="B194" s="39" t="inlineStr">
        <is>
          <t>Ending Stocks</t>
        </is>
      </c>
      <c r="C194" s="34" t="inlineStr">
        <is>
          <t>2014-15</t>
        </is>
      </c>
      <c r="O194" s="40" t="n">
        <v>1217.3</v>
      </c>
      <c r="P194" s="41">
        <f>SUM(D194:O194)</f>
        <v/>
      </c>
    </row>
    <row r="195">
      <c r="A195" s="34" t="inlineStr">
        <is>
          <t>Barley</t>
        </is>
      </c>
      <c r="B195" s="35" t="inlineStr">
        <is>
          <t>Stocks-to-Use</t>
        </is>
      </c>
      <c r="C195" s="34" t="inlineStr">
        <is>
          <t>2014-15</t>
        </is>
      </c>
      <c r="P195" s="37">
        <f>SUM(D195:O195)</f>
        <v/>
      </c>
    </row>
    <row r="196">
      <c r="A196" s="34" t="inlineStr">
        <is>
          <t>Barley</t>
        </is>
      </c>
      <c r="B196" s="35" t="inlineStr">
        <is>
          <t>STU Days</t>
        </is>
      </c>
      <c r="C196" s="34" t="inlineStr">
        <is>
          <t>2014-15</t>
        </is>
      </c>
      <c r="P196" s="41">
        <f>SUM(D196:O196)</f>
        <v/>
      </c>
    </row>
    <row r="197">
      <c r="A197" s="34" t="inlineStr">
        <is>
          <t>Barley</t>
        </is>
      </c>
      <c r="B197" s="35" t="inlineStr">
        <is>
          <t>CHECK</t>
        </is>
      </c>
      <c r="C197" s="34" t="inlineStr">
        <is>
          <t>2014-15</t>
        </is>
      </c>
      <c r="O197" s="41" t="n">
        <v>2.273736754432321e-13</v>
      </c>
      <c r="P197" s="41">
        <f>SUM(D197:O197)</f>
        <v/>
      </c>
    </row>
    <row r="198">
      <c r="A198" s="34" t="inlineStr">
        <is>
          <t>Barley</t>
        </is>
      </c>
      <c r="B198" s="35" t="inlineStr">
        <is>
          <t>Planted Area</t>
        </is>
      </c>
      <c r="C198" s="34" t="inlineStr">
        <is>
          <t>2015-16</t>
        </is>
      </c>
      <c r="P198" s="36">
        <f>SUM(D198:O198)</f>
        <v/>
      </c>
    </row>
    <row r="199">
      <c r="A199" s="34" t="inlineStr">
        <is>
          <t>Barley</t>
        </is>
      </c>
      <c r="B199" s="35" t="inlineStr">
        <is>
          <t>Harvested Area</t>
        </is>
      </c>
      <c r="C199" s="34" t="inlineStr">
        <is>
          <t>2015-16</t>
        </is>
      </c>
      <c r="P199" s="36">
        <f>SUM(D199:O199)</f>
        <v/>
      </c>
    </row>
    <row r="200">
      <c r="A200" s="34" t="inlineStr">
        <is>
          <t>Barley</t>
        </is>
      </c>
      <c r="B200" s="35" t="inlineStr">
        <is>
          <t>Proportion Harvested</t>
        </is>
      </c>
      <c r="C200" s="34" t="inlineStr">
        <is>
          <t>2015-16</t>
        </is>
      </c>
      <c r="P200" s="37">
        <f>SUM(D200:O200)</f>
        <v/>
      </c>
    </row>
    <row r="201">
      <c r="A201" s="34" t="inlineStr">
        <is>
          <t>Barley</t>
        </is>
      </c>
      <c r="B201" s="35" t="inlineStr">
        <is>
          <t>Yield</t>
        </is>
      </c>
      <c r="C201" s="34" t="inlineStr">
        <is>
          <t>2015-16</t>
        </is>
      </c>
      <c r="P201" s="38">
        <f>SUM(D201:O201)</f>
        <v/>
      </c>
    </row>
    <row r="202">
      <c r="A202" s="34" t="inlineStr">
        <is>
          <t>Barley</t>
        </is>
      </c>
      <c r="B202" s="39" t="inlineStr">
        <is>
          <t>Beginning Stocks</t>
        </is>
      </c>
      <c r="C202" s="34" t="inlineStr">
        <is>
          <t>2015-16</t>
        </is>
      </c>
      <c r="O202" s="40" t="n">
        <v>1217.3</v>
      </c>
      <c r="P202" s="41">
        <f>SUM(D202:O202)</f>
        <v/>
      </c>
    </row>
    <row r="203">
      <c r="A203" s="34" t="inlineStr">
        <is>
          <t>Barley</t>
        </is>
      </c>
      <c r="B203" s="39" t="inlineStr">
        <is>
          <t>Imports</t>
        </is>
      </c>
      <c r="C203" s="34" t="inlineStr">
        <is>
          <t>2015-16</t>
        </is>
      </c>
      <c r="O203" s="40" t="n">
        <v>160.9</v>
      </c>
      <c r="P203" s="41">
        <f>SUM(D203:O203)</f>
        <v/>
      </c>
    </row>
    <row r="204">
      <c r="A204" s="34" t="inlineStr">
        <is>
          <t>Barley</t>
        </is>
      </c>
      <c r="B204" s="39" t="inlineStr">
        <is>
          <t>Production</t>
        </is>
      </c>
      <c r="C204" s="34" t="inlineStr">
        <is>
          <t>2015-16</t>
        </is>
      </c>
      <c r="O204" s="40" t="n">
        <v>8256.6</v>
      </c>
      <c r="P204" s="41">
        <f>SUM(D204:O204)</f>
        <v/>
      </c>
    </row>
    <row r="205">
      <c r="A205" s="34" t="inlineStr">
        <is>
          <t>Barley</t>
        </is>
      </c>
      <c r="B205" s="39" t="inlineStr">
        <is>
          <t>Food</t>
        </is>
      </c>
      <c r="C205" s="34" t="inlineStr">
        <is>
          <t>2015-16</t>
        </is>
      </c>
      <c r="O205" s="40" t="n">
        <v>10.2</v>
      </c>
      <c r="P205" s="41">
        <f>SUM(D205:O205)</f>
        <v/>
      </c>
    </row>
    <row r="206">
      <c r="A206" s="34" t="inlineStr">
        <is>
          <t>Barley</t>
        </is>
      </c>
      <c r="B206" s="39" t="inlineStr">
        <is>
          <t>Industrial</t>
        </is>
      </c>
      <c r="C206" s="34" t="inlineStr">
        <is>
          <t>2015-16</t>
        </is>
      </c>
      <c r="O206" s="40" t="n">
        <v>126.1</v>
      </c>
      <c r="P206" s="41">
        <f>SUM(D206:O206)</f>
        <v/>
      </c>
    </row>
    <row r="207">
      <c r="A207" s="34" t="inlineStr">
        <is>
          <t>Barley</t>
        </is>
      </c>
      <c r="B207" s="39" t="inlineStr">
        <is>
          <t>FSR</t>
        </is>
      </c>
      <c r="C207" s="34" t="inlineStr">
        <is>
          <t>2015-16</t>
        </is>
      </c>
      <c r="O207" s="40" t="n">
        <v>6063.499999999999</v>
      </c>
      <c r="P207" s="41">
        <f>SUM(D207:O207)</f>
        <v/>
      </c>
    </row>
    <row r="208">
      <c r="A208" s="34" t="inlineStr">
        <is>
          <t>Barley</t>
        </is>
      </c>
      <c r="B208" s="39" t="inlineStr">
        <is>
          <t>Exports</t>
        </is>
      </c>
      <c r="C208" s="34" t="inlineStr">
        <is>
          <t>2015-16</t>
        </is>
      </c>
      <c r="O208" s="40" t="n">
        <v>1992.3</v>
      </c>
      <c r="P208" s="41">
        <f>SUM(D208:O208)</f>
        <v/>
      </c>
    </row>
    <row r="209">
      <c r="A209" s="34" t="inlineStr">
        <is>
          <t>Barley</t>
        </is>
      </c>
      <c r="B209" s="39" t="inlineStr">
        <is>
          <t>Ending Stocks</t>
        </is>
      </c>
      <c r="C209" s="34" t="inlineStr">
        <is>
          <t>2015-16</t>
        </is>
      </c>
      <c r="O209" s="40" t="n">
        <v>1442.7</v>
      </c>
      <c r="P209" s="41">
        <f>SUM(D209:O209)</f>
        <v/>
      </c>
    </row>
    <row r="210">
      <c r="A210" s="34" t="inlineStr">
        <is>
          <t>Barley</t>
        </is>
      </c>
      <c r="B210" s="35" t="inlineStr">
        <is>
          <t>Stocks-to-Use</t>
        </is>
      </c>
      <c r="C210" s="34" t="inlineStr">
        <is>
          <t>2015-16</t>
        </is>
      </c>
      <c r="P210" s="37">
        <f>SUM(D210:O210)</f>
        <v/>
      </c>
    </row>
    <row r="211">
      <c r="A211" s="34" t="inlineStr">
        <is>
          <t>Barley</t>
        </is>
      </c>
      <c r="B211" s="35" t="inlineStr">
        <is>
          <t>STU Days</t>
        </is>
      </c>
      <c r="C211" s="34" t="inlineStr">
        <is>
          <t>2015-16</t>
        </is>
      </c>
      <c r="P211" s="41">
        <f>SUM(D211:O211)</f>
        <v/>
      </c>
    </row>
    <row r="212">
      <c r="A212" s="34" t="inlineStr">
        <is>
          <t>Barley</t>
        </is>
      </c>
      <c r="B212" s="35" t="inlineStr">
        <is>
          <t>CHECK</t>
        </is>
      </c>
      <c r="C212" s="34" t="inlineStr">
        <is>
          <t>2015-16</t>
        </is>
      </c>
      <c r="O212" s="41" t="n">
        <v>-9.094947017729282e-13</v>
      </c>
      <c r="P212" s="41">
        <f>SUM(D212:O212)</f>
        <v/>
      </c>
    </row>
    <row r="213">
      <c r="A213" s="34" t="inlineStr">
        <is>
          <t>Barley</t>
        </is>
      </c>
      <c r="B213" s="35" t="inlineStr">
        <is>
          <t>Planted Area</t>
        </is>
      </c>
      <c r="C213" s="34" t="inlineStr">
        <is>
          <t>2016-17</t>
        </is>
      </c>
      <c r="P213" s="36">
        <f>SUM(D213:O213)</f>
        <v/>
      </c>
    </row>
    <row r="214">
      <c r="A214" s="34" t="inlineStr">
        <is>
          <t>Barley</t>
        </is>
      </c>
      <c r="B214" s="35" t="inlineStr">
        <is>
          <t>Harvested Area</t>
        </is>
      </c>
      <c r="C214" s="34" t="inlineStr">
        <is>
          <t>2016-17</t>
        </is>
      </c>
      <c r="P214" s="36">
        <f>SUM(D214:O214)</f>
        <v/>
      </c>
    </row>
    <row r="215">
      <c r="A215" s="34" t="inlineStr">
        <is>
          <t>Barley</t>
        </is>
      </c>
      <c r="B215" s="35" t="inlineStr">
        <is>
          <t>Proportion Harvested</t>
        </is>
      </c>
      <c r="C215" s="34" t="inlineStr">
        <is>
          <t>2016-17</t>
        </is>
      </c>
      <c r="P215" s="37">
        <f>SUM(D215:O215)</f>
        <v/>
      </c>
    </row>
    <row r="216">
      <c r="A216" s="34" t="inlineStr">
        <is>
          <t>Barley</t>
        </is>
      </c>
      <c r="B216" s="35" t="inlineStr">
        <is>
          <t>Yield</t>
        </is>
      </c>
      <c r="C216" s="34" t="inlineStr">
        <is>
          <t>2016-17</t>
        </is>
      </c>
      <c r="P216" s="38">
        <f>SUM(D216:O216)</f>
        <v/>
      </c>
    </row>
    <row r="217">
      <c r="A217" s="34" t="inlineStr">
        <is>
          <t>Barley</t>
        </is>
      </c>
      <c r="B217" s="39" t="inlineStr">
        <is>
          <t>Beginning Stocks</t>
        </is>
      </c>
      <c r="C217" s="34" t="inlineStr">
        <is>
          <t>2016-17</t>
        </is>
      </c>
      <c r="O217" s="40" t="n">
        <v>1442.7</v>
      </c>
      <c r="P217" s="41">
        <f>SUM(D217:O217)</f>
        <v/>
      </c>
    </row>
    <row r="218">
      <c r="A218" s="34" t="inlineStr">
        <is>
          <t>Barley</t>
        </is>
      </c>
      <c r="B218" s="39" t="inlineStr">
        <is>
          <t>Imports</t>
        </is>
      </c>
      <c r="C218" s="34" t="inlineStr">
        <is>
          <t>2016-17</t>
        </is>
      </c>
      <c r="O218" s="40" t="n">
        <v>63.6</v>
      </c>
      <c r="P218" s="41">
        <f>SUM(D218:O218)</f>
        <v/>
      </c>
    </row>
    <row r="219">
      <c r="A219" s="34" t="inlineStr">
        <is>
          <t>Barley</t>
        </is>
      </c>
      <c r="B219" s="39" t="inlineStr">
        <is>
          <t>Production</t>
        </is>
      </c>
      <c r="C219" s="34" t="inlineStr">
        <is>
          <t>2016-17</t>
        </is>
      </c>
      <c r="O219" s="40" t="n">
        <v>8839.4</v>
      </c>
      <c r="P219" s="41">
        <f>SUM(D219:O219)</f>
        <v/>
      </c>
    </row>
    <row r="220">
      <c r="A220" s="34" t="inlineStr">
        <is>
          <t>Barley</t>
        </is>
      </c>
      <c r="B220" s="39" t="inlineStr">
        <is>
          <t>Food</t>
        </is>
      </c>
      <c r="C220" s="34" t="inlineStr">
        <is>
          <t>2016-17</t>
        </is>
      </c>
      <c r="O220" s="40" t="n">
        <v>17.5</v>
      </c>
      <c r="P220" s="41">
        <f>SUM(D220:O220)</f>
        <v/>
      </c>
    </row>
    <row r="221">
      <c r="A221" s="34" t="inlineStr">
        <is>
          <t>Barley</t>
        </is>
      </c>
      <c r="B221" s="39" t="inlineStr">
        <is>
          <t>Industrial</t>
        </is>
      </c>
      <c r="C221" s="34" t="inlineStr">
        <is>
          <t>2016-17</t>
        </is>
      </c>
      <c r="O221" s="40" t="n">
        <v>74.2</v>
      </c>
      <c r="P221" s="41">
        <f>SUM(D221:O221)</f>
        <v/>
      </c>
    </row>
    <row r="222">
      <c r="A222" s="34" t="inlineStr">
        <is>
          <t>Barley</t>
        </is>
      </c>
      <c r="B222" s="39" t="inlineStr">
        <is>
          <t>FSR</t>
        </is>
      </c>
      <c r="C222" s="34" t="inlineStr">
        <is>
          <t>2016-17</t>
        </is>
      </c>
      <c r="O222" s="40" t="n">
        <v>5809.500000000001</v>
      </c>
      <c r="P222" s="41">
        <f>SUM(D222:O222)</f>
        <v/>
      </c>
    </row>
    <row r="223">
      <c r="A223" s="34" t="inlineStr">
        <is>
          <t>Barley</t>
        </is>
      </c>
      <c r="B223" s="39" t="inlineStr">
        <is>
          <t>Exports</t>
        </is>
      </c>
      <c r="C223" s="34" t="inlineStr">
        <is>
          <t>2016-17</t>
        </is>
      </c>
      <c r="O223" s="40" t="n">
        <v>2322.7</v>
      </c>
      <c r="P223" s="41">
        <f>SUM(D223:O223)</f>
        <v/>
      </c>
    </row>
    <row r="224">
      <c r="A224" s="34" t="inlineStr">
        <is>
          <t>Barley</t>
        </is>
      </c>
      <c r="B224" s="39" t="inlineStr">
        <is>
          <t>Ending Stocks</t>
        </is>
      </c>
      <c r="C224" s="34" t="inlineStr">
        <is>
          <t>2016-17</t>
        </is>
      </c>
      <c r="O224" s="40" t="n">
        <v>2121.8</v>
      </c>
      <c r="P224" s="41">
        <f>SUM(D224:O224)</f>
        <v/>
      </c>
    </row>
    <row r="225">
      <c r="A225" s="34" t="inlineStr">
        <is>
          <t>Barley</t>
        </is>
      </c>
      <c r="B225" s="35" t="inlineStr">
        <is>
          <t>Stocks-to-Use</t>
        </is>
      </c>
      <c r="C225" s="34" t="inlineStr">
        <is>
          <t>2016-17</t>
        </is>
      </c>
      <c r="P225" s="37">
        <f>SUM(D225:O225)</f>
        <v/>
      </c>
    </row>
    <row r="226">
      <c r="A226" s="34" t="inlineStr">
        <is>
          <t>Barley</t>
        </is>
      </c>
      <c r="B226" s="35" t="inlineStr">
        <is>
          <t>STU Days</t>
        </is>
      </c>
      <c r="C226" s="34" t="inlineStr">
        <is>
          <t>2016-17</t>
        </is>
      </c>
      <c r="P226" s="41">
        <f>SUM(D226:O226)</f>
        <v/>
      </c>
    </row>
    <row r="227">
      <c r="A227" s="34" t="inlineStr">
        <is>
          <t>Barley</t>
        </is>
      </c>
      <c r="B227" s="35" t="inlineStr">
        <is>
          <t>CHECK</t>
        </is>
      </c>
      <c r="C227" s="34" t="inlineStr">
        <is>
          <t>2016-17</t>
        </is>
      </c>
      <c r="O227" s="41" t="n">
        <v>-9.094947017729282e-13</v>
      </c>
      <c r="P227" s="41">
        <f>SUM(D227:O227)</f>
        <v/>
      </c>
    </row>
    <row r="228">
      <c r="A228" s="34" t="inlineStr">
        <is>
          <t>Barley</t>
        </is>
      </c>
      <c r="B228" s="35" t="inlineStr">
        <is>
          <t>Planted Area</t>
        </is>
      </c>
      <c r="C228" s="34" t="inlineStr">
        <is>
          <t>2017-18</t>
        </is>
      </c>
      <c r="P228" s="36">
        <f>SUM(D228:O228)</f>
        <v/>
      </c>
    </row>
    <row r="229">
      <c r="A229" s="34" t="inlineStr">
        <is>
          <t>Barley</t>
        </is>
      </c>
      <c r="B229" s="35" t="inlineStr">
        <is>
          <t>Harvested Area</t>
        </is>
      </c>
      <c r="C229" s="34" t="inlineStr">
        <is>
          <t>2017-18</t>
        </is>
      </c>
      <c r="P229" s="36">
        <f>SUM(D229:O229)</f>
        <v/>
      </c>
    </row>
    <row r="230">
      <c r="A230" s="34" t="inlineStr">
        <is>
          <t>Barley</t>
        </is>
      </c>
      <c r="B230" s="35" t="inlineStr">
        <is>
          <t>Proportion Harvested</t>
        </is>
      </c>
      <c r="C230" s="34" t="inlineStr">
        <is>
          <t>2017-18</t>
        </is>
      </c>
      <c r="P230" s="37">
        <f>SUM(D230:O230)</f>
        <v/>
      </c>
    </row>
    <row r="231">
      <c r="A231" s="34" t="inlineStr">
        <is>
          <t>Barley</t>
        </is>
      </c>
      <c r="B231" s="35" t="inlineStr">
        <is>
          <t>Yield</t>
        </is>
      </c>
      <c r="C231" s="34" t="inlineStr">
        <is>
          <t>2017-18</t>
        </is>
      </c>
      <c r="P231" s="38">
        <f>SUM(D231:O231)</f>
        <v/>
      </c>
    </row>
    <row r="232">
      <c r="A232" s="34" t="inlineStr">
        <is>
          <t>Barley</t>
        </is>
      </c>
      <c r="B232" s="39" t="inlineStr">
        <is>
          <t>Beginning Stocks</t>
        </is>
      </c>
      <c r="C232" s="34" t="inlineStr">
        <is>
          <t>2017-18</t>
        </is>
      </c>
      <c r="O232" s="40" t="n">
        <v>2121.8</v>
      </c>
      <c r="P232" s="41">
        <f>SUM(D232:O232)</f>
        <v/>
      </c>
    </row>
    <row r="233">
      <c r="A233" s="34" t="inlineStr">
        <is>
          <t>Barley</t>
        </is>
      </c>
      <c r="B233" s="39" t="inlineStr">
        <is>
          <t>Imports</t>
        </is>
      </c>
      <c r="C233" s="34" t="inlineStr">
        <is>
          <t>2017-18</t>
        </is>
      </c>
      <c r="O233" s="40" t="n">
        <v>58.7</v>
      </c>
      <c r="P233" s="41">
        <f>SUM(D233:O233)</f>
        <v/>
      </c>
    </row>
    <row r="234">
      <c r="A234" s="34" t="inlineStr">
        <is>
          <t>Barley</t>
        </is>
      </c>
      <c r="B234" s="39" t="inlineStr">
        <is>
          <t>Production</t>
        </is>
      </c>
      <c r="C234" s="34" t="inlineStr">
        <is>
          <t>2017-18</t>
        </is>
      </c>
      <c r="O234" s="40" t="n">
        <v>7891.3</v>
      </c>
      <c r="P234" s="41">
        <f>SUM(D234:O234)</f>
        <v/>
      </c>
    </row>
    <row r="235">
      <c r="A235" s="34" t="inlineStr">
        <is>
          <t>Barley</t>
        </is>
      </c>
      <c r="B235" s="39" t="inlineStr">
        <is>
          <t>Food</t>
        </is>
      </c>
      <c r="C235" s="34" t="inlineStr">
        <is>
          <t>2017-18</t>
        </is>
      </c>
      <c r="O235" s="40" t="n">
        <v>21.1</v>
      </c>
      <c r="P235" s="41">
        <f>SUM(D235:O235)</f>
        <v/>
      </c>
    </row>
    <row r="236">
      <c r="A236" s="34" t="inlineStr">
        <is>
          <t>Barley</t>
        </is>
      </c>
      <c r="B236" s="39" t="inlineStr">
        <is>
          <t>Industrial</t>
        </is>
      </c>
      <c r="C236" s="34" t="inlineStr">
        <is>
          <t>2017-18</t>
        </is>
      </c>
      <c r="O236" s="40" t="n">
        <v>40.5</v>
      </c>
      <c r="P236" s="41">
        <f>SUM(D236:O236)</f>
        <v/>
      </c>
    </row>
    <row r="237">
      <c r="A237" s="34" t="inlineStr">
        <is>
          <t>Barley</t>
        </is>
      </c>
      <c r="B237" s="39" t="inlineStr">
        <is>
          <t>FSR</t>
        </is>
      </c>
      <c r="C237" s="34" t="inlineStr">
        <is>
          <t>2017-18</t>
        </is>
      </c>
      <c r="O237" s="40" t="n">
        <v>5943.100000000002</v>
      </c>
      <c r="P237" s="41">
        <f>SUM(D237:O237)</f>
        <v/>
      </c>
    </row>
    <row r="238">
      <c r="A238" s="34" t="inlineStr">
        <is>
          <t>Barley</t>
        </is>
      </c>
      <c r="B238" s="39" t="inlineStr">
        <is>
          <t>Exports</t>
        </is>
      </c>
      <c r="C238" s="34" t="inlineStr">
        <is>
          <t>2017-18</t>
        </is>
      </c>
      <c r="O238" s="40" t="n">
        <v>2822.7</v>
      </c>
      <c r="P238" s="41">
        <f>SUM(D238:O238)</f>
        <v/>
      </c>
    </row>
    <row r="239">
      <c r="A239" s="34" t="inlineStr">
        <is>
          <t>Barley</t>
        </is>
      </c>
      <c r="B239" s="39" t="inlineStr">
        <is>
          <t>Ending Stocks</t>
        </is>
      </c>
      <c r="C239" s="34" t="inlineStr">
        <is>
          <t>2017-18</t>
        </is>
      </c>
      <c r="O239" s="40" t="n">
        <v>1244.4</v>
      </c>
      <c r="P239" s="41">
        <f>SUM(D239:O239)</f>
        <v/>
      </c>
    </row>
    <row r="240">
      <c r="A240" s="34" t="inlineStr">
        <is>
          <t>Barley</t>
        </is>
      </c>
      <c r="B240" s="35" t="inlineStr">
        <is>
          <t>Stocks-to-Use</t>
        </is>
      </c>
      <c r="C240" s="34" t="inlineStr">
        <is>
          <t>2017-18</t>
        </is>
      </c>
      <c r="P240" s="37">
        <f>SUM(D240:O240)</f>
        <v/>
      </c>
    </row>
    <row r="241">
      <c r="A241" s="34" t="inlineStr">
        <is>
          <t>Barley</t>
        </is>
      </c>
      <c r="B241" s="35" t="inlineStr">
        <is>
          <t>STU Days</t>
        </is>
      </c>
      <c r="C241" s="34" t="inlineStr">
        <is>
          <t>2017-18</t>
        </is>
      </c>
      <c r="P241" s="41">
        <f>SUM(D241:O241)</f>
        <v/>
      </c>
    </row>
    <row r="242">
      <c r="A242" s="34" t="inlineStr">
        <is>
          <t>Barley</t>
        </is>
      </c>
      <c r="B242" s="35" t="inlineStr">
        <is>
          <t>CHECK</t>
        </is>
      </c>
      <c r="C242" s="34" t="inlineStr">
        <is>
          <t>2017-18</t>
        </is>
      </c>
      <c r="O242" s="41" t="n">
        <v>-1.364242052659392e-12</v>
      </c>
      <c r="P242" s="41">
        <f>SUM(D242:O242)</f>
        <v/>
      </c>
    </row>
    <row r="243">
      <c r="A243" s="34" t="inlineStr">
        <is>
          <t>Barley</t>
        </is>
      </c>
      <c r="B243" s="35" t="inlineStr">
        <is>
          <t>Planted Area</t>
        </is>
      </c>
      <c r="C243" s="34" t="inlineStr">
        <is>
          <t>2018-19</t>
        </is>
      </c>
      <c r="P243" s="36">
        <f>SUM(D243:O243)</f>
        <v/>
      </c>
    </row>
    <row r="244">
      <c r="A244" s="34" t="inlineStr">
        <is>
          <t>Barley</t>
        </is>
      </c>
      <c r="B244" s="35" t="inlineStr">
        <is>
          <t>Harvested Area</t>
        </is>
      </c>
      <c r="C244" s="34" t="inlineStr">
        <is>
          <t>2018-19</t>
        </is>
      </c>
      <c r="P244" s="36">
        <f>SUM(D244:O244)</f>
        <v/>
      </c>
    </row>
    <row r="245">
      <c r="A245" s="34" t="inlineStr">
        <is>
          <t>Barley</t>
        </is>
      </c>
      <c r="B245" s="35" t="inlineStr">
        <is>
          <t>Proportion Harvested</t>
        </is>
      </c>
      <c r="C245" s="34" t="inlineStr">
        <is>
          <t>2018-19</t>
        </is>
      </c>
      <c r="P245" s="37">
        <f>SUM(D245:O245)</f>
        <v/>
      </c>
    </row>
    <row r="246">
      <c r="A246" s="34" t="inlineStr">
        <is>
          <t>Barley</t>
        </is>
      </c>
      <c r="B246" s="35" t="inlineStr">
        <is>
          <t>Yield</t>
        </is>
      </c>
      <c r="C246" s="34" t="inlineStr">
        <is>
          <t>2018-19</t>
        </is>
      </c>
      <c r="P246" s="38">
        <f>SUM(D246:O246)</f>
        <v/>
      </c>
    </row>
    <row r="247">
      <c r="A247" s="34" t="inlineStr">
        <is>
          <t>Barley</t>
        </is>
      </c>
      <c r="B247" s="39" t="inlineStr">
        <is>
          <t>Beginning Stocks</t>
        </is>
      </c>
      <c r="C247" s="34" t="inlineStr">
        <is>
          <t>2018-19</t>
        </is>
      </c>
      <c r="O247" s="40" t="n">
        <v>1244.4</v>
      </c>
      <c r="P247" s="41">
        <f>SUM(D247:O247)</f>
        <v/>
      </c>
    </row>
    <row r="248">
      <c r="A248" s="34" t="inlineStr">
        <is>
          <t>Barley</t>
        </is>
      </c>
      <c r="B248" s="39" t="inlineStr">
        <is>
          <t>Imports</t>
        </is>
      </c>
      <c r="C248" s="34" t="inlineStr">
        <is>
          <t>2018-19</t>
        </is>
      </c>
      <c r="O248" s="40" t="n">
        <v>42.8</v>
      </c>
      <c r="P248" s="41">
        <f>SUM(D248:O248)</f>
        <v/>
      </c>
    </row>
    <row r="249">
      <c r="A249" s="34" t="inlineStr">
        <is>
          <t>Barley</t>
        </is>
      </c>
      <c r="B249" s="39" t="inlineStr">
        <is>
          <t>Production</t>
        </is>
      </c>
      <c r="C249" s="34" t="inlineStr">
        <is>
          <t>2018-19</t>
        </is>
      </c>
      <c r="O249" s="40" t="n">
        <v>8379.700000000001</v>
      </c>
      <c r="P249" s="41">
        <f>SUM(D249:O249)</f>
        <v/>
      </c>
    </row>
    <row r="250">
      <c r="A250" s="34" t="inlineStr">
        <is>
          <t>Barley</t>
        </is>
      </c>
      <c r="B250" s="39" t="inlineStr">
        <is>
          <t>Food</t>
        </is>
      </c>
      <c r="C250" s="34" t="inlineStr">
        <is>
          <t>2018-19</t>
        </is>
      </c>
      <c r="O250" s="40" t="n">
        <v>16.3</v>
      </c>
      <c r="P250" s="41">
        <f>SUM(D250:O250)</f>
        <v/>
      </c>
    </row>
    <row r="251">
      <c r="A251" s="34" t="inlineStr">
        <is>
          <t>Barley</t>
        </is>
      </c>
      <c r="B251" s="39" t="inlineStr">
        <is>
          <t>Industrial</t>
        </is>
      </c>
      <c r="C251" s="34" t="inlineStr">
        <is>
          <t>2018-19</t>
        </is>
      </c>
      <c r="O251" s="40" t="n">
        <v>300.9</v>
      </c>
      <c r="P251" s="41">
        <f>SUM(D251:O251)</f>
        <v/>
      </c>
    </row>
    <row r="252">
      <c r="A252" s="34" t="inlineStr">
        <is>
          <t>Barley</t>
        </is>
      </c>
      <c r="B252" s="39" t="inlineStr">
        <is>
          <t>FSR</t>
        </is>
      </c>
      <c r="C252" s="34" t="inlineStr">
        <is>
          <t>2018-19</t>
        </is>
      </c>
      <c r="O252" s="40" t="n">
        <v>5429.099999999999</v>
      </c>
      <c r="P252" s="41">
        <f>SUM(D252:O252)</f>
        <v/>
      </c>
    </row>
    <row r="253">
      <c r="A253" s="34" t="inlineStr">
        <is>
          <t>Barley</t>
        </is>
      </c>
      <c r="B253" s="39" t="inlineStr">
        <is>
          <t>Exports</t>
        </is>
      </c>
      <c r="C253" s="34" t="inlineStr">
        <is>
          <t>2018-19</t>
        </is>
      </c>
      <c r="O253" s="40" t="n">
        <v>3058</v>
      </c>
      <c r="P253" s="41">
        <f>SUM(D253:O253)</f>
        <v/>
      </c>
    </row>
    <row r="254">
      <c r="A254" s="34" t="inlineStr">
        <is>
          <t>Barley</t>
        </is>
      </c>
      <c r="B254" s="39" t="inlineStr">
        <is>
          <t>Ending Stocks</t>
        </is>
      </c>
      <c r="C254" s="34" t="inlineStr">
        <is>
          <t>2018-19</t>
        </is>
      </c>
      <c r="O254" s="40" t="n">
        <v>862.6</v>
      </c>
      <c r="P254" s="41">
        <f>SUM(D254:O254)</f>
        <v/>
      </c>
    </row>
    <row r="255">
      <c r="A255" s="34" t="inlineStr">
        <is>
          <t>Barley</t>
        </is>
      </c>
      <c r="B255" s="35" t="inlineStr">
        <is>
          <t>Stocks-to-Use</t>
        </is>
      </c>
      <c r="C255" s="34" t="inlineStr">
        <is>
          <t>2018-19</t>
        </is>
      </c>
      <c r="P255" s="37">
        <f>SUM(D255:O255)</f>
        <v/>
      </c>
    </row>
    <row r="256">
      <c r="A256" s="34" t="inlineStr">
        <is>
          <t>Barley</t>
        </is>
      </c>
      <c r="B256" s="35" t="inlineStr">
        <is>
          <t>STU Days</t>
        </is>
      </c>
      <c r="C256" s="34" t="inlineStr">
        <is>
          <t>2018-19</t>
        </is>
      </c>
      <c r="P256" s="41">
        <f>SUM(D256:O256)</f>
        <v/>
      </c>
    </row>
    <row r="257">
      <c r="A257" s="34" t="inlineStr">
        <is>
          <t>Barley</t>
        </is>
      </c>
      <c r="B257" s="35" t="inlineStr">
        <is>
          <t>CHECK</t>
        </is>
      </c>
      <c r="C257" s="34" t="inlineStr">
        <is>
          <t>2018-19</t>
        </is>
      </c>
      <c r="O257" s="41" t="n">
        <v>1.250555214937777e-12</v>
      </c>
      <c r="P257" s="41">
        <f>SUM(D257:O257)</f>
        <v/>
      </c>
    </row>
    <row r="258">
      <c r="A258" s="34" t="inlineStr">
        <is>
          <t>Barley</t>
        </is>
      </c>
      <c r="B258" s="35" t="inlineStr">
        <is>
          <t>Planted Area</t>
        </is>
      </c>
      <c r="C258" s="34" t="inlineStr">
        <is>
          <t>2019-20</t>
        </is>
      </c>
      <c r="P258" s="36">
        <f>SUM(D258:O258)</f>
        <v/>
      </c>
    </row>
    <row r="259">
      <c r="A259" s="34" t="inlineStr">
        <is>
          <t>Barley</t>
        </is>
      </c>
      <c r="B259" s="35" t="inlineStr">
        <is>
          <t>Harvested Area</t>
        </is>
      </c>
      <c r="C259" s="34" t="inlineStr">
        <is>
          <t>2019-20</t>
        </is>
      </c>
      <c r="P259" s="36">
        <f>SUM(D259:O259)</f>
        <v/>
      </c>
    </row>
    <row r="260">
      <c r="A260" s="34" t="inlineStr">
        <is>
          <t>Barley</t>
        </is>
      </c>
      <c r="B260" s="35" t="inlineStr">
        <is>
          <t>Proportion Harvested</t>
        </is>
      </c>
      <c r="C260" s="34" t="inlineStr">
        <is>
          <t>2019-20</t>
        </is>
      </c>
      <c r="P260" s="37">
        <f>SUM(D260:O260)</f>
        <v/>
      </c>
    </row>
    <row r="261">
      <c r="A261" s="34" t="inlineStr">
        <is>
          <t>Barley</t>
        </is>
      </c>
      <c r="B261" s="35" t="inlineStr">
        <is>
          <t>Yield</t>
        </is>
      </c>
      <c r="C261" s="34" t="inlineStr">
        <is>
          <t>2019-20</t>
        </is>
      </c>
      <c r="P261" s="38">
        <f>SUM(D261:O261)</f>
        <v/>
      </c>
    </row>
    <row r="262">
      <c r="A262" s="34" t="inlineStr">
        <is>
          <t>Barley</t>
        </is>
      </c>
      <c r="B262" s="39" t="inlineStr">
        <is>
          <t>Beginning Stocks</t>
        </is>
      </c>
      <c r="C262" s="34" t="inlineStr">
        <is>
          <t>2019-20</t>
        </is>
      </c>
      <c r="O262" s="40" t="n">
        <v>862.6</v>
      </c>
      <c r="P262" s="41">
        <f>SUM(D262:O262)</f>
        <v/>
      </c>
    </row>
    <row r="263">
      <c r="A263" s="34" t="inlineStr">
        <is>
          <t>Barley</t>
        </is>
      </c>
      <c r="B263" s="39" t="inlineStr">
        <is>
          <t>Imports</t>
        </is>
      </c>
      <c r="C263" s="34" t="inlineStr">
        <is>
          <t>2019-20</t>
        </is>
      </c>
      <c r="O263" s="40" t="n">
        <v>63.1</v>
      </c>
      <c r="P263" s="41">
        <f>SUM(D263:O263)</f>
        <v/>
      </c>
    </row>
    <row r="264">
      <c r="A264" s="34" t="inlineStr">
        <is>
          <t>Barley</t>
        </is>
      </c>
      <c r="B264" s="39" t="inlineStr">
        <is>
          <t>Production</t>
        </is>
      </c>
      <c r="C264" s="34" t="inlineStr">
        <is>
          <t>2019-20</t>
        </is>
      </c>
      <c r="O264" s="40" t="n">
        <v>10382.6</v>
      </c>
      <c r="P264" s="41">
        <f>SUM(D264:O264)</f>
        <v/>
      </c>
    </row>
    <row r="265">
      <c r="A265" s="34" t="inlineStr">
        <is>
          <t>Barley</t>
        </is>
      </c>
      <c r="B265" s="39" t="inlineStr">
        <is>
          <t>Food</t>
        </is>
      </c>
      <c r="C265" s="34" t="inlineStr">
        <is>
          <t>2019-20</t>
        </is>
      </c>
      <c r="O265" s="40" t="n">
        <v>18.3</v>
      </c>
      <c r="P265" s="41">
        <f>SUM(D265:O265)</f>
        <v/>
      </c>
    </row>
    <row r="266">
      <c r="A266" s="34" t="inlineStr">
        <is>
          <t>Barley</t>
        </is>
      </c>
      <c r="B266" s="39" t="inlineStr">
        <is>
          <t>Industrial</t>
        </is>
      </c>
      <c r="C266" s="34" t="inlineStr">
        <is>
          <t>2019-20</t>
        </is>
      </c>
      <c r="O266" s="40" t="n">
        <v>259.7</v>
      </c>
      <c r="P266" s="41">
        <f>SUM(D266:O266)</f>
        <v/>
      </c>
    </row>
    <row r="267">
      <c r="A267" s="34" t="inlineStr">
        <is>
          <t>Barley</t>
        </is>
      </c>
      <c r="B267" s="39" t="inlineStr">
        <is>
          <t>FSR</t>
        </is>
      </c>
      <c r="C267" s="34" t="inlineStr">
        <is>
          <t>2019-20</t>
        </is>
      </c>
      <c r="O267" s="40" t="n">
        <v>7122.100000000001</v>
      </c>
      <c r="P267" s="41">
        <f>SUM(D267:O267)</f>
        <v/>
      </c>
    </row>
    <row r="268">
      <c r="A268" s="34" t="inlineStr">
        <is>
          <t>Barley</t>
        </is>
      </c>
      <c r="B268" s="39" t="inlineStr">
        <is>
          <t>Exports</t>
        </is>
      </c>
      <c r="C268" s="34" t="inlineStr">
        <is>
          <t>2019-20</t>
        </is>
      </c>
      <c r="O268" s="40" t="n">
        <v>2951.7</v>
      </c>
      <c r="P268" s="41">
        <f>SUM(D268:O268)</f>
        <v/>
      </c>
    </row>
    <row r="269">
      <c r="A269" s="34" t="inlineStr">
        <is>
          <t>Barley</t>
        </is>
      </c>
      <c r="B269" s="39" t="inlineStr">
        <is>
          <t>Ending Stocks</t>
        </is>
      </c>
      <c r="C269" s="34" t="inlineStr">
        <is>
          <t>2019-20</t>
        </is>
      </c>
      <c r="O269" s="40" t="n">
        <v>956.5</v>
      </c>
      <c r="P269" s="41">
        <f>SUM(D269:O269)</f>
        <v/>
      </c>
    </row>
    <row r="270">
      <c r="A270" s="34" t="inlineStr">
        <is>
          <t>Barley</t>
        </is>
      </c>
      <c r="B270" s="35" t="inlineStr">
        <is>
          <t>Stocks-to-Use</t>
        </is>
      </c>
      <c r="C270" s="34" t="inlineStr">
        <is>
          <t>2019-20</t>
        </is>
      </c>
      <c r="P270" s="37">
        <f>SUM(D270:O270)</f>
        <v/>
      </c>
    </row>
    <row r="271">
      <c r="A271" s="34" t="inlineStr">
        <is>
          <t>Barley</t>
        </is>
      </c>
      <c r="B271" s="35" t="inlineStr">
        <is>
          <t>STU Days</t>
        </is>
      </c>
      <c r="C271" s="34" t="inlineStr">
        <is>
          <t>2019-20</t>
        </is>
      </c>
      <c r="P271" s="41">
        <f>SUM(D271:O271)</f>
        <v/>
      </c>
    </row>
    <row r="272">
      <c r="A272" s="34" t="inlineStr">
        <is>
          <t>Barley</t>
        </is>
      </c>
      <c r="B272" s="35" t="inlineStr">
        <is>
          <t>CHECK</t>
        </is>
      </c>
      <c r="C272" s="34" t="inlineStr">
        <is>
          <t>2019-20</t>
        </is>
      </c>
      <c r="O272" s="41" t="n">
        <v>0</v>
      </c>
      <c r="P272" s="41">
        <f>SUM(D272:O272)</f>
        <v/>
      </c>
    </row>
    <row r="273">
      <c r="A273" s="34" t="inlineStr">
        <is>
          <t>Barley</t>
        </is>
      </c>
      <c r="B273" s="35" t="inlineStr">
        <is>
          <t>Planted Area</t>
        </is>
      </c>
      <c r="C273" s="34" t="inlineStr">
        <is>
          <t>2020-21</t>
        </is>
      </c>
      <c r="P273" s="36">
        <f>SUM(D273:O273)</f>
        <v/>
      </c>
    </row>
    <row r="274">
      <c r="A274" s="34" t="inlineStr">
        <is>
          <t>Barley</t>
        </is>
      </c>
      <c r="B274" s="35" t="inlineStr">
        <is>
          <t>Harvested Area</t>
        </is>
      </c>
      <c r="C274" s="34" t="inlineStr">
        <is>
          <t>2020-21</t>
        </is>
      </c>
      <c r="P274" s="36">
        <f>SUM(D274:O274)</f>
        <v/>
      </c>
    </row>
    <row r="275">
      <c r="A275" s="34" t="inlineStr">
        <is>
          <t>Barley</t>
        </is>
      </c>
      <c r="B275" s="35" t="inlineStr">
        <is>
          <t>Proportion Harvested</t>
        </is>
      </c>
      <c r="C275" s="34" t="inlineStr">
        <is>
          <t>2020-21</t>
        </is>
      </c>
      <c r="P275" s="37">
        <f>SUM(D275:O275)</f>
        <v/>
      </c>
    </row>
    <row r="276">
      <c r="A276" s="34" t="inlineStr">
        <is>
          <t>Barley</t>
        </is>
      </c>
      <c r="B276" s="35" t="inlineStr">
        <is>
          <t>Yield</t>
        </is>
      </c>
      <c r="C276" s="34" t="inlineStr">
        <is>
          <t>2020-21</t>
        </is>
      </c>
      <c r="P276" s="38">
        <f>SUM(D276:O276)</f>
        <v/>
      </c>
    </row>
    <row r="277">
      <c r="A277" s="34" t="inlineStr">
        <is>
          <t>Barley</t>
        </is>
      </c>
      <c r="B277" s="39" t="inlineStr">
        <is>
          <t>Beginning Stocks</t>
        </is>
      </c>
      <c r="C277" s="34" t="inlineStr">
        <is>
          <t>2020-21</t>
        </is>
      </c>
      <c r="O277" s="40" t="n">
        <v>956.5</v>
      </c>
      <c r="P277" s="41">
        <f>SUM(D277:O277)</f>
        <v/>
      </c>
    </row>
    <row r="278">
      <c r="A278" s="34" t="inlineStr">
        <is>
          <t>Barley</t>
        </is>
      </c>
      <c r="B278" s="39" t="inlineStr">
        <is>
          <t>Imports</t>
        </is>
      </c>
      <c r="C278" s="34" t="inlineStr">
        <is>
          <t>2020-21</t>
        </is>
      </c>
      <c r="O278" s="40" t="n">
        <v>293.9</v>
      </c>
      <c r="P278" s="41">
        <f>SUM(D278:O278)</f>
        <v/>
      </c>
    </row>
    <row r="279">
      <c r="A279" s="34" t="inlineStr">
        <is>
          <t>Barley</t>
        </is>
      </c>
      <c r="B279" s="39" t="inlineStr">
        <is>
          <t>Production</t>
        </is>
      </c>
      <c r="C279" s="34" t="inlineStr">
        <is>
          <t>2020-21</t>
        </is>
      </c>
      <c r="O279" s="40" t="n">
        <v>10740.6</v>
      </c>
      <c r="P279" s="41">
        <f>SUM(D279:O279)</f>
        <v/>
      </c>
    </row>
    <row r="280">
      <c r="A280" s="34" t="inlineStr">
        <is>
          <t>Barley</t>
        </is>
      </c>
      <c r="B280" s="39" t="inlineStr">
        <is>
          <t>Food</t>
        </is>
      </c>
      <c r="C280" s="34" t="inlineStr">
        <is>
          <t>2020-21</t>
        </is>
      </c>
      <c r="O280" s="40" t="n">
        <v>18.6</v>
      </c>
      <c r="P280" s="41">
        <f>SUM(D280:O280)</f>
        <v/>
      </c>
    </row>
    <row r="281">
      <c r="A281" s="34" t="inlineStr">
        <is>
          <t>Barley</t>
        </is>
      </c>
      <c r="B281" s="39" t="inlineStr">
        <is>
          <t>Industrial</t>
        </is>
      </c>
      <c r="C281" s="34" t="inlineStr">
        <is>
          <t>2020-21</t>
        </is>
      </c>
      <c r="O281" s="40" t="n">
        <v>279.9</v>
      </c>
      <c r="P281" s="41">
        <f>SUM(D281:O281)</f>
        <v/>
      </c>
    </row>
    <row r="282">
      <c r="A282" s="34" t="inlineStr">
        <is>
          <t>Barley</t>
        </is>
      </c>
      <c r="B282" s="39" t="inlineStr">
        <is>
          <t>FSR</t>
        </is>
      </c>
      <c r="C282" s="34" t="inlineStr">
        <is>
          <t>2020-21</t>
        </is>
      </c>
      <c r="O282" s="40" t="n">
        <v>6704.3</v>
      </c>
      <c r="P282" s="41">
        <f>SUM(D282:O282)</f>
        <v/>
      </c>
    </row>
    <row r="283">
      <c r="A283" s="34" t="inlineStr">
        <is>
          <t>Barley</t>
        </is>
      </c>
      <c r="B283" s="39" t="inlineStr">
        <is>
          <t>Exports</t>
        </is>
      </c>
      <c r="C283" s="34" t="inlineStr">
        <is>
          <t>2020-21</t>
        </is>
      </c>
      <c r="O283" s="40" t="n">
        <v>4277.4</v>
      </c>
      <c r="P283" s="41">
        <f>SUM(D283:O283)</f>
        <v/>
      </c>
    </row>
    <row r="284">
      <c r="A284" s="34" t="inlineStr">
        <is>
          <t>Barley</t>
        </is>
      </c>
      <c r="B284" s="39" t="inlineStr">
        <is>
          <t>Ending Stocks</t>
        </is>
      </c>
      <c r="C284" s="34" t="inlineStr">
        <is>
          <t>2020-21</t>
        </is>
      </c>
      <c r="O284" s="40" t="n">
        <v>710.8</v>
      </c>
      <c r="P284" s="41">
        <f>SUM(D284:O284)</f>
        <v/>
      </c>
    </row>
    <row r="285">
      <c r="A285" s="34" t="inlineStr">
        <is>
          <t>Barley</t>
        </is>
      </c>
      <c r="B285" s="35" t="inlineStr">
        <is>
          <t>Stocks-to-Use</t>
        </is>
      </c>
      <c r="C285" s="34" t="inlineStr">
        <is>
          <t>2020-21</t>
        </is>
      </c>
      <c r="P285" s="37">
        <f>SUM(D285:O285)</f>
        <v/>
      </c>
    </row>
    <row r="286">
      <c r="A286" s="34" t="inlineStr">
        <is>
          <t>Barley</t>
        </is>
      </c>
      <c r="B286" s="35" t="inlineStr">
        <is>
          <t>STU Days</t>
        </is>
      </c>
      <c r="C286" s="34" t="inlineStr">
        <is>
          <t>2020-21</t>
        </is>
      </c>
      <c r="P286" s="41">
        <f>SUM(D286:O286)</f>
        <v/>
      </c>
    </row>
    <row r="287">
      <c r="A287" s="34" t="inlineStr">
        <is>
          <t>Barley</t>
        </is>
      </c>
      <c r="B287" s="35" t="inlineStr">
        <is>
          <t>CHECK</t>
        </is>
      </c>
      <c r="C287" s="34" t="inlineStr">
        <is>
          <t>2020-21</t>
        </is>
      </c>
      <c r="O287" s="41" t="n">
        <v>2.273736754432321e-13</v>
      </c>
      <c r="P287" s="41">
        <f>SUM(D287:O287)</f>
        <v/>
      </c>
    </row>
    <row r="288">
      <c r="A288" s="34" t="inlineStr">
        <is>
          <t>Barley</t>
        </is>
      </c>
      <c r="B288" s="35" t="inlineStr">
        <is>
          <t>Planted Area</t>
        </is>
      </c>
      <c r="C288" s="34" t="inlineStr">
        <is>
          <t>2021-22</t>
        </is>
      </c>
      <c r="P288" s="36">
        <f>SUM(D288:O288)</f>
        <v/>
      </c>
    </row>
    <row r="289">
      <c r="A289" s="34" t="inlineStr">
        <is>
          <t>Barley</t>
        </is>
      </c>
      <c r="B289" s="35" t="inlineStr">
        <is>
          <t>Harvested Area</t>
        </is>
      </c>
      <c r="C289" s="34" t="inlineStr">
        <is>
          <t>2021-22</t>
        </is>
      </c>
      <c r="P289" s="36">
        <f>SUM(D289:O289)</f>
        <v/>
      </c>
    </row>
    <row r="290">
      <c r="A290" s="34" t="inlineStr">
        <is>
          <t>Barley</t>
        </is>
      </c>
      <c r="B290" s="35" t="inlineStr">
        <is>
          <t>Proportion Harvested</t>
        </is>
      </c>
      <c r="C290" s="34" t="inlineStr">
        <is>
          <t>2021-22</t>
        </is>
      </c>
      <c r="P290" s="37">
        <f>SUM(D290:O290)</f>
        <v/>
      </c>
    </row>
    <row r="291">
      <c r="A291" s="34" t="inlineStr">
        <is>
          <t>Barley</t>
        </is>
      </c>
      <c r="B291" s="35" t="inlineStr">
        <is>
          <t>Yield</t>
        </is>
      </c>
      <c r="C291" s="34" t="inlineStr">
        <is>
          <t>2021-22</t>
        </is>
      </c>
      <c r="P291" s="38">
        <f>SUM(D291:O291)</f>
        <v/>
      </c>
    </row>
    <row r="292">
      <c r="A292" s="34" t="inlineStr">
        <is>
          <t>Barley</t>
        </is>
      </c>
      <c r="B292" s="39" t="inlineStr">
        <is>
          <t>Beginning Stocks</t>
        </is>
      </c>
      <c r="C292" s="34" t="inlineStr">
        <is>
          <t>2021-22</t>
        </is>
      </c>
      <c r="O292" s="40" t="n">
        <v>710.8</v>
      </c>
      <c r="P292" s="41">
        <f>SUM(D292:O292)</f>
        <v/>
      </c>
    </row>
    <row r="293">
      <c r="A293" s="34" t="inlineStr">
        <is>
          <t>Barley</t>
        </is>
      </c>
      <c r="B293" s="39" t="inlineStr">
        <is>
          <t>Imports</t>
        </is>
      </c>
      <c r="C293" s="34" t="inlineStr">
        <is>
          <t>2021-22</t>
        </is>
      </c>
      <c r="O293" s="40" t="n">
        <v>227.9</v>
      </c>
      <c r="P293" s="41">
        <f>SUM(D293:O293)</f>
        <v/>
      </c>
    </row>
    <row r="294">
      <c r="A294" s="34" t="inlineStr">
        <is>
          <t>Barley</t>
        </is>
      </c>
      <c r="B294" s="39" t="inlineStr">
        <is>
          <t>Production</t>
        </is>
      </c>
      <c r="C294" s="34" t="inlineStr">
        <is>
          <t>2021-22</t>
        </is>
      </c>
      <c r="O294" s="40" t="n">
        <v>6983.9</v>
      </c>
      <c r="P294" s="41">
        <f>SUM(D294:O294)</f>
        <v/>
      </c>
    </row>
    <row r="295">
      <c r="A295" s="34" t="inlineStr">
        <is>
          <t>Barley</t>
        </is>
      </c>
      <c r="B295" s="39" t="inlineStr">
        <is>
          <t>Food</t>
        </is>
      </c>
      <c r="C295" s="34" t="inlineStr">
        <is>
          <t>2021-22</t>
        </is>
      </c>
      <c r="O295" s="40" t="n">
        <v>17.7</v>
      </c>
      <c r="P295" s="41">
        <f>SUM(D295:O295)</f>
        <v/>
      </c>
    </row>
    <row r="296">
      <c r="A296" s="34" t="inlineStr">
        <is>
          <t>Barley</t>
        </is>
      </c>
      <c r="B296" s="39" t="inlineStr">
        <is>
          <t>Industrial</t>
        </is>
      </c>
      <c r="C296" s="34" t="inlineStr">
        <is>
          <t>2021-22</t>
        </is>
      </c>
      <c r="O296" s="40" t="n">
        <v>266.6</v>
      </c>
      <c r="P296" s="41">
        <f>SUM(D296:O296)</f>
        <v/>
      </c>
    </row>
    <row r="297">
      <c r="A297" s="34" t="inlineStr">
        <is>
          <t>Barley</t>
        </is>
      </c>
      <c r="B297" s="39" t="inlineStr">
        <is>
          <t>FSR</t>
        </is>
      </c>
      <c r="C297" s="34" t="inlineStr">
        <is>
          <t>2021-22</t>
        </is>
      </c>
      <c r="O297" s="40" t="n">
        <v>4422.299999999999</v>
      </c>
      <c r="P297" s="41">
        <f>SUM(D297:O297)</f>
        <v/>
      </c>
    </row>
    <row r="298">
      <c r="A298" s="34" t="inlineStr">
        <is>
          <t>Barley</t>
        </is>
      </c>
      <c r="B298" s="39" t="inlineStr">
        <is>
          <t>Exports</t>
        </is>
      </c>
      <c r="C298" s="34" t="inlineStr">
        <is>
          <t>2021-22</t>
        </is>
      </c>
      <c r="O298" s="40" t="n">
        <v>2673.2</v>
      </c>
      <c r="P298" s="41">
        <f>SUM(D298:O298)</f>
        <v/>
      </c>
    </row>
    <row r="299">
      <c r="A299" s="34" t="inlineStr">
        <is>
          <t>Barley</t>
        </is>
      </c>
      <c r="B299" s="39" t="inlineStr">
        <is>
          <t>Ending Stocks</t>
        </is>
      </c>
      <c r="C299" s="34" t="inlineStr">
        <is>
          <t>2021-22</t>
        </is>
      </c>
      <c r="O299" s="40" t="n">
        <v>542.8</v>
      </c>
      <c r="P299" s="41">
        <f>SUM(D299:O299)</f>
        <v/>
      </c>
    </row>
    <row r="300">
      <c r="A300" s="34" t="inlineStr">
        <is>
          <t>Barley</t>
        </is>
      </c>
      <c r="B300" s="35" t="inlineStr">
        <is>
          <t>Stocks-to-Use</t>
        </is>
      </c>
      <c r="C300" s="34" t="inlineStr">
        <is>
          <t>2021-22</t>
        </is>
      </c>
      <c r="P300" s="37">
        <f>SUM(D300:O300)</f>
        <v/>
      </c>
    </row>
    <row r="301">
      <c r="A301" s="34" t="inlineStr">
        <is>
          <t>Barley</t>
        </is>
      </c>
      <c r="B301" s="35" t="inlineStr">
        <is>
          <t>STU Days</t>
        </is>
      </c>
      <c r="C301" s="34" t="inlineStr">
        <is>
          <t>2021-22</t>
        </is>
      </c>
      <c r="P301" s="41">
        <f>SUM(D301:O301)</f>
        <v/>
      </c>
    </row>
    <row r="302">
      <c r="A302" s="34" t="inlineStr">
        <is>
          <t>Barley</t>
        </is>
      </c>
      <c r="B302" s="35" t="inlineStr">
        <is>
          <t>CHECK</t>
        </is>
      </c>
      <c r="C302" s="34" t="inlineStr">
        <is>
          <t>2021-22</t>
        </is>
      </c>
      <c r="O302" s="41" t="n">
        <v>2.273736754432321e-13</v>
      </c>
      <c r="P302" s="41">
        <f>SUM(D302:O302)</f>
        <v/>
      </c>
    </row>
    <row r="303">
      <c r="A303" s="34" t="inlineStr">
        <is>
          <t>Barley</t>
        </is>
      </c>
      <c r="B303" s="35" t="inlineStr">
        <is>
          <t>Planted Area</t>
        </is>
      </c>
      <c r="C303" s="34" t="inlineStr">
        <is>
          <t>2022-23</t>
        </is>
      </c>
      <c r="P303" s="36">
        <f>SUM(D303:O303)</f>
        <v/>
      </c>
    </row>
    <row r="304">
      <c r="A304" s="34" t="inlineStr">
        <is>
          <t>Barley</t>
        </is>
      </c>
      <c r="B304" s="35" t="inlineStr">
        <is>
          <t>Harvested Area</t>
        </is>
      </c>
      <c r="C304" s="34" t="inlineStr">
        <is>
          <t>2022-23</t>
        </is>
      </c>
      <c r="P304" s="36">
        <f>SUM(D304:O304)</f>
        <v/>
      </c>
    </row>
    <row r="305">
      <c r="A305" s="34" t="inlineStr">
        <is>
          <t>Barley</t>
        </is>
      </c>
      <c r="B305" s="35" t="inlineStr">
        <is>
          <t>Proportion Harvested</t>
        </is>
      </c>
      <c r="C305" s="34" t="inlineStr">
        <is>
          <t>2022-23</t>
        </is>
      </c>
      <c r="P305" s="37">
        <f>SUM(D305:O305)</f>
        <v/>
      </c>
    </row>
    <row r="306">
      <c r="A306" s="34" t="inlineStr">
        <is>
          <t>Barley</t>
        </is>
      </c>
      <c r="B306" s="35" t="inlineStr">
        <is>
          <t>Yield</t>
        </is>
      </c>
      <c r="C306" s="34" t="inlineStr">
        <is>
          <t>2022-23</t>
        </is>
      </c>
      <c r="P306" s="38">
        <f>SUM(D306:O306)</f>
        <v/>
      </c>
    </row>
    <row r="307">
      <c r="A307" s="34" t="inlineStr">
        <is>
          <t>Barley</t>
        </is>
      </c>
      <c r="B307" s="39" t="inlineStr">
        <is>
          <t>Beginning Stocks</t>
        </is>
      </c>
      <c r="C307" s="34" t="inlineStr">
        <is>
          <t>2022-23</t>
        </is>
      </c>
      <c r="O307" s="40" t="n">
        <v>542.8</v>
      </c>
      <c r="P307" s="41">
        <f>SUM(D307:O307)</f>
        <v/>
      </c>
    </row>
    <row r="308">
      <c r="A308" s="34" t="inlineStr">
        <is>
          <t>Barley</t>
        </is>
      </c>
      <c r="B308" s="39" t="inlineStr">
        <is>
          <t>Imports</t>
        </is>
      </c>
      <c r="C308" s="34" t="inlineStr">
        <is>
          <t>2022-23</t>
        </is>
      </c>
      <c r="O308" s="40" t="n">
        <v>25.1</v>
      </c>
      <c r="P308" s="41">
        <f>SUM(D308:O308)</f>
        <v/>
      </c>
    </row>
    <row r="309">
      <c r="A309" s="34" t="inlineStr">
        <is>
          <t>Barley</t>
        </is>
      </c>
      <c r="B309" s="39" t="inlineStr">
        <is>
          <t>Production</t>
        </is>
      </c>
      <c r="C309" s="34" t="inlineStr">
        <is>
          <t>2022-23</t>
        </is>
      </c>
      <c r="O309" s="40" t="n">
        <v>9986.700000000001</v>
      </c>
      <c r="P309" s="41">
        <f>SUM(D309:O309)</f>
        <v/>
      </c>
    </row>
    <row r="310">
      <c r="A310" s="34" t="inlineStr">
        <is>
          <t>Barley</t>
        </is>
      </c>
      <c r="B310" s="39" t="inlineStr">
        <is>
          <t>Food</t>
        </is>
      </c>
      <c r="C310" s="34" t="inlineStr">
        <is>
          <t>2022-23</t>
        </is>
      </c>
      <c r="O310" s="40" t="n">
        <v>18.5</v>
      </c>
      <c r="P310" s="41">
        <f>SUM(D310:O310)</f>
        <v/>
      </c>
    </row>
    <row r="311">
      <c r="A311" s="34" t="inlineStr">
        <is>
          <t>Barley</t>
        </is>
      </c>
      <c r="B311" s="39" t="inlineStr">
        <is>
          <t>Industrial</t>
        </is>
      </c>
      <c r="C311" s="34" t="inlineStr">
        <is>
          <t>2022-23</t>
        </is>
      </c>
      <c r="O311" s="40" t="n">
        <v>86.09999999999999</v>
      </c>
      <c r="P311" s="41">
        <f>SUM(D311:O311)</f>
        <v/>
      </c>
    </row>
    <row r="312">
      <c r="A312" s="34" t="inlineStr">
        <is>
          <t>Barley</t>
        </is>
      </c>
      <c r="B312" s="39" t="inlineStr">
        <is>
          <t>FSR</t>
        </is>
      </c>
      <c r="C312" s="34" t="inlineStr">
        <is>
          <t>2022-23</t>
        </is>
      </c>
      <c r="O312" s="40" t="n">
        <v>5851.900000000001</v>
      </c>
      <c r="P312" s="41">
        <f>SUM(D312:O312)</f>
        <v/>
      </c>
    </row>
    <row r="313">
      <c r="A313" s="34" t="inlineStr">
        <is>
          <t>Barley</t>
        </is>
      </c>
      <c r="B313" s="39" t="inlineStr">
        <is>
          <t>Exports</t>
        </is>
      </c>
      <c r="C313" s="34" t="inlineStr">
        <is>
          <t>2022-23</t>
        </is>
      </c>
      <c r="O313" s="40" t="n">
        <v>3889.6</v>
      </c>
      <c r="P313" s="41">
        <f>SUM(D313:O313)</f>
        <v/>
      </c>
    </row>
    <row r="314">
      <c r="A314" s="34" t="inlineStr">
        <is>
          <t>Barley</t>
        </is>
      </c>
      <c r="B314" s="39" t="inlineStr">
        <is>
          <t>Ending Stocks</t>
        </is>
      </c>
      <c r="C314" s="34" t="inlineStr">
        <is>
          <t>2022-23</t>
        </is>
      </c>
      <c r="O314" s="40" t="n">
        <v>708.5</v>
      </c>
      <c r="P314" s="41">
        <f>SUM(D314:O314)</f>
        <v/>
      </c>
    </row>
    <row r="315">
      <c r="A315" s="34" t="inlineStr">
        <is>
          <t>Barley</t>
        </is>
      </c>
      <c r="B315" s="35" t="inlineStr">
        <is>
          <t>Stocks-to-Use</t>
        </is>
      </c>
      <c r="C315" s="34" t="inlineStr">
        <is>
          <t>2022-23</t>
        </is>
      </c>
      <c r="P315" s="37">
        <f>SUM(D315:O315)</f>
        <v/>
      </c>
    </row>
    <row r="316">
      <c r="A316" s="34" t="inlineStr">
        <is>
          <t>Barley</t>
        </is>
      </c>
      <c r="B316" s="35" t="inlineStr">
        <is>
          <t>STU Days</t>
        </is>
      </c>
      <c r="C316" s="34" t="inlineStr">
        <is>
          <t>2022-23</t>
        </is>
      </c>
      <c r="P316" s="41">
        <f>SUM(D316:O316)</f>
        <v/>
      </c>
    </row>
    <row r="317">
      <c r="A317" s="34" t="inlineStr">
        <is>
          <t>Barley</t>
        </is>
      </c>
      <c r="B317" s="35" t="inlineStr">
        <is>
          <t>CHECK</t>
        </is>
      </c>
      <c r="C317" s="34" t="inlineStr">
        <is>
          <t>2022-23</t>
        </is>
      </c>
      <c r="O317" s="41" t="n">
        <v>-4.547473508864641e-13</v>
      </c>
      <c r="P317" s="41">
        <f>SUM(D317:O317)</f>
        <v/>
      </c>
    </row>
    <row r="318">
      <c r="A318" s="34" t="inlineStr">
        <is>
          <t>Barley</t>
        </is>
      </c>
      <c r="B318" s="35" t="inlineStr">
        <is>
          <t>Planted Area</t>
        </is>
      </c>
      <c r="C318" s="34" t="inlineStr">
        <is>
          <t>2023-24</t>
        </is>
      </c>
      <c r="P318" s="36">
        <f>SUM(D318:O318)</f>
        <v/>
      </c>
    </row>
    <row r="319">
      <c r="A319" s="34" t="inlineStr">
        <is>
          <t>Barley</t>
        </is>
      </c>
      <c r="B319" s="35" t="inlineStr">
        <is>
          <t>Harvested Area</t>
        </is>
      </c>
      <c r="C319" s="34" t="inlineStr">
        <is>
          <t>2023-24</t>
        </is>
      </c>
      <c r="P319" s="36">
        <f>SUM(D319:O319)</f>
        <v/>
      </c>
    </row>
    <row r="320">
      <c r="A320" s="34" t="inlineStr">
        <is>
          <t>Barley</t>
        </is>
      </c>
      <c r="B320" s="35" t="inlineStr">
        <is>
          <t>Proportion Harvested</t>
        </is>
      </c>
      <c r="C320" s="34" t="inlineStr">
        <is>
          <t>2023-24</t>
        </is>
      </c>
      <c r="P320" s="37">
        <f>SUM(D320:O320)</f>
        <v/>
      </c>
    </row>
    <row r="321">
      <c r="A321" s="34" t="inlineStr">
        <is>
          <t>Barley</t>
        </is>
      </c>
      <c r="B321" s="35" t="inlineStr">
        <is>
          <t>Yield</t>
        </is>
      </c>
      <c r="C321" s="34" t="inlineStr">
        <is>
          <t>2023-24</t>
        </is>
      </c>
      <c r="P321" s="38">
        <f>SUM(D321:O321)</f>
        <v/>
      </c>
    </row>
    <row r="322">
      <c r="A322" s="34" t="inlineStr">
        <is>
          <t>Barley</t>
        </is>
      </c>
      <c r="B322" s="39" t="inlineStr">
        <is>
          <t>Beginning Stocks</t>
        </is>
      </c>
      <c r="C322" s="34" t="inlineStr">
        <is>
          <t>2023-24</t>
        </is>
      </c>
      <c r="O322" s="40" t="n">
        <v>708.5</v>
      </c>
      <c r="P322" s="41">
        <f>SUM(D322:O322)</f>
        <v/>
      </c>
    </row>
    <row r="323">
      <c r="A323" s="34" t="inlineStr">
        <is>
          <t>Barley</t>
        </is>
      </c>
      <c r="B323" s="39" t="inlineStr">
        <is>
          <t>Imports</t>
        </is>
      </c>
      <c r="C323" s="34" t="inlineStr">
        <is>
          <t>2023-24</t>
        </is>
      </c>
      <c r="O323" s="40" t="n">
        <v>117.3</v>
      </c>
      <c r="P323" s="41">
        <f>SUM(D323:O323)</f>
        <v/>
      </c>
    </row>
    <row r="324">
      <c r="A324" s="34" t="inlineStr">
        <is>
          <t>Barley</t>
        </is>
      </c>
      <c r="B324" s="39" t="inlineStr">
        <is>
          <t>Production</t>
        </is>
      </c>
      <c r="C324" s="34" t="inlineStr">
        <is>
          <t>2023-24</t>
        </is>
      </c>
      <c r="O324" s="40" t="n">
        <v>8905.4</v>
      </c>
      <c r="P324" s="41">
        <f>SUM(D324:O324)</f>
        <v/>
      </c>
    </row>
    <row r="325">
      <c r="A325" s="34" t="inlineStr">
        <is>
          <t>Barley</t>
        </is>
      </c>
      <c r="B325" s="39" t="inlineStr">
        <is>
          <t>Food</t>
        </is>
      </c>
      <c r="C325" s="34" t="inlineStr">
        <is>
          <t>2023-24</t>
        </is>
      </c>
      <c r="O325" s="40" t="n">
        <v>18.6</v>
      </c>
      <c r="P325" s="41">
        <f>SUM(D325:O325)</f>
        <v/>
      </c>
    </row>
    <row r="326">
      <c r="A326" s="34" t="inlineStr">
        <is>
          <t>Barley</t>
        </is>
      </c>
      <c r="B326" s="39" t="inlineStr">
        <is>
          <t>Industrial</t>
        </is>
      </c>
      <c r="C326" s="34" t="inlineStr">
        <is>
          <t>2023-24</t>
        </is>
      </c>
      <c r="O326" s="40" t="n">
        <v>71.09999999999999</v>
      </c>
      <c r="P326" s="41">
        <f>SUM(D326:O326)</f>
        <v/>
      </c>
    </row>
    <row r="327">
      <c r="A327" s="34" t="inlineStr">
        <is>
          <t>Barley</t>
        </is>
      </c>
      <c r="B327" s="39" t="inlineStr">
        <is>
          <t>FSR</t>
        </is>
      </c>
      <c r="C327" s="34" t="inlineStr">
        <is>
          <t>2023-24</t>
        </is>
      </c>
      <c r="O327" s="40" t="n">
        <v>5426.699999999999</v>
      </c>
      <c r="P327" s="41">
        <f>SUM(D327:O327)</f>
        <v/>
      </c>
    </row>
    <row r="328">
      <c r="A328" s="34" t="inlineStr">
        <is>
          <t>Barley</t>
        </is>
      </c>
      <c r="B328" s="39" t="inlineStr">
        <is>
          <t>Exports</t>
        </is>
      </c>
      <c r="C328" s="34" t="inlineStr">
        <is>
          <t>2023-24</t>
        </is>
      </c>
      <c r="O328" s="40" t="n">
        <v>3063.2</v>
      </c>
      <c r="P328" s="41">
        <f>SUM(D328:O328)</f>
        <v/>
      </c>
    </row>
    <row r="329">
      <c r="A329" s="34" t="inlineStr">
        <is>
          <t>Barley</t>
        </is>
      </c>
      <c r="B329" s="39" t="inlineStr">
        <is>
          <t>Ending Stocks</t>
        </is>
      </c>
      <c r="C329" s="34" t="inlineStr">
        <is>
          <t>2023-24</t>
        </is>
      </c>
      <c r="O329" s="40" t="n">
        <v>1151.6</v>
      </c>
      <c r="P329" s="41">
        <f>SUM(D329:O329)</f>
        <v/>
      </c>
    </row>
    <row r="330">
      <c r="A330" s="34" t="inlineStr">
        <is>
          <t>Barley</t>
        </is>
      </c>
      <c r="B330" s="35" t="inlineStr">
        <is>
          <t>Stocks-to-Use</t>
        </is>
      </c>
      <c r="C330" s="34" t="inlineStr">
        <is>
          <t>2023-24</t>
        </is>
      </c>
      <c r="P330" s="37">
        <f>SUM(D330:O330)</f>
        <v/>
      </c>
    </row>
    <row r="331">
      <c r="A331" s="34" t="inlineStr">
        <is>
          <t>Barley</t>
        </is>
      </c>
      <c r="B331" s="35" t="inlineStr">
        <is>
          <t>STU Days</t>
        </is>
      </c>
      <c r="C331" s="34" t="inlineStr">
        <is>
          <t>2023-24</t>
        </is>
      </c>
      <c r="P331" s="41">
        <f>SUM(D331:O331)</f>
        <v/>
      </c>
    </row>
    <row r="332">
      <c r="A332" s="34" t="inlineStr">
        <is>
          <t>Barley</t>
        </is>
      </c>
      <c r="B332" s="35" t="inlineStr">
        <is>
          <t>CHECK</t>
        </is>
      </c>
      <c r="C332" s="34" t="inlineStr">
        <is>
          <t>2023-24</t>
        </is>
      </c>
      <c r="O332" s="41" t="n">
        <v>-4.547473508864641e-13</v>
      </c>
      <c r="P332" s="41">
        <f>SUM(D332:O332)</f>
        <v/>
      </c>
    </row>
    <row r="333">
      <c r="A333" s="34" t="inlineStr">
        <is>
          <t>Barley</t>
        </is>
      </c>
      <c r="B333" s="35" t="inlineStr">
        <is>
          <t>Planted Area</t>
        </is>
      </c>
      <c r="C333" s="34" t="inlineStr">
        <is>
          <t>2024-25</t>
        </is>
      </c>
      <c r="P333" s="36">
        <f>SUM(D333:O333)</f>
        <v/>
      </c>
    </row>
    <row r="334">
      <c r="A334" s="34" t="inlineStr">
        <is>
          <t>Barley</t>
        </is>
      </c>
      <c r="B334" s="35" t="inlineStr">
        <is>
          <t>Harvested Area</t>
        </is>
      </c>
      <c r="C334" s="34" t="inlineStr">
        <is>
          <t>2024-25</t>
        </is>
      </c>
      <c r="P334" s="36">
        <f>SUM(D334:O334)</f>
        <v/>
      </c>
    </row>
    <row r="335">
      <c r="A335" s="34" t="inlineStr">
        <is>
          <t>Barley</t>
        </is>
      </c>
      <c r="B335" s="35" t="inlineStr">
        <is>
          <t>Proportion Harvested</t>
        </is>
      </c>
      <c r="C335" s="34" t="inlineStr">
        <is>
          <t>2024-25</t>
        </is>
      </c>
      <c r="P335" s="37">
        <f>SUM(D335:O335)</f>
        <v/>
      </c>
    </row>
    <row r="336">
      <c r="A336" s="34" t="inlineStr">
        <is>
          <t>Barley</t>
        </is>
      </c>
      <c r="B336" s="35" t="inlineStr">
        <is>
          <t>Yield</t>
        </is>
      </c>
      <c r="C336" s="34" t="inlineStr">
        <is>
          <t>2024-25</t>
        </is>
      </c>
      <c r="P336" s="38">
        <f>SUM(D336:O336)</f>
        <v/>
      </c>
    </row>
    <row r="337">
      <c r="A337" s="34" t="inlineStr">
        <is>
          <t>Barley</t>
        </is>
      </c>
      <c r="B337" s="39" t="inlineStr">
        <is>
          <t>Beginning Stocks</t>
        </is>
      </c>
      <c r="C337" s="34" t="inlineStr">
        <is>
          <t>2024-25</t>
        </is>
      </c>
      <c r="O337" s="40" t="n">
        <v>1151.6</v>
      </c>
      <c r="P337" s="41">
        <f>SUM(D337:O337)</f>
        <v/>
      </c>
    </row>
    <row r="338">
      <c r="A338" s="34" t="inlineStr">
        <is>
          <t>Barley</t>
        </is>
      </c>
      <c r="B338" s="39" t="inlineStr">
        <is>
          <t>Imports</t>
        </is>
      </c>
      <c r="C338" s="34" t="inlineStr">
        <is>
          <t>2024-25</t>
        </is>
      </c>
      <c r="O338" s="40" t="n">
        <v>168.7</v>
      </c>
      <c r="P338" s="41">
        <f>SUM(D338:O338)</f>
        <v/>
      </c>
    </row>
    <row r="339">
      <c r="A339" s="34" t="inlineStr">
        <is>
          <t>Barley</t>
        </is>
      </c>
      <c r="B339" s="39" t="inlineStr">
        <is>
          <t>Production</t>
        </is>
      </c>
      <c r="C339" s="34" t="inlineStr">
        <is>
          <t>2024-25</t>
        </is>
      </c>
      <c r="O339" s="40" t="n">
        <v>8143.9</v>
      </c>
      <c r="P339" s="41">
        <f>SUM(D339:O339)</f>
        <v/>
      </c>
    </row>
    <row r="340">
      <c r="A340" s="34" t="inlineStr">
        <is>
          <t>Barley</t>
        </is>
      </c>
      <c r="B340" s="39" t="inlineStr">
        <is>
          <t>Food</t>
        </is>
      </c>
      <c r="C340" s="34" t="inlineStr">
        <is>
          <t>2024-25</t>
        </is>
      </c>
      <c r="O340" s="40" t="n">
        <v>18.6</v>
      </c>
      <c r="P340" s="41">
        <f>SUM(D340:O340)</f>
        <v/>
      </c>
    </row>
    <row r="341">
      <c r="A341" s="34" t="inlineStr">
        <is>
          <t>Barley</t>
        </is>
      </c>
      <c r="B341" s="39" t="inlineStr">
        <is>
          <t>Industrial</t>
        </is>
      </c>
      <c r="C341" s="34" t="inlineStr">
        <is>
          <t>2024-25</t>
        </is>
      </c>
      <c r="O341" s="40" t="n">
        <v>74.3</v>
      </c>
      <c r="P341" s="41">
        <f>SUM(D341:O341)</f>
        <v/>
      </c>
    </row>
    <row r="342">
      <c r="A342" s="34" t="inlineStr">
        <is>
          <t>Barley</t>
        </is>
      </c>
      <c r="B342" s="39" t="inlineStr">
        <is>
          <t>FSR</t>
        </is>
      </c>
      <c r="C342" s="34" t="inlineStr">
        <is>
          <t>2024-25</t>
        </is>
      </c>
      <c r="O342" s="40" t="n">
        <v>5280.400000000001</v>
      </c>
      <c r="P342" s="41">
        <f>SUM(D342:O342)</f>
        <v/>
      </c>
    </row>
    <row r="343">
      <c r="A343" s="34" t="inlineStr">
        <is>
          <t>Barley</t>
        </is>
      </c>
      <c r="B343" s="39" t="inlineStr">
        <is>
          <t>Exports</t>
        </is>
      </c>
      <c r="C343" s="34" t="inlineStr">
        <is>
          <t>2024-25</t>
        </is>
      </c>
      <c r="O343" s="40" t="n">
        <v>2842.2</v>
      </c>
      <c r="P343" s="41">
        <f>SUM(D343:O343)</f>
        <v/>
      </c>
    </row>
    <row r="344">
      <c r="A344" s="34" t="inlineStr">
        <is>
          <t>Barley</t>
        </is>
      </c>
      <c r="B344" s="39" t="inlineStr">
        <is>
          <t>Ending Stocks</t>
        </is>
      </c>
      <c r="C344" s="34" t="inlineStr">
        <is>
          <t>2024-25</t>
        </is>
      </c>
      <c r="O344" s="40" t="n">
        <v>1248.7</v>
      </c>
      <c r="P344" s="41">
        <f>SUM(D344:O344)</f>
        <v/>
      </c>
    </row>
    <row r="345">
      <c r="A345" s="34" t="inlineStr">
        <is>
          <t>Barley</t>
        </is>
      </c>
      <c r="B345" s="35" t="inlineStr">
        <is>
          <t>Stocks-to-Use</t>
        </is>
      </c>
      <c r="C345" s="34" t="inlineStr">
        <is>
          <t>2024-25</t>
        </is>
      </c>
      <c r="P345" s="37">
        <f>SUM(D345:O345)</f>
        <v/>
      </c>
    </row>
    <row r="346">
      <c r="A346" s="34" t="inlineStr">
        <is>
          <t>Barley</t>
        </is>
      </c>
      <c r="B346" s="35" t="inlineStr">
        <is>
          <t>STU Days</t>
        </is>
      </c>
      <c r="C346" s="34" t="inlineStr">
        <is>
          <t>2024-25</t>
        </is>
      </c>
      <c r="P346" s="41">
        <f>SUM(D346:O346)</f>
        <v/>
      </c>
    </row>
    <row r="347">
      <c r="A347" s="34" t="inlineStr">
        <is>
          <t>Barley</t>
        </is>
      </c>
      <c r="B347" s="35" t="inlineStr">
        <is>
          <t>CHECK</t>
        </is>
      </c>
      <c r="C347" s="34" t="inlineStr">
        <is>
          <t>2024-25</t>
        </is>
      </c>
      <c r="O347" s="41" t="n">
        <v>6.821210263296962e-13</v>
      </c>
      <c r="P347" s="41">
        <f>SUM(D347:O347)</f>
        <v/>
      </c>
    </row>
    <row r="348">
      <c r="A348" s="34" t="inlineStr">
        <is>
          <t>Barley</t>
        </is>
      </c>
      <c r="B348" s="42" t="inlineStr">
        <is>
          <t>CHECK</t>
        </is>
      </c>
      <c r="C348" s="43" t="inlineStr">
        <is>
          <t>KMT</t>
        </is>
      </c>
      <c r="D348" s="40" t="n">
        <v>0</v>
      </c>
      <c r="E348" s="40" t="n">
        <v>0</v>
      </c>
      <c r="F348" s="40" t="n">
        <v>0</v>
      </c>
      <c r="G348" s="40" t="n">
        <v>0</v>
      </c>
      <c r="H348" s="40" t="n">
        <v>0</v>
      </c>
      <c r="I348" s="40" t="n">
        <v>0</v>
      </c>
      <c r="J348" s="40" t="n">
        <v>0</v>
      </c>
      <c r="K348" s="40" t="n">
        <v>0</v>
      </c>
      <c r="L348" s="40" t="n">
        <v>0</v>
      </c>
      <c r="M348" s="40" t="n">
        <v>0</v>
      </c>
      <c r="N348" s="40" t="n">
        <v>0</v>
      </c>
      <c r="O348" s="40" t="n">
        <v>0</v>
      </c>
      <c r="P348" s="44" t="n">
        <v>0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48"/>
  <sheetViews>
    <sheetView workbookViewId="0">
      <selection activeCell="A1" sqref="A1:C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8" customWidth="1" style="46" min="4" max="15"/>
    <col width="12" customWidth="1" style="46" min="16" max="16"/>
  </cols>
  <sheetData>
    <row r="1" ht="15.6" customHeight="1" s="46">
      <c r="A1" s="48" t="inlineStr">
        <is>
          <t>Oats</t>
        </is>
      </c>
    </row>
    <row r="2">
      <c r="A2" s="33" t="inlineStr">
        <is>
          <t>Commodity</t>
        </is>
      </c>
      <c r="B2" s="33" t="inlineStr">
        <is>
          <t>Metric</t>
        </is>
      </c>
      <c r="C2" s="33" t="inlineStr">
        <is>
          <t>Crop Year</t>
        </is>
      </c>
      <c r="D2" s="33" t="inlineStr">
        <is>
          <t>08</t>
        </is>
      </c>
      <c r="E2" s="33" t="inlineStr">
        <is>
          <t>09</t>
        </is>
      </c>
      <c r="F2" s="33" t="inlineStr">
        <is>
          <t>10</t>
        </is>
      </c>
      <c r="G2" s="33" t="inlineStr">
        <is>
          <t>11</t>
        </is>
      </c>
      <c r="H2" s="33" t="inlineStr">
        <is>
          <t>12</t>
        </is>
      </c>
      <c r="I2" s="33" t="inlineStr">
        <is>
          <t>01</t>
        </is>
      </c>
      <c r="J2" s="33" t="inlineStr">
        <is>
          <t>02</t>
        </is>
      </c>
      <c r="K2" s="33" t="inlineStr">
        <is>
          <t>03</t>
        </is>
      </c>
      <c r="L2" s="33" t="inlineStr">
        <is>
          <t>04</t>
        </is>
      </c>
      <c r="M2" s="33" t="inlineStr">
        <is>
          <t>05</t>
        </is>
      </c>
      <c r="N2" s="33" t="inlineStr">
        <is>
          <t>06</t>
        </is>
      </c>
      <c r="O2" s="33" t="inlineStr">
        <is>
          <t>07</t>
        </is>
      </c>
      <c r="P2" s="33" t="inlineStr">
        <is>
          <t>Total</t>
        </is>
      </c>
    </row>
    <row r="3">
      <c r="A3" s="34" t="inlineStr">
        <is>
          <t>Oats</t>
        </is>
      </c>
      <c r="B3" s="35" t="inlineStr">
        <is>
          <t>Planted Area</t>
        </is>
      </c>
      <c r="C3" s="34" t="inlineStr">
        <is>
          <t>2002-03</t>
        </is>
      </c>
      <c r="P3" s="36">
        <f>SUM(D3:O3)</f>
        <v/>
      </c>
    </row>
    <row r="4">
      <c r="A4" s="34" t="inlineStr">
        <is>
          <t>Oats</t>
        </is>
      </c>
      <c r="B4" s="35" t="inlineStr">
        <is>
          <t>Harvested Area</t>
        </is>
      </c>
      <c r="C4" s="34" t="inlineStr">
        <is>
          <t>2002-03</t>
        </is>
      </c>
      <c r="P4" s="36">
        <f>SUM(D4:O4)</f>
        <v/>
      </c>
    </row>
    <row r="5">
      <c r="A5" s="34" t="inlineStr">
        <is>
          <t>Oats</t>
        </is>
      </c>
      <c r="B5" s="35" t="inlineStr">
        <is>
          <t>Proportion Harvested</t>
        </is>
      </c>
      <c r="C5" s="34" t="inlineStr">
        <is>
          <t>2002-03</t>
        </is>
      </c>
      <c r="P5" s="37">
        <f>SUM(D5:O5)</f>
        <v/>
      </c>
    </row>
    <row r="6">
      <c r="A6" s="34" t="inlineStr">
        <is>
          <t>Oats</t>
        </is>
      </c>
      <c r="B6" s="35" t="inlineStr">
        <is>
          <t>Yield</t>
        </is>
      </c>
      <c r="C6" s="34" t="inlineStr">
        <is>
          <t>2002-03</t>
        </is>
      </c>
      <c r="P6" s="38">
        <f>SUM(D6:O6)</f>
        <v/>
      </c>
    </row>
    <row r="7">
      <c r="A7" s="34" t="inlineStr">
        <is>
          <t>Oats</t>
        </is>
      </c>
      <c r="B7" s="39" t="inlineStr">
        <is>
          <t>Beginning Stocks</t>
        </is>
      </c>
      <c r="C7" s="34" t="inlineStr">
        <is>
          <t>2002-03</t>
        </is>
      </c>
      <c r="O7" s="40" t="n">
        <v>362.8</v>
      </c>
      <c r="P7" s="41">
        <f>SUM(D7:O7)</f>
        <v/>
      </c>
    </row>
    <row r="8">
      <c r="A8" s="34" t="inlineStr">
        <is>
          <t>Oats</t>
        </is>
      </c>
      <c r="B8" s="39" t="inlineStr">
        <is>
          <t>Imports</t>
        </is>
      </c>
      <c r="C8" s="34" t="inlineStr">
        <is>
          <t>2002-03</t>
        </is>
      </c>
      <c r="O8" s="40" t="n">
        <v>20.7</v>
      </c>
      <c r="P8" s="41">
        <f>SUM(D8:O8)</f>
        <v/>
      </c>
    </row>
    <row r="9">
      <c r="A9" s="34" t="inlineStr">
        <is>
          <t>Oats</t>
        </is>
      </c>
      <c r="B9" s="39" t="inlineStr">
        <is>
          <t>Production</t>
        </is>
      </c>
      <c r="C9" s="34" t="inlineStr">
        <is>
          <t>2002-03</t>
        </is>
      </c>
      <c r="O9" s="40" t="n">
        <v>2910.7</v>
      </c>
      <c r="P9" s="41">
        <f>SUM(D9:O9)</f>
        <v/>
      </c>
    </row>
    <row r="10">
      <c r="A10" s="34" t="inlineStr">
        <is>
          <t>Oats</t>
        </is>
      </c>
      <c r="B10" s="39" t="inlineStr">
        <is>
          <t>Food</t>
        </is>
      </c>
      <c r="C10" s="34" t="inlineStr">
        <is>
          <t>2002-03</t>
        </is>
      </c>
      <c r="O10" s="40" t="n">
        <v>132.1</v>
      </c>
      <c r="P10" s="41">
        <f>SUM(D10:O10)</f>
        <v/>
      </c>
    </row>
    <row r="11">
      <c r="A11" s="34" t="inlineStr">
        <is>
          <t>Oats</t>
        </is>
      </c>
      <c r="B11" s="39" t="inlineStr">
        <is>
          <t>Industrial</t>
        </is>
      </c>
      <c r="C11" s="34" t="inlineStr">
        <is>
          <t>2002-03</t>
        </is>
      </c>
      <c r="O11" s="40" t="n">
        <v>0</v>
      </c>
      <c r="P11" s="41">
        <f>SUM(D11:O11)</f>
        <v/>
      </c>
    </row>
    <row r="12">
      <c r="A12" s="34" t="inlineStr">
        <is>
          <t>Oats</t>
        </is>
      </c>
      <c r="B12" s="39" t="inlineStr">
        <is>
          <t>FSR</t>
        </is>
      </c>
      <c r="C12" s="34" t="inlineStr">
        <is>
          <t>2002-03</t>
        </is>
      </c>
      <c r="O12" s="40" t="n">
        <v>1448.4</v>
      </c>
      <c r="P12" s="41">
        <f>SUM(D12:O12)</f>
        <v/>
      </c>
    </row>
    <row r="13">
      <c r="A13" s="34" t="inlineStr">
        <is>
          <t>Oats</t>
        </is>
      </c>
      <c r="B13" s="39" t="inlineStr">
        <is>
          <t>Exports</t>
        </is>
      </c>
      <c r="C13" s="34" t="inlineStr">
        <is>
          <t>2002-03</t>
        </is>
      </c>
      <c r="O13" s="40" t="n">
        <v>1189.8</v>
      </c>
      <c r="P13" s="41">
        <f>SUM(D13:O13)</f>
        <v/>
      </c>
    </row>
    <row r="14">
      <c r="A14" s="34" t="inlineStr">
        <is>
          <t>Oats</t>
        </is>
      </c>
      <c r="B14" s="39" t="inlineStr">
        <is>
          <t>Ending Stocks</t>
        </is>
      </c>
      <c r="C14" s="34" t="inlineStr">
        <is>
          <t>2002-03</t>
        </is>
      </c>
      <c r="O14" s="40" t="n">
        <v>523.9</v>
      </c>
      <c r="P14" s="41">
        <f>SUM(D14:O14)</f>
        <v/>
      </c>
    </row>
    <row r="15">
      <c r="A15" s="34" t="inlineStr">
        <is>
          <t>Oats</t>
        </is>
      </c>
      <c r="B15" s="35" t="inlineStr">
        <is>
          <t>Stocks-to-Use</t>
        </is>
      </c>
      <c r="C15" s="34" t="inlineStr">
        <is>
          <t>2002-03</t>
        </is>
      </c>
      <c r="P15" s="37">
        <f>SUM(D15:O15)</f>
        <v/>
      </c>
    </row>
    <row r="16">
      <c r="A16" s="34" t="inlineStr">
        <is>
          <t>Oats</t>
        </is>
      </c>
      <c r="B16" s="35" t="inlineStr">
        <is>
          <t>STU Days</t>
        </is>
      </c>
      <c r="C16" s="34" t="inlineStr">
        <is>
          <t>2002-03</t>
        </is>
      </c>
      <c r="P16" s="41">
        <f>SUM(D16:O16)</f>
        <v/>
      </c>
    </row>
    <row r="17">
      <c r="A17" s="34" t="inlineStr">
        <is>
          <t>Oats</t>
        </is>
      </c>
      <c r="B17" s="35" t="inlineStr">
        <is>
          <t>CHECK</t>
        </is>
      </c>
      <c r="C17" s="34" t="inlineStr">
        <is>
          <t>2002-03</t>
        </is>
      </c>
      <c r="O17" s="41" t="n">
        <v>-1.136868377216161e-13</v>
      </c>
      <c r="P17" s="41">
        <f>SUM(D17:O17)</f>
        <v/>
      </c>
    </row>
    <row r="18">
      <c r="A18" s="34" t="inlineStr">
        <is>
          <t>Oats</t>
        </is>
      </c>
      <c r="B18" s="35" t="inlineStr">
        <is>
          <t>Planted Area</t>
        </is>
      </c>
      <c r="C18" s="34" t="inlineStr">
        <is>
          <t>2003-04</t>
        </is>
      </c>
      <c r="P18" s="36">
        <f>SUM(D18:O18)</f>
        <v/>
      </c>
    </row>
    <row r="19">
      <c r="A19" s="34" t="inlineStr">
        <is>
          <t>Oats</t>
        </is>
      </c>
      <c r="B19" s="35" t="inlineStr">
        <is>
          <t>Harvested Area</t>
        </is>
      </c>
      <c r="C19" s="34" t="inlineStr">
        <is>
          <t>2003-04</t>
        </is>
      </c>
      <c r="P19" s="36">
        <f>SUM(D19:O19)</f>
        <v/>
      </c>
    </row>
    <row r="20">
      <c r="A20" s="34" t="inlineStr">
        <is>
          <t>Oats</t>
        </is>
      </c>
      <c r="B20" s="35" t="inlineStr">
        <is>
          <t>Proportion Harvested</t>
        </is>
      </c>
      <c r="C20" s="34" t="inlineStr">
        <is>
          <t>2003-04</t>
        </is>
      </c>
      <c r="P20" s="37">
        <f>SUM(D20:O20)</f>
        <v/>
      </c>
    </row>
    <row r="21">
      <c r="A21" s="34" t="inlineStr">
        <is>
          <t>Oats</t>
        </is>
      </c>
      <c r="B21" s="35" t="inlineStr">
        <is>
          <t>Yield</t>
        </is>
      </c>
      <c r="C21" s="34" t="inlineStr">
        <is>
          <t>2003-04</t>
        </is>
      </c>
      <c r="P21" s="38">
        <f>SUM(D21:O21)</f>
        <v/>
      </c>
    </row>
    <row r="22">
      <c r="A22" s="34" t="inlineStr">
        <is>
          <t>Oats</t>
        </is>
      </c>
      <c r="B22" s="39" t="inlineStr">
        <is>
          <t>Beginning Stocks</t>
        </is>
      </c>
      <c r="C22" s="34" t="inlineStr">
        <is>
          <t>2003-04</t>
        </is>
      </c>
      <c r="O22" s="40" t="n">
        <v>523.9</v>
      </c>
      <c r="P22" s="41">
        <f>SUM(D22:O22)</f>
        <v/>
      </c>
    </row>
    <row r="23">
      <c r="A23" s="34" t="inlineStr">
        <is>
          <t>Oats</t>
        </is>
      </c>
      <c r="B23" s="39" t="inlineStr">
        <is>
          <t>Imports</t>
        </is>
      </c>
      <c r="C23" s="34" t="inlineStr">
        <is>
          <t>2003-04</t>
        </is>
      </c>
      <c r="O23" s="40" t="n">
        <v>18.9</v>
      </c>
      <c r="P23" s="41">
        <f>SUM(D23:O23)</f>
        <v/>
      </c>
    </row>
    <row r="24">
      <c r="A24" s="34" t="inlineStr">
        <is>
          <t>Oats</t>
        </is>
      </c>
      <c r="B24" s="39" t="inlineStr">
        <is>
          <t>Production</t>
        </is>
      </c>
      <c r="C24" s="34" t="inlineStr">
        <is>
          <t>2003-04</t>
        </is>
      </c>
      <c r="O24" s="40" t="n">
        <v>3376.7</v>
      </c>
      <c r="P24" s="41">
        <f>SUM(D24:O24)</f>
        <v/>
      </c>
    </row>
    <row r="25">
      <c r="A25" s="34" t="inlineStr">
        <is>
          <t>Oats</t>
        </is>
      </c>
      <c r="B25" s="39" t="inlineStr">
        <is>
          <t>Food</t>
        </is>
      </c>
      <c r="C25" s="34" t="inlineStr">
        <is>
          <t>2003-04</t>
        </is>
      </c>
      <c r="O25" s="40" t="n">
        <v>139.8</v>
      </c>
      <c r="P25" s="41">
        <f>SUM(D25:O25)</f>
        <v/>
      </c>
    </row>
    <row r="26">
      <c r="A26" s="34" t="inlineStr">
        <is>
          <t>Oats</t>
        </is>
      </c>
      <c r="B26" s="39" t="inlineStr">
        <is>
          <t>Industrial</t>
        </is>
      </c>
      <c r="C26" s="34" t="inlineStr">
        <is>
          <t>2003-04</t>
        </is>
      </c>
      <c r="O26" s="40" t="n">
        <v>0</v>
      </c>
      <c r="P26" s="41">
        <f>SUM(D26:O26)</f>
        <v/>
      </c>
    </row>
    <row r="27">
      <c r="A27" s="34" t="inlineStr">
        <is>
          <t>Oats</t>
        </is>
      </c>
      <c r="B27" s="39" t="inlineStr">
        <is>
          <t>FSR</t>
        </is>
      </c>
      <c r="C27" s="34" t="inlineStr">
        <is>
          <t>2003-04</t>
        </is>
      </c>
      <c r="O27" s="40" t="n">
        <v>1434</v>
      </c>
      <c r="P27" s="41">
        <f>SUM(D27:O27)</f>
        <v/>
      </c>
    </row>
    <row r="28">
      <c r="A28" s="34" t="inlineStr">
        <is>
          <t>Oats</t>
        </is>
      </c>
      <c r="B28" s="39" t="inlineStr">
        <is>
          <t>Exports</t>
        </is>
      </c>
      <c r="C28" s="34" t="inlineStr">
        <is>
          <t>2003-04</t>
        </is>
      </c>
      <c r="O28" s="40" t="n">
        <v>1557.6</v>
      </c>
      <c r="P28" s="41">
        <f>SUM(D28:O28)</f>
        <v/>
      </c>
    </row>
    <row r="29">
      <c r="A29" s="34" t="inlineStr">
        <is>
          <t>Oats</t>
        </is>
      </c>
      <c r="B29" s="39" t="inlineStr">
        <is>
          <t>Ending Stocks</t>
        </is>
      </c>
      <c r="C29" s="34" t="inlineStr">
        <is>
          <t>2003-04</t>
        </is>
      </c>
      <c r="O29" s="40" t="n">
        <v>788.1</v>
      </c>
      <c r="P29" s="41">
        <f>SUM(D29:O29)</f>
        <v/>
      </c>
    </row>
    <row r="30">
      <c r="A30" s="34" t="inlineStr">
        <is>
          <t>Oats</t>
        </is>
      </c>
      <c r="B30" s="35" t="inlineStr">
        <is>
          <t>Stocks-to-Use</t>
        </is>
      </c>
      <c r="C30" s="34" t="inlineStr">
        <is>
          <t>2003-04</t>
        </is>
      </c>
      <c r="P30" s="37">
        <f>SUM(D30:O30)</f>
        <v/>
      </c>
    </row>
    <row r="31">
      <c r="A31" s="34" t="inlineStr">
        <is>
          <t>Oats</t>
        </is>
      </c>
      <c r="B31" s="35" t="inlineStr">
        <is>
          <t>STU Days</t>
        </is>
      </c>
      <c r="C31" s="34" t="inlineStr">
        <is>
          <t>2003-04</t>
        </is>
      </c>
      <c r="P31" s="41">
        <f>SUM(D31:O31)</f>
        <v/>
      </c>
    </row>
    <row r="32">
      <c r="A32" s="34" t="inlineStr">
        <is>
          <t>Oats</t>
        </is>
      </c>
      <c r="B32" s="35" t="inlineStr">
        <is>
          <t>CHECK</t>
        </is>
      </c>
      <c r="C32" s="34" t="inlineStr">
        <is>
          <t>2003-04</t>
        </is>
      </c>
      <c r="O32" s="41" t="n">
        <v>-5.684341886080801e-13</v>
      </c>
      <c r="P32" s="41">
        <f>SUM(D32:O32)</f>
        <v/>
      </c>
    </row>
    <row r="33">
      <c r="A33" s="34" t="inlineStr">
        <is>
          <t>Oats</t>
        </is>
      </c>
      <c r="B33" s="35" t="inlineStr">
        <is>
          <t>Planted Area</t>
        </is>
      </c>
      <c r="C33" s="34" t="inlineStr">
        <is>
          <t>2004-05</t>
        </is>
      </c>
      <c r="P33" s="36">
        <f>SUM(D33:O33)</f>
        <v/>
      </c>
    </row>
    <row r="34">
      <c r="A34" s="34" t="inlineStr">
        <is>
          <t>Oats</t>
        </is>
      </c>
      <c r="B34" s="35" t="inlineStr">
        <is>
          <t>Harvested Area</t>
        </is>
      </c>
      <c r="C34" s="34" t="inlineStr">
        <is>
          <t>2004-05</t>
        </is>
      </c>
      <c r="P34" s="36">
        <f>SUM(D34:O34)</f>
        <v/>
      </c>
    </row>
    <row r="35">
      <c r="A35" s="34" t="inlineStr">
        <is>
          <t>Oats</t>
        </is>
      </c>
      <c r="B35" s="35" t="inlineStr">
        <is>
          <t>Proportion Harvested</t>
        </is>
      </c>
      <c r="C35" s="34" t="inlineStr">
        <is>
          <t>2004-05</t>
        </is>
      </c>
      <c r="P35" s="37">
        <f>SUM(D35:O35)</f>
        <v/>
      </c>
    </row>
    <row r="36">
      <c r="A36" s="34" t="inlineStr">
        <is>
          <t>Oats</t>
        </is>
      </c>
      <c r="B36" s="35" t="inlineStr">
        <is>
          <t>Yield</t>
        </is>
      </c>
      <c r="C36" s="34" t="inlineStr">
        <is>
          <t>2004-05</t>
        </is>
      </c>
      <c r="P36" s="38">
        <f>SUM(D36:O36)</f>
        <v/>
      </c>
    </row>
    <row r="37">
      <c r="A37" s="34" t="inlineStr">
        <is>
          <t>Oats</t>
        </is>
      </c>
      <c r="B37" s="39" t="inlineStr">
        <is>
          <t>Beginning Stocks</t>
        </is>
      </c>
      <c r="C37" s="34" t="inlineStr">
        <is>
          <t>2004-05</t>
        </is>
      </c>
      <c r="O37" s="40" t="n">
        <v>788.1</v>
      </c>
      <c r="P37" s="41">
        <f>SUM(D37:O37)</f>
        <v/>
      </c>
    </row>
    <row r="38">
      <c r="A38" s="34" t="inlineStr">
        <is>
          <t>Oats</t>
        </is>
      </c>
      <c r="B38" s="39" t="inlineStr">
        <is>
          <t>Imports</t>
        </is>
      </c>
      <c r="C38" s="34" t="inlineStr">
        <is>
          <t>2004-05</t>
        </is>
      </c>
      <c r="O38" s="40" t="n">
        <v>25.7</v>
      </c>
      <c r="P38" s="41">
        <f>SUM(D38:O38)</f>
        <v/>
      </c>
    </row>
    <row r="39">
      <c r="A39" s="34" t="inlineStr">
        <is>
          <t>Oats</t>
        </is>
      </c>
      <c r="B39" s="39" t="inlineStr">
        <is>
          <t>Production</t>
        </is>
      </c>
      <c r="C39" s="34" t="inlineStr">
        <is>
          <t>2004-05</t>
        </is>
      </c>
      <c r="O39" s="40" t="n">
        <v>3467.2</v>
      </c>
      <c r="P39" s="41">
        <f>SUM(D39:O39)</f>
        <v/>
      </c>
    </row>
    <row r="40">
      <c r="A40" s="34" t="inlineStr">
        <is>
          <t>Oats</t>
        </is>
      </c>
      <c r="B40" s="39" t="inlineStr">
        <is>
          <t>Food</t>
        </is>
      </c>
      <c r="C40" s="34" t="inlineStr">
        <is>
          <t>2004-05</t>
        </is>
      </c>
      <c r="O40" s="40" t="n">
        <v>117.5</v>
      </c>
      <c r="P40" s="41">
        <f>SUM(D40:O40)</f>
        <v/>
      </c>
    </row>
    <row r="41">
      <c r="A41" s="34" t="inlineStr">
        <is>
          <t>Oats</t>
        </is>
      </c>
      <c r="B41" s="39" t="inlineStr">
        <is>
          <t>Industrial</t>
        </is>
      </c>
      <c r="C41" s="34" t="inlineStr">
        <is>
          <t>2004-05</t>
        </is>
      </c>
      <c r="O41" s="40" t="n">
        <v>0</v>
      </c>
      <c r="P41" s="41">
        <f>SUM(D41:O41)</f>
        <v/>
      </c>
    </row>
    <row r="42">
      <c r="A42" s="34" t="inlineStr">
        <is>
          <t>Oats</t>
        </is>
      </c>
      <c r="B42" s="39" t="inlineStr">
        <is>
          <t>FSR</t>
        </is>
      </c>
      <c r="C42" s="34" t="inlineStr">
        <is>
          <t>2004-05</t>
        </is>
      </c>
      <c r="O42" s="40" t="n">
        <v>1514.2</v>
      </c>
      <c r="P42" s="41">
        <f>SUM(D42:O42)</f>
        <v/>
      </c>
    </row>
    <row r="43">
      <c r="A43" s="34" t="inlineStr">
        <is>
          <t>Oats</t>
        </is>
      </c>
      <c r="B43" s="39" t="inlineStr">
        <is>
          <t>Exports</t>
        </is>
      </c>
      <c r="C43" s="34" t="inlineStr">
        <is>
          <t>2004-05</t>
        </is>
      </c>
      <c r="O43" s="40" t="n">
        <v>1674.9</v>
      </c>
      <c r="P43" s="41">
        <f>SUM(D43:O43)</f>
        <v/>
      </c>
    </row>
    <row r="44">
      <c r="A44" s="34" t="inlineStr">
        <is>
          <t>Oats</t>
        </is>
      </c>
      <c r="B44" s="39" t="inlineStr">
        <is>
          <t>Ending Stocks</t>
        </is>
      </c>
      <c r="C44" s="34" t="inlineStr">
        <is>
          <t>2004-05</t>
        </is>
      </c>
      <c r="O44" s="40" t="n">
        <v>974.4</v>
      </c>
      <c r="P44" s="41">
        <f>SUM(D44:O44)</f>
        <v/>
      </c>
    </row>
    <row r="45">
      <c r="A45" s="34" t="inlineStr">
        <is>
          <t>Oats</t>
        </is>
      </c>
      <c r="B45" s="35" t="inlineStr">
        <is>
          <t>Stocks-to-Use</t>
        </is>
      </c>
      <c r="C45" s="34" t="inlineStr">
        <is>
          <t>2004-05</t>
        </is>
      </c>
      <c r="P45" s="37">
        <f>SUM(D45:O45)</f>
        <v/>
      </c>
    </row>
    <row r="46">
      <c r="A46" s="34" t="inlineStr">
        <is>
          <t>Oats</t>
        </is>
      </c>
      <c r="B46" s="35" t="inlineStr">
        <is>
          <t>STU Days</t>
        </is>
      </c>
      <c r="C46" s="34" t="inlineStr">
        <is>
          <t>2004-05</t>
        </is>
      </c>
      <c r="P46" s="41">
        <f>SUM(D46:O46)</f>
        <v/>
      </c>
    </row>
    <row r="47">
      <c r="A47" s="34" t="inlineStr">
        <is>
          <t>Oats</t>
        </is>
      </c>
      <c r="B47" s="35" t="inlineStr">
        <is>
          <t>CHECK</t>
        </is>
      </c>
      <c r="C47" s="34" t="inlineStr">
        <is>
          <t>2004-05</t>
        </is>
      </c>
      <c r="O47" s="41" t="n">
        <v>1.136868377216161e-13</v>
      </c>
      <c r="P47" s="41">
        <f>SUM(D47:O47)</f>
        <v/>
      </c>
    </row>
    <row r="48">
      <c r="A48" s="34" t="inlineStr">
        <is>
          <t>Oats</t>
        </is>
      </c>
      <c r="B48" s="35" t="inlineStr">
        <is>
          <t>Planted Area</t>
        </is>
      </c>
      <c r="C48" s="34" t="inlineStr">
        <is>
          <t>2005-06</t>
        </is>
      </c>
      <c r="P48" s="36">
        <f>SUM(D48:O48)</f>
        <v/>
      </c>
    </row>
    <row r="49">
      <c r="A49" s="34" t="inlineStr">
        <is>
          <t>Oats</t>
        </is>
      </c>
      <c r="B49" s="35" t="inlineStr">
        <is>
          <t>Harvested Area</t>
        </is>
      </c>
      <c r="C49" s="34" t="inlineStr">
        <is>
          <t>2005-06</t>
        </is>
      </c>
      <c r="P49" s="36">
        <f>SUM(D49:O49)</f>
        <v/>
      </c>
    </row>
    <row r="50">
      <c r="A50" s="34" t="inlineStr">
        <is>
          <t>Oats</t>
        </is>
      </c>
      <c r="B50" s="35" t="inlineStr">
        <is>
          <t>Proportion Harvested</t>
        </is>
      </c>
      <c r="C50" s="34" t="inlineStr">
        <is>
          <t>2005-06</t>
        </is>
      </c>
      <c r="P50" s="37">
        <f>SUM(D50:O50)</f>
        <v/>
      </c>
    </row>
    <row r="51">
      <c r="A51" s="34" t="inlineStr">
        <is>
          <t>Oats</t>
        </is>
      </c>
      <c r="B51" s="35" t="inlineStr">
        <is>
          <t>Yield</t>
        </is>
      </c>
      <c r="C51" s="34" t="inlineStr">
        <is>
          <t>2005-06</t>
        </is>
      </c>
      <c r="P51" s="38">
        <f>SUM(D51:O51)</f>
        <v/>
      </c>
    </row>
    <row r="52">
      <c r="A52" s="34" t="inlineStr">
        <is>
          <t>Oats</t>
        </is>
      </c>
      <c r="B52" s="39" t="inlineStr">
        <is>
          <t>Beginning Stocks</t>
        </is>
      </c>
      <c r="C52" s="34" t="inlineStr">
        <is>
          <t>2005-06</t>
        </is>
      </c>
      <c r="O52" s="40" t="n">
        <v>974.4</v>
      </c>
      <c r="P52" s="41">
        <f>SUM(D52:O52)</f>
        <v/>
      </c>
    </row>
    <row r="53">
      <c r="A53" s="34" t="inlineStr">
        <is>
          <t>Oats</t>
        </is>
      </c>
      <c r="B53" s="39" t="inlineStr">
        <is>
          <t>Imports</t>
        </is>
      </c>
      <c r="C53" s="34" t="inlineStr">
        <is>
          <t>2005-06</t>
        </is>
      </c>
      <c r="O53" s="40" t="n">
        <v>20.2</v>
      </c>
      <c r="P53" s="41">
        <f>SUM(D53:O53)</f>
        <v/>
      </c>
    </row>
    <row r="54">
      <c r="A54" s="34" t="inlineStr">
        <is>
          <t>Oats</t>
        </is>
      </c>
      <c r="B54" s="39" t="inlineStr">
        <is>
          <t>Production</t>
        </is>
      </c>
      <c r="C54" s="34" t="inlineStr">
        <is>
          <t>2005-06</t>
        </is>
      </c>
      <c r="O54" s="40" t="n">
        <v>3282.7</v>
      </c>
      <c r="P54" s="41">
        <f>SUM(D54:O54)</f>
        <v/>
      </c>
    </row>
    <row r="55">
      <c r="A55" s="34" t="inlineStr">
        <is>
          <t>Oats</t>
        </is>
      </c>
      <c r="B55" s="39" t="inlineStr">
        <is>
          <t>Food</t>
        </is>
      </c>
      <c r="C55" s="34" t="inlineStr">
        <is>
          <t>2005-06</t>
        </is>
      </c>
      <c r="O55" s="40" t="n">
        <v>78.7</v>
      </c>
      <c r="P55" s="41">
        <f>SUM(D55:O55)</f>
        <v/>
      </c>
    </row>
    <row r="56">
      <c r="A56" s="34" t="inlineStr">
        <is>
          <t>Oats</t>
        </is>
      </c>
      <c r="B56" s="39" t="inlineStr">
        <is>
          <t>Industrial</t>
        </is>
      </c>
      <c r="C56" s="34" t="inlineStr">
        <is>
          <t>2005-06</t>
        </is>
      </c>
      <c r="O56" s="40" t="n">
        <v>0</v>
      </c>
      <c r="P56" s="41">
        <f>SUM(D56:O56)</f>
        <v/>
      </c>
    </row>
    <row r="57">
      <c r="A57" s="34" t="inlineStr">
        <is>
          <t>Oats</t>
        </is>
      </c>
      <c r="B57" s="39" t="inlineStr">
        <is>
          <t>FSR</t>
        </is>
      </c>
      <c r="C57" s="34" t="inlineStr">
        <is>
          <t>2005-06</t>
        </is>
      </c>
      <c r="O57" s="40" t="n">
        <v>1457.499999999999</v>
      </c>
      <c r="P57" s="41">
        <f>SUM(D57:O57)</f>
        <v/>
      </c>
    </row>
    <row r="58">
      <c r="A58" s="34" t="inlineStr">
        <is>
          <t>Oats</t>
        </is>
      </c>
      <c r="B58" s="39" t="inlineStr">
        <is>
          <t>Exports</t>
        </is>
      </c>
      <c r="C58" s="34" t="inlineStr">
        <is>
          <t>2005-06</t>
        </is>
      </c>
      <c r="O58" s="40" t="n">
        <v>1869.4</v>
      </c>
      <c r="P58" s="41">
        <f>SUM(D58:O58)</f>
        <v/>
      </c>
    </row>
    <row r="59">
      <c r="A59" s="34" t="inlineStr">
        <is>
          <t>Oats</t>
        </is>
      </c>
      <c r="B59" s="39" t="inlineStr">
        <is>
          <t>Ending Stocks</t>
        </is>
      </c>
      <c r="C59" s="34" t="inlineStr">
        <is>
          <t>2005-06</t>
        </is>
      </c>
      <c r="O59" s="40" t="n">
        <v>871.7</v>
      </c>
      <c r="P59" s="41">
        <f>SUM(D59:O59)</f>
        <v/>
      </c>
    </row>
    <row r="60">
      <c r="A60" s="34" t="inlineStr">
        <is>
          <t>Oats</t>
        </is>
      </c>
      <c r="B60" s="35" t="inlineStr">
        <is>
          <t>Stocks-to-Use</t>
        </is>
      </c>
      <c r="C60" s="34" t="inlineStr">
        <is>
          <t>2005-06</t>
        </is>
      </c>
      <c r="P60" s="37">
        <f>SUM(D60:O60)</f>
        <v/>
      </c>
    </row>
    <row r="61">
      <c r="A61" s="34" t="inlineStr">
        <is>
          <t>Oats</t>
        </is>
      </c>
      <c r="B61" s="35" t="inlineStr">
        <is>
          <t>STU Days</t>
        </is>
      </c>
      <c r="C61" s="34" t="inlineStr">
        <is>
          <t>2005-06</t>
        </is>
      </c>
      <c r="P61" s="41">
        <f>SUM(D61:O61)</f>
        <v/>
      </c>
    </row>
    <row r="62">
      <c r="A62" s="34" t="inlineStr">
        <is>
          <t>Oats</t>
        </is>
      </c>
      <c r="B62" s="35" t="inlineStr">
        <is>
          <t>CHECK</t>
        </is>
      </c>
      <c r="C62" s="34" t="inlineStr">
        <is>
          <t>2005-06</t>
        </is>
      </c>
      <c r="O62" s="41" t="n">
        <v>2.273736754432321e-13</v>
      </c>
      <c r="P62" s="41">
        <f>SUM(D62:O62)</f>
        <v/>
      </c>
    </row>
    <row r="63">
      <c r="A63" s="34" t="inlineStr">
        <is>
          <t>Oats</t>
        </is>
      </c>
      <c r="B63" s="35" t="inlineStr">
        <is>
          <t>Planted Area</t>
        </is>
      </c>
      <c r="C63" s="34" t="inlineStr">
        <is>
          <t>2006-07</t>
        </is>
      </c>
      <c r="P63" s="36">
        <f>SUM(D63:O63)</f>
        <v/>
      </c>
    </row>
    <row r="64">
      <c r="A64" s="34" t="inlineStr">
        <is>
          <t>Oats</t>
        </is>
      </c>
      <c r="B64" s="35" t="inlineStr">
        <is>
          <t>Harvested Area</t>
        </is>
      </c>
      <c r="C64" s="34" t="inlineStr">
        <is>
          <t>2006-07</t>
        </is>
      </c>
      <c r="P64" s="36">
        <f>SUM(D64:O64)</f>
        <v/>
      </c>
    </row>
    <row r="65">
      <c r="A65" s="34" t="inlineStr">
        <is>
          <t>Oats</t>
        </is>
      </c>
      <c r="B65" s="35" t="inlineStr">
        <is>
          <t>Proportion Harvested</t>
        </is>
      </c>
      <c r="C65" s="34" t="inlineStr">
        <is>
          <t>2006-07</t>
        </is>
      </c>
      <c r="P65" s="37">
        <f>SUM(D65:O65)</f>
        <v/>
      </c>
    </row>
    <row r="66">
      <c r="A66" s="34" t="inlineStr">
        <is>
          <t>Oats</t>
        </is>
      </c>
      <c r="B66" s="35" t="inlineStr">
        <is>
          <t>Yield</t>
        </is>
      </c>
      <c r="C66" s="34" t="inlineStr">
        <is>
          <t>2006-07</t>
        </is>
      </c>
      <c r="P66" s="38">
        <f>SUM(D66:O66)</f>
        <v/>
      </c>
    </row>
    <row r="67">
      <c r="A67" s="34" t="inlineStr">
        <is>
          <t>Oats</t>
        </is>
      </c>
      <c r="B67" s="39" t="inlineStr">
        <is>
          <t>Beginning Stocks</t>
        </is>
      </c>
      <c r="C67" s="34" t="inlineStr">
        <is>
          <t>2006-07</t>
        </is>
      </c>
      <c r="O67" s="40" t="n">
        <v>871.7</v>
      </c>
      <c r="P67" s="41">
        <f>SUM(D67:O67)</f>
        <v/>
      </c>
    </row>
    <row r="68">
      <c r="A68" s="34" t="inlineStr">
        <is>
          <t>Oats</t>
        </is>
      </c>
      <c r="B68" s="39" t="inlineStr">
        <is>
          <t>Imports</t>
        </is>
      </c>
      <c r="C68" s="34" t="inlineStr">
        <is>
          <t>2006-07</t>
        </is>
      </c>
      <c r="O68" s="40" t="n">
        <v>17.5</v>
      </c>
      <c r="P68" s="41">
        <f>SUM(D68:O68)</f>
        <v/>
      </c>
    </row>
    <row r="69">
      <c r="A69" s="34" t="inlineStr">
        <is>
          <t>Oats</t>
        </is>
      </c>
      <c r="B69" s="39" t="inlineStr">
        <is>
          <t>Production</t>
        </is>
      </c>
      <c r="C69" s="34" t="inlineStr">
        <is>
          <t>2006-07</t>
        </is>
      </c>
      <c r="O69" s="40" t="n">
        <v>3852.2</v>
      </c>
      <c r="P69" s="41">
        <f>SUM(D69:O69)</f>
        <v/>
      </c>
    </row>
    <row r="70">
      <c r="A70" s="34" t="inlineStr">
        <is>
          <t>Oats</t>
        </is>
      </c>
      <c r="B70" s="39" t="inlineStr">
        <is>
          <t>Food</t>
        </is>
      </c>
      <c r="C70" s="34" t="inlineStr">
        <is>
          <t>2006-07</t>
        </is>
      </c>
      <c r="O70" s="40" t="n">
        <v>92.09999999999999</v>
      </c>
      <c r="P70" s="41">
        <f>SUM(D70:O70)</f>
        <v/>
      </c>
    </row>
    <row r="71">
      <c r="A71" s="34" t="inlineStr">
        <is>
          <t>Oats</t>
        </is>
      </c>
      <c r="B71" s="39" t="inlineStr">
        <is>
          <t>Industrial</t>
        </is>
      </c>
      <c r="C71" s="34" t="inlineStr">
        <is>
          <t>2006-07</t>
        </is>
      </c>
      <c r="O71" s="40" t="n">
        <v>0</v>
      </c>
      <c r="P71" s="41">
        <f>SUM(D71:O71)</f>
        <v/>
      </c>
    </row>
    <row r="72">
      <c r="A72" s="34" t="inlineStr">
        <is>
          <t>Oats</t>
        </is>
      </c>
      <c r="B72" s="39" t="inlineStr">
        <is>
          <t>FSR</t>
        </is>
      </c>
      <c r="C72" s="34" t="inlineStr">
        <is>
          <t>2006-07</t>
        </is>
      </c>
      <c r="O72" s="40" t="n">
        <v>1789</v>
      </c>
      <c r="P72" s="41">
        <f>SUM(D72:O72)</f>
        <v/>
      </c>
    </row>
    <row r="73">
      <c r="A73" s="34" t="inlineStr">
        <is>
          <t>Oats</t>
        </is>
      </c>
      <c r="B73" s="39" t="inlineStr">
        <is>
          <t>Exports</t>
        </is>
      </c>
      <c r="C73" s="34" t="inlineStr">
        <is>
          <t>2006-07</t>
        </is>
      </c>
      <c r="O73" s="40" t="n">
        <v>2304.1</v>
      </c>
      <c r="P73" s="41">
        <f>SUM(D73:O73)</f>
        <v/>
      </c>
    </row>
    <row r="74">
      <c r="A74" s="34" t="inlineStr">
        <is>
          <t>Oats</t>
        </is>
      </c>
      <c r="B74" s="39" t="inlineStr">
        <is>
          <t>Ending Stocks</t>
        </is>
      </c>
      <c r="C74" s="34" t="inlineStr">
        <is>
          <t>2006-07</t>
        </is>
      </c>
      <c r="O74" s="40" t="n">
        <v>556.2</v>
      </c>
      <c r="P74" s="41">
        <f>SUM(D74:O74)</f>
        <v/>
      </c>
    </row>
    <row r="75">
      <c r="A75" s="34" t="inlineStr">
        <is>
          <t>Oats</t>
        </is>
      </c>
      <c r="B75" s="35" t="inlineStr">
        <is>
          <t>Stocks-to-Use</t>
        </is>
      </c>
      <c r="C75" s="34" t="inlineStr">
        <is>
          <t>2006-07</t>
        </is>
      </c>
      <c r="P75" s="37">
        <f>SUM(D75:O75)</f>
        <v/>
      </c>
    </row>
    <row r="76">
      <c r="A76" s="34" t="inlineStr">
        <is>
          <t>Oats</t>
        </is>
      </c>
      <c r="B76" s="35" t="inlineStr">
        <is>
          <t>STU Days</t>
        </is>
      </c>
      <c r="C76" s="34" t="inlineStr">
        <is>
          <t>2006-07</t>
        </is>
      </c>
      <c r="P76" s="41">
        <f>SUM(D76:O76)</f>
        <v/>
      </c>
    </row>
    <row r="77">
      <c r="A77" s="34" t="inlineStr">
        <is>
          <t>Oats</t>
        </is>
      </c>
      <c r="B77" s="35" t="inlineStr">
        <is>
          <t>CHECK</t>
        </is>
      </c>
      <c r="C77" s="34" t="inlineStr">
        <is>
          <t>2006-07</t>
        </is>
      </c>
      <c r="O77" s="41" t="n">
        <v>-6.821210263296962e-13</v>
      </c>
      <c r="P77" s="41">
        <f>SUM(D77:O77)</f>
        <v/>
      </c>
    </row>
    <row r="78">
      <c r="A78" s="34" t="inlineStr">
        <is>
          <t>Oats</t>
        </is>
      </c>
      <c r="B78" s="35" t="inlineStr">
        <is>
          <t>Planted Area</t>
        </is>
      </c>
      <c r="C78" s="34" t="inlineStr">
        <is>
          <t>2007-08</t>
        </is>
      </c>
      <c r="P78" s="36">
        <f>SUM(D78:O78)</f>
        <v/>
      </c>
    </row>
    <row r="79">
      <c r="A79" s="34" t="inlineStr">
        <is>
          <t>Oats</t>
        </is>
      </c>
      <c r="B79" s="35" t="inlineStr">
        <is>
          <t>Harvested Area</t>
        </is>
      </c>
      <c r="C79" s="34" t="inlineStr">
        <is>
          <t>2007-08</t>
        </is>
      </c>
      <c r="P79" s="36">
        <f>SUM(D79:O79)</f>
        <v/>
      </c>
    </row>
    <row r="80">
      <c r="A80" s="34" t="inlineStr">
        <is>
          <t>Oats</t>
        </is>
      </c>
      <c r="B80" s="35" t="inlineStr">
        <is>
          <t>Proportion Harvested</t>
        </is>
      </c>
      <c r="C80" s="34" t="inlineStr">
        <is>
          <t>2007-08</t>
        </is>
      </c>
      <c r="P80" s="37">
        <f>SUM(D80:O80)</f>
        <v/>
      </c>
    </row>
    <row r="81">
      <c r="A81" s="34" t="inlineStr">
        <is>
          <t>Oats</t>
        </is>
      </c>
      <c r="B81" s="35" t="inlineStr">
        <is>
          <t>Yield</t>
        </is>
      </c>
      <c r="C81" s="34" t="inlineStr">
        <is>
          <t>2007-08</t>
        </is>
      </c>
      <c r="P81" s="38">
        <f>SUM(D81:O81)</f>
        <v/>
      </c>
    </row>
    <row r="82">
      <c r="A82" s="34" t="inlineStr">
        <is>
          <t>Oats</t>
        </is>
      </c>
      <c r="B82" s="39" t="inlineStr">
        <is>
          <t>Beginning Stocks</t>
        </is>
      </c>
      <c r="C82" s="34" t="inlineStr">
        <is>
          <t>2007-08</t>
        </is>
      </c>
      <c r="O82" s="40" t="n">
        <v>556.2</v>
      </c>
      <c r="P82" s="41">
        <f>SUM(D82:O82)</f>
        <v/>
      </c>
    </row>
    <row r="83">
      <c r="A83" s="34" t="inlineStr">
        <is>
          <t>Oats</t>
        </is>
      </c>
      <c r="B83" s="39" t="inlineStr">
        <is>
          <t>Imports</t>
        </is>
      </c>
      <c r="C83" s="34" t="inlineStr">
        <is>
          <t>2007-08</t>
        </is>
      </c>
      <c r="O83" s="40" t="n">
        <v>16.7</v>
      </c>
      <c r="P83" s="41">
        <f>SUM(D83:O83)</f>
        <v/>
      </c>
    </row>
    <row r="84">
      <c r="A84" s="34" t="inlineStr">
        <is>
          <t>Oats</t>
        </is>
      </c>
      <c r="B84" s="39" t="inlineStr">
        <is>
          <t>Production</t>
        </is>
      </c>
      <c r="C84" s="34" t="inlineStr">
        <is>
          <t>2007-08</t>
        </is>
      </c>
      <c r="O84" s="40" t="n">
        <v>4618.4</v>
      </c>
      <c r="P84" s="41">
        <f>SUM(D84:O84)</f>
        <v/>
      </c>
    </row>
    <row r="85">
      <c r="A85" s="34" t="inlineStr">
        <is>
          <t>Oats</t>
        </is>
      </c>
      <c r="B85" s="39" t="inlineStr">
        <is>
          <t>Food</t>
        </is>
      </c>
      <c r="C85" s="34" t="inlineStr">
        <is>
          <t>2007-08</t>
        </is>
      </c>
      <c r="O85" s="40" t="n">
        <v>70.2</v>
      </c>
      <c r="P85" s="41">
        <f>SUM(D85:O85)</f>
        <v/>
      </c>
    </row>
    <row r="86">
      <c r="A86" s="34" t="inlineStr">
        <is>
          <t>Oats</t>
        </is>
      </c>
      <c r="B86" s="39" t="inlineStr">
        <is>
          <t>Industrial</t>
        </is>
      </c>
      <c r="C86" s="34" t="inlineStr">
        <is>
          <t>2007-08</t>
        </is>
      </c>
      <c r="O86" s="40" t="n">
        <v>0</v>
      </c>
      <c r="P86" s="41">
        <f>SUM(D86:O86)</f>
        <v/>
      </c>
    </row>
    <row r="87">
      <c r="A87" s="34" t="inlineStr">
        <is>
          <t>Oats</t>
        </is>
      </c>
      <c r="B87" s="39" t="inlineStr">
        <is>
          <t>FSR</t>
        </is>
      </c>
      <c r="C87" s="34" t="inlineStr">
        <is>
          <t>2007-08</t>
        </is>
      </c>
      <c r="O87" s="40" t="n">
        <v>1366.5</v>
      </c>
      <c r="P87" s="41">
        <f>SUM(D87:O87)</f>
        <v/>
      </c>
    </row>
    <row r="88">
      <c r="A88" s="34" t="inlineStr">
        <is>
          <t>Oats</t>
        </is>
      </c>
      <c r="B88" s="39" t="inlineStr">
        <is>
          <t>Exports</t>
        </is>
      </c>
      <c r="C88" s="34" t="inlineStr">
        <is>
          <t>2007-08</t>
        </is>
      </c>
      <c r="O88" s="40" t="n">
        <v>2805.1</v>
      </c>
      <c r="P88" s="41">
        <f>SUM(D88:O88)</f>
        <v/>
      </c>
    </row>
    <row r="89">
      <c r="A89" s="34" t="inlineStr">
        <is>
          <t>Oats</t>
        </is>
      </c>
      <c r="B89" s="39" t="inlineStr">
        <is>
          <t>Ending Stocks</t>
        </is>
      </c>
      <c r="C89" s="34" t="inlineStr">
        <is>
          <t>2007-08</t>
        </is>
      </c>
      <c r="O89" s="40" t="n">
        <v>949.5</v>
      </c>
      <c r="P89" s="41">
        <f>SUM(D89:O89)</f>
        <v/>
      </c>
    </row>
    <row r="90">
      <c r="A90" s="34" t="inlineStr">
        <is>
          <t>Oats</t>
        </is>
      </c>
      <c r="B90" s="35" t="inlineStr">
        <is>
          <t>Stocks-to-Use</t>
        </is>
      </c>
      <c r="C90" s="34" t="inlineStr">
        <is>
          <t>2007-08</t>
        </is>
      </c>
      <c r="P90" s="37">
        <f>SUM(D90:O90)</f>
        <v/>
      </c>
    </row>
    <row r="91">
      <c r="A91" s="34" t="inlineStr">
        <is>
          <t>Oats</t>
        </is>
      </c>
      <c r="B91" s="35" t="inlineStr">
        <is>
          <t>STU Days</t>
        </is>
      </c>
      <c r="C91" s="34" t="inlineStr">
        <is>
          <t>2007-08</t>
        </is>
      </c>
      <c r="P91" s="41">
        <f>SUM(D91:O91)</f>
        <v/>
      </c>
    </row>
    <row r="92">
      <c r="A92" s="34" t="inlineStr">
        <is>
          <t>Oats</t>
        </is>
      </c>
      <c r="B92" s="35" t="inlineStr">
        <is>
          <t>CHECK</t>
        </is>
      </c>
      <c r="C92" s="34" t="inlineStr">
        <is>
          <t>2007-08</t>
        </is>
      </c>
      <c r="O92" s="41" t="n">
        <v>0</v>
      </c>
      <c r="P92" s="41">
        <f>SUM(D92:O92)</f>
        <v/>
      </c>
    </row>
    <row r="93">
      <c r="A93" s="34" t="inlineStr">
        <is>
          <t>Oats</t>
        </is>
      </c>
      <c r="B93" s="35" t="inlineStr">
        <is>
          <t>Planted Area</t>
        </is>
      </c>
      <c r="C93" s="34" t="inlineStr">
        <is>
          <t>2008-09</t>
        </is>
      </c>
      <c r="P93" s="36">
        <f>SUM(D93:O93)</f>
        <v/>
      </c>
    </row>
    <row r="94">
      <c r="A94" s="34" t="inlineStr">
        <is>
          <t>Oats</t>
        </is>
      </c>
      <c r="B94" s="35" t="inlineStr">
        <is>
          <t>Harvested Area</t>
        </is>
      </c>
      <c r="C94" s="34" t="inlineStr">
        <is>
          <t>2008-09</t>
        </is>
      </c>
      <c r="P94" s="36">
        <f>SUM(D94:O94)</f>
        <v/>
      </c>
    </row>
    <row r="95">
      <c r="A95" s="34" t="inlineStr">
        <is>
          <t>Oats</t>
        </is>
      </c>
      <c r="B95" s="35" t="inlineStr">
        <is>
          <t>Proportion Harvested</t>
        </is>
      </c>
      <c r="C95" s="34" t="inlineStr">
        <is>
          <t>2008-09</t>
        </is>
      </c>
      <c r="P95" s="37">
        <f>SUM(D95:O95)</f>
        <v/>
      </c>
    </row>
    <row r="96">
      <c r="A96" s="34" t="inlineStr">
        <is>
          <t>Oats</t>
        </is>
      </c>
      <c r="B96" s="35" t="inlineStr">
        <is>
          <t>Yield</t>
        </is>
      </c>
      <c r="C96" s="34" t="inlineStr">
        <is>
          <t>2008-09</t>
        </is>
      </c>
      <c r="P96" s="38">
        <f>SUM(D96:O96)</f>
        <v/>
      </c>
    </row>
    <row r="97">
      <c r="A97" s="34" t="inlineStr">
        <is>
          <t>Oats</t>
        </is>
      </c>
      <c r="B97" s="39" t="inlineStr">
        <is>
          <t>Beginning Stocks</t>
        </is>
      </c>
      <c r="C97" s="34" t="inlineStr">
        <is>
          <t>2008-09</t>
        </is>
      </c>
      <c r="O97" s="40" t="n">
        <v>949.5</v>
      </c>
      <c r="P97" s="41">
        <f>SUM(D97:O97)</f>
        <v/>
      </c>
    </row>
    <row r="98">
      <c r="A98" s="34" t="inlineStr">
        <is>
          <t>Oats</t>
        </is>
      </c>
      <c r="B98" s="39" t="inlineStr">
        <is>
          <t>Imports</t>
        </is>
      </c>
      <c r="C98" s="34" t="inlineStr">
        <is>
          <t>2008-09</t>
        </is>
      </c>
      <c r="O98" s="40" t="n">
        <v>17.4</v>
      </c>
      <c r="P98" s="41">
        <f>SUM(D98:O98)</f>
        <v/>
      </c>
    </row>
    <row r="99">
      <c r="A99" s="34" t="inlineStr">
        <is>
          <t>Oats</t>
        </is>
      </c>
      <c r="B99" s="39" t="inlineStr">
        <is>
          <t>Production</t>
        </is>
      </c>
      <c r="C99" s="34" t="inlineStr">
        <is>
          <t>2008-09</t>
        </is>
      </c>
      <c r="O99" s="40" t="n">
        <v>4272.6</v>
      </c>
      <c r="P99" s="41">
        <f>SUM(D99:O99)</f>
        <v/>
      </c>
    </row>
    <row r="100">
      <c r="A100" s="34" t="inlineStr">
        <is>
          <t>Oats</t>
        </is>
      </c>
      <c r="B100" s="39" t="inlineStr">
        <is>
          <t>Food</t>
        </is>
      </c>
      <c r="C100" s="34" t="inlineStr">
        <is>
          <t>2008-09</t>
        </is>
      </c>
      <c r="O100" s="40" t="n">
        <v>69.3</v>
      </c>
      <c r="P100" s="41">
        <f>SUM(D100:O100)</f>
        <v/>
      </c>
    </row>
    <row r="101">
      <c r="A101" s="34" t="inlineStr">
        <is>
          <t>Oats</t>
        </is>
      </c>
      <c r="B101" s="39" t="inlineStr">
        <is>
          <t>Industrial</t>
        </is>
      </c>
      <c r="C101" s="34" t="inlineStr">
        <is>
          <t>2008-09</t>
        </is>
      </c>
      <c r="O101" s="40" t="n">
        <v>0</v>
      </c>
      <c r="P101" s="41">
        <f>SUM(D101:O101)</f>
        <v/>
      </c>
    </row>
    <row r="102">
      <c r="A102" s="34" t="inlineStr">
        <is>
          <t>Oats</t>
        </is>
      </c>
      <c r="B102" s="39" t="inlineStr">
        <is>
          <t>FSR</t>
        </is>
      </c>
      <c r="C102" s="34" t="inlineStr">
        <is>
          <t>2008-09</t>
        </is>
      </c>
      <c r="O102" s="40" t="n">
        <v>1212.6</v>
      </c>
      <c r="P102" s="41">
        <f>SUM(D102:O102)</f>
        <v/>
      </c>
    </row>
    <row r="103">
      <c r="A103" s="34" t="inlineStr">
        <is>
          <t>Oats</t>
        </is>
      </c>
      <c r="B103" s="39" t="inlineStr">
        <is>
          <t>Exports</t>
        </is>
      </c>
      <c r="C103" s="34" t="inlineStr">
        <is>
          <t>2008-09</t>
        </is>
      </c>
      <c r="O103" s="40" t="n">
        <v>2430.4</v>
      </c>
      <c r="P103" s="41">
        <f>SUM(D103:O103)</f>
        <v/>
      </c>
    </row>
    <row r="104">
      <c r="A104" s="34" t="inlineStr">
        <is>
          <t>Oats</t>
        </is>
      </c>
      <c r="B104" s="39" t="inlineStr">
        <is>
          <t>Ending Stocks</t>
        </is>
      </c>
      <c r="C104" s="34" t="inlineStr">
        <is>
          <t>2008-09</t>
        </is>
      </c>
      <c r="O104" s="40" t="n">
        <v>1527.2</v>
      </c>
      <c r="P104" s="41">
        <f>SUM(D104:O104)</f>
        <v/>
      </c>
    </row>
    <row r="105">
      <c r="A105" s="34" t="inlineStr">
        <is>
          <t>Oats</t>
        </is>
      </c>
      <c r="B105" s="35" t="inlineStr">
        <is>
          <t>Stocks-to-Use</t>
        </is>
      </c>
      <c r="C105" s="34" t="inlineStr">
        <is>
          <t>2008-09</t>
        </is>
      </c>
      <c r="P105" s="37">
        <f>SUM(D105:O105)</f>
        <v/>
      </c>
    </row>
    <row r="106">
      <c r="A106" s="34" t="inlineStr">
        <is>
          <t>Oats</t>
        </is>
      </c>
      <c r="B106" s="35" t="inlineStr">
        <is>
          <t>STU Days</t>
        </is>
      </c>
      <c r="C106" s="34" t="inlineStr">
        <is>
          <t>2008-09</t>
        </is>
      </c>
      <c r="P106" s="41">
        <f>SUM(D106:O106)</f>
        <v/>
      </c>
    </row>
    <row r="107">
      <c r="A107" s="34" t="inlineStr">
        <is>
          <t>Oats</t>
        </is>
      </c>
      <c r="B107" s="35" t="inlineStr">
        <is>
          <t>CHECK</t>
        </is>
      </c>
      <c r="C107" s="34" t="inlineStr">
        <is>
          <t>2008-09</t>
        </is>
      </c>
      <c r="O107" s="41" t="n">
        <v>2.273736754432321e-13</v>
      </c>
      <c r="P107" s="41">
        <f>SUM(D107:O107)</f>
        <v/>
      </c>
    </row>
    <row r="108">
      <c r="A108" s="34" t="inlineStr">
        <is>
          <t>Oats</t>
        </is>
      </c>
      <c r="B108" s="35" t="inlineStr">
        <is>
          <t>Planted Area</t>
        </is>
      </c>
      <c r="C108" s="34" t="inlineStr">
        <is>
          <t>2009-10</t>
        </is>
      </c>
      <c r="P108" s="36">
        <f>SUM(D108:O108)</f>
        <v/>
      </c>
    </row>
    <row r="109">
      <c r="A109" s="34" t="inlineStr">
        <is>
          <t>Oats</t>
        </is>
      </c>
      <c r="B109" s="35" t="inlineStr">
        <is>
          <t>Harvested Area</t>
        </is>
      </c>
      <c r="C109" s="34" t="inlineStr">
        <is>
          <t>2009-10</t>
        </is>
      </c>
      <c r="P109" s="36">
        <f>SUM(D109:O109)</f>
        <v/>
      </c>
    </row>
    <row r="110">
      <c r="A110" s="34" t="inlineStr">
        <is>
          <t>Oats</t>
        </is>
      </c>
      <c r="B110" s="35" t="inlineStr">
        <is>
          <t>Proportion Harvested</t>
        </is>
      </c>
      <c r="C110" s="34" t="inlineStr">
        <is>
          <t>2009-10</t>
        </is>
      </c>
      <c r="P110" s="37">
        <f>SUM(D110:O110)</f>
        <v/>
      </c>
    </row>
    <row r="111">
      <c r="A111" s="34" t="inlineStr">
        <is>
          <t>Oats</t>
        </is>
      </c>
      <c r="B111" s="35" t="inlineStr">
        <is>
          <t>Yield</t>
        </is>
      </c>
      <c r="C111" s="34" t="inlineStr">
        <is>
          <t>2009-10</t>
        </is>
      </c>
      <c r="P111" s="38">
        <f>SUM(D111:O111)</f>
        <v/>
      </c>
    </row>
    <row r="112">
      <c r="A112" s="34" t="inlineStr">
        <is>
          <t>Oats</t>
        </is>
      </c>
      <c r="B112" s="39" t="inlineStr">
        <is>
          <t>Beginning Stocks</t>
        </is>
      </c>
      <c r="C112" s="34" t="inlineStr">
        <is>
          <t>2009-10</t>
        </is>
      </c>
      <c r="O112" s="40" t="n">
        <v>1527.2</v>
      </c>
      <c r="P112" s="41">
        <f>SUM(D112:O112)</f>
        <v/>
      </c>
    </row>
    <row r="113">
      <c r="A113" s="34" t="inlineStr">
        <is>
          <t>Oats</t>
        </is>
      </c>
      <c r="B113" s="39" t="inlineStr">
        <is>
          <t>Imports</t>
        </is>
      </c>
      <c r="C113" s="34" t="inlineStr">
        <is>
          <t>2009-10</t>
        </is>
      </c>
      <c r="O113" s="40" t="n">
        <v>16.5</v>
      </c>
      <c r="P113" s="41">
        <f>SUM(D113:O113)</f>
        <v/>
      </c>
    </row>
    <row r="114">
      <c r="A114" s="34" t="inlineStr">
        <is>
          <t>Oats</t>
        </is>
      </c>
      <c r="B114" s="39" t="inlineStr">
        <is>
          <t>Production</t>
        </is>
      </c>
      <c r="C114" s="34" t="inlineStr">
        <is>
          <t>2009-10</t>
        </is>
      </c>
      <c r="O114" s="40" t="n">
        <v>2911.5</v>
      </c>
      <c r="P114" s="41">
        <f>SUM(D114:O114)</f>
        <v/>
      </c>
    </row>
    <row r="115">
      <c r="A115" s="34" t="inlineStr">
        <is>
          <t>Oats</t>
        </is>
      </c>
      <c r="B115" s="39" t="inlineStr">
        <is>
          <t>Food</t>
        </is>
      </c>
      <c r="C115" s="34" t="inlineStr">
        <is>
          <t>2009-10</t>
        </is>
      </c>
      <c r="O115" s="40" t="n">
        <v>59.8</v>
      </c>
      <c r="P115" s="41">
        <f>SUM(D115:O115)</f>
        <v/>
      </c>
    </row>
    <row r="116">
      <c r="A116" s="34" t="inlineStr">
        <is>
          <t>Oats</t>
        </is>
      </c>
      <c r="B116" s="39" t="inlineStr">
        <is>
          <t>Industrial</t>
        </is>
      </c>
      <c r="C116" s="34" t="inlineStr">
        <is>
          <t>2009-10</t>
        </is>
      </c>
      <c r="O116" s="40" t="n">
        <v>0</v>
      </c>
      <c r="P116" s="41">
        <f>SUM(D116:O116)</f>
        <v/>
      </c>
    </row>
    <row r="117">
      <c r="A117" s="34" t="inlineStr">
        <is>
          <t>Oats</t>
        </is>
      </c>
      <c r="B117" s="39" t="inlineStr">
        <is>
          <t>FSR</t>
        </is>
      </c>
      <c r="C117" s="34" t="inlineStr">
        <is>
          <t>2009-10</t>
        </is>
      </c>
      <c r="O117" s="40" t="n">
        <v>1158.1</v>
      </c>
      <c r="P117" s="41">
        <f>SUM(D117:O117)</f>
        <v/>
      </c>
    </row>
    <row r="118">
      <c r="A118" s="34" t="inlineStr">
        <is>
          <t>Oats</t>
        </is>
      </c>
      <c r="B118" s="39" t="inlineStr">
        <is>
          <t>Exports</t>
        </is>
      </c>
      <c r="C118" s="34" t="inlineStr">
        <is>
          <t>2009-10</t>
        </is>
      </c>
      <c r="O118" s="40" t="n">
        <v>2075.5</v>
      </c>
      <c r="P118" s="41">
        <f>SUM(D118:O118)</f>
        <v/>
      </c>
    </row>
    <row r="119">
      <c r="A119" s="34" t="inlineStr">
        <is>
          <t>Oats</t>
        </is>
      </c>
      <c r="B119" s="39" t="inlineStr">
        <is>
          <t>Ending Stocks</t>
        </is>
      </c>
      <c r="C119" s="34" t="inlineStr">
        <is>
          <t>2009-10</t>
        </is>
      </c>
      <c r="O119" s="40" t="n">
        <v>1161.8</v>
      </c>
      <c r="P119" s="41">
        <f>SUM(D119:O119)</f>
        <v/>
      </c>
    </row>
    <row r="120">
      <c r="A120" s="34" t="inlineStr">
        <is>
          <t>Oats</t>
        </is>
      </c>
      <c r="B120" s="35" t="inlineStr">
        <is>
          <t>Stocks-to-Use</t>
        </is>
      </c>
      <c r="C120" s="34" t="inlineStr">
        <is>
          <t>2009-10</t>
        </is>
      </c>
      <c r="P120" s="37">
        <f>SUM(D120:O120)</f>
        <v/>
      </c>
    </row>
    <row r="121">
      <c r="A121" s="34" t="inlineStr">
        <is>
          <t>Oats</t>
        </is>
      </c>
      <c r="B121" s="35" t="inlineStr">
        <is>
          <t>STU Days</t>
        </is>
      </c>
      <c r="C121" s="34" t="inlineStr">
        <is>
          <t>2009-10</t>
        </is>
      </c>
      <c r="P121" s="41">
        <f>SUM(D121:O121)</f>
        <v/>
      </c>
    </row>
    <row r="122">
      <c r="A122" s="34" t="inlineStr">
        <is>
          <t>Oats</t>
        </is>
      </c>
      <c r="B122" s="35" t="inlineStr">
        <is>
          <t>CHECK</t>
        </is>
      </c>
      <c r="C122" s="34" t="inlineStr">
        <is>
          <t>2009-10</t>
        </is>
      </c>
      <c r="O122" s="41" t="n">
        <v>2.273736754432321e-13</v>
      </c>
      <c r="P122" s="41">
        <f>SUM(D122:O122)</f>
        <v/>
      </c>
    </row>
    <row r="123">
      <c r="A123" s="34" t="inlineStr">
        <is>
          <t>Oats</t>
        </is>
      </c>
      <c r="B123" s="35" t="inlineStr">
        <is>
          <t>Planted Area</t>
        </is>
      </c>
      <c r="C123" s="34" t="inlineStr">
        <is>
          <t>2010-11</t>
        </is>
      </c>
      <c r="P123" s="36">
        <f>SUM(D123:O123)</f>
        <v/>
      </c>
    </row>
    <row r="124">
      <c r="A124" s="34" t="inlineStr">
        <is>
          <t>Oats</t>
        </is>
      </c>
      <c r="B124" s="35" t="inlineStr">
        <is>
          <t>Harvested Area</t>
        </is>
      </c>
      <c r="C124" s="34" t="inlineStr">
        <is>
          <t>2010-11</t>
        </is>
      </c>
      <c r="P124" s="36">
        <f>SUM(D124:O124)</f>
        <v/>
      </c>
    </row>
    <row r="125">
      <c r="A125" s="34" t="inlineStr">
        <is>
          <t>Oats</t>
        </is>
      </c>
      <c r="B125" s="35" t="inlineStr">
        <is>
          <t>Proportion Harvested</t>
        </is>
      </c>
      <c r="C125" s="34" t="inlineStr">
        <is>
          <t>2010-11</t>
        </is>
      </c>
      <c r="P125" s="37">
        <f>SUM(D125:O125)</f>
        <v/>
      </c>
    </row>
    <row r="126">
      <c r="A126" s="34" t="inlineStr">
        <is>
          <t>Oats</t>
        </is>
      </c>
      <c r="B126" s="35" t="inlineStr">
        <is>
          <t>Yield</t>
        </is>
      </c>
      <c r="C126" s="34" t="inlineStr">
        <is>
          <t>2010-11</t>
        </is>
      </c>
      <c r="P126" s="38">
        <f>SUM(D126:O126)</f>
        <v/>
      </c>
    </row>
    <row r="127">
      <c r="A127" s="34" t="inlineStr">
        <is>
          <t>Oats</t>
        </is>
      </c>
      <c r="B127" s="39" t="inlineStr">
        <is>
          <t>Beginning Stocks</t>
        </is>
      </c>
      <c r="C127" s="34" t="inlineStr">
        <is>
          <t>2010-11</t>
        </is>
      </c>
      <c r="O127" s="40" t="n">
        <v>1161.8</v>
      </c>
      <c r="P127" s="41">
        <f>SUM(D127:O127)</f>
        <v/>
      </c>
    </row>
    <row r="128">
      <c r="A128" s="34" t="inlineStr">
        <is>
          <t>Oats</t>
        </is>
      </c>
      <c r="B128" s="39" t="inlineStr">
        <is>
          <t>Imports</t>
        </is>
      </c>
      <c r="C128" s="34" t="inlineStr">
        <is>
          <t>2010-11</t>
        </is>
      </c>
      <c r="O128" s="40" t="n">
        <v>25.1</v>
      </c>
      <c r="P128" s="41">
        <f>SUM(D128:O128)</f>
        <v/>
      </c>
    </row>
    <row r="129">
      <c r="A129" s="34" t="inlineStr">
        <is>
          <t>Oats</t>
        </is>
      </c>
      <c r="B129" s="39" t="inlineStr">
        <is>
          <t>Production</t>
        </is>
      </c>
      <c r="C129" s="34" t="inlineStr">
        <is>
          <t>2010-11</t>
        </is>
      </c>
      <c r="O129" s="40" t="n">
        <v>2451.4</v>
      </c>
      <c r="P129" s="41">
        <f>SUM(D129:O129)</f>
        <v/>
      </c>
    </row>
    <row r="130">
      <c r="A130" s="34" t="inlineStr">
        <is>
          <t>Oats</t>
        </is>
      </c>
      <c r="B130" s="39" t="inlineStr">
        <is>
          <t>Food</t>
        </is>
      </c>
      <c r="C130" s="34" t="inlineStr">
        <is>
          <t>2010-11</t>
        </is>
      </c>
      <c r="O130" s="40" t="n">
        <v>86.2</v>
      </c>
      <c r="P130" s="41">
        <f>SUM(D130:O130)</f>
        <v/>
      </c>
    </row>
    <row r="131">
      <c r="A131" s="34" t="inlineStr">
        <is>
          <t>Oats</t>
        </is>
      </c>
      <c r="B131" s="39" t="inlineStr">
        <is>
          <t>Industrial</t>
        </is>
      </c>
      <c r="C131" s="34" t="inlineStr">
        <is>
          <t>2010-11</t>
        </is>
      </c>
      <c r="O131" s="40" t="n">
        <v>0</v>
      </c>
      <c r="P131" s="41">
        <f>SUM(D131:O131)</f>
        <v/>
      </c>
    </row>
    <row r="132">
      <c r="A132" s="34" t="inlineStr">
        <is>
          <t>Oats</t>
        </is>
      </c>
      <c r="B132" s="39" t="inlineStr">
        <is>
          <t>FSR</t>
        </is>
      </c>
      <c r="C132" s="34" t="inlineStr">
        <is>
          <t>2010-11</t>
        </is>
      </c>
      <c r="O132" s="40" t="n">
        <v>884.7999999999996</v>
      </c>
      <c r="P132" s="41">
        <f>SUM(D132:O132)</f>
        <v/>
      </c>
    </row>
    <row r="133">
      <c r="A133" s="34" t="inlineStr">
        <is>
          <t>Oats</t>
        </is>
      </c>
      <c r="B133" s="39" t="inlineStr">
        <is>
          <t>Exports</t>
        </is>
      </c>
      <c r="C133" s="34" t="inlineStr">
        <is>
          <t>2010-11</t>
        </is>
      </c>
      <c r="O133" s="40" t="n">
        <v>1934.7</v>
      </c>
      <c r="P133" s="41">
        <f>SUM(D133:O133)</f>
        <v/>
      </c>
    </row>
    <row r="134">
      <c r="A134" s="34" t="inlineStr">
        <is>
          <t>Oats</t>
        </is>
      </c>
      <c r="B134" s="39" t="inlineStr">
        <is>
          <t>Ending Stocks</t>
        </is>
      </c>
      <c r="C134" s="34" t="inlineStr">
        <is>
          <t>2010-11</t>
        </is>
      </c>
      <c r="O134" s="40" t="n">
        <v>732.6</v>
      </c>
      <c r="P134" s="41">
        <f>SUM(D134:O134)</f>
        <v/>
      </c>
    </row>
    <row r="135">
      <c r="A135" s="34" t="inlineStr">
        <is>
          <t>Oats</t>
        </is>
      </c>
      <c r="B135" s="35" t="inlineStr">
        <is>
          <t>Stocks-to-Use</t>
        </is>
      </c>
      <c r="C135" s="34" t="inlineStr">
        <is>
          <t>2010-11</t>
        </is>
      </c>
      <c r="P135" s="37">
        <f>SUM(D135:O135)</f>
        <v/>
      </c>
    </row>
    <row r="136">
      <c r="A136" s="34" t="inlineStr">
        <is>
          <t>Oats</t>
        </is>
      </c>
      <c r="B136" s="35" t="inlineStr">
        <is>
          <t>STU Days</t>
        </is>
      </c>
      <c r="C136" s="34" t="inlineStr">
        <is>
          <t>2010-11</t>
        </is>
      </c>
      <c r="P136" s="41">
        <f>SUM(D136:O136)</f>
        <v/>
      </c>
    </row>
    <row r="137">
      <c r="A137" s="34" t="inlineStr">
        <is>
          <t>Oats</t>
        </is>
      </c>
      <c r="B137" s="35" t="inlineStr">
        <is>
          <t>CHECK</t>
        </is>
      </c>
      <c r="C137" s="34" t="inlineStr">
        <is>
          <t>2010-11</t>
        </is>
      </c>
      <c r="O137" s="41" t="n">
        <v>1.136868377216161e-13</v>
      </c>
      <c r="P137" s="41">
        <f>SUM(D137:O137)</f>
        <v/>
      </c>
    </row>
    <row r="138">
      <c r="A138" s="34" t="inlineStr">
        <is>
          <t>Oats</t>
        </is>
      </c>
      <c r="B138" s="35" t="inlineStr">
        <is>
          <t>Planted Area</t>
        </is>
      </c>
      <c r="C138" s="34" t="inlineStr">
        <is>
          <t>2011-12</t>
        </is>
      </c>
      <c r="P138" s="36">
        <f>SUM(D138:O138)</f>
        <v/>
      </c>
    </row>
    <row r="139">
      <c r="A139" s="34" t="inlineStr">
        <is>
          <t>Oats</t>
        </is>
      </c>
      <c r="B139" s="35" t="inlineStr">
        <is>
          <t>Harvested Area</t>
        </is>
      </c>
      <c r="C139" s="34" t="inlineStr">
        <is>
          <t>2011-12</t>
        </is>
      </c>
      <c r="P139" s="36">
        <f>SUM(D139:O139)</f>
        <v/>
      </c>
    </row>
    <row r="140">
      <c r="A140" s="34" t="inlineStr">
        <is>
          <t>Oats</t>
        </is>
      </c>
      <c r="B140" s="35" t="inlineStr">
        <is>
          <t>Proportion Harvested</t>
        </is>
      </c>
      <c r="C140" s="34" t="inlineStr">
        <is>
          <t>2011-12</t>
        </is>
      </c>
      <c r="P140" s="37">
        <f>SUM(D140:O140)</f>
        <v/>
      </c>
    </row>
    <row r="141">
      <c r="A141" s="34" t="inlineStr">
        <is>
          <t>Oats</t>
        </is>
      </c>
      <c r="B141" s="35" t="inlineStr">
        <is>
          <t>Yield</t>
        </is>
      </c>
      <c r="C141" s="34" t="inlineStr">
        <is>
          <t>2011-12</t>
        </is>
      </c>
      <c r="P141" s="38">
        <f>SUM(D141:O141)</f>
        <v/>
      </c>
    </row>
    <row r="142">
      <c r="A142" s="34" t="inlineStr">
        <is>
          <t>Oats</t>
        </is>
      </c>
      <c r="B142" s="39" t="inlineStr">
        <is>
          <t>Beginning Stocks</t>
        </is>
      </c>
      <c r="C142" s="34" t="inlineStr">
        <is>
          <t>2011-12</t>
        </is>
      </c>
      <c r="O142" s="40" t="n">
        <v>732.6</v>
      </c>
      <c r="P142" s="41">
        <f>SUM(D142:O142)</f>
        <v/>
      </c>
    </row>
    <row r="143">
      <c r="A143" s="34" t="inlineStr">
        <is>
          <t>Oats</t>
        </is>
      </c>
      <c r="B143" s="39" t="inlineStr">
        <is>
          <t>Imports</t>
        </is>
      </c>
      <c r="C143" s="34" t="inlineStr">
        <is>
          <t>2011-12</t>
        </is>
      </c>
      <c r="O143" s="40" t="n">
        <v>12.1</v>
      </c>
      <c r="P143" s="41">
        <f>SUM(D143:O143)</f>
        <v/>
      </c>
    </row>
    <row r="144">
      <c r="A144" s="34" t="inlineStr">
        <is>
          <t>Oats</t>
        </is>
      </c>
      <c r="B144" s="39" t="inlineStr">
        <is>
          <t>Production</t>
        </is>
      </c>
      <c r="C144" s="34" t="inlineStr">
        <is>
          <t>2011-12</t>
        </is>
      </c>
      <c r="O144" s="40" t="n">
        <v>3157.6</v>
      </c>
      <c r="P144" s="41">
        <f>SUM(D144:O144)</f>
        <v/>
      </c>
    </row>
    <row r="145">
      <c r="A145" s="34" t="inlineStr">
        <is>
          <t>Oats</t>
        </is>
      </c>
      <c r="B145" s="39" t="inlineStr">
        <is>
          <t>Food</t>
        </is>
      </c>
      <c r="C145" s="34" t="inlineStr">
        <is>
          <t>2011-12</t>
        </is>
      </c>
      <c r="O145" s="40" t="n">
        <v>123.3</v>
      </c>
      <c r="P145" s="41">
        <f>SUM(D145:O145)</f>
        <v/>
      </c>
    </row>
    <row r="146">
      <c r="A146" s="34" t="inlineStr">
        <is>
          <t>Oats</t>
        </is>
      </c>
      <c r="B146" s="39" t="inlineStr">
        <is>
          <t>Industrial</t>
        </is>
      </c>
      <c r="C146" s="34" t="inlineStr">
        <is>
          <t>2011-12</t>
        </is>
      </c>
      <c r="O146" s="40" t="n">
        <v>0</v>
      </c>
      <c r="P146" s="41">
        <f>SUM(D146:O146)</f>
        <v/>
      </c>
    </row>
    <row r="147">
      <c r="A147" s="34" t="inlineStr">
        <is>
          <t>Oats</t>
        </is>
      </c>
      <c r="B147" s="39" t="inlineStr">
        <is>
          <t>FSR</t>
        </is>
      </c>
      <c r="C147" s="34" t="inlineStr">
        <is>
          <t>2011-12</t>
        </is>
      </c>
      <c r="O147" s="40" t="n">
        <v>780.1999999999994</v>
      </c>
      <c r="P147" s="41">
        <f>SUM(D147:O147)</f>
        <v/>
      </c>
    </row>
    <row r="148">
      <c r="A148" s="34" t="inlineStr">
        <is>
          <t>Oats</t>
        </is>
      </c>
      <c r="B148" s="39" t="inlineStr">
        <is>
          <t>Exports</t>
        </is>
      </c>
      <c r="C148" s="34" t="inlineStr">
        <is>
          <t>2011-12</t>
        </is>
      </c>
      <c r="O148" s="40" t="n">
        <v>2194.3</v>
      </c>
      <c r="P148" s="41">
        <f>SUM(D148:O148)</f>
        <v/>
      </c>
    </row>
    <row r="149">
      <c r="A149" s="34" t="inlineStr">
        <is>
          <t>Oats</t>
        </is>
      </c>
      <c r="B149" s="39" t="inlineStr">
        <is>
          <t>Ending Stocks</t>
        </is>
      </c>
      <c r="C149" s="34" t="inlineStr">
        <is>
          <t>2011-12</t>
        </is>
      </c>
      <c r="O149" s="40" t="n">
        <v>804.5</v>
      </c>
      <c r="P149" s="41">
        <f>SUM(D149:O149)</f>
        <v/>
      </c>
    </row>
    <row r="150">
      <c r="A150" s="34" t="inlineStr">
        <is>
          <t>Oats</t>
        </is>
      </c>
      <c r="B150" s="35" t="inlineStr">
        <is>
          <t>Stocks-to-Use</t>
        </is>
      </c>
      <c r="C150" s="34" t="inlineStr">
        <is>
          <t>2011-12</t>
        </is>
      </c>
      <c r="P150" s="37">
        <f>SUM(D150:O150)</f>
        <v/>
      </c>
    </row>
    <row r="151">
      <c r="A151" s="34" t="inlineStr">
        <is>
          <t>Oats</t>
        </is>
      </c>
      <c r="B151" s="35" t="inlineStr">
        <is>
          <t>STU Days</t>
        </is>
      </c>
      <c r="C151" s="34" t="inlineStr">
        <is>
          <t>2011-12</t>
        </is>
      </c>
      <c r="P151" s="41">
        <f>SUM(D151:O151)</f>
        <v/>
      </c>
    </row>
    <row r="152">
      <c r="A152" s="34" t="inlineStr">
        <is>
          <t>Oats</t>
        </is>
      </c>
      <c r="B152" s="35" t="inlineStr">
        <is>
          <t>CHECK</t>
        </is>
      </c>
      <c r="C152" s="34" t="inlineStr">
        <is>
          <t>2011-12</t>
        </is>
      </c>
      <c r="O152" s="41" t="n">
        <v>0</v>
      </c>
      <c r="P152" s="41">
        <f>SUM(D152:O152)</f>
        <v/>
      </c>
    </row>
    <row r="153">
      <c r="A153" s="34" t="inlineStr">
        <is>
          <t>Oats</t>
        </is>
      </c>
      <c r="B153" s="35" t="inlineStr">
        <is>
          <t>Planted Area</t>
        </is>
      </c>
      <c r="C153" s="34" t="inlineStr">
        <is>
          <t>2012-13</t>
        </is>
      </c>
      <c r="P153" s="36">
        <f>SUM(D153:O153)</f>
        <v/>
      </c>
    </row>
    <row r="154">
      <c r="A154" s="34" t="inlineStr">
        <is>
          <t>Oats</t>
        </is>
      </c>
      <c r="B154" s="35" t="inlineStr">
        <is>
          <t>Harvested Area</t>
        </is>
      </c>
      <c r="C154" s="34" t="inlineStr">
        <is>
          <t>2012-13</t>
        </is>
      </c>
      <c r="P154" s="36">
        <f>SUM(D154:O154)</f>
        <v/>
      </c>
    </row>
    <row r="155">
      <c r="A155" s="34" t="inlineStr">
        <is>
          <t>Oats</t>
        </is>
      </c>
      <c r="B155" s="35" t="inlineStr">
        <is>
          <t>Proportion Harvested</t>
        </is>
      </c>
      <c r="C155" s="34" t="inlineStr">
        <is>
          <t>2012-13</t>
        </is>
      </c>
      <c r="P155" s="37">
        <f>SUM(D155:O155)</f>
        <v/>
      </c>
    </row>
    <row r="156">
      <c r="A156" s="34" t="inlineStr">
        <is>
          <t>Oats</t>
        </is>
      </c>
      <c r="B156" s="35" t="inlineStr">
        <is>
          <t>Yield</t>
        </is>
      </c>
      <c r="C156" s="34" t="inlineStr">
        <is>
          <t>2012-13</t>
        </is>
      </c>
      <c r="P156" s="38">
        <f>SUM(D156:O156)</f>
        <v/>
      </c>
    </row>
    <row r="157">
      <c r="A157" s="34" t="inlineStr">
        <is>
          <t>Oats</t>
        </is>
      </c>
      <c r="B157" s="39" t="inlineStr">
        <is>
          <t>Beginning Stocks</t>
        </is>
      </c>
      <c r="C157" s="34" t="inlineStr">
        <is>
          <t>2012-13</t>
        </is>
      </c>
      <c r="O157" s="40" t="n">
        <v>804.5</v>
      </c>
      <c r="P157" s="41">
        <f>SUM(D157:O157)</f>
        <v/>
      </c>
    </row>
    <row r="158">
      <c r="A158" s="34" t="inlineStr">
        <is>
          <t>Oats</t>
        </is>
      </c>
      <c r="B158" s="39" t="inlineStr">
        <is>
          <t>Imports</t>
        </is>
      </c>
      <c r="C158" s="34" t="inlineStr">
        <is>
          <t>2012-13</t>
        </is>
      </c>
      <c r="O158" s="40" t="n">
        <v>18.4</v>
      </c>
      <c r="P158" s="41">
        <f>SUM(D158:O158)</f>
        <v/>
      </c>
    </row>
    <row r="159">
      <c r="A159" s="34" t="inlineStr">
        <is>
          <t>Oats</t>
        </is>
      </c>
      <c r="B159" s="39" t="inlineStr">
        <is>
          <t>Production</t>
        </is>
      </c>
      <c r="C159" s="34" t="inlineStr">
        <is>
          <t>2012-13</t>
        </is>
      </c>
      <c r="O159" s="40" t="n">
        <v>2829.6</v>
      </c>
      <c r="P159" s="41">
        <f>SUM(D159:O159)</f>
        <v/>
      </c>
    </row>
    <row r="160">
      <c r="A160" s="34" t="inlineStr">
        <is>
          <t>Oats</t>
        </is>
      </c>
      <c r="B160" s="39" t="inlineStr">
        <is>
          <t>Food</t>
        </is>
      </c>
      <c r="C160" s="34" t="inlineStr">
        <is>
          <t>2012-13</t>
        </is>
      </c>
      <c r="O160" s="40" t="n">
        <v>117.2</v>
      </c>
      <c r="P160" s="41">
        <f>SUM(D160:O160)</f>
        <v/>
      </c>
    </row>
    <row r="161">
      <c r="A161" s="34" t="inlineStr">
        <is>
          <t>Oats</t>
        </is>
      </c>
      <c r="B161" s="39" t="inlineStr">
        <is>
          <t>Industrial</t>
        </is>
      </c>
      <c r="C161" s="34" t="inlineStr">
        <is>
          <t>2012-13</t>
        </is>
      </c>
      <c r="O161" s="40" t="n">
        <v>0</v>
      </c>
      <c r="P161" s="41">
        <f>SUM(D161:O161)</f>
        <v/>
      </c>
    </row>
    <row r="162">
      <c r="A162" s="34" t="inlineStr">
        <is>
          <t>Oats</t>
        </is>
      </c>
      <c r="B162" s="39" t="inlineStr">
        <is>
          <t>FSR</t>
        </is>
      </c>
      <c r="C162" s="34" t="inlineStr">
        <is>
          <t>2012-13</t>
        </is>
      </c>
      <c r="O162" s="40" t="n">
        <v>916.3000000000004</v>
      </c>
      <c r="P162" s="41">
        <f>SUM(D162:O162)</f>
        <v/>
      </c>
    </row>
    <row r="163">
      <c r="A163" s="34" t="inlineStr">
        <is>
          <t>Oats</t>
        </is>
      </c>
      <c r="B163" s="39" t="inlineStr">
        <is>
          <t>Exports</t>
        </is>
      </c>
      <c r="C163" s="34" t="inlineStr">
        <is>
          <t>2012-13</t>
        </is>
      </c>
      <c r="O163" s="40" t="n">
        <v>2173.2</v>
      </c>
      <c r="P163" s="41">
        <f>SUM(D163:O163)</f>
        <v/>
      </c>
    </row>
    <row r="164">
      <c r="A164" s="34" t="inlineStr">
        <is>
          <t>Oats</t>
        </is>
      </c>
      <c r="B164" s="39" t="inlineStr">
        <is>
          <t>Ending Stocks</t>
        </is>
      </c>
      <c r="C164" s="34" t="inlineStr">
        <is>
          <t>2012-13</t>
        </is>
      </c>
      <c r="O164" s="40" t="n">
        <v>445.8</v>
      </c>
      <c r="P164" s="41">
        <f>SUM(D164:O164)</f>
        <v/>
      </c>
    </row>
    <row r="165">
      <c r="A165" s="34" t="inlineStr">
        <is>
          <t>Oats</t>
        </is>
      </c>
      <c r="B165" s="35" t="inlineStr">
        <is>
          <t>Stocks-to-Use</t>
        </is>
      </c>
      <c r="C165" s="34" t="inlineStr">
        <is>
          <t>2012-13</t>
        </is>
      </c>
      <c r="P165" s="37">
        <f>SUM(D165:O165)</f>
        <v/>
      </c>
    </row>
    <row r="166">
      <c r="A166" s="34" t="inlineStr">
        <is>
          <t>Oats</t>
        </is>
      </c>
      <c r="B166" s="35" t="inlineStr">
        <is>
          <t>STU Days</t>
        </is>
      </c>
      <c r="C166" s="34" t="inlineStr">
        <is>
          <t>2012-13</t>
        </is>
      </c>
      <c r="P166" s="41">
        <f>SUM(D166:O166)</f>
        <v/>
      </c>
    </row>
    <row r="167">
      <c r="A167" s="34" t="inlineStr">
        <is>
          <t>Oats</t>
        </is>
      </c>
      <c r="B167" s="35" t="inlineStr">
        <is>
          <t>CHECK</t>
        </is>
      </c>
      <c r="C167" s="34" t="inlineStr">
        <is>
          <t>2012-13</t>
        </is>
      </c>
      <c r="O167" s="41" t="n">
        <v>1.70530256582424e-13</v>
      </c>
      <c r="P167" s="41">
        <f>SUM(D167:O167)</f>
        <v/>
      </c>
    </row>
    <row r="168">
      <c r="A168" s="34" t="inlineStr">
        <is>
          <t>Oats</t>
        </is>
      </c>
      <c r="B168" s="35" t="inlineStr">
        <is>
          <t>Planted Area</t>
        </is>
      </c>
      <c r="C168" s="34" t="inlineStr">
        <is>
          <t>2013-14</t>
        </is>
      </c>
      <c r="P168" s="36">
        <f>SUM(D168:O168)</f>
        <v/>
      </c>
    </row>
    <row r="169">
      <c r="A169" s="34" t="inlineStr">
        <is>
          <t>Oats</t>
        </is>
      </c>
      <c r="B169" s="35" t="inlineStr">
        <is>
          <t>Harvested Area</t>
        </is>
      </c>
      <c r="C169" s="34" t="inlineStr">
        <is>
          <t>2013-14</t>
        </is>
      </c>
      <c r="P169" s="36">
        <f>SUM(D169:O169)</f>
        <v/>
      </c>
    </row>
    <row r="170">
      <c r="A170" s="34" t="inlineStr">
        <is>
          <t>Oats</t>
        </is>
      </c>
      <c r="B170" s="35" t="inlineStr">
        <is>
          <t>Proportion Harvested</t>
        </is>
      </c>
      <c r="C170" s="34" t="inlineStr">
        <is>
          <t>2013-14</t>
        </is>
      </c>
      <c r="P170" s="37">
        <f>SUM(D170:O170)</f>
        <v/>
      </c>
    </row>
    <row r="171">
      <c r="A171" s="34" t="inlineStr">
        <is>
          <t>Oats</t>
        </is>
      </c>
      <c r="B171" s="35" t="inlineStr">
        <is>
          <t>Yield</t>
        </is>
      </c>
      <c r="C171" s="34" t="inlineStr">
        <is>
          <t>2013-14</t>
        </is>
      </c>
      <c r="P171" s="38">
        <f>SUM(D171:O171)</f>
        <v/>
      </c>
    </row>
    <row r="172">
      <c r="A172" s="34" t="inlineStr">
        <is>
          <t>Oats</t>
        </is>
      </c>
      <c r="B172" s="39" t="inlineStr">
        <is>
          <t>Beginning Stocks</t>
        </is>
      </c>
      <c r="C172" s="34" t="inlineStr">
        <is>
          <t>2013-14</t>
        </is>
      </c>
      <c r="O172" s="40" t="n">
        <v>445.8</v>
      </c>
      <c r="P172" s="41">
        <f>SUM(D172:O172)</f>
        <v/>
      </c>
    </row>
    <row r="173">
      <c r="A173" s="34" t="inlineStr">
        <is>
          <t>Oats</t>
        </is>
      </c>
      <c r="B173" s="39" t="inlineStr">
        <is>
          <t>Imports</t>
        </is>
      </c>
      <c r="C173" s="34" t="inlineStr">
        <is>
          <t>2013-14</t>
        </is>
      </c>
      <c r="O173" s="40" t="n">
        <v>29.6</v>
      </c>
      <c r="P173" s="41">
        <f>SUM(D173:O173)</f>
        <v/>
      </c>
    </row>
    <row r="174">
      <c r="A174" s="34" t="inlineStr">
        <is>
          <t>Oats</t>
        </is>
      </c>
      <c r="B174" s="39" t="inlineStr">
        <is>
          <t>Production</t>
        </is>
      </c>
      <c r="C174" s="34" t="inlineStr">
        <is>
          <t>2013-14</t>
        </is>
      </c>
      <c r="O174" s="40" t="n">
        <v>3927.6</v>
      </c>
      <c r="P174" s="41">
        <f>SUM(D174:O174)</f>
        <v/>
      </c>
    </row>
    <row r="175">
      <c r="A175" s="34" t="inlineStr">
        <is>
          <t>Oats</t>
        </is>
      </c>
      <c r="B175" s="39" t="inlineStr">
        <is>
          <t>Food</t>
        </is>
      </c>
      <c r="C175" s="34" t="inlineStr">
        <is>
          <t>2013-14</t>
        </is>
      </c>
      <c r="O175" s="40" t="n">
        <v>83.5</v>
      </c>
      <c r="P175" s="41">
        <f>SUM(D175:O175)</f>
        <v/>
      </c>
    </row>
    <row r="176">
      <c r="A176" s="34" t="inlineStr">
        <is>
          <t>Oats</t>
        </is>
      </c>
      <c r="B176" s="39" t="inlineStr">
        <is>
          <t>Industrial</t>
        </is>
      </c>
      <c r="C176" s="34" t="inlineStr">
        <is>
          <t>2013-14</t>
        </is>
      </c>
      <c r="O176" s="40" t="n">
        <v>0</v>
      </c>
      <c r="P176" s="41">
        <f>SUM(D176:O176)</f>
        <v/>
      </c>
    </row>
    <row r="177">
      <c r="A177" s="34" t="inlineStr">
        <is>
          <t>Oats</t>
        </is>
      </c>
      <c r="B177" s="39" t="inlineStr">
        <is>
          <t>FSR</t>
        </is>
      </c>
      <c r="C177" s="34" t="inlineStr">
        <is>
          <t>2013-14</t>
        </is>
      </c>
      <c r="O177" s="40" t="n">
        <v>1007.2</v>
      </c>
      <c r="P177" s="41">
        <f>SUM(D177:O177)</f>
        <v/>
      </c>
    </row>
    <row r="178">
      <c r="A178" s="34" t="inlineStr">
        <is>
          <t>Oats</t>
        </is>
      </c>
      <c r="B178" s="39" t="inlineStr">
        <is>
          <t>Exports</t>
        </is>
      </c>
      <c r="C178" s="34" t="inlineStr">
        <is>
          <t>2013-14</t>
        </is>
      </c>
      <c r="O178" s="40" t="n">
        <v>2243.3</v>
      </c>
      <c r="P178" s="41">
        <f>SUM(D178:O178)</f>
        <v/>
      </c>
    </row>
    <row r="179">
      <c r="A179" s="34" t="inlineStr">
        <is>
          <t>Oats</t>
        </is>
      </c>
      <c r="B179" s="39" t="inlineStr">
        <is>
          <t>Ending Stocks</t>
        </is>
      </c>
      <c r="C179" s="34" t="inlineStr">
        <is>
          <t>2013-14</t>
        </is>
      </c>
      <c r="O179" s="40" t="n">
        <v>1069</v>
      </c>
      <c r="P179" s="41">
        <f>SUM(D179:O179)</f>
        <v/>
      </c>
    </row>
    <row r="180">
      <c r="A180" s="34" t="inlineStr">
        <is>
          <t>Oats</t>
        </is>
      </c>
      <c r="B180" s="35" t="inlineStr">
        <is>
          <t>Stocks-to-Use</t>
        </is>
      </c>
      <c r="C180" s="34" t="inlineStr">
        <is>
          <t>2013-14</t>
        </is>
      </c>
      <c r="P180" s="37">
        <f>SUM(D180:O180)</f>
        <v/>
      </c>
    </row>
    <row r="181">
      <c r="A181" s="34" t="inlineStr">
        <is>
          <t>Oats</t>
        </is>
      </c>
      <c r="B181" s="35" t="inlineStr">
        <is>
          <t>STU Days</t>
        </is>
      </c>
      <c r="C181" s="34" t="inlineStr">
        <is>
          <t>2013-14</t>
        </is>
      </c>
      <c r="P181" s="41">
        <f>SUM(D181:O181)</f>
        <v/>
      </c>
    </row>
    <row r="182">
      <c r="A182" s="34" t="inlineStr">
        <is>
          <t>Oats</t>
        </is>
      </c>
      <c r="B182" s="35" t="inlineStr">
        <is>
          <t>CHECK</t>
        </is>
      </c>
      <c r="C182" s="34" t="inlineStr">
        <is>
          <t>2013-14</t>
        </is>
      </c>
      <c r="O182" s="41" t="n">
        <v>0</v>
      </c>
      <c r="P182" s="41">
        <f>SUM(D182:O182)</f>
        <v/>
      </c>
    </row>
    <row r="183">
      <c r="A183" s="34" t="inlineStr">
        <is>
          <t>Oats</t>
        </is>
      </c>
      <c r="B183" s="35" t="inlineStr">
        <is>
          <t>Planted Area</t>
        </is>
      </c>
      <c r="C183" s="34" t="inlineStr">
        <is>
          <t>2014-15</t>
        </is>
      </c>
      <c r="P183" s="36">
        <f>SUM(D183:O183)</f>
        <v/>
      </c>
    </row>
    <row r="184">
      <c r="A184" s="34" t="inlineStr">
        <is>
          <t>Oats</t>
        </is>
      </c>
      <c r="B184" s="35" t="inlineStr">
        <is>
          <t>Harvested Area</t>
        </is>
      </c>
      <c r="C184" s="34" t="inlineStr">
        <is>
          <t>2014-15</t>
        </is>
      </c>
      <c r="P184" s="36">
        <f>SUM(D184:O184)</f>
        <v/>
      </c>
    </row>
    <row r="185">
      <c r="A185" s="34" t="inlineStr">
        <is>
          <t>Oats</t>
        </is>
      </c>
      <c r="B185" s="35" t="inlineStr">
        <is>
          <t>Proportion Harvested</t>
        </is>
      </c>
      <c r="C185" s="34" t="inlineStr">
        <is>
          <t>2014-15</t>
        </is>
      </c>
      <c r="P185" s="37">
        <f>SUM(D185:O185)</f>
        <v/>
      </c>
    </row>
    <row r="186">
      <c r="A186" s="34" t="inlineStr">
        <is>
          <t>Oats</t>
        </is>
      </c>
      <c r="B186" s="35" t="inlineStr">
        <is>
          <t>Yield</t>
        </is>
      </c>
      <c r="C186" s="34" t="inlineStr">
        <is>
          <t>2014-15</t>
        </is>
      </c>
      <c r="P186" s="38">
        <f>SUM(D186:O186)</f>
        <v/>
      </c>
    </row>
    <row r="187">
      <c r="A187" s="34" t="inlineStr">
        <is>
          <t>Oats</t>
        </is>
      </c>
      <c r="B187" s="39" t="inlineStr">
        <is>
          <t>Beginning Stocks</t>
        </is>
      </c>
      <c r="C187" s="34" t="inlineStr">
        <is>
          <t>2014-15</t>
        </is>
      </c>
      <c r="O187" s="40" t="n">
        <v>1069</v>
      </c>
      <c r="P187" s="41">
        <f>SUM(D187:O187)</f>
        <v/>
      </c>
    </row>
    <row r="188">
      <c r="A188" s="34" t="inlineStr">
        <is>
          <t>Oats</t>
        </is>
      </c>
      <c r="B188" s="39" t="inlineStr">
        <is>
          <t>Imports</t>
        </is>
      </c>
      <c r="C188" s="34" t="inlineStr">
        <is>
          <t>2014-15</t>
        </is>
      </c>
      <c r="O188" s="40" t="n">
        <v>19.3</v>
      </c>
      <c r="P188" s="41">
        <f>SUM(D188:O188)</f>
        <v/>
      </c>
    </row>
    <row r="189">
      <c r="A189" s="34" t="inlineStr">
        <is>
          <t>Oats</t>
        </is>
      </c>
      <c r="B189" s="39" t="inlineStr">
        <is>
          <t>Production</t>
        </is>
      </c>
      <c r="C189" s="34" t="inlineStr">
        <is>
          <t>2014-15</t>
        </is>
      </c>
      <c r="O189" s="40" t="n">
        <v>2976.8</v>
      </c>
      <c r="P189" s="41">
        <f>SUM(D189:O189)</f>
        <v/>
      </c>
    </row>
    <row r="190">
      <c r="A190" s="34" t="inlineStr">
        <is>
          <t>Oats</t>
        </is>
      </c>
      <c r="B190" s="39" t="inlineStr">
        <is>
          <t>Food</t>
        </is>
      </c>
      <c r="C190" s="34" t="inlineStr">
        <is>
          <t>2014-15</t>
        </is>
      </c>
      <c r="O190" s="40" t="n">
        <v>147</v>
      </c>
      <c r="P190" s="41">
        <f>SUM(D190:O190)</f>
        <v/>
      </c>
    </row>
    <row r="191">
      <c r="A191" s="34" t="inlineStr">
        <is>
          <t>Oats</t>
        </is>
      </c>
      <c r="B191" s="39" t="inlineStr">
        <is>
          <t>Industrial</t>
        </is>
      </c>
      <c r="C191" s="34" t="inlineStr">
        <is>
          <t>2014-15</t>
        </is>
      </c>
      <c r="O191" s="40" t="n">
        <v>0</v>
      </c>
      <c r="P191" s="41">
        <f>SUM(D191:O191)</f>
        <v/>
      </c>
    </row>
    <row r="192">
      <c r="A192" s="34" t="inlineStr">
        <is>
          <t>Oats</t>
        </is>
      </c>
      <c r="B192" s="39" t="inlineStr">
        <is>
          <t>FSR</t>
        </is>
      </c>
      <c r="C192" s="34" t="inlineStr">
        <is>
          <t>2014-15</t>
        </is>
      </c>
      <c r="O192" s="40" t="n">
        <v>888.4000000000002</v>
      </c>
      <c r="P192" s="41">
        <f>SUM(D192:O192)</f>
        <v/>
      </c>
    </row>
    <row r="193">
      <c r="A193" s="34" t="inlineStr">
        <is>
          <t>Oats</t>
        </is>
      </c>
      <c r="B193" s="39" t="inlineStr">
        <is>
          <t>Exports</t>
        </is>
      </c>
      <c r="C193" s="34" t="inlineStr">
        <is>
          <t>2014-15</t>
        </is>
      </c>
      <c r="O193" s="40" t="n">
        <v>2328.8</v>
      </c>
      <c r="P193" s="41">
        <f>SUM(D193:O193)</f>
        <v/>
      </c>
    </row>
    <row r="194">
      <c r="A194" s="34" t="inlineStr">
        <is>
          <t>Oats</t>
        </is>
      </c>
      <c r="B194" s="39" t="inlineStr">
        <is>
          <t>Ending Stocks</t>
        </is>
      </c>
      <c r="C194" s="34" t="inlineStr">
        <is>
          <t>2014-15</t>
        </is>
      </c>
      <c r="O194" s="40" t="n">
        <v>700.9</v>
      </c>
      <c r="P194" s="41">
        <f>SUM(D194:O194)</f>
        <v/>
      </c>
    </row>
    <row r="195">
      <c r="A195" s="34" t="inlineStr">
        <is>
          <t>Oats</t>
        </is>
      </c>
      <c r="B195" s="35" t="inlineStr">
        <is>
          <t>Stocks-to-Use</t>
        </is>
      </c>
      <c r="C195" s="34" t="inlineStr">
        <is>
          <t>2014-15</t>
        </is>
      </c>
      <c r="P195" s="37">
        <f>SUM(D195:O195)</f>
        <v/>
      </c>
    </row>
    <row r="196">
      <c r="A196" s="34" t="inlineStr">
        <is>
          <t>Oats</t>
        </is>
      </c>
      <c r="B196" s="35" t="inlineStr">
        <is>
          <t>STU Days</t>
        </is>
      </c>
      <c r="C196" s="34" t="inlineStr">
        <is>
          <t>2014-15</t>
        </is>
      </c>
      <c r="P196" s="41">
        <f>SUM(D196:O196)</f>
        <v/>
      </c>
    </row>
    <row r="197">
      <c r="A197" s="34" t="inlineStr">
        <is>
          <t>Oats</t>
        </is>
      </c>
      <c r="B197" s="35" t="inlineStr">
        <is>
          <t>CHECK</t>
        </is>
      </c>
      <c r="C197" s="34" t="inlineStr">
        <is>
          <t>2014-15</t>
        </is>
      </c>
      <c r="O197" s="41" t="n">
        <v>1.136868377216161e-13</v>
      </c>
      <c r="P197" s="41">
        <f>SUM(D197:O197)</f>
        <v/>
      </c>
    </row>
    <row r="198">
      <c r="A198" s="34" t="inlineStr">
        <is>
          <t>Oats</t>
        </is>
      </c>
      <c r="B198" s="35" t="inlineStr">
        <is>
          <t>Planted Area</t>
        </is>
      </c>
      <c r="C198" s="34" t="inlineStr">
        <is>
          <t>2015-16</t>
        </is>
      </c>
      <c r="P198" s="36">
        <f>SUM(D198:O198)</f>
        <v/>
      </c>
    </row>
    <row r="199">
      <c r="A199" s="34" t="inlineStr">
        <is>
          <t>Oats</t>
        </is>
      </c>
      <c r="B199" s="35" t="inlineStr">
        <is>
          <t>Harvested Area</t>
        </is>
      </c>
      <c r="C199" s="34" t="inlineStr">
        <is>
          <t>2015-16</t>
        </is>
      </c>
      <c r="P199" s="36">
        <f>SUM(D199:O199)</f>
        <v/>
      </c>
    </row>
    <row r="200">
      <c r="A200" s="34" t="inlineStr">
        <is>
          <t>Oats</t>
        </is>
      </c>
      <c r="B200" s="35" t="inlineStr">
        <is>
          <t>Proportion Harvested</t>
        </is>
      </c>
      <c r="C200" s="34" t="inlineStr">
        <is>
          <t>2015-16</t>
        </is>
      </c>
      <c r="P200" s="37">
        <f>SUM(D200:O200)</f>
        <v/>
      </c>
    </row>
    <row r="201">
      <c r="A201" s="34" t="inlineStr">
        <is>
          <t>Oats</t>
        </is>
      </c>
      <c r="B201" s="35" t="inlineStr">
        <is>
          <t>Yield</t>
        </is>
      </c>
      <c r="C201" s="34" t="inlineStr">
        <is>
          <t>2015-16</t>
        </is>
      </c>
      <c r="P201" s="38">
        <f>SUM(D201:O201)</f>
        <v/>
      </c>
    </row>
    <row r="202">
      <c r="A202" s="34" t="inlineStr">
        <is>
          <t>Oats</t>
        </is>
      </c>
      <c r="B202" s="39" t="inlineStr">
        <is>
          <t>Beginning Stocks</t>
        </is>
      </c>
      <c r="C202" s="34" t="inlineStr">
        <is>
          <t>2015-16</t>
        </is>
      </c>
      <c r="O202" s="40" t="n">
        <v>700.9</v>
      </c>
      <c r="P202" s="41">
        <f>SUM(D202:O202)</f>
        <v/>
      </c>
    </row>
    <row r="203">
      <c r="A203" s="34" t="inlineStr">
        <is>
          <t>Oats</t>
        </is>
      </c>
      <c r="B203" s="39" t="inlineStr">
        <is>
          <t>Imports</t>
        </is>
      </c>
      <c r="C203" s="34" t="inlineStr">
        <is>
          <t>2015-16</t>
        </is>
      </c>
      <c r="O203" s="40" t="n">
        <v>19.7</v>
      </c>
      <c r="P203" s="41">
        <f>SUM(D203:O203)</f>
        <v/>
      </c>
    </row>
    <row r="204">
      <c r="A204" s="34" t="inlineStr">
        <is>
          <t>Oats</t>
        </is>
      </c>
      <c r="B204" s="39" t="inlineStr">
        <is>
          <t>Production</t>
        </is>
      </c>
      <c r="C204" s="34" t="inlineStr">
        <is>
          <t>2015-16</t>
        </is>
      </c>
      <c r="O204" s="40" t="n">
        <v>3425</v>
      </c>
      <c r="P204" s="41">
        <f>SUM(D204:O204)</f>
        <v/>
      </c>
    </row>
    <row r="205">
      <c r="A205" s="34" t="inlineStr">
        <is>
          <t>Oats</t>
        </is>
      </c>
      <c r="B205" s="39" t="inlineStr">
        <is>
          <t>Food</t>
        </is>
      </c>
      <c r="C205" s="34" t="inlineStr">
        <is>
          <t>2015-16</t>
        </is>
      </c>
      <c r="O205" s="40" t="n">
        <v>184.3</v>
      </c>
      <c r="P205" s="41">
        <f>SUM(D205:O205)</f>
        <v/>
      </c>
    </row>
    <row r="206">
      <c r="A206" s="34" t="inlineStr">
        <is>
          <t>Oats</t>
        </is>
      </c>
      <c r="B206" s="39" t="inlineStr">
        <is>
          <t>Industrial</t>
        </is>
      </c>
      <c r="C206" s="34" t="inlineStr">
        <is>
          <t>2015-16</t>
        </is>
      </c>
      <c r="O206" s="40" t="n">
        <v>0</v>
      </c>
      <c r="P206" s="41">
        <f>SUM(D206:O206)</f>
        <v/>
      </c>
    </row>
    <row r="207">
      <c r="A207" s="34" t="inlineStr">
        <is>
          <t>Oats</t>
        </is>
      </c>
      <c r="B207" s="39" t="inlineStr">
        <is>
          <t>FSR</t>
        </is>
      </c>
      <c r="C207" s="34" t="inlineStr">
        <is>
          <t>2015-16</t>
        </is>
      </c>
      <c r="O207" s="40" t="n">
        <v>760.7999999999993</v>
      </c>
      <c r="P207" s="41">
        <f>SUM(D207:O207)</f>
        <v/>
      </c>
    </row>
    <row r="208">
      <c r="A208" s="34" t="inlineStr">
        <is>
          <t>Oats</t>
        </is>
      </c>
      <c r="B208" s="39" t="inlineStr">
        <is>
          <t>Exports</t>
        </is>
      </c>
      <c r="C208" s="34" t="inlineStr">
        <is>
          <t>2015-16</t>
        </is>
      </c>
      <c r="O208" s="40" t="n">
        <v>2233.5</v>
      </c>
      <c r="P208" s="41">
        <f>SUM(D208:O208)</f>
        <v/>
      </c>
    </row>
    <row r="209">
      <c r="A209" s="34" t="inlineStr">
        <is>
          <t>Oats</t>
        </is>
      </c>
      <c r="B209" s="39" t="inlineStr">
        <is>
          <t>Ending Stocks</t>
        </is>
      </c>
      <c r="C209" s="34" t="inlineStr">
        <is>
          <t>2015-16</t>
        </is>
      </c>
      <c r="O209" s="40" t="n">
        <v>967</v>
      </c>
      <c r="P209" s="41">
        <f>SUM(D209:O209)</f>
        <v/>
      </c>
    </row>
    <row r="210">
      <c r="A210" s="34" t="inlineStr">
        <is>
          <t>Oats</t>
        </is>
      </c>
      <c r="B210" s="35" t="inlineStr">
        <is>
          <t>Stocks-to-Use</t>
        </is>
      </c>
      <c r="C210" s="34" t="inlineStr">
        <is>
          <t>2015-16</t>
        </is>
      </c>
      <c r="P210" s="37">
        <f>SUM(D210:O210)</f>
        <v/>
      </c>
    </row>
    <row r="211">
      <c r="A211" s="34" t="inlineStr">
        <is>
          <t>Oats</t>
        </is>
      </c>
      <c r="B211" s="35" t="inlineStr">
        <is>
          <t>STU Days</t>
        </is>
      </c>
      <c r="C211" s="34" t="inlineStr">
        <is>
          <t>2015-16</t>
        </is>
      </c>
      <c r="P211" s="41">
        <f>SUM(D211:O211)</f>
        <v/>
      </c>
    </row>
    <row r="212">
      <c r="A212" s="34" t="inlineStr">
        <is>
          <t>Oats</t>
        </is>
      </c>
      <c r="B212" s="35" t="inlineStr">
        <is>
          <t>CHECK</t>
        </is>
      </c>
      <c r="C212" s="34" t="inlineStr">
        <is>
          <t>2015-16</t>
        </is>
      </c>
      <c r="O212" s="41" t="n">
        <v>0</v>
      </c>
      <c r="P212" s="41">
        <f>SUM(D212:O212)</f>
        <v/>
      </c>
    </row>
    <row r="213">
      <c r="A213" s="34" t="inlineStr">
        <is>
          <t>Oats</t>
        </is>
      </c>
      <c r="B213" s="35" t="inlineStr">
        <is>
          <t>Planted Area</t>
        </is>
      </c>
      <c r="C213" s="34" t="inlineStr">
        <is>
          <t>2016-17</t>
        </is>
      </c>
      <c r="P213" s="36">
        <f>SUM(D213:O213)</f>
        <v/>
      </c>
    </row>
    <row r="214">
      <c r="A214" s="34" t="inlineStr">
        <is>
          <t>Oats</t>
        </is>
      </c>
      <c r="B214" s="35" t="inlineStr">
        <is>
          <t>Harvested Area</t>
        </is>
      </c>
      <c r="C214" s="34" t="inlineStr">
        <is>
          <t>2016-17</t>
        </is>
      </c>
      <c r="P214" s="36">
        <f>SUM(D214:O214)</f>
        <v/>
      </c>
    </row>
    <row r="215">
      <c r="A215" s="34" t="inlineStr">
        <is>
          <t>Oats</t>
        </is>
      </c>
      <c r="B215" s="35" t="inlineStr">
        <is>
          <t>Proportion Harvested</t>
        </is>
      </c>
      <c r="C215" s="34" t="inlineStr">
        <is>
          <t>2016-17</t>
        </is>
      </c>
      <c r="P215" s="37">
        <f>SUM(D215:O215)</f>
        <v/>
      </c>
    </row>
    <row r="216">
      <c r="A216" s="34" t="inlineStr">
        <is>
          <t>Oats</t>
        </is>
      </c>
      <c r="B216" s="35" t="inlineStr">
        <is>
          <t>Yield</t>
        </is>
      </c>
      <c r="C216" s="34" t="inlineStr">
        <is>
          <t>2016-17</t>
        </is>
      </c>
      <c r="P216" s="38">
        <f>SUM(D216:O216)</f>
        <v/>
      </c>
    </row>
    <row r="217">
      <c r="A217" s="34" t="inlineStr">
        <is>
          <t>Oats</t>
        </is>
      </c>
      <c r="B217" s="39" t="inlineStr">
        <is>
          <t>Beginning Stocks</t>
        </is>
      </c>
      <c r="C217" s="34" t="inlineStr">
        <is>
          <t>2016-17</t>
        </is>
      </c>
      <c r="O217" s="40" t="n">
        <v>967</v>
      </c>
      <c r="P217" s="41">
        <f>SUM(D217:O217)</f>
        <v/>
      </c>
    </row>
    <row r="218">
      <c r="A218" s="34" t="inlineStr">
        <is>
          <t>Oats</t>
        </is>
      </c>
      <c r="B218" s="39" t="inlineStr">
        <is>
          <t>Imports</t>
        </is>
      </c>
      <c r="C218" s="34" t="inlineStr">
        <is>
          <t>2016-17</t>
        </is>
      </c>
      <c r="O218" s="40" t="n">
        <v>20.9</v>
      </c>
      <c r="P218" s="41">
        <f>SUM(D218:O218)</f>
        <v/>
      </c>
    </row>
    <row r="219">
      <c r="A219" s="34" t="inlineStr">
        <is>
          <t>Oats</t>
        </is>
      </c>
      <c r="B219" s="39" t="inlineStr">
        <is>
          <t>Production</t>
        </is>
      </c>
      <c r="C219" s="34" t="inlineStr">
        <is>
          <t>2016-17</t>
        </is>
      </c>
      <c r="O219" s="40" t="n">
        <v>3231.2</v>
      </c>
      <c r="P219" s="41">
        <f>SUM(D219:O219)</f>
        <v/>
      </c>
    </row>
    <row r="220">
      <c r="A220" s="34" t="inlineStr">
        <is>
          <t>Oats</t>
        </is>
      </c>
      <c r="B220" s="39" t="inlineStr">
        <is>
          <t>Food</t>
        </is>
      </c>
      <c r="C220" s="34" t="inlineStr">
        <is>
          <t>2016-17</t>
        </is>
      </c>
      <c r="O220" s="40" t="n">
        <v>125.2</v>
      </c>
      <c r="P220" s="41">
        <f>SUM(D220:O220)</f>
        <v/>
      </c>
    </row>
    <row r="221">
      <c r="A221" s="34" t="inlineStr">
        <is>
          <t>Oats</t>
        </is>
      </c>
      <c r="B221" s="39" t="inlineStr">
        <is>
          <t>Industrial</t>
        </is>
      </c>
      <c r="C221" s="34" t="inlineStr">
        <is>
          <t>2016-17</t>
        </is>
      </c>
      <c r="O221" s="40" t="n">
        <v>0</v>
      </c>
      <c r="P221" s="41">
        <f>SUM(D221:O221)</f>
        <v/>
      </c>
    </row>
    <row r="222">
      <c r="A222" s="34" t="inlineStr">
        <is>
          <t>Oats</t>
        </is>
      </c>
      <c r="B222" s="39" t="inlineStr">
        <is>
          <t>FSR</t>
        </is>
      </c>
      <c r="C222" s="34" t="inlineStr">
        <is>
          <t>2016-17</t>
        </is>
      </c>
      <c r="O222" s="40" t="n">
        <v>1084.299999999999</v>
      </c>
      <c r="P222" s="41">
        <f>SUM(D222:O222)</f>
        <v/>
      </c>
    </row>
    <row r="223">
      <c r="A223" s="34" t="inlineStr">
        <is>
          <t>Oats</t>
        </is>
      </c>
      <c r="B223" s="39" t="inlineStr">
        <is>
          <t>Exports</t>
        </is>
      </c>
      <c r="C223" s="34" t="inlineStr">
        <is>
          <t>2016-17</t>
        </is>
      </c>
      <c r="O223" s="40" t="n">
        <v>2306.1</v>
      </c>
      <c r="P223" s="41">
        <f>SUM(D223:O223)</f>
        <v/>
      </c>
    </row>
    <row r="224">
      <c r="A224" s="34" t="inlineStr">
        <is>
          <t>Oats</t>
        </is>
      </c>
      <c r="B224" s="39" t="inlineStr">
        <is>
          <t>Ending Stocks</t>
        </is>
      </c>
      <c r="C224" s="34" t="inlineStr">
        <is>
          <t>2016-17</t>
        </is>
      </c>
      <c r="O224" s="40" t="n">
        <v>703.5</v>
      </c>
      <c r="P224" s="41">
        <f>SUM(D224:O224)</f>
        <v/>
      </c>
    </row>
    <row r="225">
      <c r="A225" s="34" t="inlineStr">
        <is>
          <t>Oats</t>
        </is>
      </c>
      <c r="B225" s="35" t="inlineStr">
        <is>
          <t>Stocks-to-Use</t>
        </is>
      </c>
      <c r="C225" s="34" t="inlineStr">
        <is>
          <t>2016-17</t>
        </is>
      </c>
      <c r="P225" s="37">
        <f>SUM(D225:O225)</f>
        <v/>
      </c>
    </row>
    <row r="226">
      <c r="A226" s="34" t="inlineStr">
        <is>
          <t>Oats</t>
        </is>
      </c>
      <c r="B226" s="35" t="inlineStr">
        <is>
          <t>STU Days</t>
        </is>
      </c>
      <c r="C226" s="34" t="inlineStr">
        <is>
          <t>2016-17</t>
        </is>
      </c>
      <c r="P226" s="41">
        <f>SUM(D226:O226)</f>
        <v/>
      </c>
    </row>
    <row r="227">
      <c r="A227" s="34" t="inlineStr">
        <is>
          <t>Oats</t>
        </is>
      </c>
      <c r="B227" s="35" t="inlineStr">
        <is>
          <t>CHECK</t>
        </is>
      </c>
      <c r="C227" s="34" t="inlineStr">
        <is>
          <t>2016-17</t>
        </is>
      </c>
      <c r="O227" s="41" t="n">
        <v>0</v>
      </c>
      <c r="P227" s="41">
        <f>SUM(D227:O227)</f>
        <v/>
      </c>
    </row>
    <row r="228">
      <c r="A228" s="34" t="inlineStr">
        <is>
          <t>Oats</t>
        </is>
      </c>
      <c r="B228" s="35" t="inlineStr">
        <is>
          <t>Planted Area</t>
        </is>
      </c>
      <c r="C228" s="34" t="inlineStr">
        <is>
          <t>2017-18</t>
        </is>
      </c>
      <c r="P228" s="36">
        <f>SUM(D228:O228)</f>
        <v/>
      </c>
    </row>
    <row r="229">
      <c r="A229" s="34" t="inlineStr">
        <is>
          <t>Oats</t>
        </is>
      </c>
      <c r="B229" s="35" t="inlineStr">
        <is>
          <t>Harvested Area</t>
        </is>
      </c>
      <c r="C229" s="34" t="inlineStr">
        <is>
          <t>2017-18</t>
        </is>
      </c>
      <c r="P229" s="36">
        <f>SUM(D229:O229)</f>
        <v/>
      </c>
    </row>
    <row r="230">
      <c r="A230" s="34" t="inlineStr">
        <is>
          <t>Oats</t>
        </is>
      </c>
      <c r="B230" s="35" t="inlineStr">
        <is>
          <t>Proportion Harvested</t>
        </is>
      </c>
      <c r="C230" s="34" t="inlineStr">
        <is>
          <t>2017-18</t>
        </is>
      </c>
      <c r="P230" s="37">
        <f>SUM(D230:O230)</f>
        <v/>
      </c>
    </row>
    <row r="231">
      <c r="A231" s="34" t="inlineStr">
        <is>
          <t>Oats</t>
        </is>
      </c>
      <c r="B231" s="35" t="inlineStr">
        <is>
          <t>Yield</t>
        </is>
      </c>
      <c r="C231" s="34" t="inlineStr">
        <is>
          <t>2017-18</t>
        </is>
      </c>
      <c r="P231" s="38">
        <f>SUM(D231:O231)</f>
        <v/>
      </c>
    </row>
    <row r="232">
      <c r="A232" s="34" t="inlineStr">
        <is>
          <t>Oats</t>
        </is>
      </c>
      <c r="B232" s="39" t="inlineStr">
        <is>
          <t>Beginning Stocks</t>
        </is>
      </c>
      <c r="C232" s="34" t="inlineStr">
        <is>
          <t>2017-18</t>
        </is>
      </c>
      <c r="O232" s="40" t="n">
        <v>703.5</v>
      </c>
      <c r="P232" s="41">
        <f>SUM(D232:O232)</f>
        <v/>
      </c>
    </row>
    <row r="233">
      <c r="A233" s="34" t="inlineStr">
        <is>
          <t>Oats</t>
        </is>
      </c>
      <c r="B233" s="39" t="inlineStr">
        <is>
          <t>Imports</t>
        </is>
      </c>
      <c r="C233" s="34" t="inlineStr">
        <is>
          <t>2017-18</t>
        </is>
      </c>
      <c r="O233" s="40" t="n">
        <v>13.8</v>
      </c>
      <c r="P233" s="41">
        <f>SUM(D233:O233)</f>
        <v/>
      </c>
    </row>
    <row r="234">
      <c r="A234" s="34" t="inlineStr">
        <is>
          <t>Oats</t>
        </is>
      </c>
      <c r="B234" s="39" t="inlineStr">
        <is>
          <t>Production</t>
        </is>
      </c>
      <c r="C234" s="34" t="inlineStr">
        <is>
          <t>2017-18</t>
        </is>
      </c>
      <c r="O234" s="40" t="n">
        <v>3733</v>
      </c>
      <c r="P234" s="41">
        <f>SUM(D234:O234)</f>
        <v/>
      </c>
    </row>
    <row r="235">
      <c r="A235" s="34" t="inlineStr">
        <is>
          <t>Oats</t>
        </is>
      </c>
      <c r="B235" s="39" t="inlineStr">
        <is>
          <t>Food</t>
        </is>
      </c>
      <c r="C235" s="34" t="inlineStr">
        <is>
          <t>2017-18</t>
        </is>
      </c>
      <c r="O235" s="40" t="n">
        <v>112.2</v>
      </c>
      <c r="P235" s="41">
        <f>SUM(D235:O235)</f>
        <v/>
      </c>
    </row>
    <row r="236">
      <c r="A236" s="34" t="inlineStr">
        <is>
          <t>Oats</t>
        </is>
      </c>
      <c r="B236" s="39" t="inlineStr">
        <is>
          <t>Industrial</t>
        </is>
      </c>
      <c r="C236" s="34" t="inlineStr">
        <is>
          <t>2017-18</t>
        </is>
      </c>
      <c r="O236" s="40" t="n">
        <v>0</v>
      </c>
      <c r="P236" s="41">
        <f>SUM(D236:O236)</f>
        <v/>
      </c>
    </row>
    <row r="237">
      <c r="A237" s="34" t="inlineStr">
        <is>
          <t>Oats</t>
        </is>
      </c>
      <c r="B237" s="39" t="inlineStr">
        <is>
          <t>FSR</t>
        </is>
      </c>
      <c r="C237" s="34" t="inlineStr">
        <is>
          <t>2017-18</t>
        </is>
      </c>
      <c r="O237" s="40" t="n">
        <v>1191.5</v>
      </c>
      <c r="P237" s="41">
        <f>SUM(D237:O237)</f>
        <v/>
      </c>
    </row>
    <row r="238">
      <c r="A238" s="34" t="inlineStr">
        <is>
          <t>Oats</t>
        </is>
      </c>
      <c r="B238" s="39" t="inlineStr">
        <is>
          <t>Exports</t>
        </is>
      </c>
      <c r="C238" s="34" t="inlineStr">
        <is>
          <t>2017-18</t>
        </is>
      </c>
      <c r="O238" s="40" t="n">
        <v>2368.2</v>
      </c>
      <c r="P238" s="41">
        <f>SUM(D238:O238)</f>
        <v/>
      </c>
    </row>
    <row r="239">
      <c r="A239" s="34" t="inlineStr">
        <is>
          <t>Oats</t>
        </is>
      </c>
      <c r="B239" s="39" t="inlineStr">
        <is>
          <t>Ending Stocks</t>
        </is>
      </c>
      <c r="C239" s="34" t="inlineStr">
        <is>
          <t>2017-18</t>
        </is>
      </c>
      <c r="O239" s="40" t="n">
        <v>778.4</v>
      </c>
      <c r="P239" s="41">
        <f>SUM(D239:O239)</f>
        <v/>
      </c>
    </row>
    <row r="240">
      <c r="A240" s="34" t="inlineStr">
        <is>
          <t>Oats</t>
        </is>
      </c>
      <c r="B240" s="35" t="inlineStr">
        <is>
          <t>Stocks-to-Use</t>
        </is>
      </c>
      <c r="C240" s="34" t="inlineStr">
        <is>
          <t>2017-18</t>
        </is>
      </c>
      <c r="P240" s="37">
        <f>SUM(D240:O240)</f>
        <v/>
      </c>
    </row>
    <row r="241">
      <c r="A241" s="34" t="inlineStr">
        <is>
          <t>Oats</t>
        </is>
      </c>
      <c r="B241" s="35" t="inlineStr">
        <is>
          <t>STU Days</t>
        </is>
      </c>
      <c r="C241" s="34" t="inlineStr">
        <is>
          <t>2017-18</t>
        </is>
      </c>
      <c r="P241" s="41">
        <f>SUM(D241:O241)</f>
        <v/>
      </c>
    </row>
    <row r="242">
      <c r="A242" s="34" t="inlineStr">
        <is>
          <t>Oats</t>
        </is>
      </c>
      <c r="B242" s="35" t="inlineStr">
        <is>
          <t>CHECK</t>
        </is>
      </c>
      <c r="C242" s="34" t="inlineStr">
        <is>
          <t>2017-18</t>
        </is>
      </c>
      <c r="O242" s="41" t="n">
        <v>1.136868377216161e-13</v>
      </c>
      <c r="P242" s="41">
        <f>SUM(D242:O242)</f>
        <v/>
      </c>
    </row>
    <row r="243">
      <c r="A243" s="34" t="inlineStr">
        <is>
          <t>Oats</t>
        </is>
      </c>
      <c r="B243" s="35" t="inlineStr">
        <is>
          <t>Planted Area</t>
        </is>
      </c>
      <c r="C243" s="34" t="inlineStr">
        <is>
          <t>2018-19</t>
        </is>
      </c>
      <c r="P243" s="36">
        <f>SUM(D243:O243)</f>
        <v/>
      </c>
    </row>
    <row r="244">
      <c r="A244" s="34" t="inlineStr">
        <is>
          <t>Oats</t>
        </is>
      </c>
      <c r="B244" s="35" t="inlineStr">
        <is>
          <t>Harvested Area</t>
        </is>
      </c>
      <c r="C244" s="34" t="inlineStr">
        <is>
          <t>2018-19</t>
        </is>
      </c>
      <c r="P244" s="36">
        <f>SUM(D244:O244)</f>
        <v/>
      </c>
    </row>
    <row r="245">
      <c r="A245" s="34" t="inlineStr">
        <is>
          <t>Oats</t>
        </is>
      </c>
      <c r="B245" s="35" t="inlineStr">
        <is>
          <t>Proportion Harvested</t>
        </is>
      </c>
      <c r="C245" s="34" t="inlineStr">
        <is>
          <t>2018-19</t>
        </is>
      </c>
      <c r="P245" s="37">
        <f>SUM(D245:O245)</f>
        <v/>
      </c>
    </row>
    <row r="246">
      <c r="A246" s="34" t="inlineStr">
        <is>
          <t>Oats</t>
        </is>
      </c>
      <c r="B246" s="35" t="inlineStr">
        <is>
          <t>Yield</t>
        </is>
      </c>
      <c r="C246" s="34" t="inlineStr">
        <is>
          <t>2018-19</t>
        </is>
      </c>
      <c r="P246" s="38">
        <f>SUM(D246:O246)</f>
        <v/>
      </c>
    </row>
    <row r="247">
      <c r="A247" s="34" t="inlineStr">
        <is>
          <t>Oats</t>
        </is>
      </c>
      <c r="B247" s="39" t="inlineStr">
        <is>
          <t>Beginning Stocks</t>
        </is>
      </c>
      <c r="C247" s="34" t="inlineStr">
        <is>
          <t>2018-19</t>
        </is>
      </c>
      <c r="O247" s="40" t="n">
        <v>778.4</v>
      </c>
      <c r="P247" s="41">
        <f>SUM(D247:O247)</f>
        <v/>
      </c>
    </row>
    <row r="248">
      <c r="A248" s="34" t="inlineStr">
        <is>
          <t>Oats</t>
        </is>
      </c>
      <c r="B248" s="39" t="inlineStr">
        <is>
          <t>Imports</t>
        </is>
      </c>
      <c r="C248" s="34" t="inlineStr">
        <is>
          <t>2018-19</t>
        </is>
      </c>
      <c r="O248" s="40" t="n">
        <v>10.5</v>
      </c>
      <c r="P248" s="41">
        <f>SUM(D248:O248)</f>
        <v/>
      </c>
    </row>
    <row r="249">
      <c r="A249" s="34" t="inlineStr">
        <is>
          <t>Oats</t>
        </is>
      </c>
      <c r="B249" s="39" t="inlineStr">
        <is>
          <t>Production</t>
        </is>
      </c>
      <c r="C249" s="34" t="inlineStr">
        <is>
          <t>2018-19</t>
        </is>
      </c>
      <c r="O249" s="40" t="n">
        <v>3436</v>
      </c>
      <c r="P249" s="41">
        <f>SUM(D249:O249)</f>
        <v/>
      </c>
    </row>
    <row r="250">
      <c r="A250" s="34" t="inlineStr">
        <is>
          <t>Oats</t>
        </is>
      </c>
      <c r="B250" s="39" t="inlineStr">
        <is>
          <t>Food</t>
        </is>
      </c>
      <c r="C250" s="34" t="inlineStr">
        <is>
          <t>2018-19</t>
        </is>
      </c>
      <c r="O250" s="40" t="n">
        <v>122.4</v>
      </c>
      <c r="P250" s="41">
        <f>SUM(D250:O250)</f>
        <v/>
      </c>
    </row>
    <row r="251">
      <c r="A251" s="34" t="inlineStr">
        <is>
          <t>Oats</t>
        </is>
      </c>
      <c r="B251" s="39" t="inlineStr">
        <is>
          <t>Industrial</t>
        </is>
      </c>
      <c r="C251" s="34" t="inlineStr">
        <is>
          <t>2018-19</t>
        </is>
      </c>
      <c r="O251" s="40" t="n">
        <v>0</v>
      </c>
      <c r="P251" s="41">
        <f>SUM(D251:O251)</f>
        <v/>
      </c>
    </row>
    <row r="252">
      <c r="A252" s="34" t="inlineStr">
        <is>
          <t>Oats</t>
        </is>
      </c>
      <c r="B252" s="39" t="inlineStr">
        <is>
          <t>FSR</t>
        </is>
      </c>
      <c r="C252" s="34" t="inlineStr">
        <is>
          <t>2018-19</t>
        </is>
      </c>
      <c r="O252" s="40" t="n">
        <v>1230.9</v>
      </c>
      <c r="P252" s="41">
        <f>SUM(D252:O252)</f>
        <v/>
      </c>
    </row>
    <row r="253">
      <c r="A253" s="34" t="inlineStr">
        <is>
          <t>Oats</t>
        </is>
      </c>
      <c r="B253" s="39" t="inlineStr">
        <is>
          <t>Exports</t>
        </is>
      </c>
      <c r="C253" s="34" t="inlineStr">
        <is>
          <t>2018-19</t>
        </is>
      </c>
      <c r="O253" s="40" t="n">
        <v>2474.7</v>
      </c>
      <c r="P253" s="41">
        <f>SUM(D253:O253)</f>
        <v/>
      </c>
    </row>
    <row r="254">
      <c r="A254" s="34" t="inlineStr">
        <is>
          <t>Oats</t>
        </is>
      </c>
      <c r="B254" s="39" t="inlineStr">
        <is>
          <t>Ending Stocks</t>
        </is>
      </c>
      <c r="C254" s="34" t="inlineStr">
        <is>
          <t>2018-19</t>
        </is>
      </c>
      <c r="O254" s="40" t="n">
        <v>396.9</v>
      </c>
      <c r="P254" s="41">
        <f>SUM(D254:O254)</f>
        <v/>
      </c>
    </row>
    <row r="255">
      <c r="A255" s="34" t="inlineStr">
        <is>
          <t>Oats</t>
        </is>
      </c>
      <c r="B255" s="35" t="inlineStr">
        <is>
          <t>Stocks-to-Use</t>
        </is>
      </c>
      <c r="C255" s="34" t="inlineStr">
        <is>
          <t>2018-19</t>
        </is>
      </c>
      <c r="P255" s="37">
        <f>SUM(D255:O255)</f>
        <v/>
      </c>
    </row>
    <row r="256">
      <c r="A256" s="34" t="inlineStr">
        <is>
          <t>Oats</t>
        </is>
      </c>
      <c r="B256" s="35" t="inlineStr">
        <is>
          <t>STU Days</t>
        </is>
      </c>
      <c r="C256" s="34" t="inlineStr">
        <is>
          <t>2018-19</t>
        </is>
      </c>
      <c r="P256" s="41">
        <f>SUM(D256:O256)</f>
        <v/>
      </c>
    </row>
    <row r="257">
      <c r="A257" s="34" t="inlineStr">
        <is>
          <t>Oats</t>
        </is>
      </c>
      <c r="B257" s="35" t="inlineStr">
        <is>
          <t>CHECK</t>
        </is>
      </c>
      <c r="C257" s="34" t="inlineStr">
        <is>
          <t>2018-19</t>
        </is>
      </c>
      <c r="O257" s="41" t="n">
        <v>5.684341886080801e-13</v>
      </c>
      <c r="P257" s="41">
        <f>SUM(D257:O257)</f>
        <v/>
      </c>
    </row>
    <row r="258">
      <c r="A258" s="34" t="inlineStr">
        <is>
          <t>Oats</t>
        </is>
      </c>
      <c r="B258" s="35" t="inlineStr">
        <is>
          <t>Planted Area</t>
        </is>
      </c>
      <c r="C258" s="34" t="inlineStr">
        <is>
          <t>2019-20</t>
        </is>
      </c>
      <c r="P258" s="36">
        <f>SUM(D258:O258)</f>
        <v/>
      </c>
    </row>
    <row r="259">
      <c r="A259" s="34" t="inlineStr">
        <is>
          <t>Oats</t>
        </is>
      </c>
      <c r="B259" s="35" t="inlineStr">
        <is>
          <t>Harvested Area</t>
        </is>
      </c>
      <c r="C259" s="34" t="inlineStr">
        <is>
          <t>2019-20</t>
        </is>
      </c>
      <c r="P259" s="36">
        <f>SUM(D259:O259)</f>
        <v/>
      </c>
    </row>
    <row r="260">
      <c r="A260" s="34" t="inlineStr">
        <is>
          <t>Oats</t>
        </is>
      </c>
      <c r="B260" s="35" t="inlineStr">
        <is>
          <t>Proportion Harvested</t>
        </is>
      </c>
      <c r="C260" s="34" t="inlineStr">
        <is>
          <t>2019-20</t>
        </is>
      </c>
      <c r="P260" s="37">
        <f>SUM(D260:O260)</f>
        <v/>
      </c>
    </row>
    <row r="261">
      <c r="A261" s="34" t="inlineStr">
        <is>
          <t>Oats</t>
        </is>
      </c>
      <c r="B261" s="35" t="inlineStr">
        <is>
          <t>Yield</t>
        </is>
      </c>
      <c r="C261" s="34" t="inlineStr">
        <is>
          <t>2019-20</t>
        </is>
      </c>
      <c r="P261" s="38">
        <f>SUM(D261:O261)</f>
        <v/>
      </c>
    </row>
    <row r="262">
      <c r="A262" s="34" t="inlineStr">
        <is>
          <t>Oats</t>
        </is>
      </c>
      <c r="B262" s="39" t="inlineStr">
        <is>
          <t>Beginning Stocks</t>
        </is>
      </c>
      <c r="C262" s="34" t="inlineStr">
        <is>
          <t>2019-20</t>
        </is>
      </c>
      <c r="O262" s="40" t="n">
        <v>396.9</v>
      </c>
      <c r="P262" s="41">
        <f>SUM(D262:O262)</f>
        <v/>
      </c>
    </row>
    <row r="263">
      <c r="A263" s="34" t="inlineStr">
        <is>
          <t>Oats</t>
        </is>
      </c>
      <c r="B263" s="39" t="inlineStr">
        <is>
          <t>Imports</t>
        </is>
      </c>
      <c r="C263" s="34" t="inlineStr">
        <is>
          <t>2019-20</t>
        </is>
      </c>
      <c r="O263" s="40" t="n">
        <v>13.6</v>
      </c>
      <c r="P263" s="41">
        <f>SUM(D263:O263)</f>
        <v/>
      </c>
    </row>
    <row r="264">
      <c r="A264" s="34" t="inlineStr">
        <is>
          <t>Oats</t>
        </is>
      </c>
      <c r="B264" s="39" t="inlineStr">
        <is>
          <t>Production</t>
        </is>
      </c>
      <c r="C264" s="34" t="inlineStr">
        <is>
          <t>2019-20</t>
        </is>
      </c>
      <c r="O264" s="40" t="n">
        <v>4227.3</v>
      </c>
      <c r="P264" s="41">
        <f>SUM(D264:O264)</f>
        <v/>
      </c>
    </row>
    <row r="265">
      <c r="A265" s="34" t="inlineStr">
        <is>
          <t>Oats</t>
        </is>
      </c>
      <c r="B265" s="39" t="inlineStr">
        <is>
          <t>Food</t>
        </is>
      </c>
      <c r="C265" s="34" t="inlineStr">
        <is>
          <t>2019-20</t>
        </is>
      </c>
      <c r="O265" s="40" t="n">
        <v>143.4</v>
      </c>
      <c r="P265" s="41">
        <f>SUM(D265:O265)</f>
        <v/>
      </c>
    </row>
    <row r="266">
      <c r="A266" s="34" t="inlineStr">
        <is>
          <t>Oats</t>
        </is>
      </c>
      <c r="B266" s="39" t="inlineStr">
        <is>
          <t>Industrial</t>
        </is>
      </c>
      <c r="C266" s="34" t="inlineStr">
        <is>
          <t>2019-20</t>
        </is>
      </c>
      <c r="O266" s="40" t="n">
        <v>0</v>
      </c>
      <c r="P266" s="41">
        <f>SUM(D266:O266)</f>
        <v/>
      </c>
    </row>
    <row r="267">
      <c r="A267" s="34" t="inlineStr">
        <is>
          <t>Oats</t>
        </is>
      </c>
      <c r="B267" s="39" t="inlineStr">
        <is>
          <t>FSR</t>
        </is>
      </c>
      <c r="C267" s="34" t="inlineStr">
        <is>
          <t>2019-20</t>
        </is>
      </c>
      <c r="O267" s="40" t="n">
        <v>1458.1</v>
      </c>
      <c r="P267" s="41">
        <f>SUM(D267:O267)</f>
        <v/>
      </c>
    </row>
    <row r="268">
      <c r="A268" s="34" t="inlineStr">
        <is>
          <t>Oats</t>
        </is>
      </c>
      <c r="B268" s="39" t="inlineStr">
        <is>
          <t>Exports</t>
        </is>
      </c>
      <c r="C268" s="34" t="inlineStr">
        <is>
          <t>2019-20</t>
        </is>
      </c>
      <c r="O268" s="40" t="n">
        <v>2610.7</v>
      </c>
      <c r="P268" s="41">
        <f>SUM(D268:O268)</f>
        <v/>
      </c>
    </row>
    <row r="269">
      <c r="A269" s="34" t="inlineStr">
        <is>
          <t>Oats</t>
        </is>
      </c>
      <c r="B269" s="39" t="inlineStr">
        <is>
          <t>Ending Stocks</t>
        </is>
      </c>
      <c r="C269" s="34" t="inlineStr">
        <is>
          <t>2019-20</t>
        </is>
      </c>
      <c r="O269" s="40" t="n">
        <v>425.6</v>
      </c>
      <c r="P269" s="41">
        <f>SUM(D269:O269)</f>
        <v/>
      </c>
    </row>
    <row r="270">
      <c r="A270" s="34" t="inlineStr">
        <is>
          <t>Oats</t>
        </is>
      </c>
      <c r="B270" s="35" t="inlineStr">
        <is>
          <t>Stocks-to-Use</t>
        </is>
      </c>
      <c r="C270" s="34" t="inlineStr">
        <is>
          <t>2019-20</t>
        </is>
      </c>
      <c r="P270" s="37">
        <f>SUM(D270:O270)</f>
        <v/>
      </c>
    </row>
    <row r="271">
      <c r="A271" s="34" t="inlineStr">
        <is>
          <t>Oats</t>
        </is>
      </c>
      <c r="B271" s="35" t="inlineStr">
        <is>
          <t>STU Days</t>
        </is>
      </c>
      <c r="C271" s="34" t="inlineStr">
        <is>
          <t>2019-20</t>
        </is>
      </c>
      <c r="P271" s="41">
        <f>SUM(D271:O271)</f>
        <v/>
      </c>
    </row>
    <row r="272">
      <c r="A272" s="34" t="inlineStr">
        <is>
          <t>Oats</t>
        </is>
      </c>
      <c r="B272" s="35" t="inlineStr">
        <is>
          <t>CHECK</t>
        </is>
      </c>
      <c r="C272" s="34" t="inlineStr">
        <is>
          <t>2019-20</t>
        </is>
      </c>
      <c r="O272" s="41" t="n">
        <v>3.410605131648481e-13</v>
      </c>
      <c r="P272" s="41">
        <f>SUM(D272:O272)</f>
        <v/>
      </c>
    </row>
    <row r="273">
      <c r="A273" s="34" t="inlineStr">
        <is>
          <t>Oats</t>
        </is>
      </c>
      <c r="B273" s="35" t="inlineStr">
        <is>
          <t>Planted Area</t>
        </is>
      </c>
      <c r="C273" s="34" t="inlineStr">
        <is>
          <t>2020-21</t>
        </is>
      </c>
      <c r="P273" s="36">
        <f>SUM(D273:O273)</f>
        <v/>
      </c>
    </row>
    <row r="274">
      <c r="A274" s="34" t="inlineStr">
        <is>
          <t>Oats</t>
        </is>
      </c>
      <c r="B274" s="35" t="inlineStr">
        <is>
          <t>Harvested Area</t>
        </is>
      </c>
      <c r="C274" s="34" t="inlineStr">
        <is>
          <t>2020-21</t>
        </is>
      </c>
      <c r="P274" s="36">
        <f>SUM(D274:O274)</f>
        <v/>
      </c>
    </row>
    <row r="275">
      <c r="A275" s="34" t="inlineStr">
        <is>
          <t>Oats</t>
        </is>
      </c>
      <c r="B275" s="35" t="inlineStr">
        <is>
          <t>Proportion Harvested</t>
        </is>
      </c>
      <c r="C275" s="34" t="inlineStr">
        <is>
          <t>2020-21</t>
        </is>
      </c>
      <c r="P275" s="37">
        <f>SUM(D275:O275)</f>
        <v/>
      </c>
    </row>
    <row r="276">
      <c r="A276" s="34" t="inlineStr">
        <is>
          <t>Oats</t>
        </is>
      </c>
      <c r="B276" s="35" t="inlineStr">
        <is>
          <t>Yield</t>
        </is>
      </c>
      <c r="C276" s="34" t="inlineStr">
        <is>
          <t>2020-21</t>
        </is>
      </c>
      <c r="P276" s="38">
        <f>SUM(D276:O276)</f>
        <v/>
      </c>
    </row>
    <row r="277">
      <c r="A277" s="34" t="inlineStr">
        <is>
          <t>Oats</t>
        </is>
      </c>
      <c r="B277" s="39" t="inlineStr">
        <is>
          <t>Beginning Stocks</t>
        </is>
      </c>
      <c r="C277" s="34" t="inlineStr">
        <is>
          <t>2020-21</t>
        </is>
      </c>
      <c r="O277" s="40" t="n">
        <v>425.6</v>
      </c>
      <c r="P277" s="41">
        <f>SUM(D277:O277)</f>
        <v/>
      </c>
    </row>
    <row r="278">
      <c r="A278" s="34" t="inlineStr">
        <is>
          <t>Oats</t>
        </is>
      </c>
      <c r="B278" s="39" t="inlineStr">
        <is>
          <t>Imports</t>
        </is>
      </c>
      <c r="C278" s="34" t="inlineStr">
        <is>
          <t>2020-21</t>
        </is>
      </c>
      <c r="O278" s="40" t="n">
        <v>17.1</v>
      </c>
      <c r="P278" s="41">
        <f>SUM(D278:O278)</f>
        <v/>
      </c>
    </row>
    <row r="279">
      <c r="A279" s="34" t="inlineStr">
        <is>
          <t>Oats</t>
        </is>
      </c>
      <c r="B279" s="39" t="inlineStr">
        <is>
          <t>Production</t>
        </is>
      </c>
      <c r="C279" s="34" t="inlineStr">
        <is>
          <t>2020-21</t>
        </is>
      </c>
      <c r="O279" s="40" t="n">
        <v>4575.8</v>
      </c>
      <c r="P279" s="41">
        <f>SUM(D279:O279)</f>
        <v/>
      </c>
    </row>
    <row r="280">
      <c r="A280" s="34" t="inlineStr">
        <is>
          <t>Oats</t>
        </is>
      </c>
      <c r="B280" s="39" t="inlineStr">
        <is>
          <t>Food</t>
        </is>
      </c>
      <c r="C280" s="34" t="inlineStr">
        <is>
          <t>2020-21</t>
        </is>
      </c>
      <c r="O280" s="40" t="n">
        <v>104.1</v>
      </c>
      <c r="P280" s="41">
        <f>SUM(D280:O280)</f>
        <v/>
      </c>
    </row>
    <row r="281">
      <c r="A281" s="34" t="inlineStr">
        <is>
          <t>Oats</t>
        </is>
      </c>
      <c r="B281" s="39" t="inlineStr">
        <is>
          <t>Industrial</t>
        </is>
      </c>
      <c r="C281" s="34" t="inlineStr">
        <is>
          <t>2020-21</t>
        </is>
      </c>
      <c r="O281" s="40" t="n">
        <v>0</v>
      </c>
      <c r="P281" s="41">
        <f>SUM(D281:O281)</f>
        <v/>
      </c>
    </row>
    <row r="282">
      <c r="A282" s="34" t="inlineStr">
        <is>
          <t>Oats</t>
        </is>
      </c>
      <c r="B282" s="39" t="inlineStr">
        <is>
          <t>FSR</t>
        </is>
      </c>
      <c r="C282" s="34" t="inlineStr">
        <is>
          <t>2020-21</t>
        </is>
      </c>
      <c r="O282" s="40" t="n">
        <v>1286.200000000001</v>
      </c>
      <c r="P282" s="41">
        <f>SUM(D282:O282)</f>
        <v/>
      </c>
    </row>
    <row r="283">
      <c r="A283" s="34" t="inlineStr">
        <is>
          <t>Oats</t>
        </is>
      </c>
      <c r="B283" s="39" t="inlineStr">
        <is>
          <t>Exports</t>
        </is>
      </c>
      <c r="C283" s="34" t="inlineStr">
        <is>
          <t>2020-21</t>
        </is>
      </c>
      <c r="O283" s="40" t="n">
        <v>2971.7</v>
      </c>
      <c r="P283" s="41">
        <f>SUM(D283:O283)</f>
        <v/>
      </c>
    </row>
    <row r="284">
      <c r="A284" s="34" t="inlineStr">
        <is>
          <t>Oats</t>
        </is>
      </c>
      <c r="B284" s="39" t="inlineStr">
        <is>
          <t>Ending Stocks</t>
        </is>
      </c>
      <c r="C284" s="34" t="inlineStr">
        <is>
          <t>2020-21</t>
        </is>
      </c>
      <c r="O284" s="40" t="n">
        <v>656.5</v>
      </c>
      <c r="P284" s="41">
        <f>SUM(D284:O284)</f>
        <v/>
      </c>
    </row>
    <row r="285">
      <c r="A285" s="34" t="inlineStr">
        <is>
          <t>Oats</t>
        </is>
      </c>
      <c r="B285" s="35" t="inlineStr">
        <is>
          <t>Stocks-to-Use</t>
        </is>
      </c>
      <c r="C285" s="34" t="inlineStr">
        <is>
          <t>2020-21</t>
        </is>
      </c>
      <c r="P285" s="37">
        <f>SUM(D285:O285)</f>
        <v/>
      </c>
    </row>
    <row r="286">
      <c r="A286" s="34" t="inlineStr">
        <is>
          <t>Oats</t>
        </is>
      </c>
      <c r="B286" s="35" t="inlineStr">
        <is>
          <t>STU Days</t>
        </is>
      </c>
      <c r="C286" s="34" t="inlineStr">
        <is>
          <t>2020-21</t>
        </is>
      </c>
      <c r="P286" s="41">
        <f>SUM(D286:O286)</f>
        <v/>
      </c>
    </row>
    <row r="287">
      <c r="A287" s="34" t="inlineStr">
        <is>
          <t>Oats</t>
        </is>
      </c>
      <c r="B287" s="35" t="inlineStr">
        <is>
          <t>CHECK</t>
        </is>
      </c>
      <c r="C287" s="34" t="inlineStr">
        <is>
          <t>2020-21</t>
        </is>
      </c>
      <c r="O287" s="41" t="n">
        <v>-4.547473508864641e-13</v>
      </c>
      <c r="P287" s="41">
        <f>SUM(D287:O287)</f>
        <v/>
      </c>
    </row>
    <row r="288">
      <c r="A288" s="34" t="inlineStr">
        <is>
          <t>Oats</t>
        </is>
      </c>
      <c r="B288" s="35" t="inlineStr">
        <is>
          <t>Planted Area</t>
        </is>
      </c>
      <c r="C288" s="34" t="inlineStr">
        <is>
          <t>2021-22</t>
        </is>
      </c>
      <c r="P288" s="36">
        <f>SUM(D288:O288)</f>
        <v/>
      </c>
    </row>
    <row r="289">
      <c r="A289" s="34" t="inlineStr">
        <is>
          <t>Oats</t>
        </is>
      </c>
      <c r="B289" s="35" t="inlineStr">
        <is>
          <t>Harvested Area</t>
        </is>
      </c>
      <c r="C289" s="34" t="inlineStr">
        <is>
          <t>2021-22</t>
        </is>
      </c>
      <c r="P289" s="36">
        <f>SUM(D289:O289)</f>
        <v/>
      </c>
    </row>
    <row r="290">
      <c r="A290" s="34" t="inlineStr">
        <is>
          <t>Oats</t>
        </is>
      </c>
      <c r="B290" s="35" t="inlineStr">
        <is>
          <t>Proportion Harvested</t>
        </is>
      </c>
      <c r="C290" s="34" t="inlineStr">
        <is>
          <t>2021-22</t>
        </is>
      </c>
      <c r="P290" s="37">
        <f>SUM(D290:O290)</f>
        <v/>
      </c>
    </row>
    <row r="291">
      <c r="A291" s="34" t="inlineStr">
        <is>
          <t>Oats</t>
        </is>
      </c>
      <c r="B291" s="35" t="inlineStr">
        <is>
          <t>Yield</t>
        </is>
      </c>
      <c r="C291" s="34" t="inlineStr">
        <is>
          <t>2021-22</t>
        </is>
      </c>
      <c r="P291" s="38">
        <f>SUM(D291:O291)</f>
        <v/>
      </c>
    </row>
    <row r="292">
      <c r="A292" s="34" t="inlineStr">
        <is>
          <t>Oats</t>
        </is>
      </c>
      <c r="B292" s="39" t="inlineStr">
        <is>
          <t>Beginning Stocks</t>
        </is>
      </c>
      <c r="C292" s="34" t="inlineStr">
        <is>
          <t>2021-22</t>
        </is>
      </c>
      <c r="O292" s="40" t="n">
        <v>656.5</v>
      </c>
      <c r="P292" s="41">
        <f>SUM(D292:O292)</f>
        <v/>
      </c>
    </row>
    <row r="293">
      <c r="A293" s="34" t="inlineStr">
        <is>
          <t>Oats</t>
        </is>
      </c>
      <c r="B293" s="39" t="inlineStr">
        <is>
          <t>Imports</t>
        </is>
      </c>
      <c r="C293" s="34" t="inlineStr">
        <is>
          <t>2021-22</t>
        </is>
      </c>
      <c r="O293" s="40" t="n">
        <v>25</v>
      </c>
      <c r="P293" s="41">
        <f>SUM(D293:O293)</f>
        <v/>
      </c>
    </row>
    <row r="294">
      <c r="A294" s="34" t="inlineStr">
        <is>
          <t>Oats</t>
        </is>
      </c>
      <c r="B294" s="39" t="inlineStr">
        <is>
          <t>Production</t>
        </is>
      </c>
      <c r="C294" s="34" t="inlineStr">
        <is>
          <t>2021-22</t>
        </is>
      </c>
      <c r="O294" s="40" t="n">
        <v>2898.6</v>
      </c>
      <c r="P294" s="41">
        <f>SUM(D294:O294)</f>
        <v/>
      </c>
    </row>
    <row r="295">
      <c r="A295" s="34" t="inlineStr">
        <is>
          <t>Oats</t>
        </is>
      </c>
      <c r="B295" s="39" t="inlineStr">
        <is>
          <t>Food</t>
        </is>
      </c>
      <c r="C295" s="34" t="inlineStr">
        <is>
          <t>2021-22</t>
        </is>
      </c>
      <c r="O295" s="40" t="n">
        <v>97.59999999999999</v>
      </c>
      <c r="P295" s="41">
        <f>SUM(D295:O295)</f>
        <v/>
      </c>
    </row>
    <row r="296">
      <c r="A296" s="34" t="inlineStr">
        <is>
          <t>Oats</t>
        </is>
      </c>
      <c r="B296" s="39" t="inlineStr">
        <is>
          <t>Industrial</t>
        </is>
      </c>
      <c r="C296" s="34" t="inlineStr">
        <is>
          <t>2021-22</t>
        </is>
      </c>
      <c r="O296" s="40" t="n">
        <v>0</v>
      </c>
      <c r="P296" s="41">
        <f>SUM(D296:O296)</f>
        <v/>
      </c>
    </row>
    <row r="297">
      <c r="A297" s="34" t="inlineStr">
        <is>
          <t>Oats</t>
        </is>
      </c>
      <c r="B297" s="39" t="inlineStr">
        <is>
          <t>FSR</t>
        </is>
      </c>
      <c r="C297" s="34" t="inlineStr">
        <is>
          <t>2021-22</t>
        </is>
      </c>
      <c r="O297" s="40" t="n">
        <v>835.8000000000001</v>
      </c>
      <c r="P297" s="41">
        <f>SUM(D297:O297)</f>
        <v/>
      </c>
    </row>
    <row r="298">
      <c r="A298" s="34" t="inlineStr">
        <is>
          <t>Oats</t>
        </is>
      </c>
      <c r="B298" s="39" t="inlineStr">
        <is>
          <t>Exports</t>
        </is>
      </c>
      <c r="C298" s="34" t="inlineStr">
        <is>
          <t>2021-22</t>
        </is>
      </c>
      <c r="O298" s="40" t="n">
        <v>2314.1</v>
      </c>
      <c r="P298" s="41">
        <f>SUM(D298:O298)</f>
        <v/>
      </c>
    </row>
    <row r="299">
      <c r="A299" s="34" t="inlineStr">
        <is>
          <t>Oats</t>
        </is>
      </c>
      <c r="B299" s="39" t="inlineStr">
        <is>
          <t>Ending Stocks</t>
        </is>
      </c>
      <c r="C299" s="34" t="inlineStr">
        <is>
          <t>2021-22</t>
        </is>
      </c>
      <c r="O299" s="40" t="n">
        <v>332.6</v>
      </c>
      <c r="P299" s="41">
        <f>SUM(D299:O299)</f>
        <v/>
      </c>
    </row>
    <row r="300">
      <c r="A300" s="34" t="inlineStr">
        <is>
          <t>Oats</t>
        </is>
      </c>
      <c r="B300" s="35" t="inlineStr">
        <is>
          <t>Stocks-to-Use</t>
        </is>
      </c>
      <c r="C300" s="34" t="inlineStr">
        <is>
          <t>2021-22</t>
        </is>
      </c>
      <c r="P300" s="37">
        <f>SUM(D300:O300)</f>
        <v/>
      </c>
    </row>
    <row r="301">
      <c r="A301" s="34" t="inlineStr">
        <is>
          <t>Oats</t>
        </is>
      </c>
      <c r="B301" s="35" t="inlineStr">
        <is>
          <t>STU Days</t>
        </is>
      </c>
      <c r="C301" s="34" t="inlineStr">
        <is>
          <t>2021-22</t>
        </is>
      </c>
      <c r="P301" s="41">
        <f>SUM(D301:O301)</f>
        <v/>
      </c>
    </row>
    <row r="302">
      <c r="A302" s="34" t="inlineStr">
        <is>
          <t>Oats</t>
        </is>
      </c>
      <c r="B302" s="35" t="inlineStr">
        <is>
          <t>CHECK</t>
        </is>
      </c>
      <c r="C302" s="34" t="inlineStr">
        <is>
          <t>2021-22</t>
        </is>
      </c>
      <c r="O302" s="41" t="n">
        <v>-1.136868377216161e-13</v>
      </c>
      <c r="P302" s="41">
        <f>SUM(D302:O302)</f>
        <v/>
      </c>
    </row>
    <row r="303">
      <c r="A303" s="34" t="inlineStr">
        <is>
          <t>Oats</t>
        </is>
      </c>
      <c r="B303" s="35" t="inlineStr">
        <is>
          <t>Planted Area</t>
        </is>
      </c>
      <c r="C303" s="34" t="inlineStr">
        <is>
          <t>2022-23</t>
        </is>
      </c>
      <c r="P303" s="36">
        <f>SUM(D303:O303)</f>
        <v/>
      </c>
    </row>
    <row r="304">
      <c r="A304" s="34" t="inlineStr">
        <is>
          <t>Oats</t>
        </is>
      </c>
      <c r="B304" s="35" t="inlineStr">
        <is>
          <t>Harvested Area</t>
        </is>
      </c>
      <c r="C304" s="34" t="inlineStr">
        <is>
          <t>2022-23</t>
        </is>
      </c>
      <c r="P304" s="36">
        <f>SUM(D304:O304)</f>
        <v/>
      </c>
    </row>
    <row r="305">
      <c r="A305" s="34" t="inlineStr">
        <is>
          <t>Oats</t>
        </is>
      </c>
      <c r="B305" s="35" t="inlineStr">
        <is>
          <t>Proportion Harvested</t>
        </is>
      </c>
      <c r="C305" s="34" t="inlineStr">
        <is>
          <t>2022-23</t>
        </is>
      </c>
      <c r="P305" s="37">
        <f>SUM(D305:O305)</f>
        <v/>
      </c>
    </row>
    <row r="306">
      <c r="A306" s="34" t="inlineStr">
        <is>
          <t>Oats</t>
        </is>
      </c>
      <c r="B306" s="35" t="inlineStr">
        <is>
          <t>Yield</t>
        </is>
      </c>
      <c r="C306" s="34" t="inlineStr">
        <is>
          <t>2022-23</t>
        </is>
      </c>
      <c r="P306" s="38">
        <f>SUM(D306:O306)</f>
        <v/>
      </c>
    </row>
    <row r="307">
      <c r="A307" s="34" t="inlineStr">
        <is>
          <t>Oats</t>
        </is>
      </c>
      <c r="B307" s="39" t="inlineStr">
        <is>
          <t>Beginning Stocks</t>
        </is>
      </c>
      <c r="C307" s="34" t="inlineStr">
        <is>
          <t>2022-23</t>
        </is>
      </c>
      <c r="O307" s="40" t="n">
        <v>332.6</v>
      </c>
      <c r="P307" s="41">
        <f>SUM(D307:O307)</f>
        <v/>
      </c>
    </row>
    <row r="308">
      <c r="A308" s="34" t="inlineStr">
        <is>
          <t>Oats</t>
        </is>
      </c>
      <c r="B308" s="39" t="inlineStr">
        <is>
          <t>Imports</t>
        </is>
      </c>
      <c r="C308" s="34" t="inlineStr">
        <is>
          <t>2022-23</t>
        </is>
      </c>
      <c r="O308" s="40" t="n">
        <v>24.6</v>
      </c>
      <c r="P308" s="41">
        <f>SUM(D308:O308)</f>
        <v/>
      </c>
    </row>
    <row r="309">
      <c r="A309" s="34" t="inlineStr">
        <is>
          <t>Oats</t>
        </is>
      </c>
      <c r="B309" s="39" t="inlineStr">
        <is>
          <t>Production</t>
        </is>
      </c>
      <c r="C309" s="34" t="inlineStr">
        <is>
          <t>2022-23</t>
        </is>
      </c>
      <c r="O309" s="40" t="n">
        <v>5226.5</v>
      </c>
      <c r="P309" s="41">
        <f>SUM(D309:O309)</f>
        <v/>
      </c>
    </row>
    <row r="310">
      <c r="A310" s="34" t="inlineStr">
        <is>
          <t>Oats</t>
        </is>
      </c>
      <c r="B310" s="39" t="inlineStr">
        <is>
          <t>Food</t>
        </is>
      </c>
      <c r="C310" s="34" t="inlineStr">
        <is>
          <t>2022-23</t>
        </is>
      </c>
      <c r="O310" s="40" t="n">
        <v>90.3</v>
      </c>
      <c r="P310" s="41">
        <f>SUM(D310:O310)</f>
        <v/>
      </c>
    </row>
    <row r="311">
      <c r="A311" s="34" t="inlineStr">
        <is>
          <t>Oats</t>
        </is>
      </c>
      <c r="B311" s="39" t="inlineStr">
        <is>
          <t>Industrial</t>
        </is>
      </c>
      <c r="C311" s="34" t="inlineStr">
        <is>
          <t>2022-23</t>
        </is>
      </c>
      <c r="O311" s="40" t="n">
        <v>0</v>
      </c>
      <c r="P311" s="41">
        <f>SUM(D311:O311)</f>
        <v/>
      </c>
    </row>
    <row r="312">
      <c r="A312" s="34" t="inlineStr">
        <is>
          <t>Oats</t>
        </is>
      </c>
      <c r="B312" s="39" t="inlineStr">
        <is>
          <t>FSR</t>
        </is>
      </c>
      <c r="C312" s="34" t="inlineStr">
        <is>
          <t>2022-23</t>
        </is>
      </c>
      <c r="O312" s="40" t="n">
        <v>1320.5</v>
      </c>
      <c r="P312" s="41">
        <f>SUM(D312:O312)</f>
        <v/>
      </c>
    </row>
    <row r="313">
      <c r="A313" s="34" t="inlineStr">
        <is>
          <t>Oats</t>
        </is>
      </c>
      <c r="B313" s="39" t="inlineStr">
        <is>
          <t>Exports</t>
        </is>
      </c>
      <c r="C313" s="34" t="inlineStr">
        <is>
          <t>2022-23</t>
        </is>
      </c>
      <c r="O313" s="40" t="n">
        <v>2669.9</v>
      </c>
      <c r="P313" s="41">
        <f>SUM(D313:O313)</f>
        <v/>
      </c>
    </row>
    <row r="314">
      <c r="A314" s="34" t="inlineStr">
        <is>
          <t>Oats</t>
        </is>
      </c>
      <c r="B314" s="39" t="inlineStr">
        <is>
          <t>Ending Stocks</t>
        </is>
      </c>
      <c r="C314" s="34" t="inlineStr">
        <is>
          <t>2022-23</t>
        </is>
      </c>
      <c r="O314" s="40" t="n">
        <v>1503</v>
      </c>
      <c r="P314" s="41">
        <f>SUM(D314:O314)</f>
        <v/>
      </c>
    </row>
    <row r="315">
      <c r="A315" s="34" t="inlineStr">
        <is>
          <t>Oats</t>
        </is>
      </c>
      <c r="B315" s="35" t="inlineStr">
        <is>
          <t>Stocks-to-Use</t>
        </is>
      </c>
      <c r="C315" s="34" t="inlineStr">
        <is>
          <t>2022-23</t>
        </is>
      </c>
      <c r="P315" s="37">
        <f>SUM(D315:O315)</f>
        <v/>
      </c>
    </row>
    <row r="316">
      <c r="A316" s="34" t="inlineStr">
        <is>
          <t>Oats</t>
        </is>
      </c>
      <c r="B316" s="35" t="inlineStr">
        <is>
          <t>STU Days</t>
        </is>
      </c>
      <c r="C316" s="34" t="inlineStr">
        <is>
          <t>2022-23</t>
        </is>
      </c>
      <c r="P316" s="41">
        <f>SUM(D316:O316)</f>
        <v/>
      </c>
    </row>
    <row r="317">
      <c r="A317" s="34" t="inlineStr">
        <is>
          <t>Oats</t>
        </is>
      </c>
      <c r="B317" s="35" t="inlineStr">
        <is>
          <t>CHECK</t>
        </is>
      </c>
      <c r="C317" s="34" t="inlineStr">
        <is>
          <t>2022-23</t>
        </is>
      </c>
      <c r="O317" s="41" t="n">
        <v>-4.547473508864641e-13</v>
      </c>
      <c r="P317" s="41">
        <f>SUM(D317:O317)</f>
        <v/>
      </c>
    </row>
    <row r="318">
      <c r="A318" s="34" t="inlineStr">
        <is>
          <t>Oats</t>
        </is>
      </c>
      <c r="B318" s="35" t="inlineStr">
        <is>
          <t>Planted Area</t>
        </is>
      </c>
      <c r="C318" s="34" t="inlineStr">
        <is>
          <t>2023-24</t>
        </is>
      </c>
      <c r="P318" s="36">
        <f>SUM(D318:O318)</f>
        <v/>
      </c>
    </row>
    <row r="319">
      <c r="A319" s="34" t="inlineStr">
        <is>
          <t>Oats</t>
        </is>
      </c>
      <c r="B319" s="35" t="inlineStr">
        <is>
          <t>Harvested Area</t>
        </is>
      </c>
      <c r="C319" s="34" t="inlineStr">
        <is>
          <t>2023-24</t>
        </is>
      </c>
      <c r="P319" s="36">
        <f>SUM(D319:O319)</f>
        <v/>
      </c>
    </row>
    <row r="320">
      <c r="A320" s="34" t="inlineStr">
        <is>
          <t>Oats</t>
        </is>
      </c>
      <c r="B320" s="35" t="inlineStr">
        <is>
          <t>Proportion Harvested</t>
        </is>
      </c>
      <c r="C320" s="34" t="inlineStr">
        <is>
          <t>2023-24</t>
        </is>
      </c>
      <c r="P320" s="37">
        <f>SUM(D320:O320)</f>
        <v/>
      </c>
    </row>
    <row r="321">
      <c r="A321" s="34" t="inlineStr">
        <is>
          <t>Oats</t>
        </is>
      </c>
      <c r="B321" s="35" t="inlineStr">
        <is>
          <t>Yield</t>
        </is>
      </c>
      <c r="C321" s="34" t="inlineStr">
        <is>
          <t>2023-24</t>
        </is>
      </c>
      <c r="P321" s="38">
        <f>SUM(D321:O321)</f>
        <v/>
      </c>
    </row>
    <row r="322">
      <c r="A322" s="34" t="inlineStr">
        <is>
          <t>Oats</t>
        </is>
      </c>
      <c r="B322" s="39" t="inlineStr">
        <is>
          <t>Beginning Stocks</t>
        </is>
      </c>
      <c r="C322" s="34" t="inlineStr">
        <is>
          <t>2023-24</t>
        </is>
      </c>
      <c r="O322" s="40" t="n">
        <v>1503</v>
      </c>
      <c r="P322" s="41">
        <f>SUM(D322:O322)</f>
        <v/>
      </c>
    </row>
    <row r="323">
      <c r="A323" s="34" t="inlineStr">
        <is>
          <t>Oats</t>
        </is>
      </c>
      <c r="B323" s="39" t="inlineStr">
        <is>
          <t>Imports</t>
        </is>
      </c>
      <c r="C323" s="34" t="inlineStr">
        <is>
          <t>2023-24</t>
        </is>
      </c>
      <c r="O323" s="40" t="n">
        <v>15.3</v>
      </c>
      <c r="P323" s="41">
        <f>SUM(D323:O323)</f>
        <v/>
      </c>
    </row>
    <row r="324">
      <c r="A324" s="34" t="inlineStr">
        <is>
          <t>Oats</t>
        </is>
      </c>
      <c r="B324" s="39" t="inlineStr">
        <is>
          <t>Production</t>
        </is>
      </c>
      <c r="C324" s="34" t="inlineStr">
        <is>
          <t>2023-24</t>
        </is>
      </c>
      <c r="O324" s="40" t="n">
        <v>2643.1</v>
      </c>
      <c r="P324" s="41">
        <f>SUM(D324:O324)</f>
        <v/>
      </c>
    </row>
    <row r="325">
      <c r="A325" s="34" t="inlineStr">
        <is>
          <t>Oats</t>
        </is>
      </c>
      <c r="B325" s="39" t="inlineStr">
        <is>
          <t>Food</t>
        </is>
      </c>
      <c r="C325" s="34" t="inlineStr">
        <is>
          <t>2023-24</t>
        </is>
      </c>
      <c r="O325" s="40" t="n">
        <v>78.8</v>
      </c>
      <c r="P325" s="41">
        <f>SUM(D325:O325)</f>
        <v/>
      </c>
    </row>
    <row r="326">
      <c r="A326" s="34" t="inlineStr">
        <is>
          <t>Oats</t>
        </is>
      </c>
      <c r="B326" s="39" t="inlineStr">
        <is>
          <t>Industrial</t>
        </is>
      </c>
      <c r="C326" s="34" t="inlineStr">
        <is>
          <t>2023-24</t>
        </is>
      </c>
      <c r="O326" s="40" t="n">
        <v>0</v>
      </c>
      <c r="P326" s="41">
        <f>SUM(D326:O326)</f>
        <v/>
      </c>
    </row>
    <row r="327">
      <c r="A327" s="34" t="inlineStr">
        <is>
          <t>Oats</t>
        </is>
      </c>
      <c r="B327" s="39" t="inlineStr">
        <is>
          <t>FSR</t>
        </is>
      </c>
      <c r="C327" s="34" t="inlineStr">
        <is>
          <t>2023-24</t>
        </is>
      </c>
      <c r="O327" s="40" t="n">
        <v>1046.5</v>
      </c>
      <c r="P327" s="41">
        <f>SUM(D327:O327)</f>
        <v/>
      </c>
    </row>
    <row r="328">
      <c r="A328" s="34" t="inlineStr">
        <is>
          <t>Oats</t>
        </is>
      </c>
      <c r="B328" s="39" t="inlineStr">
        <is>
          <t>Exports</t>
        </is>
      </c>
      <c r="C328" s="34" t="inlineStr">
        <is>
          <t>2023-24</t>
        </is>
      </c>
      <c r="O328" s="40" t="n">
        <v>2365.7</v>
      </c>
      <c r="P328" s="41">
        <f>SUM(D328:O328)</f>
        <v/>
      </c>
    </row>
    <row r="329">
      <c r="A329" s="34" t="inlineStr">
        <is>
          <t>Oats</t>
        </is>
      </c>
      <c r="B329" s="39" t="inlineStr">
        <is>
          <t>Ending Stocks</t>
        </is>
      </c>
      <c r="C329" s="34" t="inlineStr">
        <is>
          <t>2023-24</t>
        </is>
      </c>
      <c r="O329" s="40" t="n">
        <v>670.4</v>
      </c>
      <c r="P329" s="41">
        <f>SUM(D329:O329)</f>
        <v/>
      </c>
    </row>
    <row r="330">
      <c r="A330" s="34" t="inlineStr">
        <is>
          <t>Oats</t>
        </is>
      </c>
      <c r="B330" s="35" t="inlineStr">
        <is>
          <t>Stocks-to-Use</t>
        </is>
      </c>
      <c r="C330" s="34" t="inlineStr">
        <is>
          <t>2023-24</t>
        </is>
      </c>
      <c r="P330" s="37">
        <f>SUM(D330:O330)</f>
        <v/>
      </c>
    </row>
    <row r="331">
      <c r="A331" s="34" t="inlineStr">
        <is>
          <t>Oats</t>
        </is>
      </c>
      <c r="B331" s="35" t="inlineStr">
        <is>
          <t>STU Days</t>
        </is>
      </c>
      <c r="C331" s="34" t="inlineStr">
        <is>
          <t>2023-24</t>
        </is>
      </c>
      <c r="P331" s="41">
        <f>SUM(D331:O331)</f>
        <v/>
      </c>
    </row>
    <row r="332">
      <c r="A332" s="34" t="inlineStr">
        <is>
          <t>Oats</t>
        </is>
      </c>
      <c r="B332" s="35" t="inlineStr">
        <is>
          <t>CHECK</t>
        </is>
      </c>
      <c r="C332" s="34" t="inlineStr">
        <is>
          <t>2023-24</t>
        </is>
      </c>
      <c r="O332" s="41" t="n">
        <v>1.136868377216161e-13</v>
      </c>
      <c r="P332" s="41">
        <f>SUM(D332:O332)</f>
        <v/>
      </c>
    </row>
    <row r="333">
      <c r="A333" s="34" t="inlineStr">
        <is>
          <t>Oats</t>
        </is>
      </c>
      <c r="B333" s="35" t="inlineStr">
        <is>
          <t>Planted Area</t>
        </is>
      </c>
      <c r="C333" s="34" t="inlineStr">
        <is>
          <t>2024-25</t>
        </is>
      </c>
      <c r="P333" s="36">
        <f>SUM(D333:O333)</f>
        <v/>
      </c>
    </row>
    <row r="334">
      <c r="A334" s="34" t="inlineStr">
        <is>
          <t>Oats</t>
        </is>
      </c>
      <c r="B334" s="35" t="inlineStr">
        <is>
          <t>Harvested Area</t>
        </is>
      </c>
      <c r="C334" s="34" t="inlineStr">
        <is>
          <t>2024-25</t>
        </is>
      </c>
      <c r="P334" s="36">
        <f>SUM(D334:O334)</f>
        <v/>
      </c>
    </row>
    <row r="335">
      <c r="A335" s="34" t="inlineStr">
        <is>
          <t>Oats</t>
        </is>
      </c>
      <c r="B335" s="35" t="inlineStr">
        <is>
          <t>Proportion Harvested</t>
        </is>
      </c>
      <c r="C335" s="34" t="inlineStr">
        <is>
          <t>2024-25</t>
        </is>
      </c>
      <c r="P335" s="37">
        <f>SUM(D335:O335)</f>
        <v/>
      </c>
    </row>
    <row r="336">
      <c r="A336" s="34" t="inlineStr">
        <is>
          <t>Oats</t>
        </is>
      </c>
      <c r="B336" s="35" t="inlineStr">
        <is>
          <t>Yield</t>
        </is>
      </c>
      <c r="C336" s="34" t="inlineStr">
        <is>
          <t>2024-25</t>
        </is>
      </c>
      <c r="P336" s="38">
        <f>SUM(D336:O336)</f>
        <v/>
      </c>
    </row>
    <row r="337">
      <c r="A337" s="34" t="inlineStr">
        <is>
          <t>Oats</t>
        </is>
      </c>
      <c r="B337" s="39" t="inlineStr">
        <is>
          <t>Beginning Stocks</t>
        </is>
      </c>
      <c r="C337" s="34" t="inlineStr">
        <is>
          <t>2024-25</t>
        </is>
      </c>
      <c r="O337" s="40" t="n">
        <v>670.4</v>
      </c>
      <c r="P337" s="41">
        <f>SUM(D337:O337)</f>
        <v/>
      </c>
    </row>
    <row r="338">
      <c r="A338" s="34" t="inlineStr">
        <is>
          <t>Oats</t>
        </is>
      </c>
      <c r="B338" s="39" t="inlineStr">
        <is>
          <t>Imports</t>
        </is>
      </c>
      <c r="C338" s="34" t="inlineStr">
        <is>
          <t>2024-25</t>
        </is>
      </c>
      <c r="O338" s="40" t="n">
        <v>15.9</v>
      </c>
      <c r="P338" s="41">
        <f>SUM(D338:O338)</f>
        <v/>
      </c>
    </row>
    <row r="339">
      <c r="A339" s="34" t="inlineStr">
        <is>
          <t>Oats</t>
        </is>
      </c>
      <c r="B339" s="39" t="inlineStr">
        <is>
          <t>Production</t>
        </is>
      </c>
      <c r="C339" s="34" t="inlineStr">
        <is>
          <t>2024-25</t>
        </is>
      </c>
      <c r="O339" s="40" t="n">
        <v>3357.6</v>
      </c>
      <c r="P339" s="41">
        <f>SUM(D339:O339)</f>
        <v/>
      </c>
    </row>
    <row r="340">
      <c r="A340" s="34" t="inlineStr">
        <is>
          <t>Oats</t>
        </is>
      </c>
      <c r="B340" s="39" t="inlineStr">
        <is>
          <t>Food</t>
        </is>
      </c>
      <c r="C340" s="34" t="inlineStr">
        <is>
          <t>2024-25</t>
        </is>
      </c>
      <c r="O340" s="40" t="n">
        <v>75.2</v>
      </c>
      <c r="P340" s="41">
        <f>SUM(D340:O340)</f>
        <v/>
      </c>
    </row>
    <row r="341">
      <c r="A341" s="34" t="inlineStr">
        <is>
          <t>Oats</t>
        </is>
      </c>
      <c r="B341" s="39" t="inlineStr">
        <is>
          <t>Industrial</t>
        </is>
      </c>
      <c r="C341" s="34" t="inlineStr">
        <is>
          <t>2024-25</t>
        </is>
      </c>
      <c r="O341" s="40" t="n">
        <v>0</v>
      </c>
      <c r="P341" s="41">
        <f>SUM(D341:O341)</f>
        <v/>
      </c>
    </row>
    <row r="342">
      <c r="A342" s="34" t="inlineStr">
        <is>
          <t>Oats</t>
        </is>
      </c>
      <c r="B342" s="39" t="inlineStr">
        <is>
          <t>FSR</t>
        </is>
      </c>
      <c r="C342" s="34" t="inlineStr">
        <is>
          <t>2024-25</t>
        </is>
      </c>
      <c r="O342" s="40" t="n">
        <v>896.6000000000001</v>
      </c>
      <c r="P342" s="41">
        <f>SUM(D342:O342)</f>
        <v/>
      </c>
    </row>
    <row r="343">
      <c r="A343" s="34" t="inlineStr">
        <is>
          <t>Oats</t>
        </is>
      </c>
      <c r="B343" s="39" t="inlineStr">
        <is>
          <t>Exports</t>
        </is>
      </c>
      <c r="C343" s="34" t="inlineStr">
        <is>
          <t>2024-25</t>
        </is>
      </c>
      <c r="O343" s="40" t="n">
        <v>2565.4</v>
      </c>
      <c r="P343" s="41">
        <f>SUM(D343:O343)</f>
        <v/>
      </c>
    </row>
    <row r="344">
      <c r="A344" s="34" t="inlineStr">
        <is>
          <t>Oats</t>
        </is>
      </c>
      <c r="B344" s="39" t="inlineStr">
        <is>
          <t>Ending Stocks</t>
        </is>
      </c>
      <c r="C344" s="34" t="inlineStr">
        <is>
          <t>2024-25</t>
        </is>
      </c>
      <c r="O344" s="40" t="n">
        <v>506.7</v>
      </c>
      <c r="P344" s="41">
        <f>SUM(D344:O344)</f>
        <v/>
      </c>
    </row>
    <row r="345">
      <c r="A345" s="34" t="inlineStr">
        <is>
          <t>Oats</t>
        </is>
      </c>
      <c r="B345" s="35" t="inlineStr">
        <is>
          <t>Stocks-to-Use</t>
        </is>
      </c>
      <c r="C345" s="34" t="inlineStr">
        <is>
          <t>2024-25</t>
        </is>
      </c>
      <c r="P345" s="37">
        <f>SUM(D345:O345)</f>
        <v/>
      </c>
    </row>
    <row r="346">
      <c r="A346" s="34" t="inlineStr">
        <is>
          <t>Oats</t>
        </is>
      </c>
      <c r="B346" s="35" t="inlineStr">
        <is>
          <t>STU Days</t>
        </is>
      </c>
      <c r="C346" s="34" t="inlineStr">
        <is>
          <t>2024-25</t>
        </is>
      </c>
      <c r="P346" s="41">
        <f>SUM(D346:O346)</f>
        <v/>
      </c>
    </row>
    <row r="347">
      <c r="A347" s="34" t="inlineStr">
        <is>
          <t>Oats</t>
        </is>
      </c>
      <c r="B347" s="35" t="inlineStr">
        <is>
          <t>CHECK</t>
        </is>
      </c>
      <c r="C347" s="34" t="inlineStr">
        <is>
          <t>2024-25</t>
        </is>
      </c>
      <c r="O347" s="41" t="n">
        <v>2.842170943040401e-13</v>
      </c>
      <c r="P347" s="41">
        <f>SUM(D347:O347)</f>
        <v/>
      </c>
    </row>
    <row r="348">
      <c r="A348" s="34" t="inlineStr">
        <is>
          <t>Oats</t>
        </is>
      </c>
      <c r="B348" s="42" t="inlineStr">
        <is>
          <t>CHECK</t>
        </is>
      </c>
      <c r="C348" s="43" t="inlineStr">
        <is>
          <t>KMT</t>
        </is>
      </c>
      <c r="D348" s="40" t="n">
        <v>0</v>
      </c>
      <c r="E348" s="40" t="n">
        <v>0</v>
      </c>
      <c r="F348" s="40" t="n">
        <v>0</v>
      </c>
      <c r="G348" s="40" t="n">
        <v>0</v>
      </c>
      <c r="H348" s="40" t="n">
        <v>0</v>
      </c>
      <c r="I348" s="40" t="n">
        <v>0</v>
      </c>
      <c r="J348" s="40" t="n">
        <v>0</v>
      </c>
      <c r="K348" s="40" t="n">
        <v>0</v>
      </c>
      <c r="L348" s="40" t="n">
        <v>0</v>
      </c>
      <c r="M348" s="40" t="n">
        <v>0</v>
      </c>
      <c r="N348" s="40" t="n">
        <v>0</v>
      </c>
      <c r="O348" s="40" t="n">
        <v>0</v>
      </c>
      <c r="P348" s="44" t="n">
        <v>0</v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02"/>
  <sheetViews>
    <sheetView workbookViewId="0">
      <selection activeCell="A1" sqref="A1:C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8" customWidth="1" style="46" min="4" max="15"/>
    <col width="12" customWidth="1" style="46" min="16" max="16"/>
  </cols>
  <sheetData>
    <row r="1" ht="15.6" customHeight="1" s="46">
      <c r="A1" s="48" t="inlineStr">
        <is>
          <t>Dry peas</t>
        </is>
      </c>
    </row>
    <row r="2">
      <c r="A2" s="33" t="inlineStr">
        <is>
          <t>Commodity</t>
        </is>
      </c>
      <c r="B2" s="33" t="inlineStr">
        <is>
          <t>Metric</t>
        </is>
      </c>
      <c r="C2" s="33" t="inlineStr">
        <is>
          <t>Crop Year</t>
        </is>
      </c>
      <c r="D2" s="33" t="inlineStr">
        <is>
          <t>08</t>
        </is>
      </c>
      <c r="E2" s="33" t="inlineStr">
        <is>
          <t>09</t>
        </is>
      </c>
      <c r="F2" s="33" t="inlineStr">
        <is>
          <t>10</t>
        </is>
      </c>
      <c r="G2" s="33" t="inlineStr">
        <is>
          <t>11</t>
        </is>
      </c>
      <c r="H2" s="33" t="inlineStr">
        <is>
          <t>12</t>
        </is>
      </c>
      <c r="I2" s="33" t="inlineStr">
        <is>
          <t>01</t>
        </is>
      </c>
      <c r="J2" s="33" t="inlineStr">
        <is>
          <t>02</t>
        </is>
      </c>
      <c r="K2" s="33" t="inlineStr">
        <is>
          <t>03</t>
        </is>
      </c>
      <c r="L2" s="33" t="inlineStr">
        <is>
          <t>04</t>
        </is>
      </c>
      <c r="M2" s="33" t="inlineStr">
        <is>
          <t>05</t>
        </is>
      </c>
      <c r="N2" s="33" t="inlineStr">
        <is>
          <t>06</t>
        </is>
      </c>
      <c r="O2" s="33" t="inlineStr">
        <is>
          <t>07</t>
        </is>
      </c>
      <c r="P2" s="33" t="inlineStr">
        <is>
          <t>Total</t>
        </is>
      </c>
    </row>
    <row r="3">
      <c r="A3" s="34" t="inlineStr">
        <is>
          <t>Dry peas</t>
        </is>
      </c>
      <c r="B3" s="35" t="inlineStr">
        <is>
          <t>Planted Area</t>
        </is>
      </c>
      <c r="C3" s="34" t="inlineStr">
        <is>
          <t>2002-03</t>
        </is>
      </c>
      <c r="P3" s="36">
        <f>SUM(D3:O3)</f>
        <v/>
      </c>
    </row>
    <row r="4">
      <c r="A4" s="34" t="inlineStr">
        <is>
          <t>Dry peas</t>
        </is>
      </c>
      <c r="B4" s="35" t="inlineStr">
        <is>
          <t>Harvested Area</t>
        </is>
      </c>
      <c r="C4" s="34" t="inlineStr">
        <is>
          <t>2002-03</t>
        </is>
      </c>
      <c r="P4" s="36">
        <f>SUM(D4:O4)</f>
        <v/>
      </c>
    </row>
    <row r="5">
      <c r="A5" s="34" t="inlineStr">
        <is>
          <t>Dry peas</t>
        </is>
      </c>
      <c r="B5" s="35" t="inlineStr">
        <is>
          <t>Proportion Harvested</t>
        </is>
      </c>
      <c r="C5" s="34" t="inlineStr">
        <is>
          <t>2002-03</t>
        </is>
      </c>
      <c r="P5" s="37">
        <f>SUM(D5:O5)</f>
        <v/>
      </c>
    </row>
    <row r="6">
      <c r="A6" s="34" t="inlineStr">
        <is>
          <t>Dry peas</t>
        </is>
      </c>
      <c r="B6" s="35" t="inlineStr">
        <is>
          <t>Yield</t>
        </is>
      </c>
      <c r="C6" s="34" t="inlineStr">
        <is>
          <t>2002-03</t>
        </is>
      </c>
      <c r="P6" s="38">
        <f>SUM(D6:O6)</f>
        <v/>
      </c>
    </row>
    <row r="7">
      <c r="A7" s="34" t="inlineStr">
        <is>
          <t>Dry peas</t>
        </is>
      </c>
      <c r="B7" s="39" t="inlineStr">
        <is>
          <t>Beginning Stocks</t>
        </is>
      </c>
      <c r="C7" s="34" t="inlineStr">
        <is>
          <t>2002-03</t>
        </is>
      </c>
      <c r="O7" s="40" t="n">
        <v>275</v>
      </c>
      <c r="P7" s="41">
        <f>SUM(D7:O7)</f>
        <v/>
      </c>
    </row>
    <row r="8">
      <c r="A8" s="34" t="inlineStr">
        <is>
          <t>Dry peas</t>
        </is>
      </c>
      <c r="B8" s="39" t="inlineStr">
        <is>
          <t>Imports</t>
        </is>
      </c>
      <c r="C8" s="34" t="inlineStr">
        <is>
          <t>2002-03</t>
        </is>
      </c>
      <c r="O8" s="40" t="n">
        <v>40.6</v>
      </c>
      <c r="P8" s="41">
        <f>SUM(D8:O8)</f>
        <v/>
      </c>
    </row>
    <row r="9">
      <c r="A9" s="34" t="inlineStr">
        <is>
          <t>Dry peas</t>
        </is>
      </c>
      <c r="B9" s="39" t="inlineStr">
        <is>
          <t>Production</t>
        </is>
      </c>
      <c r="C9" s="34" t="inlineStr">
        <is>
          <t>2002-03</t>
        </is>
      </c>
      <c r="O9" s="40" t="n">
        <v>1283.8</v>
      </c>
      <c r="P9" s="41">
        <f>SUM(D9:O9)</f>
        <v/>
      </c>
    </row>
    <row r="10">
      <c r="A10" s="34" t="inlineStr">
        <is>
          <t>Dry peas</t>
        </is>
      </c>
      <c r="B10" s="39" t="inlineStr">
        <is>
          <t>FSR</t>
        </is>
      </c>
      <c r="C10" s="34" t="inlineStr">
        <is>
          <t>2002-03</t>
        </is>
      </c>
      <c r="O10" s="40" t="n">
        <v>745.4999999999999</v>
      </c>
      <c r="P10" s="41">
        <f>SUM(D10:O10)</f>
        <v/>
      </c>
    </row>
    <row r="11">
      <c r="A11" s="34" t="inlineStr">
        <is>
          <t>Dry peas</t>
        </is>
      </c>
      <c r="B11" s="39" t="inlineStr">
        <is>
          <t>Exports</t>
        </is>
      </c>
      <c r="C11" s="34" t="inlineStr">
        <is>
          <t>2002-03</t>
        </is>
      </c>
      <c r="O11" s="40" t="n">
        <v>625.9</v>
      </c>
      <c r="P11" s="41">
        <f>SUM(D11:O11)</f>
        <v/>
      </c>
    </row>
    <row r="12">
      <c r="A12" s="34" t="inlineStr">
        <is>
          <t>Dry peas</t>
        </is>
      </c>
      <c r="B12" s="39" t="inlineStr">
        <is>
          <t>Ending Stocks</t>
        </is>
      </c>
      <c r="C12" s="34" t="inlineStr">
        <is>
          <t>2002-03</t>
        </is>
      </c>
      <c r="O12" s="40" t="n">
        <v>228</v>
      </c>
      <c r="P12" s="41">
        <f>SUM(D12:O12)</f>
        <v/>
      </c>
    </row>
    <row r="13">
      <c r="A13" s="34" t="inlineStr">
        <is>
          <t>Dry peas</t>
        </is>
      </c>
      <c r="B13" s="35" t="inlineStr">
        <is>
          <t>Stocks-to-Use</t>
        </is>
      </c>
      <c r="C13" s="34" t="inlineStr">
        <is>
          <t>2002-03</t>
        </is>
      </c>
      <c r="P13" s="37">
        <f>SUM(D13:O13)</f>
        <v/>
      </c>
    </row>
    <row r="14">
      <c r="A14" s="34" t="inlineStr">
        <is>
          <t>Dry peas</t>
        </is>
      </c>
      <c r="B14" s="35" t="inlineStr">
        <is>
          <t>STU Days</t>
        </is>
      </c>
      <c r="C14" s="34" t="inlineStr">
        <is>
          <t>2002-03</t>
        </is>
      </c>
      <c r="P14" s="41">
        <f>SUM(D14:O14)</f>
        <v/>
      </c>
    </row>
    <row r="15">
      <c r="A15" s="34" t="inlineStr">
        <is>
          <t>Dry peas</t>
        </is>
      </c>
      <c r="B15" s="35" t="inlineStr">
        <is>
          <t>CHECK</t>
        </is>
      </c>
      <c r="C15" s="34" t="inlineStr">
        <is>
          <t>2002-03</t>
        </is>
      </c>
      <c r="O15" s="41" t="n">
        <v>0</v>
      </c>
      <c r="P15" s="41">
        <f>SUM(D15:O15)</f>
        <v/>
      </c>
    </row>
    <row r="16">
      <c r="A16" s="34" t="inlineStr">
        <is>
          <t>Dry peas</t>
        </is>
      </c>
      <c r="B16" s="35" t="inlineStr">
        <is>
          <t>Planted Area</t>
        </is>
      </c>
      <c r="C16" s="34" t="inlineStr">
        <is>
          <t>2003-04</t>
        </is>
      </c>
      <c r="P16" s="36">
        <f>SUM(D16:O16)</f>
        <v/>
      </c>
    </row>
    <row r="17">
      <c r="A17" s="34" t="inlineStr">
        <is>
          <t>Dry peas</t>
        </is>
      </c>
      <c r="B17" s="35" t="inlineStr">
        <is>
          <t>Harvested Area</t>
        </is>
      </c>
      <c r="C17" s="34" t="inlineStr">
        <is>
          <t>2003-04</t>
        </is>
      </c>
      <c r="P17" s="36">
        <f>SUM(D17:O17)</f>
        <v/>
      </c>
    </row>
    <row r="18">
      <c r="A18" s="34" t="inlineStr">
        <is>
          <t>Dry peas</t>
        </is>
      </c>
      <c r="B18" s="35" t="inlineStr">
        <is>
          <t>Proportion Harvested</t>
        </is>
      </c>
      <c r="C18" s="34" t="inlineStr">
        <is>
          <t>2003-04</t>
        </is>
      </c>
      <c r="P18" s="37">
        <f>SUM(D18:O18)</f>
        <v/>
      </c>
    </row>
    <row r="19">
      <c r="A19" s="34" t="inlineStr">
        <is>
          <t>Dry peas</t>
        </is>
      </c>
      <c r="B19" s="35" t="inlineStr">
        <is>
          <t>Yield</t>
        </is>
      </c>
      <c r="C19" s="34" t="inlineStr">
        <is>
          <t>2003-04</t>
        </is>
      </c>
      <c r="P19" s="38">
        <f>SUM(D19:O19)</f>
        <v/>
      </c>
    </row>
    <row r="20">
      <c r="A20" s="34" t="inlineStr">
        <is>
          <t>Dry peas</t>
        </is>
      </c>
      <c r="B20" s="39" t="inlineStr">
        <is>
          <t>Beginning Stocks</t>
        </is>
      </c>
      <c r="C20" s="34" t="inlineStr">
        <is>
          <t>2003-04</t>
        </is>
      </c>
      <c r="O20" s="40" t="n">
        <v>228</v>
      </c>
      <c r="P20" s="41">
        <f>SUM(D20:O20)</f>
        <v/>
      </c>
    </row>
    <row r="21">
      <c r="A21" s="34" t="inlineStr">
        <is>
          <t>Dry peas</t>
        </is>
      </c>
      <c r="B21" s="39" t="inlineStr">
        <is>
          <t>Imports</t>
        </is>
      </c>
      <c r="C21" s="34" t="inlineStr">
        <is>
          <t>2003-04</t>
        </is>
      </c>
      <c r="O21" s="40" t="n">
        <v>24</v>
      </c>
      <c r="P21" s="41">
        <f>SUM(D21:O21)</f>
        <v/>
      </c>
    </row>
    <row r="22">
      <c r="A22" s="34" t="inlineStr">
        <is>
          <t>Dry peas</t>
        </is>
      </c>
      <c r="B22" s="39" t="inlineStr">
        <is>
          <t>Production</t>
        </is>
      </c>
      <c r="C22" s="34" t="inlineStr">
        <is>
          <t>2003-04</t>
        </is>
      </c>
      <c r="O22" s="40" t="n">
        <v>1930.9</v>
      </c>
      <c r="P22" s="41">
        <f>SUM(D22:O22)</f>
        <v/>
      </c>
    </row>
    <row r="23">
      <c r="A23" s="34" t="inlineStr">
        <is>
          <t>Dry peas</t>
        </is>
      </c>
      <c r="B23" s="39" t="inlineStr">
        <is>
          <t>FSR</t>
        </is>
      </c>
      <c r="C23" s="34" t="inlineStr">
        <is>
          <t>2003-04</t>
        </is>
      </c>
      <c r="O23" s="40" t="n">
        <v>667.2</v>
      </c>
      <c r="P23" s="41">
        <f>SUM(D23:O23)</f>
        <v/>
      </c>
    </row>
    <row r="24">
      <c r="A24" s="34" t="inlineStr">
        <is>
          <t>Dry peas</t>
        </is>
      </c>
      <c r="B24" s="39" t="inlineStr">
        <is>
          <t>Exports</t>
        </is>
      </c>
      <c r="C24" s="34" t="inlineStr">
        <is>
          <t>2003-04</t>
        </is>
      </c>
      <c r="O24" s="40" t="n">
        <v>1315.7</v>
      </c>
      <c r="P24" s="41">
        <f>SUM(D24:O24)</f>
        <v/>
      </c>
    </row>
    <row r="25">
      <c r="A25" s="34" t="inlineStr">
        <is>
          <t>Dry peas</t>
        </is>
      </c>
      <c r="B25" s="39" t="inlineStr">
        <is>
          <t>Ending Stocks</t>
        </is>
      </c>
      <c r="C25" s="34" t="inlineStr">
        <is>
          <t>2003-04</t>
        </is>
      </c>
      <c r="O25" s="40" t="n">
        <v>200</v>
      </c>
      <c r="P25" s="41">
        <f>SUM(D25:O25)</f>
        <v/>
      </c>
    </row>
    <row r="26">
      <c r="A26" s="34" t="inlineStr">
        <is>
          <t>Dry peas</t>
        </is>
      </c>
      <c r="B26" s="35" t="inlineStr">
        <is>
          <t>Stocks-to-Use</t>
        </is>
      </c>
      <c r="C26" s="34" t="inlineStr">
        <is>
          <t>2003-04</t>
        </is>
      </c>
      <c r="P26" s="37">
        <f>SUM(D26:O26)</f>
        <v/>
      </c>
    </row>
    <row r="27">
      <c r="A27" s="34" t="inlineStr">
        <is>
          <t>Dry peas</t>
        </is>
      </c>
      <c r="B27" s="35" t="inlineStr">
        <is>
          <t>STU Days</t>
        </is>
      </c>
      <c r="C27" s="34" t="inlineStr">
        <is>
          <t>2003-04</t>
        </is>
      </c>
      <c r="P27" s="41">
        <f>SUM(D27:O27)</f>
        <v/>
      </c>
    </row>
    <row r="28">
      <c r="A28" s="34" t="inlineStr">
        <is>
          <t>Dry peas</t>
        </is>
      </c>
      <c r="B28" s="35" t="inlineStr">
        <is>
          <t>CHECK</t>
        </is>
      </c>
      <c r="C28" s="34" t="inlineStr">
        <is>
          <t>2003-04</t>
        </is>
      </c>
      <c r="O28" s="41" t="n">
        <v>0</v>
      </c>
      <c r="P28" s="41">
        <f>SUM(D28:O28)</f>
        <v/>
      </c>
    </row>
    <row r="29">
      <c r="A29" s="34" t="inlineStr">
        <is>
          <t>Dry peas</t>
        </is>
      </c>
      <c r="B29" s="35" t="inlineStr">
        <is>
          <t>Planted Area</t>
        </is>
      </c>
      <c r="C29" s="34" t="inlineStr">
        <is>
          <t>2004-05</t>
        </is>
      </c>
      <c r="P29" s="36">
        <f>SUM(D29:O29)</f>
        <v/>
      </c>
    </row>
    <row r="30">
      <c r="A30" s="34" t="inlineStr">
        <is>
          <t>Dry peas</t>
        </is>
      </c>
      <c r="B30" s="35" t="inlineStr">
        <is>
          <t>Harvested Area</t>
        </is>
      </c>
      <c r="C30" s="34" t="inlineStr">
        <is>
          <t>2004-05</t>
        </is>
      </c>
      <c r="P30" s="36">
        <f>SUM(D30:O30)</f>
        <v/>
      </c>
    </row>
    <row r="31">
      <c r="A31" s="34" t="inlineStr">
        <is>
          <t>Dry peas</t>
        </is>
      </c>
      <c r="B31" s="35" t="inlineStr">
        <is>
          <t>Proportion Harvested</t>
        </is>
      </c>
      <c r="C31" s="34" t="inlineStr">
        <is>
          <t>2004-05</t>
        </is>
      </c>
      <c r="P31" s="37">
        <f>SUM(D31:O31)</f>
        <v/>
      </c>
    </row>
    <row r="32">
      <c r="A32" s="34" t="inlineStr">
        <is>
          <t>Dry peas</t>
        </is>
      </c>
      <c r="B32" s="35" t="inlineStr">
        <is>
          <t>Yield</t>
        </is>
      </c>
      <c r="C32" s="34" t="inlineStr">
        <is>
          <t>2004-05</t>
        </is>
      </c>
      <c r="P32" s="38">
        <f>SUM(D32:O32)</f>
        <v/>
      </c>
    </row>
    <row r="33">
      <c r="A33" s="34" t="inlineStr">
        <is>
          <t>Dry peas</t>
        </is>
      </c>
      <c r="B33" s="39" t="inlineStr">
        <is>
          <t>Beginning Stocks</t>
        </is>
      </c>
      <c r="C33" s="34" t="inlineStr">
        <is>
          <t>2004-05</t>
        </is>
      </c>
      <c r="O33" s="40" t="n">
        <v>200</v>
      </c>
      <c r="P33" s="41">
        <f>SUM(D33:O33)</f>
        <v/>
      </c>
    </row>
    <row r="34">
      <c r="A34" s="34" t="inlineStr">
        <is>
          <t>Dry peas</t>
        </is>
      </c>
      <c r="B34" s="39" t="inlineStr">
        <is>
          <t>Imports</t>
        </is>
      </c>
      <c r="C34" s="34" t="inlineStr">
        <is>
          <t>2004-05</t>
        </is>
      </c>
      <c r="O34" s="40" t="n">
        <v>57.3</v>
      </c>
      <c r="P34" s="41">
        <f>SUM(D34:O34)</f>
        <v/>
      </c>
    </row>
    <row r="35">
      <c r="A35" s="34" t="inlineStr">
        <is>
          <t>Dry peas</t>
        </is>
      </c>
      <c r="B35" s="39" t="inlineStr">
        <is>
          <t>Production</t>
        </is>
      </c>
      <c r="C35" s="34" t="inlineStr">
        <is>
          <t>2004-05</t>
        </is>
      </c>
      <c r="O35" s="40" t="n">
        <v>3097.2</v>
      </c>
      <c r="P35" s="41">
        <f>SUM(D35:O35)</f>
        <v/>
      </c>
    </row>
    <row r="36">
      <c r="A36" s="34" t="inlineStr">
        <is>
          <t>Dry peas</t>
        </is>
      </c>
      <c r="B36" s="39" t="inlineStr">
        <is>
          <t>FSR</t>
        </is>
      </c>
      <c r="C36" s="34" t="inlineStr">
        <is>
          <t>2004-05</t>
        </is>
      </c>
      <c r="O36" s="40" t="n">
        <v>1028.5</v>
      </c>
      <c r="P36" s="41">
        <f>SUM(D36:O36)</f>
        <v/>
      </c>
    </row>
    <row r="37">
      <c r="A37" s="34" t="inlineStr">
        <is>
          <t>Dry peas</t>
        </is>
      </c>
      <c r="B37" s="39" t="inlineStr">
        <is>
          <t>Exports</t>
        </is>
      </c>
      <c r="C37" s="34" t="inlineStr">
        <is>
          <t>2004-05</t>
        </is>
      </c>
      <c r="O37" s="40" t="n">
        <v>1853</v>
      </c>
      <c r="P37" s="41">
        <f>SUM(D37:O37)</f>
        <v/>
      </c>
    </row>
    <row r="38">
      <c r="A38" s="34" t="inlineStr">
        <is>
          <t>Dry peas</t>
        </is>
      </c>
      <c r="B38" s="39" t="inlineStr">
        <is>
          <t>Ending Stocks</t>
        </is>
      </c>
      <c r="C38" s="34" t="inlineStr">
        <is>
          <t>2004-05</t>
        </is>
      </c>
      <c r="O38" s="40" t="n">
        <v>473</v>
      </c>
      <c r="P38" s="41">
        <f>SUM(D38:O38)</f>
        <v/>
      </c>
    </row>
    <row r="39">
      <c r="A39" s="34" t="inlineStr">
        <is>
          <t>Dry peas</t>
        </is>
      </c>
      <c r="B39" s="35" t="inlineStr">
        <is>
          <t>Stocks-to-Use</t>
        </is>
      </c>
      <c r="C39" s="34" t="inlineStr">
        <is>
          <t>2004-05</t>
        </is>
      </c>
      <c r="P39" s="37">
        <f>SUM(D39:O39)</f>
        <v/>
      </c>
    </row>
    <row r="40">
      <c r="A40" s="34" t="inlineStr">
        <is>
          <t>Dry peas</t>
        </is>
      </c>
      <c r="B40" s="35" t="inlineStr">
        <is>
          <t>STU Days</t>
        </is>
      </c>
      <c r="C40" s="34" t="inlineStr">
        <is>
          <t>2004-05</t>
        </is>
      </c>
      <c r="P40" s="41">
        <f>SUM(D40:O40)</f>
        <v/>
      </c>
    </row>
    <row r="41">
      <c r="A41" s="34" t="inlineStr">
        <is>
          <t>Dry peas</t>
        </is>
      </c>
      <c r="B41" s="35" t="inlineStr">
        <is>
          <t>CHECK</t>
        </is>
      </c>
      <c r="C41" s="34" t="inlineStr">
        <is>
          <t>2004-05</t>
        </is>
      </c>
      <c r="O41" s="41" t="n">
        <v>0</v>
      </c>
      <c r="P41" s="41">
        <f>SUM(D41:O41)</f>
        <v/>
      </c>
    </row>
    <row r="42">
      <c r="A42" s="34" t="inlineStr">
        <is>
          <t>Dry peas</t>
        </is>
      </c>
      <c r="B42" s="35" t="inlineStr">
        <is>
          <t>Planted Area</t>
        </is>
      </c>
      <c r="C42" s="34" t="inlineStr">
        <is>
          <t>2005-06</t>
        </is>
      </c>
      <c r="P42" s="36">
        <f>SUM(D42:O42)</f>
        <v/>
      </c>
    </row>
    <row r="43">
      <c r="A43" s="34" t="inlineStr">
        <is>
          <t>Dry peas</t>
        </is>
      </c>
      <c r="B43" s="35" t="inlineStr">
        <is>
          <t>Harvested Area</t>
        </is>
      </c>
      <c r="C43" s="34" t="inlineStr">
        <is>
          <t>2005-06</t>
        </is>
      </c>
      <c r="P43" s="36">
        <f>SUM(D43:O43)</f>
        <v/>
      </c>
    </row>
    <row r="44">
      <c r="A44" s="34" t="inlineStr">
        <is>
          <t>Dry peas</t>
        </is>
      </c>
      <c r="B44" s="35" t="inlineStr">
        <is>
          <t>Proportion Harvested</t>
        </is>
      </c>
      <c r="C44" s="34" t="inlineStr">
        <is>
          <t>2005-06</t>
        </is>
      </c>
      <c r="P44" s="37">
        <f>SUM(D44:O44)</f>
        <v/>
      </c>
    </row>
    <row r="45">
      <c r="A45" s="34" t="inlineStr">
        <is>
          <t>Dry peas</t>
        </is>
      </c>
      <c r="B45" s="35" t="inlineStr">
        <is>
          <t>Yield</t>
        </is>
      </c>
      <c r="C45" s="34" t="inlineStr">
        <is>
          <t>2005-06</t>
        </is>
      </c>
      <c r="P45" s="38">
        <f>SUM(D45:O45)</f>
        <v/>
      </c>
    </row>
    <row r="46">
      <c r="A46" s="34" t="inlineStr">
        <is>
          <t>Dry peas</t>
        </is>
      </c>
      <c r="B46" s="39" t="inlineStr">
        <is>
          <t>Beginning Stocks</t>
        </is>
      </c>
      <c r="C46" s="34" t="inlineStr">
        <is>
          <t>2005-06</t>
        </is>
      </c>
      <c r="O46" s="40" t="n">
        <v>473</v>
      </c>
      <c r="P46" s="41">
        <f>SUM(D46:O46)</f>
        <v/>
      </c>
    </row>
    <row r="47">
      <c r="A47" s="34" t="inlineStr">
        <is>
          <t>Dry peas</t>
        </is>
      </c>
      <c r="B47" s="39" t="inlineStr">
        <is>
          <t>Imports</t>
        </is>
      </c>
      <c r="C47" s="34" t="inlineStr">
        <is>
          <t>2005-06</t>
        </is>
      </c>
      <c r="O47" s="40" t="n">
        <v>75.3</v>
      </c>
      <c r="P47" s="41">
        <f>SUM(D47:O47)</f>
        <v/>
      </c>
    </row>
    <row r="48">
      <c r="A48" s="34" t="inlineStr">
        <is>
          <t>Dry peas</t>
        </is>
      </c>
      <c r="B48" s="39" t="inlineStr">
        <is>
          <t>Production</t>
        </is>
      </c>
      <c r="C48" s="34" t="inlineStr">
        <is>
          <t>2005-06</t>
        </is>
      </c>
      <c r="O48" s="40" t="n">
        <v>2993.6</v>
      </c>
      <c r="P48" s="41">
        <f>SUM(D48:O48)</f>
        <v/>
      </c>
    </row>
    <row r="49">
      <c r="A49" s="34" t="inlineStr">
        <is>
          <t>Dry peas</t>
        </is>
      </c>
      <c r="B49" s="39" t="inlineStr">
        <is>
          <t>FSR</t>
        </is>
      </c>
      <c r="C49" s="34" t="inlineStr">
        <is>
          <t>2005-06</t>
        </is>
      </c>
      <c r="O49" s="40" t="n">
        <v>611.5</v>
      </c>
      <c r="P49" s="41">
        <f>SUM(D49:O49)</f>
        <v/>
      </c>
    </row>
    <row r="50">
      <c r="A50" s="34" t="inlineStr">
        <is>
          <t>Dry peas</t>
        </is>
      </c>
      <c r="B50" s="39" t="inlineStr">
        <is>
          <t>Exports</t>
        </is>
      </c>
      <c r="C50" s="34" t="inlineStr">
        <is>
          <t>2005-06</t>
        </is>
      </c>
      <c r="O50" s="40" t="n">
        <v>2567.4</v>
      </c>
      <c r="P50" s="41">
        <f>SUM(D50:O50)</f>
        <v/>
      </c>
    </row>
    <row r="51">
      <c r="A51" s="34" t="inlineStr">
        <is>
          <t>Dry peas</t>
        </is>
      </c>
      <c r="B51" s="39" t="inlineStr">
        <is>
          <t>Ending Stocks</t>
        </is>
      </c>
      <c r="C51" s="34" t="inlineStr">
        <is>
          <t>2005-06</t>
        </is>
      </c>
      <c r="O51" s="40" t="n">
        <v>363</v>
      </c>
      <c r="P51" s="41">
        <f>SUM(D51:O51)</f>
        <v/>
      </c>
    </row>
    <row r="52">
      <c r="A52" s="34" t="inlineStr">
        <is>
          <t>Dry peas</t>
        </is>
      </c>
      <c r="B52" s="35" t="inlineStr">
        <is>
          <t>Stocks-to-Use</t>
        </is>
      </c>
      <c r="C52" s="34" t="inlineStr">
        <is>
          <t>2005-06</t>
        </is>
      </c>
      <c r="P52" s="37">
        <f>SUM(D52:O52)</f>
        <v/>
      </c>
    </row>
    <row r="53">
      <c r="A53" s="34" t="inlineStr">
        <is>
          <t>Dry peas</t>
        </is>
      </c>
      <c r="B53" s="35" t="inlineStr">
        <is>
          <t>STU Days</t>
        </is>
      </c>
      <c r="C53" s="34" t="inlineStr">
        <is>
          <t>2005-06</t>
        </is>
      </c>
      <c r="P53" s="41">
        <f>SUM(D53:O53)</f>
        <v/>
      </c>
    </row>
    <row r="54">
      <c r="A54" s="34" t="inlineStr">
        <is>
          <t>Dry peas</t>
        </is>
      </c>
      <c r="B54" s="35" t="inlineStr">
        <is>
          <t>CHECK</t>
        </is>
      </c>
      <c r="C54" s="34" t="inlineStr">
        <is>
          <t>2005-06</t>
        </is>
      </c>
      <c r="O54" s="41" t="n">
        <v>0</v>
      </c>
      <c r="P54" s="41">
        <f>SUM(D54:O54)</f>
        <v/>
      </c>
    </row>
    <row r="55">
      <c r="A55" s="34" t="inlineStr">
        <is>
          <t>Dry peas</t>
        </is>
      </c>
      <c r="B55" s="35" t="inlineStr">
        <is>
          <t>Planted Area</t>
        </is>
      </c>
      <c r="C55" s="34" t="inlineStr">
        <is>
          <t>2006-07</t>
        </is>
      </c>
      <c r="P55" s="36">
        <f>SUM(D55:O55)</f>
        <v/>
      </c>
    </row>
    <row r="56">
      <c r="A56" s="34" t="inlineStr">
        <is>
          <t>Dry peas</t>
        </is>
      </c>
      <c r="B56" s="35" t="inlineStr">
        <is>
          <t>Harvested Area</t>
        </is>
      </c>
      <c r="C56" s="34" t="inlineStr">
        <is>
          <t>2006-07</t>
        </is>
      </c>
      <c r="P56" s="36">
        <f>SUM(D56:O56)</f>
        <v/>
      </c>
    </row>
    <row r="57">
      <c r="A57" s="34" t="inlineStr">
        <is>
          <t>Dry peas</t>
        </is>
      </c>
      <c r="B57" s="35" t="inlineStr">
        <is>
          <t>Proportion Harvested</t>
        </is>
      </c>
      <c r="C57" s="34" t="inlineStr">
        <is>
          <t>2006-07</t>
        </is>
      </c>
      <c r="P57" s="37">
        <f>SUM(D57:O57)</f>
        <v/>
      </c>
    </row>
    <row r="58">
      <c r="A58" s="34" t="inlineStr">
        <is>
          <t>Dry peas</t>
        </is>
      </c>
      <c r="B58" s="35" t="inlineStr">
        <is>
          <t>Yield</t>
        </is>
      </c>
      <c r="C58" s="34" t="inlineStr">
        <is>
          <t>2006-07</t>
        </is>
      </c>
      <c r="P58" s="38">
        <f>SUM(D58:O58)</f>
        <v/>
      </c>
    </row>
    <row r="59">
      <c r="A59" s="34" t="inlineStr">
        <is>
          <t>Dry peas</t>
        </is>
      </c>
      <c r="B59" s="39" t="inlineStr">
        <is>
          <t>Beginning Stocks</t>
        </is>
      </c>
      <c r="C59" s="34" t="inlineStr">
        <is>
          <t>2006-07</t>
        </is>
      </c>
      <c r="O59" s="40" t="n">
        <v>363</v>
      </c>
      <c r="P59" s="41">
        <f>SUM(D59:O59)</f>
        <v/>
      </c>
    </row>
    <row r="60">
      <c r="A60" s="34" t="inlineStr">
        <is>
          <t>Dry peas</t>
        </is>
      </c>
      <c r="B60" s="39" t="inlineStr">
        <is>
          <t>Imports</t>
        </is>
      </c>
      <c r="C60" s="34" t="inlineStr">
        <is>
          <t>2006-07</t>
        </is>
      </c>
      <c r="O60" s="40" t="n">
        <v>59.9</v>
      </c>
      <c r="P60" s="41">
        <f>SUM(D60:O60)</f>
        <v/>
      </c>
    </row>
    <row r="61">
      <c r="A61" s="34" t="inlineStr">
        <is>
          <t>Dry peas</t>
        </is>
      </c>
      <c r="B61" s="39" t="inlineStr">
        <is>
          <t>Production</t>
        </is>
      </c>
      <c r="C61" s="34" t="inlineStr">
        <is>
          <t>2006-07</t>
        </is>
      </c>
      <c r="O61" s="40" t="n">
        <v>2519.9</v>
      </c>
      <c r="P61" s="41">
        <f>SUM(D61:O61)</f>
        <v/>
      </c>
    </row>
    <row r="62">
      <c r="A62" s="34" t="inlineStr">
        <is>
          <t>Dry peas</t>
        </is>
      </c>
      <c r="B62" s="39" t="inlineStr">
        <is>
          <t>FSR</t>
        </is>
      </c>
      <c r="C62" s="34" t="inlineStr">
        <is>
          <t>2006-07</t>
        </is>
      </c>
      <c r="O62" s="40" t="n">
        <v>806.6000000000001</v>
      </c>
      <c r="P62" s="41">
        <f>SUM(D62:O62)</f>
        <v/>
      </c>
    </row>
    <row r="63">
      <c r="A63" s="34" t="inlineStr">
        <is>
          <t>Dry peas</t>
        </is>
      </c>
      <c r="B63" s="39" t="inlineStr">
        <is>
          <t>Exports</t>
        </is>
      </c>
      <c r="C63" s="34" t="inlineStr">
        <is>
          <t>2006-07</t>
        </is>
      </c>
      <c r="O63" s="40" t="n">
        <v>1969.2</v>
      </c>
      <c r="P63" s="41">
        <f>SUM(D63:O63)</f>
        <v/>
      </c>
    </row>
    <row r="64">
      <c r="A64" s="34" t="inlineStr">
        <is>
          <t>Dry peas</t>
        </is>
      </c>
      <c r="B64" s="39" t="inlineStr">
        <is>
          <t>Ending Stocks</t>
        </is>
      </c>
      <c r="C64" s="34" t="inlineStr">
        <is>
          <t>2006-07</t>
        </is>
      </c>
      <c r="O64" s="40" t="n">
        <v>167</v>
      </c>
      <c r="P64" s="41">
        <f>SUM(D64:O64)</f>
        <v/>
      </c>
    </row>
    <row r="65">
      <c r="A65" s="34" t="inlineStr">
        <is>
          <t>Dry peas</t>
        </is>
      </c>
      <c r="B65" s="35" t="inlineStr">
        <is>
          <t>Stocks-to-Use</t>
        </is>
      </c>
      <c r="C65" s="34" t="inlineStr">
        <is>
          <t>2006-07</t>
        </is>
      </c>
      <c r="P65" s="37">
        <f>SUM(D65:O65)</f>
        <v/>
      </c>
    </row>
    <row r="66">
      <c r="A66" s="34" t="inlineStr">
        <is>
          <t>Dry peas</t>
        </is>
      </c>
      <c r="B66" s="35" t="inlineStr">
        <is>
          <t>STU Days</t>
        </is>
      </c>
      <c r="C66" s="34" t="inlineStr">
        <is>
          <t>2006-07</t>
        </is>
      </c>
      <c r="P66" s="41">
        <f>SUM(D66:O66)</f>
        <v/>
      </c>
    </row>
    <row r="67">
      <c r="A67" s="34" t="inlineStr">
        <is>
          <t>Dry peas</t>
        </is>
      </c>
      <c r="B67" s="35" t="inlineStr">
        <is>
          <t>CHECK</t>
        </is>
      </c>
      <c r="C67" s="34" t="inlineStr">
        <is>
          <t>2006-07</t>
        </is>
      </c>
      <c r="O67" s="41" t="n">
        <v>-2.273736754432321e-13</v>
      </c>
      <c r="P67" s="41">
        <f>SUM(D67:O67)</f>
        <v/>
      </c>
    </row>
    <row r="68">
      <c r="A68" s="34" t="inlineStr">
        <is>
          <t>Dry peas</t>
        </is>
      </c>
      <c r="B68" s="35" t="inlineStr">
        <is>
          <t>Planted Area</t>
        </is>
      </c>
      <c r="C68" s="34" t="inlineStr">
        <is>
          <t>2007-08</t>
        </is>
      </c>
      <c r="P68" s="36">
        <f>SUM(D68:O68)</f>
        <v/>
      </c>
    </row>
    <row r="69">
      <c r="A69" s="34" t="inlineStr">
        <is>
          <t>Dry peas</t>
        </is>
      </c>
      <c r="B69" s="35" t="inlineStr">
        <is>
          <t>Harvested Area</t>
        </is>
      </c>
      <c r="C69" s="34" t="inlineStr">
        <is>
          <t>2007-08</t>
        </is>
      </c>
      <c r="P69" s="36">
        <f>SUM(D69:O69)</f>
        <v/>
      </c>
    </row>
    <row r="70">
      <c r="A70" s="34" t="inlineStr">
        <is>
          <t>Dry peas</t>
        </is>
      </c>
      <c r="B70" s="35" t="inlineStr">
        <is>
          <t>Proportion Harvested</t>
        </is>
      </c>
      <c r="C70" s="34" t="inlineStr">
        <is>
          <t>2007-08</t>
        </is>
      </c>
      <c r="P70" s="37">
        <f>SUM(D70:O70)</f>
        <v/>
      </c>
    </row>
    <row r="71">
      <c r="A71" s="34" t="inlineStr">
        <is>
          <t>Dry peas</t>
        </is>
      </c>
      <c r="B71" s="35" t="inlineStr">
        <is>
          <t>Yield</t>
        </is>
      </c>
      <c r="C71" s="34" t="inlineStr">
        <is>
          <t>2007-08</t>
        </is>
      </c>
      <c r="P71" s="38">
        <f>SUM(D71:O71)</f>
        <v/>
      </c>
    </row>
    <row r="72">
      <c r="A72" s="34" t="inlineStr">
        <is>
          <t>Dry peas</t>
        </is>
      </c>
      <c r="B72" s="39" t="inlineStr">
        <is>
          <t>Beginning Stocks</t>
        </is>
      </c>
      <c r="C72" s="34" t="inlineStr">
        <is>
          <t>2007-08</t>
        </is>
      </c>
      <c r="O72" s="40" t="n">
        <v>167</v>
      </c>
      <c r="P72" s="41">
        <f>SUM(D72:O72)</f>
        <v/>
      </c>
    </row>
    <row r="73">
      <c r="A73" s="34" t="inlineStr">
        <is>
          <t>Dry peas</t>
        </is>
      </c>
      <c r="B73" s="39" t="inlineStr">
        <is>
          <t>Imports</t>
        </is>
      </c>
      <c r="C73" s="34" t="inlineStr">
        <is>
          <t>2007-08</t>
        </is>
      </c>
      <c r="O73" s="40" t="n">
        <v>37.6</v>
      </c>
      <c r="P73" s="41">
        <f>SUM(D73:O73)</f>
        <v/>
      </c>
    </row>
    <row r="74">
      <c r="A74" s="34" t="inlineStr">
        <is>
          <t>Dry peas</t>
        </is>
      </c>
      <c r="B74" s="39" t="inlineStr">
        <is>
          <t>Production</t>
        </is>
      </c>
      <c r="C74" s="34" t="inlineStr">
        <is>
          <t>2007-08</t>
        </is>
      </c>
      <c r="O74" s="40" t="n">
        <v>2934.8</v>
      </c>
      <c r="P74" s="41">
        <f>SUM(D74:O74)</f>
        <v/>
      </c>
    </row>
    <row r="75">
      <c r="A75" s="34" t="inlineStr">
        <is>
          <t>Dry peas</t>
        </is>
      </c>
      <c r="B75" s="39" t="inlineStr">
        <is>
          <t>FSR</t>
        </is>
      </c>
      <c r="C75" s="34" t="inlineStr">
        <is>
          <t>2007-08</t>
        </is>
      </c>
      <c r="O75" s="40" t="n">
        <v>682.8000000000002</v>
      </c>
      <c r="P75" s="41">
        <f>SUM(D75:O75)</f>
        <v/>
      </c>
    </row>
    <row r="76">
      <c r="A76" s="34" t="inlineStr">
        <is>
          <t>Dry peas</t>
        </is>
      </c>
      <c r="B76" s="39" t="inlineStr">
        <is>
          <t>Exports</t>
        </is>
      </c>
      <c r="C76" s="34" t="inlineStr">
        <is>
          <t>2007-08</t>
        </is>
      </c>
      <c r="O76" s="40" t="n">
        <v>2201.6</v>
      </c>
      <c r="P76" s="41">
        <f>SUM(D76:O76)</f>
        <v/>
      </c>
    </row>
    <row r="77">
      <c r="A77" s="34" t="inlineStr">
        <is>
          <t>Dry peas</t>
        </is>
      </c>
      <c r="B77" s="39" t="inlineStr">
        <is>
          <t>Ending Stocks</t>
        </is>
      </c>
      <c r="C77" s="34" t="inlineStr">
        <is>
          <t>2007-08</t>
        </is>
      </c>
      <c r="O77" s="40" t="n">
        <v>255</v>
      </c>
      <c r="P77" s="41">
        <f>SUM(D77:O77)</f>
        <v/>
      </c>
    </row>
    <row r="78">
      <c r="A78" s="34" t="inlineStr">
        <is>
          <t>Dry peas</t>
        </is>
      </c>
      <c r="B78" s="35" t="inlineStr">
        <is>
          <t>Stocks-to-Use</t>
        </is>
      </c>
      <c r="C78" s="34" t="inlineStr">
        <is>
          <t>2007-08</t>
        </is>
      </c>
      <c r="P78" s="37">
        <f>SUM(D78:O78)</f>
        <v/>
      </c>
    </row>
    <row r="79">
      <c r="A79" s="34" t="inlineStr">
        <is>
          <t>Dry peas</t>
        </is>
      </c>
      <c r="B79" s="35" t="inlineStr">
        <is>
          <t>STU Days</t>
        </is>
      </c>
      <c r="C79" s="34" t="inlineStr">
        <is>
          <t>2007-08</t>
        </is>
      </c>
      <c r="P79" s="41">
        <f>SUM(D79:O79)</f>
        <v/>
      </c>
    </row>
    <row r="80">
      <c r="A80" s="34" t="inlineStr">
        <is>
          <t>Dry peas</t>
        </is>
      </c>
      <c r="B80" s="35" t="inlineStr">
        <is>
          <t>CHECK</t>
        </is>
      </c>
      <c r="C80" s="34" t="inlineStr">
        <is>
          <t>2007-08</t>
        </is>
      </c>
      <c r="O80" s="41" t="n">
        <v>0</v>
      </c>
      <c r="P80" s="41">
        <f>SUM(D80:O80)</f>
        <v/>
      </c>
    </row>
    <row r="81">
      <c r="A81" s="34" t="inlineStr">
        <is>
          <t>Dry peas</t>
        </is>
      </c>
      <c r="B81" s="35" t="inlineStr">
        <is>
          <t>Planted Area</t>
        </is>
      </c>
      <c r="C81" s="34" t="inlineStr">
        <is>
          <t>2008-09</t>
        </is>
      </c>
      <c r="P81" s="36">
        <f>SUM(D81:O81)</f>
        <v/>
      </c>
    </row>
    <row r="82">
      <c r="A82" s="34" t="inlineStr">
        <is>
          <t>Dry peas</t>
        </is>
      </c>
      <c r="B82" s="35" t="inlineStr">
        <is>
          <t>Harvested Area</t>
        </is>
      </c>
      <c r="C82" s="34" t="inlineStr">
        <is>
          <t>2008-09</t>
        </is>
      </c>
      <c r="P82" s="36">
        <f>SUM(D82:O82)</f>
        <v/>
      </c>
    </row>
    <row r="83">
      <c r="A83" s="34" t="inlineStr">
        <is>
          <t>Dry peas</t>
        </is>
      </c>
      <c r="B83" s="35" t="inlineStr">
        <is>
          <t>Proportion Harvested</t>
        </is>
      </c>
      <c r="C83" s="34" t="inlineStr">
        <is>
          <t>2008-09</t>
        </is>
      </c>
      <c r="P83" s="37">
        <f>SUM(D83:O83)</f>
        <v/>
      </c>
    </row>
    <row r="84">
      <c r="A84" s="34" t="inlineStr">
        <is>
          <t>Dry peas</t>
        </is>
      </c>
      <c r="B84" s="35" t="inlineStr">
        <is>
          <t>Yield</t>
        </is>
      </c>
      <c r="C84" s="34" t="inlineStr">
        <is>
          <t>2008-09</t>
        </is>
      </c>
      <c r="P84" s="38">
        <f>SUM(D84:O84)</f>
        <v/>
      </c>
    </row>
    <row r="85">
      <c r="A85" s="34" t="inlineStr">
        <is>
          <t>Dry peas</t>
        </is>
      </c>
      <c r="B85" s="39" t="inlineStr">
        <is>
          <t>Beginning Stocks</t>
        </is>
      </c>
      <c r="C85" s="34" t="inlineStr">
        <is>
          <t>2008-09</t>
        </is>
      </c>
      <c r="O85" s="40" t="n">
        <v>255</v>
      </c>
      <c r="P85" s="41">
        <f>SUM(D85:O85)</f>
        <v/>
      </c>
    </row>
    <row r="86">
      <c r="A86" s="34" t="inlineStr">
        <is>
          <t>Dry peas</t>
        </is>
      </c>
      <c r="B86" s="39" t="inlineStr">
        <is>
          <t>Imports</t>
        </is>
      </c>
      <c r="C86" s="34" t="inlineStr">
        <is>
          <t>2008-09</t>
        </is>
      </c>
      <c r="O86" s="40" t="n">
        <v>15.1</v>
      </c>
      <c r="P86" s="41">
        <f>SUM(D86:O86)</f>
        <v/>
      </c>
    </row>
    <row r="87">
      <c r="A87" s="34" t="inlineStr">
        <is>
          <t>Dry peas</t>
        </is>
      </c>
      <c r="B87" s="39" t="inlineStr">
        <is>
          <t>Production</t>
        </is>
      </c>
      <c r="C87" s="34" t="inlineStr">
        <is>
          <t>2008-09</t>
        </is>
      </c>
      <c r="O87" s="40" t="n">
        <v>3564.5</v>
      </c>
      <c r="P87" s="41">
        <f>SUM(D87:O87)</f>
        <v/>
      </c>
    </row>
    <row r="88">
      <c r="A88" s="34" t="inlineStr">
        <is>
          <t>Dry peas</t>
        </is>
      </c>
      <c r="B88" s="39" t="inlineStr">
        <is>
          <t>FSR</t>
        </is>
      </c>
      <c r="C88" s="34" t="inlineStr">
        <is>
          <t>2008-09</t>
        </is>
      </c>
      <c r="O88" s="40" t="n">
        <v>564</v>
      </c>
      <c r="P88" s="41">
        <f>SUM(D88:O88)</f>
        <v/>
      </c>
    </row>
    <row r="89">
      <c r="A89" s="34" t="inlineStr">
        <is>
          <t>Dry peas</t>
        </is>
      </c>
      <c r="B89" s="39" t="inlineStr">
        <is>
          <t>Exports</t>
        </is>
      </c>
      <c r="C89" s="34" t="inlineStr">
        <is>
          <t>2008-09</t>
        </is>
      </c>
      <c r="O89" s="40" t="n">
        <v>2825.6</v>
      </c>
      <c r="P89" s="41">
        <f>SUM(D89:O89)</f>
        <v/>
      </c>
    </row>
    <row r="90">
      <c r="A90" s="34" t="inlineStr">
        <is>
          <t>Dry peas</t>
        </is>
      </c>
      <c r="B90" s="39" t="inlineStr">
        <is>
          <t>Ending Stocks</t>
        </is>
      </c>
      <c r="C90" s="34" t="inlineStr">
        <is>
          <t>2008-09</t>
        </is>
      </c>
      <c r="O90" s="40" t="n">
        <v>445</v>
      </c>
      <c r="P90" s="41">
        <f>SUM(D90:O90)</f>
        <v/>
      </c>
    </row>
    <row r="91">
      <c r="A91" s="34" t="inlineStr">
        <is>
          <t>Dry peas</t>
        </is>
      </c>
      <c r="B91" s="35" t="inlineStr">
        <is>
          <t>Stocks-to-Use</t>
        </is>
      </c>
      <c r="C91" s="34" t="inlineStr">
        <is>
          <t>2008-09</t>
        </is>
      </c>
      <c r="P91" s="37">
        <f>SUM(D91:O91)</f>
        <v/>
      </c>
    </row>
    <row r="92">
      <c r="A92" s="34" t="inlineStr">
        <is>
          <t>Dry peas</t>
        </is>
      </c>
      <c r="B92" s="35" t="inlineStr">
        <is>
          <t>STU Days</t>
        </is>
      </c>
      <c r="C92" s="34" t="inlineStr">
        <is>
          <t>2008-09</t>
        </is>
      </c>
      <c r="P92" s="41">
        <f>SUM(D92:O92)</f>
        <v/>
      </c>
    </row>
    <row r="93">
      <c r="A93" s="34" t="inlineStr">
        <is>
          <t>Dry peas</t>
        </is>
      </c>
      <c r="B93" s="35" t="inlineStr">
        <is>
          <t>CHECK</t>
        </is>
      </c>
      <c r="C93" s="34" t="inlineStr">
        <is>
          <t>2008-09</t>
        </is>
      </c>
      <c r="O93" s="41" t="n">
        <v>0</v>
      </c>
      <c r="P93" s="41">
        <f>SUM(D93:O93)</f>
        <v/>
      </c>
    </row>
    <row r="94">
      <c r="A94" s="34" t="inlineStr">
        <is>
          <t>Dry peas</t>
        </is>
      </c>
      <c r="B94" s="35" t="inlineStr">
        <is>
          <t>Planted Area</t>
        </is>
      </c>
      <c r="C94" s="34" t="inlineStr">
        <is>
          <t>2009-10</t>
        </is>
      </c>
      <c r="P94" s="36">
        <f>SUM(D94:O94)</f>
        <v/>
      </c>
    </row>
    <row r="95">
      <c r="A95" s="34" t="inlineStr">
        <is>
          <t>Dry peas</t>
        </is>
      </c>
      <c r="B95" s="35" t="inlineStr">
        <is>
          <t>Harvested Area</t>
        </is>
      </c>
      <c r="C95" s="34" t="inlineStr">
        <is>
          <t>2009-10</t>
        </is>
      </c>
      <c r="P95" s="36">
        <f>SUM(D95:O95)</f>
        <v/>
      </c>
    </row>
    <row r="96">
      <c r="A96" s="34" t="inlineStr">
        <is>
          <t>Dry peas</t>
        </is>
      </c>
      <c r="B96" s="35" t="inlineStr">
        <is>
          <t>Proportion Harvested</t>
        </is>
      </c>
      <c r="C96" s="34" t="inlineStr">
        <is>
          <t>2009-10</t>
        </is>
      </c>
      <c r="P96" s="37">
        <f>SUM(D96:O96)</f>
        <v/>
      </c>
    </row>
    <row r="97">
      <c r="A97" s="34" t="inlineStr">
        <is>
          <t>Dry peas</t>
        </is>
      </c>
      <c r="B97" s="35" t="inlineStr">
        <is>
          <t>Yield</t>
        </is>
      </c>
      <c r="C97" s="34" t="inlineStr">
        <is>
          <t>2009-10</t>
        </is>
      </c>
      <c r="P97" s="38">
        <f>SUM(D97:O97)</f>
        <v/>
      </c>
    </row>
    <row r="98">
      <c r="A98" s="34" t="inlineStr">
        <is>
          <t>Dry peas</t>
        </is>
      </c>
      <c r="B98" s="39" t="inlineStr">
        <is>
          <t>Beginning Stocks</t>
        </is>
      </c>
      <c r="C98" s="34" t="inlineStr">
        <is>
          <t>2009-10</t>
        </is>
      </c>
      <c r="O98" s="40" t="n">
        <v>445</v>
      </c>
      <c r="P98" s="41">
        <f>SUM(D98:O98)</f>
        <v/>
      </c>
    </row>
    <row r="99">
      <c r="A99" s="34" t="inlineStr">
        <is>
          <t>Dry peas</t>
        </is>
      </c>
      <c r="B99" s="39" t="inlineStr">
        <is>
          <t>Imports</t>
        </is>
      </c>
      <c r="C99" s="34" t="inlineStr">
        <is>
          <t>2009-10</t>
        </is>
      </c>
      <c r="O99" s="40" t="n">
        <v>55</v>
      </c>
      <c r="P99" s="41">
        <f>SUM(D99:O99)</f>
        <v/>
      </c>
    </row>
    <row r="100">
      <c r="A100" s="34" t="inlineStr">
        <is>
          <t>Dry peas</t>
        </is>
      </c>
      <c r="B100" s="39" t="inlineStr">
        <is>
          <t>Production</t>
        </is>
      </c>
      <c r="C100" s="34" t="inlineStr">
        <is>
          <t>2009-10</t>
        </is>
      </c>
      <c r="O100" s="40" t="n">
        <v>3379.4</v>
      </c>
      <c r="P100" s="41">
        <f>SUM(D100:O100)</f>
        <v/>
      </c>
    </row>
    <row r="101">
      <c r="A101" s="34" t="inlineStr">
        <is>
          <t>Dry peas</t>
        </is>
      </c>
      <c r="B101" s="39" t="inlineStr">
        <is>
          <t>FSR</t>
        </is>
      </c>
      <c r="C101" s="34" t="inlineStr">
        <is>
          <t>2009-10</t>
        </is>
      </c>
      <c r="O101" s="40" t="n">
        <v>791.5999999999999</v>
      </c>
      <c r="P101" s="41">
        <f>SUM(D101:O101)</f>
        <v/>
      </c>
    </row>
    <row r="102">
      <c r="A102" s="34" t="inlineStr">
        <is>
          <t>Dry peas</t>
        </is>
      </c>
      <c r="B102" s="39" t="inlineStr">
        <is>
          <t>Exports</t>
        </is>
      </c>
      <c r="C102" s="34" t="inlineStr">
        <is>
          <t>2009-10</t>
        </is>
      </c>
      <c r="O102" s="40" t="n">
        <v>2177.8</v>
      </c>
      <c r="P102" s="41">
        <f>SUM(D102:O102)</f>
        <v/>
      </c>
    </row>
    <row r="103">
      <c r="A103" s="34" t="inlineStr">
        <is>
          <t>Dry peas</t>
        </is>
      </c>
      <c r="B103" s="39" t="inlineStr">
        <is>
          <t>Ending Stocks</t>
        </is>
      </c>
      <c r="C103" s="34" t="inlineStr">
        <is>
          <t>2009-10</t>
        </is>
      </c>
      <c r="O103" s="40" t="n">
        <v>910</v>
      </c>
      <c r="P103" s="41">
        <f>SUM(D103:O103)</f>
        <v/>
      </c>
    </row>
    <row r="104">
      <c r="A104" s="34" t="inlineStr">
        <is>
          <t>Dry peas</t>
        </is>
      </c>
      <c r="B104" s="35" t="inlineStr">
        <is>
          <t>Stocks-to-Use</t>
        </is>
      </c>
      <c r="C104" s="34" t="inlineStr">
        <is>
          <t>2009-10</t>
        </is>
      </c>
      <c r="P104" s="37">
        <f>SUM(D104:O104)</f>
        <v/>
      </c>
    </row>
    <row r="105">
      <c r="A105" s="34" t="inlineStr">
        <is>
          <t>Dry peas</t>
        </is>
      </c>
      <c r="B105" s="35" t="inlineStr">
        <is>
          <t>STU Days</t>
        </is>
      </c>
      <c r="C105" s="34" t="inlineStr">
        <is>
          <t>2009-10</t>
        </is>
      </c>
      <c r="P105" s="41">
        <f>SUM(D105:O105)</f>
        <v/>
      </c>
    </row>
    <row r="106">
      <c r="A106" s="34" t="inlineStr">
        <is>
          <t>Dry peas</t>
        </is>
      </c>
      <c r="B106" s="35" t="inlineStr">
        <is>
          <t>CHECK</t>
        </is>
      </c>
      <c r="C106" s="34" t="inlineStr">
        <is>
          <t>2009-10</t>
        </is>
      </c>
      <c r="O106" s="41" t="n">
        <v>0</v>
      </c>
      <c r="P106" s="41">
        <f>SUM(D106:O106)</f>
        <v/>
      </c>
    </row>
    <row r="107">
      <c r="A107" s="34" t="inlineStr">
        <is>
          <t>Dry peas</t>
        </is>
      </c>
      <c r="B107" s="35" t="inlineStr">
        <is>
          <t>Planted Area</t>
        </is>
      </c>
      <c r="C107" s="34" t="inlineStr">
        <is>
          <t>2010-11</t>
        </is>
      </c>
      <c r="P107" s="36">
        <f>SUM(D107:O107)</f>
        <v/>
      </c>
    </row>
    <row r="108">
      <c r="A108" s="34" t="inlineStr">
        <is>
          <t>Dry peas</t>
        </is>
      </c>
      <c r="B108" s="35" t="inlineStr">
        <is>
          <t>Harvested Area</t>
        </is>
      </c>
      <c r="C108" s="34" t="inlineStr">
        <is>
          <t>2010-11</t>
        </is>
      </c>
      <c r="P108" s="36">
        <f>SUM(D108:O108)</f>
        <v/>
      </c>
    </row>
    <row r="109">
      <c r="A109" s="34" t="inlineStr">
        <is>
          <t>Dry peas</t>
        </is>
      </c>
      <c r="B109" s="35" t="inlineStr">
        <is>
          <t>Proportion Harvested</t>
        </is>
      </c>
      <c r="C109" s="34" t="inlineStr">
        <is>
          <t>2010-11</t>
        </is>
      </c>
      <c r="P109" s="37">
        <f>SUM(D109:O109)</f>
        <v/>
      </c>
    </row>
    <row r="110">
      <c r="A110" s="34" t="inlineStr">
        <is>
          <t>Dry peas</t>
        </is>
      </c>
      <c r="B110" s="35" t="inlineStr">
        <is>
          <t>Yield</t>
        </is>
      </c>
      <c r="C110" s="34" t="inlineStr">
        <is>
          <t>2010-11</t>
        </is>
      </c>
      <c r="P110" s="38">
        <f>SUM(D110:O110)</f>
        <v/>
      </c>
    </row>
    <row r="111">
      <c r="A111" s="34" t="inlineStr">
        <is>
          <t>Dry peas</t>
        </is>
      </c>
      <c r="B111" s="39" t="inlineStr">
        <is>
          <t>Beginning Stocks</t>
        </is>
      </c>
      <c r="C111" s="34" t="inlineStr">
        <is>
          <t>2010-11</t>
        </is>
      </c>
      <c r="O111" s="40" t="n">
        <v>910</v>
      </c>
      <c r="P111" s="41">
        <f>SUM(D111:O111)</f>
        <v/>
      </c>
    </row>
    <row r="112">
      <c r="A112" s="34" t="inlineStr">
        <is>
          <t>Dry peas</t>
        </is>
      </c>
      <c r="B112" s="39" t="inlineStr">
        <is>
          <t>Imports</t>
        </is>
      </c>
      <c r="C112" s="34" t="inlineStr">
        <is>
          <t>2010-11</t>
        </is>
      </c>
      <c r="O112" s="40" t="n">
        <v>32.9</v>
      </c>
      <c r="P112" s="41">
        <f>SUM(D112:O112)</f>
        <v/>
      </c>
    </row>
    <row r="113">
      <c r="A113" s="34" t="inlineStr">
        <is>
          <t>Dry peas</t>
        </is>
      </c>
      <c r="B113" s="39" t="inlineStr">
        <is>
          <t>Production</t>
        </is>
      </c>
      <c r="C113" s="34" t="inlineStr">
        <is>
          <t>2010-11</t>
        </is>
      </c>
      <c r="O113" s="40" t="n">
        <v>3018.2</v>
      </c>
      <c r="P113" s="41">
        <f>SUM(D113:O113)</f>
        <v/>
      </c>
    </row>
    <row r="114">
      <c r="A114" s="34" t="inlineStr">
        <is>
          <t>Dry peas</t>
        </is>
      </c>
      <c r="B114" s="39" t="inlineStr">
        <is>
          <t>FSR</t>
        </is>
      </c>
      <c r="C114" s="34" t="inlineStr">
        <is>
          <t>2010-11</t>
        </is>
      </c>
      <c r="O114" s="40" t="n">
        <v>413.9000000000001</v>
      </c>
      <c r="P114" s="41">
        <f>SUM(D114:O114)</f>
        <v/>
      </c>
    </row>
    <row r="115">
      <c r="A115" s="34" t="inlineStr">
        <is>
          <t>Dry peas</t>
        </is>
      </c>
      <c r="B115" s="39" t="inlineStr">
        <is>
          <t>Exports</t>
        </is>
      </c>
      <c r="C115" s="34" t="inlineStr">
        <is>
          <t>2010-11</t>
        </is>
      </c>
      <c r="O115" s="40" t="n">
        <v>3012.2</v>
      </c>
      <c r="P115" s="41">
        <f>SUM(D115:O115)</f>
        <v/>
      </c>
    </row>
    <row r="116">
      <c r="A116" s="34" t="inlineStr">
        <is>
          <t>Dry peas</t>
        </is>
      </c>
      <c r="B116" s="39" t="inlineStr">
        <is>
          <t>Ending Stocks</t>
        </is>
      </c>
      <c r="C116" s="34" t="inlineStr">
        <is>
          <t>2010-11</t>
        </is>
      </c>
      <c r="O116" s="40" t="n">
        <v>535</v>
      </c>
      <c r="P116" s="41">
        <f>SUM(D116:O116)</f>
        <v/>
      </c>
    </row>
    <row r="117">
      <c r="A117" s="34" t="inlineStr">
        <is>
          <t>Dry peas</t>
        </is>
      </c>
      <c r="B117" s="35" t="inlineStr">
        <is>
          <t>Stocks-to-Use</t>
        </is>
      </c>
      <c r="C117" s="34" t="inlineStr">
        <is>
          <t>2010-11</t>
        </is>
      </c>
      <c r="P117" s="37">
        <f>SUM(D117:O117)</f>
        <v/>
      </c>
    </row>
    <row r="118">
      <c r="A118" s="34" t="inlineStr">
        <is>
          <t>Dry peas</t>
        </is>
      </c>
      <c r="B118" s="35" t="inlineStr">
        <is>
          <t>STU Days</t>
        </is>
      </c>
      <c r="C118" s="34" t="inlineStr">
        <is>
          <t>2010-11</t>
        </is>
      </c>
      <c r="P118" s="41">
        <f>SUM(D118:O118)</f>
        <v/>
      </c>
    </row>
    <row r="119">
      <c r="A119" s="34" t="inlineStr">
        <is>
          <t>Dry peas</t>
        </is>
      </c>
      <c r="B119" s="35" t="inlineStr">
        <is>
          <t>CHECK</t>
        </is>
      </c>
      <c r="C119" s="34" t="inlineStr">
        <is>
          <t>2010-11</t>
        </is>
      </c>
      <c r="O119" s="41" t="n">
        <v>0</v>
      </c>
      <c r="P119" s="41">
        <f>SUM(D119:O119)</f>
        <v/>
      </c>
    </row>
    <row r="120">
      <c r="A120" s="34" t="inlineStr">
        <is>
          <t>Dry peas</t>
        </is>
      </c>
      <c r="B120" s="35" t="inlineStr">
        <is>
          <t>Planted Area</t>
        </is>
      </c>
      <c r="C120" s="34" t="inlineStr">
        <is>
          <t>2011-12</t>
        </is>
      </c>
      <c r="P120" s="36">
        <f>SUM(D120:O120)</f>
        <v/>
      </c>
    </row>
    <row r="121">
      <c r="A121" s="34" t="inlineStr">
        <is>
          <t>Dry peas</t>
        </is>
      </c>
      <c r="B121" s="35" t="inlineStr">
        <is>
          <t>Harvested Area</t>
        </is>
      </c>
      <c r="C121" s="34" t="inlineStr">
        <is>
          <t>2011-12</t>
        </is>
      </c>
      <c r="P121" s="36">
        <f>SUM(D121:O121)</f>
        <v/>
      </c>
    </row>
    <row r="122">
      <c r="A122" s="34" t="inlineStr">
        <is>
          <t>Dry peas</t>
        </is>
      </c>
      <c r="B122" s="35" t="inlineStr">
        <is>
          <t>Proportion Harvested</t>
        </is>
      </c>
      <c r="C122" s="34" t="inlineStr">
        <is>
          <t>2011-12</t>
        </is>
      </c>
      <c r="P122" s="37">
        <f>SUM(D122:O122)</f>
        <v/>
      </c>
    </row>
    <row r="123">
      <c r="A123" s="34" t="inlineStr">
        <is>
          <t>Dry peas</t>
        </is>
      </c>
      <c r="B123" s="35" t="inlineStr">
        <is>
          <t>Yield</t>
        </is>
      </c>
      <c r="C123" s="34" t="inlineStr">
        <is>
          <t>2011-12</t>
        </is>
      </c>
      <c r="P123" s="38">
        <f>SUM(D123:O123)</f>
        <v/>
      </c>
    </row>
    <row r="124">
      <c r="A124" s="34" t="inlineStr">
        <is>
          <t>Dry peas</t>
        </is>
      </c>
      <c r="B124" s="39" t="inlineStr">
        <is>
          <t>Beginning Stocks</t>
        </is>
      </c>
      <c r="C124" s="34" t="inlineStr">
        <is>
          <t>2011-12</t>
        </is>
      </c>
      <c r="O124" s="40" t="n">
        <v>535</v>
      </c>
      <c r="P124" s="41">
        <f>SUM(D124:O124)</f>
        <v/>
      </c>
    </row>
    <row r="125">
      <c r="A125" s="34" t="inlineStr">
        <is>
          <t>Dry peas</t>
        </is>
      </c>
      <c r="B125" s="39" t="inlineStr">
        <is>
          <t>Imports</t>
        </is>
      </c>
      <c r="C125" s="34" t="inlineStr">
        <is>
          <t>2011-12</t>
        </is>
      </c>
      <c r="O125" s="40" t="n">
        <v>11.8</v>
      </c>
      <c r="P125" s="41">
        <f>SUM(D125:O125)</f>
        <v/>
      </c>
    </row>
    <row r="126">
      <c r="A126" s="34" t="inlineStr">
        <is>
          <t>Dry peas</t>
        </is>
      </c>
      <c r="B126" s="39" t="inlineStr">
        <is>
          <t>Production</t>
        </is>
      </c>
      <c r="C126" s="34" t="inlineStr">
        <is>
          <t>2011-12</t>
        </is>
      </c>
      <c r="O126" s="40" t="n">
        <v>2502</v>
      </c>
      <c r="P126" s="41">
        <f>SUM(D126:O126)</f>
        <v/>
      </c>
    </row>
    <row r="127">
      <c r="A127" s="34" t="inlineStr">
        <is>
          <t>Dry peas</t>
        </is>
      </c>
      <c r="B127" s="39" t="inlineStr">
        <is>
          <t>FSR</t>
        </is>
      </c>
      <c r="C127" s="34" t="inlineStr">
        <is>
          <t>2011-12</t>
        </is>
      </c>
      <c r="O127" s="40" t="n">
        <v>688.1000000000004</v>
      </c>
      <c r="P127" s="41">
        <f>SUM(D127:O127)</f>
        <v/>
      </c>
    </row>
    <row r="128">
      <c r="A128" s="34" t="inlineStr">
        <is>
          <t>Dry peas</t>
        </is>
      </c>
      <c r="B128" s="39" t="inlineStr">
        <is>
          <t>Exports</t>
        </is>
      </c>
      <c r="C128" s="34" t="inlineStr">
        <is>
          <t>2011-12</t>
        </is>
      </c>
      <c r="O128" s="40" t="n">
        <v>2095.7</v>
      </c>
      <c r="P128" s="41">
        <f>SUM(D128:O128)</f>
        <v/>
      </c>
    </row>
    <row r="129">
      <c r="A129" s="34" t="inlineStr">
        <is>
          <t>Dry peas</t>
        </is>
      </c>
      <c r="B129" s="39" t="inlineStr">
        <is>
          <t>Ending Stocks</t>
        </is>
      </c>
      <c r="C129" s="34" t="inlineStr">
        <is>
          <t>2011-12</t>
        </is>
      </c>
      <c r="O129" s="40" t="n">
        <v>265</v>
      </c>
      <c r="P129" s="41">
        <f>SUM(D129:O129)</f>
        <v/>
      </c>
    </row>
    <row r="130">
      <c r="A130" s="34" t="inlineStr">
        <is>
          <t>Dry peas</t>
        </is>
      </c>
      <c r="B130" s="35" t="inlineStr">
        <is>
          <t>Stocks-to-Use</t>
        </is>
      </c>
      <c r="C130" s="34" t="inlineStr">
        <is>
          <t>2011-12</t>
        </is>
      </c>
      <c r="P130" s="37">
        <f>SUM(D130:O130)</f>
        <v/>
      </c>
    </row>
    <row r="131">
      <c r="A131" s="34" t="inlineStr">
        <is>
          <t>Dry peas</t>
        </is>
      </c>
      <c r="B131" s="35" t="inlineStr">
        <is>
          <t>STU Days</t>
        </is>
      </c>
      <c r="C131" s="34" t="inlineStr">
        <is>
          <t>2011-12</t>
        </is>
      </c>
      <c r="P131" s="41">
        <f>SUM(D131:O131)</f>
        <v/>
      </c>
    </row>
    <row r="132">
      <c r="A132" s="34" t="inlineStr">
        <is>
          <t>Dry peas</t>
        </is>
      </c>
      <c r="B132" s="35" t="inlineStr">
        <is>
          <t>CHECK</t>
        </is>
      </c>
      <c r="C132" s="34" t="inlineStr">
        <is>
          <t>2011-12</t>
        </is>
      </c>
      <c r="O132" s="41" t="n">
        <v>0</v>
      </c>
      <c r="P132" s="41">
        <f>SUM(D132:O132)</f>
        <v/>
      </c>
    </row>
    <row r="133">
      <c r="A133" s="34" t="inlineStr">
        <is>
          <t>Dry peas</t>
        </is>
      </c>
      <c r="B133" s="35" t="inlineStr">
        <is>
          <t>Planted Area</t>
        </is>
      </c>
      <c r="C133" s="34" t="inlineStr">
        <is>
          <t>2012-13</t>
        </is>
      </c>
      <c r="P133" s="36">
        <f>SUM(D133:O133)</f>
        <v/>
      </c>
    </row>
    <row r="134">
      <c r="A134" s="34" t="inlineStr">
        <is>
          <t>Dry peas</t>
        </is>
      </c>
      <c r="B134" s="35" t="inlineStr">
        <is>
          <t>Harvested Area</t>
        </is>
      </c>
      <c r="C134" s="34" t="inlineStr">
        <is>
          <t>2012-13</t>
        </is>
      </c>
      <c r="P134" s="36">
        <f>SUM(D134:O134)</f>
        <v/>
      </c>
    </row>
    <row r="135">
      <c r="A135" s="34" t="inlineStr">
        <is>
          <t>Dry peas</t>
        </is>
      </c>
      <c r="B135" s="35" t="inlineStr">
        <is>
          <t>Proportion Harvested</t>
        </is>
      </c>
      <c r="C135" s="34" t="inlineStr">
        <is>
          <t>2012-13</t>
        </is>
      </c>
      <c r="P135" s="37">
        <f>SUM(D135:O135)</f>
        <v/>
      </c>
    </row>
    <row r="136">
      <c r="A136" s="34" t="inlineStr">
        <is>
          <t>Dry peas</t>
        </is>
      </c>
      <c r="B136" s="35" t="inlineStr">
        <is>
          <t>Yield</t>
        </is>
      </c>
      <c r="C136" s="34" t="inlineStr">
        <is>
          <t>2012-13</t>
        </is>
      </c>
      <c r="P136" s="38">
        <f>SUM(D136:O136)</f>
        <v/>
      </c>
    </row>
    <row r="137">
      <c r="A137" s="34" t="inlineStr">
        <is>
          <t>Dry peas</t>
        </is>
      </c>
      <c r="B137" s="39" t="inlineStr">
        <is>
          <t>Beginning Stocks</t>
        </is>
      </c>
      <c r="C137" s="34" t="inlineStr">
        <is>
          <t>2012-13</t>
        </is>
      </c>
      <c r="O137" s="40" t="n">
        <v>265</v>
      </c>
      <c r="P137" s="41">
        <f>SUM(D137:O137)</f>
        <v/>
      </c>
    </row>
    <row r="138">
      <c r="A138" s="34" t="inlineStr">
        <is>
          <t>Dry peas</t>
        </is>
      </c>
      <c r="B138" s="39" t="inlineStr">
        <is>
          <t>Imports</t>
        </is>
      </c>
      <c r="C138" s="34" t="inlineStr">
        <is>
          <t>2012-13</t>
        </is>
      </c>
      <c r="O138" s="40" t="n">
        <v>16.1</v>
      </c>
      <c r="P138" s="41">
        <f>SUM(D138:O138)</f>
        <v/>
      </c>
    </row>
    <row r="139">
      <c r="A139" s="34" t="inlineStr">
        <is>
          <t>Dry peas</t>
        </is>
      </c>
      <c r="B139" s="39" t="inlineStr">
        <is>
          <t>Production</t>
        </is>
      </c>
      <c r="C139" s="34" t="inlineStr">
        <is>
          <t>2012-13</t>
        </is>
      </c>
      <c r="O139" s="40" t="n">
        <v>3340.8</v>
      </c>
      <c r="P139" s="41">
        <f>SUM(D139:O139)</f>
        <v/>
      </c>
    </row>
    <row r="140">
      <c r="A140" s="34" t="inlineStr">
        <is>
          <t>Dry peas</t>
        </is>
      </c>
      <c r="B140" s="39" t="inlineStr">
        <is>
          <t>FSR</t>
        </is>
      </c>
      <c r="C140" s="34" t="inlineStr">
        <is>
          <t>2012-13</t>
        </is>
      </c>
      <c r="O140" s="40" t="n">
        <v>798.3000000000002</v>
      </c>
      <c r="P140" s="41">
        <f>SUM(D140:O140)</f>
        <v/>
      </c>
    </row>
    <row r="141">
      <c r="A141" s="34" t="inlineStr">
        <is>
          <t>Dry peas</t>
        </is>
      </c>
      <c r="B141" s="39" t="inlineStr">
        <is>
          <t>Exports</t>
        </is>
      </c>
      <c r="C141" s="34" t="inlineStr">
        <is>
          <t>2012-13</t>
        </is>
      </c>
      <c r="O141" s="40" t="n">
        <v>2649.6</v>
      </c>
      <c r="P141" s="41">
        <f>SUM(D141:O141)</f>
        <v/>
      </c>
    </row>
    <row r="142">
      <c r="A142" s="34" t="inlineStr">
        <is>
          <t>Dry peas</t>
        </is>
      </c>
      <c r="B142" s="39" t="inlineStr">
        <is>
          <t>Ending Stocks</t>
        </is>
      </c>
      <c r="C142" s="34" t="inlineStr">
        <is>
          <t>2012-13</t>
        </is>
      </c>
      <c r="O142" s="40" t="n">
        <v>174</v>
      </c>
      <c r="P142" s="41">
        <f>SUM(D142:O142)</f>
        <v/>
      </c>
    </row>
    <row r="143">
      <c r="A143" s="34" t="inlineStr">
        <is>
          <t>Dry peas</t>
        </is>
      </c>
      <c r="B143" s="35" t="inlineStr">
        <is>
          <t>Stocks-to-Use</t>
        </is>
      </c>
      <c r="C143" s="34" t="inlineStr">
        <is>
          <t>2012-13</t>
        </is>
      </c>
      <c r="P143" s="37">
        <f>SUM(D143:O143)</f>
        <v/>
      </c>
    </row>
    <row r="144">
      <c r="A144" s="34" t="inlineStr">
        <is>
          <t>Dry peas</t>
        </is>
      </c>
      <c r="B144" s="35" t="inlineStr">
        <is>
          <t>STU Days</t>
        </is>
      </c>
      <c r="C144" s="34" t="inlineStr">
        <is>
          <t>2012-13</t>
        </is>
      </c>
      <c r="P144" s="41">
        <f>SUM(D144:O144)</f>
        <v/>
      </c>
    </row>
    <row r="145">
      <c r="A145" s="34" t="inlineStr">
        <is>
          <t>Dry peas</t>
        </is>
      </c>
      <c r="B145" s="35" t="inlineStr">
        <is>
          <t>CHECK</t>
        </is>
      </c>
      <c r="C145" s="34" t="inlineStr">
        <is>
          <t>2012-13</t>
        </is>
      </c>
      <c r="O145" s="41" t="n">
        <v>0</v>
      </c>
      <c r="P145" s="41">
        <f>SUM(D145:O145)</f>
        <v/>
      </c>
    </row>
    <row r="146">
      <c r="A146" s="34" t="inlineStr">
        <is>
          <t>Dry peas</t>
        </is>
      </c>
      <c r="B146" s="35" t="inlineStr">
        <is>
          <t>Planted Area</t>
        </is>
      </c>
      <c r="C146" s="34" t="inlineStr">
        <is>
          <t>2013-14</t>
        </is>
      </c>
      <c r="P146" s="36">
        <f>SUM(D146:O146)</f>
        <v/>
      </c>
    </row>
    <row r="147">
      <c r="A147" s="34" t="inlineStr">
        <is>
          <t>Dry peas</t>
        </is>
      </c>
      <c r="B147" s="35" t="inlineStr">
        <is>
          <t>Harvested Area</t>
        </is>
      </c>
      <c r="C147" s="34" t="inlineStr">
        <is>
          <t>2013-14</t>
        </is>
      </c>
      <c r="P147" s="36">
        <f>SUM(D147:O147)</f>
        <v/>
      </c>
    </row>
    <row r="148">
      <c r="A148" s="34" t="inlineStr">
        <is>
          <t>Dry peas</t>
        </is>
      </c>
      <c r="B148" s="35" t="inlineStr">
        <is>
          <t>Proportion Harvested</t>
        </is>
      </c>
      <c r="C148" s="34" t="inlineStr">
        <is>
          <t>2013-14</t>
        </is>
      </c>
      <c r="P148" s="37">
        <f>SUM(D148:O148)</f>
        <v/>
      </c>
    </row>
    <row r="149">
      <c r="A149" s="34" t="inlineStr">
        <is>
          <t>Dry peas</t>
        </is>
      </c>
      <c r="B149" s="35" t="inlineStr">
        <is>
          <t>Yield</t>
        </is>
      </c>
      <c r="C149" s="34" t="inlineStr">
        <is>
          <t>2013-14</t>
        </is>
      </c>
      <c r="P149" s="38">
        <f>SUM(D149:O149)</f>
        <v/>
      </c>
    </row>
    <row r="150">
      <c r="A150" s="34" t="inlineStr">
        <is>
          <t>Dry peas</t>
        </is>
      </c>
      <c r="B150" s="39" t="inlineStr">
        <is>
          <t>Beginning Stocks</t>
        </is>
      </c>
      <c r="C150" s="34" t="inlineStr">
        <is>
          <t>2013-14</t>
        </is>
      </c>
      <c r="O150" s="40" t="n">
        <v>174</v>
      </c>
      <c r="P150" s="41">
        <f>SUM(D150:O150)</f>
        <v/>
      </c>
    </row>
    <row r="151">
      <c r="A151" s="34" t="inlineStr">
        <is>
          <t>Dry peas</t>
        </is>
      </c>
      <c r="B151" s="39" t="inlineStr">
        <is>
          <t>Imports</t>
        </is>
      </c>
      <c r="C151" s="34" t="inlineStr">
        <is>
          <t>2013-14</t>
        </is>
      </c>
      <c r="O151" s="40" t="n">
        <v>25.1</v>
      </c>
      <c r="P151" s="41">
        <f>SUM(D151:O151)</f>
        <v/>
      </c>
    </row>
    <row r="152">
      <c r="A152" s="34" t="inlineStr">
        <is>
          <t>Dry peas</t>
        </is>
      </c>
      <c r="B152" s="39" t="inlineStr">
        <is>
          <t>Production</t>
        </is>
      </c>
      <c r="C152" s="34" t="inlineStr">
        <is>
          <t>2013-14</t>
        </is>
      </c>
      <c r="O152" s="40" t="n">
        <v>3960.8</v>
      </c>
      <c r="P152" s="41">
        <f>SUM(D152:O152)</f>
        <v/>
      </c>
    </row>
    <row r="153">
      <c r="A153" s="34" t="inlineStr">
        <is>
          <t>Dry peas</t>
        </is>
      </c>
      <c r="B153" s="39" t="inlineStr">
        <is>
          <t>FSR</t>
        </is>
      </c>
      <c r="C153" s="34" t="inlineStr">
        <is>
          <t>2013-14</t>
        </is>
      </c>
      <c r="O153" s="40" t="n">
        <v>1050.4</v>
      </c>
      <c r="P153" s="41">
        <f>SUM(D153:O153)</f>
        <v/>
      </c>
    </row>
    <row r="154">
      <c r="A154" s="34" t="inlineStr">
        <is>
          <t>Dry peas</t>
        </is>
      </c>
      <c r="B154" s="39" t="inlineStr">
        <is>
          <t>Exports</t>
        </is>
      </c>
      <c r="C154" s="34" t="inlineStr">
        <is>
          <t>2013-14</t>
        </is>
      </c>
      <c r="O154" s="40" t="n">
        <v>2780.5</v>
      </c>
      <c r="P154" s="41">
        <f>SUM(D154:O154)</f>
        <v/>
      </c>
    </row>
    <row r="155">
      <c r="A155" s="34" t="inlineStr">
        <is>
          <t>Dry peas</t>
        </is>
      </c>
      <c r="B155" s="39" t="inlineStr">
        <is>
          <t>Ending Stocks</t>
        </is>
      </c>
      <c r="C155" s="34" t="inlineStr">
        <is>
          <t>2013-14</t>
        </is>
      </c>
      <c r="O155" s="40" t="n">
        <v>329</v>
      </c>
      <c r="P155" s="41">
        <f>SUM(D155:O155)</f>
        <v/>
      </c>
    </row>
    <row r="156">
      <c r="A156" s="34" t="inlineStr">
        <is>
          <t>Dry peas</t>
        </is>
      </c>
      <c r="B156" s="35" t="inlineStr">
        <is>
          <t>Stocks-to-Use</t>
        </is>
      </c>
      <c r="C156" s="34" t="inlineStr">
        <is>
          <t>2013-14</t>
        </is>
      </c>
      <c r="P156" s="37">
        <f>SUM(D156:O156)</f>
        <v/>
      </c>
    </row>
    <row r="157">
      <c r="A157" s="34" t="inlineStr">
        <is>
          <t>Dry peas</t>
        </is>
      </c>
      <c r="B157" s="35" t="inlineStr">
        <is>
          <t>STU Days</t>
        </is>
      </c>
      <c r="C157" s="34" t="inlineStr">
        <is>
          <t>2013-14</t>
        </is>
      </c>
      <c r="P157" s="41">
        <f>SUM(D157:O157)</f>
        <v/>
      </c>
    </row>
    <row r="158">
      <c r="A158" s="34" t="inlineStr">
        <is>
          <t>Dry peas</t>
        </is>
      </c>
      <c r="B158" s="35" t="inlineStr">
        <is>
          <t>CHECK</t>
        </is>
      </c>
      <c r="C158" s="34" t="inlineStr">
        <is>
          <t>2013-14</t>
        </is>
      </c>
      <c r="O158" s="41" t="n">
        <v>0</v>
      </c>
      <c r="P158" s="41">
        <f>SUM(D158:O158)</f>
        <v/>
      </c>
    </row>
    <row r="159">
      <c r="A159" s="34" t="inlineStr">
        <is>
          <t>Dry peas</t>
        </is>
      </c>
      <c r="B159" s="35" t="inlineStr">
        <is>
          <t>Planted Area</t>
        </is>
      </c>
      <c r="C159" s="34" t="inlineStr">
        <is>
          <t>2014-15</t>
        </is>
      </c>
      <c r="P159" s="36">
        <f>SUM(D159:O159)</f>
        <v/>
      </c>
    </row>
    <row r="160">
      <c r="A160" s="34" t="inlineStr">
        <is>
          <t>Dry peas</t>
        </is>
      </c>
      <c r="B160" s="35" t="inlineStr">
        <is>
          <t>Harvested Area</t>
        </is>
      </c>
      <c r="C160" s="34" t="inlineStr">
        <is>
          <t>2014-15</t>
        </is>
      </c>
      <c r="P160" s="36">
        <f>SUM(D160:O160)</f>
        <v/>
      </c>
    </row>
    <row r="161">
      <c r="A161" s="34" t="inlineStr">
        <is>
          <t>Dry peas</t>
        </is>
      </c>
      <c r="B161" s="35" t="inlineStr">
        <is>
          <t>Proportion Harvested</t>
        </is>
      </c>
      <c r="C161" s="34" t="inlineStr">
        <is>
          <t>2014-15</t>
        </is>
      </c>
      <c r="P161" s="37">
        <f>SUM(D161:O161)</f>
        <v/>
      </c>
    </row>
    <row r="162">
      <c r="A162" s="34" t="inlineStr">
        <is>
          <t>Dry peas</t>
        </is>
      </c>
      <c r="B162" s="35" t="inlineStr">
        <is>
          <t>Yield</t>
        </is>
      </c>
      <c r="C162" s="34" t="inlineStr">
        <is>
          <t>2014-15</t>
        </is>
      </c>
      <c r="P162" s="38">
        <f>SUM(D162:O162)</f>
        <v/>
      </c>
    </row>
    <row r="163">
      <c r="A163" s="34" t="inlineStr">
        <is>
          <t>Dry peas</t>
        </is>
      </c>
      <c r="B163" s="39" t="inlineStr">
        <is>
          <t>Beginning Stocks</t>
        </is>
      </c>
      <c r="C163" s="34" t="inlineStr">
        <is>
          <t>2014-15</t>
        </is>
      </c>
      <c r="O163" s="40" t="n">
        <v>329</v>
      </c>
      <c r="P163" s="41">
        <f>SUM(D163:O163)</f>
        <v/>
      </c>
    </row>
    <row r="164">
      <c r="A164" s="34" t="inlineStr">
        <is>
          <t>Dry peas</t>
        </is>
      </c>
      <c r="B164" s="39" t="inlineStr">
        <is>
          <t>Imports</t>
        </is>
      </c>
      <c r="C164" s="34" t="inlineStr">
        <is>
          <t>2014-15</t>
        </is>
      </c>
      <c r="O164" s="40" t="n">
        <v>30.8</v>
      </c>
      <c r="P164" s="41">
        <f>SUM(D164:O164)</f>
        <v/>
      </c>
    </row>
    <row r="165">
      <c r="A165" s="34" t="inlineStr">
        <is>
          <t>Dry peas</t>
        </is>
      </c>
      <c r="B165" s="39" t="inlineStr">
        <is>
          <t>Production</t>
        </is>
      </c>
      <c r="C165" s="34" t="inlineStr">
        <is>
          <t>2014-15</t>
        </is>
      </c>
      <c r="O165" s="40" t="n">
        <v>3810.1</v>
      </c>
      <c r="P165" s="41">
        <f>SUM(D165:O165)</f>
        <v/>
      </c>
    </row>
    <row r="166">
      <c r="A166" s="34" t="inlineStr">
        <is>
          <t>Dry peas</t>
        </is>
      </c>
      <c r="B166" s="39" t="inlineStr">
        <is>
          <t>FSR</t>
        </is>
      </c>
      <c r="C166" s="34" t="inlineStr">
        <is>
          <t>2014-15</t>
        </is>
      </c>
      <c r="O166" s="40" t="n">
        <v>403.9000000000005</v>
      </c>
      <c r="P166" s="41">
        <f>SUM(D166:O166)</f>
        <v/>
      </c>
    </row>
    <row r="167">
      <c r="A167" s="34" t="inlineStr">
        <is>
          <t>Dry peas</t>
        </is>
      </c>
      <c r="B167" s="39" t="inlineStr">
        <is>
          <t>Exports</t>
        </is>
      </c>
      <c r="C167" s="34" t="inlineStr">
        <is>
          <t>2014-15</t>
        </is>
      </c>
      <c r="O167" s="40" t="n">
        <v>3082</v>
      </c>
      <c r="P167" s="41">
        <f>SUM(D167:O167)</f>
        <v/>
      </c>
    </row>
    <row r="168">
      <c r="A168" s="34" t="inlineStr">
        <is>
          <t>Dry peas</t>
        </is>
      </c>
      <c r="B168" s="39" t="inlineStr">
        <is>
          <t>Ending Stocks</t>
        </is>
      </c>
      <c r="C168" s="34" t="inlineStr">
        <is>
          <t>2014-15</t>
        </is>
      </c>
      <c r="O168" s="40" t="n">
        <v>684</v>
      </c>
      <c r="P168" s="41">
        <f>SUM(D168:O168)</f>
        <v/>
      </c>
    </row>
    <row r="169">
      <c r="A169" s="34" t="inlineStr">
        <is>
          <t>Dry peas</t>
        </is>
      </c>
      <c r="B169" s="35" t="inlineStr">
        <is>
          <t>Stocks-to-Use</t>
        </is>
      </c>
      <c r="C169" s="34" t="inlineStr">
        <is>
          <t>2014-15</t>
        </is>
      </c>
      <c r="P169" s="37">
        <f>SUM(D169:O169)</f>
        <v/>
      </c>
    </row>
    <row r="170">
      <c r="A170" s="34" t="inlineStr">
        <is>
          <t>Dry peas</t>
        </is>
      </c>
      <c r="B170" s="35" t="inlineStr">
        <is>
          <t>STU Days</t>
        </is>
      </c>
      <c r="C170" s="34" t="inlineStr">
        <is>
          <t>2014-15</t>
        </is>
      </c>
      <c r="P170" s="41">
        <f>SUM(D170:O170)</f>
        <v/>
      </c>
    </row>
    <row r="171">
      <c r="A171" s="34" t="inlineStr">
        <is>
          <t>Dry peas</t>
        </is>
      </c>
      <c r="B171" s="35" t="inlineStr">
        <is>
          <t>CHECK</t>
        </is>
      </c>
      <c r="C171" s="34" t="inlineStr">
        <is>
          <t>2014-15</t>
        </is>
      </c>
      <c r="O171" s="41" t="n">
        <v>0</v>
      </c>
      <c r="P171" s="41">
        <f>SUM(D171:O171)</f>
        <v/>
      </c>
    </row>
    <row r="172">
      <c r="A172" s="34" t="inlineStr">
        <is>
          <t>Dry peas</t>
        </is>
      </c>
      <c r="B172" s="35" t="inlineStr">
        <is>
          <t>Planted Area</t>
        </is>
      </c>
      <c r="C172" s="34" t="inlineStr">
        <is>
          <t>2015-16</t>
        </is>
      </c>
      <c r="P172" s="36">
        <f>SUM(D172:O172)</f>
        <v/>
      </c>
    </row>
    <row r="173">
      <c r="A173" s="34" t="inlineStr">
        <is>
          <t>Dry peas</t>
        </is>
      </c>
      <c r="B173" s="35" t="inlineStr">
        <is>
          <t>Harvested Area</t>
        </is>
      </c>
      <c r="C173" s="34" t="inlineStr">
        <is>
          <t>2015-16</t>
        </is>
      </c>
      <c r="P173" s="36">
        <f>SUM(D173:O173)</f>
        <v/>
      </c>
    </row>
    <row r="174">
      <c r="A174" s="34" t="inlineStr">
        <is>
          <t>Dry peas</t>
        </is>
      </c>
      <c r="B174" s="35" t="inlineStr">
        <is>
          <t>Proportion Harvested</t>
        </is>
      </c>
      <c r="C174" s="34" t="inlineStr">
        <is>
          <t>2015-16</t>
        </is>
      </c>
      <c r="P174" s="37">
        <f>SUM(D174:O174)</f>
        <v/>
      </c>
    </row>
    <row r="175">
      <c r="A175" s="34" t="inlineStr">
        <is>
          <t>Dry peas</t>
        </is>
      </c>
      <c r="B175" s="35" t="inlineStr">
        <is>
          <t>Yield</t>
        </is>
      </c>
      <c r="C175" s="34" t="inlineStr">
        <is>
          <t>2015-16</t>
        </is>
      </c>
      <c r="P175" s="38">
        <f>SUM(D175:O175)</f>
        <v/>
      </c>
    </row>
    <row r="176">
      <c r="A176" s="34" t="inlineStr">
        <is>
          <t>Dry peas</t>
        </is>
      </c>
      <c r="B176" s="39" t="inlineStr">
        <is>
          <t>Beginning Stocks</t>
        </is>
      </c>
      <c r="C176" s="34" t="inlineStr">
        <is>
          <t>2015-16</t>
        </is>
      </c>
      <c r="O176" s="40" t="n">
        <v>684</v>
      </c>
      <c r="P176" s="41">
        <f>SUM(D176:O176)</f>
        <v/>
      </c>
    </row>
    <row r="177">
      <c r="A177" s="34" t="inlineStr">
        <is>
          <t>Dry peas</t>
        </is>
      </c>
      <c r="B177" s="39" t="inlineStr">
        <is>
          <t>Imports</t>
        </is>
      </c>
      <c r="C177" s="34" t="inlineStr">
        <is>
          <t>2015-16</t>
        </is>
      </c>
      <c r="O177" s="40" t="n">
        <v>15.4</v>
      </c>
      <c r="P177" s="41">
        <f>SUM(D177:O177)</f>
        <v/>
      </c>
    </row>
    <row r="178">
      <c r="A178" s="34" t="inlineStr">
        <is>
          <t>Dry peas</t>
        </is>
      </c>
      <c r="B178" s="39" t="inlineStr">
        <is>
          <t>Production</t>
        </is>
      </c>
      <c r="C178" s="34" t="inlineStr">
        <is>
          <t>2015-16</t>
        </is>
      </c>
      <c r="O178" s="40" t="n">
        <v>3200.7</v>
      </c>
      <c r="P178" s="41">
        <f>SUM(D178:O178)</f>
        <v/>
      </c>
    </row>
    <row r="179">
      <c r="A179" s="34" t="inlineStr">
        <is>
          <t>Dry peas</t>
        </is>
      </c>
      <c r="B179" s="39" t="inlineStr">
        <is>
          <t>FSR</t>
        </is>
      </c>
      <c r="C179" s="34" t="inlineStr">
        <is>
          <t>2015-16</t>
        </is>
      </c>
      <c r="O179" s="40" t="n">
        <v>1079.4</v>
      </c>
      <c r="P179" s="41">
        <f>SUM(D179:O179)</f>
        <v/>
      </c>
    </row>
    <row r="180">
      <c r="A180" s="34" t="inlineStr">
        <is>
          <t>Dry peas</t>
        </is>
      </c>
      <c r="B180" s="39" t="inlineStr">
        <is>
          <t>Exports</t>
        </is>
      </c>
      <c r="C180" s="34" t="inlineStr">
        <is>
          <t>2015-16</t>
        </is>
      </c>
      <c r="O180" s="40" t="n">
        <v>2646.5</v>
      </c>
      <c r="P180" s="41">
        <f>SUM(D180:O180)</f>
        <v/>
      </c>
    </row>
    <row r="181">
      <c r="A181" s="34" t="inlineStr">
        <is>
          <t>Dry peas</t>
        </is>
      </c>
      <c r="B181" s="39" t="inlineStr">
        <is>
          <t>Ending Stocks</t>
        </is>
      </c>
      <c r="C181" s="34" t="inlineStr">
        <is>
          <t>2015-16</t>
        </is>
      </c>
      <c r="O181" s="40" t="n">
        <v>174.2</v>
      </c>
      <c r="P181" s="41">
        <f>SUM(D181:O181)</f>
        <v/>
      </c>
    </row>
    <row r="182">
      <c r="A182" s="34" t="inlineStr">
        <is>
          <t>Dry peas</t>
        </is>
      </c>
      <c r="B182" s="35" t="inlineStr">
        <is>
          <t>Stocks-to-Use</t>
        </is>
      </c>
      <c r="C182" s="34" t="inlineStr">
        <is>
          <t>2015-16</t>
        </is>
      </c>
      <c r="P182" s="37">
        <f>SUM(D182:O182)</f>
        <v/>
      </c>
    </row>
    <row r="183">
      <c r="A183" s="34" t="inlineStr">
        <is>
          <t>Dry peas</t>
        </is>
      </c>
      <c r="B183" s="35" t="inlineStr">
        <is>
          <t>STU Days</t>
        </is>
      </c>
      <c r="C183" s="34" t="inlineStr">
        <is>
          <t>2015-16</t>
        </is>
      </c>
      <c r="P183" s="41">
        <f>SUM(D183:O183)</f>
        <v/>
      </c>
    </row>
    <row r="184">
      <c r="A184" s="34" t="inlineStr">
        <is>
          <t>Dry peas</t>
        </is>
      </c>
      <c r="B184" s="35" t="inlineStr">
        <is>
          <t>CHECK</t>
        </is>
      </c>
      <c r="C184" s="34" t="inlineStr">
        <is>
          <t>2015-16</t>
        </is>
      </c>
      <c r="O184" s="41" t="n">
        <v>-1.70530256582424e-13</v>
      </c>
      <c r="P184" s="41">
        <f>SUM(D184:O184)</f>
        <v/>
      </c>
    </row>
    <row r="185">
      <c r="A185" s="34" t="inlineStr">
        <is>
          <t>Dry peas</t>
        </is>
      </c>
      <c r="B185" s="35" t="inlineStr">
        <is>
          <t>Planted Area</t>
        </is>
      </c>
      <c r="C185" s="34" t="inlineStr">
        <is>
          <t>2016-17</t>
        </is>
      </c>
      <c r="P185" s="36">
        <f>SUM(D185:O185)</f>
        <v/>
      </c>
    </row>
    <row r="186">
      <c r="A186" s="34" t="inlineStr">
        <is>
          <t>Dry peas</t>
        </is>
      </c>
      <c r="B186" s="35" t="inlineStr">
        <is>
          <t>Harvested Area</t>
        </is>
      </c>
      <c r="C186" s="34" t="inlineStr">
        <is>
          <t>2016-17</t>
        </is>
      </c>
      <c r="P186" s="36">
        <f>SUM(D186:O186)</f>
        <v/>
      </c>
    </row>
    <row r="187">
      <c r="A187" s="34" t="inlineStr">
        <is>
          <t>Dry peas</t>
        </is>
      </c>
      <c r="B187" s="35" t="inlineStr">
        <is>
          <t>Proportion Harvested</t>
        </is>
      </c>
      <c r="C187" s="34" t="inlineStr">
        <is>
          <t>2016-17</t>
        </is>
      </c>
      <c r="P187" s="37">
        <f>SUM(D187:O187)</f>
        <v/>
      </c>
    </row>
    <row r="188">
      <c r="A188" s="34" t="inlineStr">
        <is>
          <t>Dry peas</t>
        </is>
      </c>
      <c r="B188" s="35" t="inlineStr">
        <is>
          <t>Yield</t>
        </is>
      </c>
      <c r="C188" s="34" t="inlineStr">
        <is>
          <t>2016-17</t>
        </is>
      </c>
      <c r="P188" s="38">
        <f>SUM(D188:O188)</f>
        <v/>
      </c>
    </row>
    <row r="189">
      <c r="A189" s="34" t="inlineStr">
        <is>
          <t>Dry peas</t>
        </is>
      </c>
      <c r="B189" s="39" t="inlineStr">
        <is>
          <t>Beginning Stocks</t>
        </is>
      </c>
      <c r="C189" s="34" t="inlineStr">
        <is>
          <t>2016-17</t>
        </is>
      </c>
      <c r="O189" s="40" t="n">
        <v>174.2</v>
      </c>
      <c r="P189" s="41">
        <f>SUM(D189:O189)</f>
        <v/>
      </c>
    </row>
    <row r="190">
      <c r="A190" s="34" t="inlineStr">
        <is>
          <t>Dry peas</t>
        </is>
      </c>
      <c r="B190" s="39" t="inlineStr">
        <is>
          <t>Imports</t>
        </is>
      </c>
      <c r="C190" s="34" t="inlineStr">
        <is>
          <t>2016-17</t>
        </is>
      </c>
      <c r="O190" s="40" t="n">
        <v>31.5</v>
      </c>
      <c r="P190" s="41">
        <f>SUM(D190:O190)</f>
        <v/>
      </c>
    </row>
    <row r="191">
      <c r="A191" s="34" t="inlineStr">
        <is>
          <t>Dry peas</t>
        </is>
      </c>
      <c r="B191" s="39" t="inlineStr">
        <is>
          <t>Production</t>
        </is>
      </c>
      <c r="C191" s="34" t="inlineStr">
        <is>
          <t>2016-17</t>
        </is>
      </c>
      <c r="O191" s="40" t="n">
        <v>4835.9</v>
      </c>
      <c r="P191" s="41">
        <f>SUM(D191:O191)</f>
        <v/>
      </c>
    </row>
    <row r="192">
      <c r="A192" s="34" t="inlineStr">
        <is>
          <t>Dry peas</t>
        </is>
      </c>
      <c r="B192" s="39" t="inlineStr">
        <is>
          <t>FSR</t>
        </is>
      </c>
      <c r="C192" s="34" t="inlineStr">
        <is>
          <t>2016-17</t>
        </is>
      </c>
      <c r="O192" s="40" t="n">
        <v>797.3999999999993</v>
      </c>
      <c r="P192" s="41">
        <f>SUM(D192:O192)</f>
        <v/>
      </c>
    </row>
    <row r="193">
      <c r="A193" s="34" t="inlineStr">
        <is>
          <t>Dry peas</t>
        </is>
      </c>
      <c r="B193" s="39" t="inlineStr">
        <is>
          <t>Exports</t>
        </is>
      </c>
      <c r="C193" s="34" t="inlineStr">
        <is>
          <t>2016-17</t>
        </is>
      </c>
      <c r="O193" s="40" t="n">
        <v>3943.8</v>
      </c>
      <c r="P193" s="41">
        <f>SUM(D193:O193)</f>
        <v/>
      </c>
    </row>
    <row r="194">
      <c r="A194" s="34" t="inlineStr">
        <is>
          <t>Dry peas</t>
        </is>
      </c>
      <c r="B194" s="39" t="inlineStr">
        <is>
          <t>Ending Stocks</t>
        </is>
      </c>
      <c r="C194" s="34" t="inlineStr">
        <is>
          <t>2016-17</t>
        </is>
      </c>
      <c r="O194" s="40" t="n">
        <v>300.4</v>
      </c>
      <c r="P194" s="41">
        <f>SUM(D194:O194)</f>
        <v/>
      </c>
    </row>
    <row r="195">
      <c r="A195" s="34" t="inlineStr">
        <is>
          <t>Dry peas</t>
        </is>
      </c>
      <c r="B195" s="35" t="inlineStr">
        <is>
          <t>Stocks-to-Use</t>
        </is>
      </c>
      <c r="C195" s="34" t="inlineStr">
        <is>
          <t>2016-17</t>
        </is>
      </c>
      <c r="P195" s="37">
        <f>SUM(D195:O195)</f>
        <v/>
      </c>
    </row>
    <row r="196">
      <c r="A196" s="34" t="inlineStr">
        <is>
          <t>Dry peas</t>
        </is>
      </c>
      <c r="B196" s="35" t="inlineStr">
        <is>
          <t>STU Days</t>
        </is>
      </c>
      <c r="C196" s="34" t="inlineStr">
        <is>
          <t>2016-17</t>
        </is>
      </c>
      <c r="P196" s="41">
        <f>SUM(D196:O196)</f>
        <v/>
      </c>
    </row>
    <row r="197">
      <c r="A197" s="34" t="inlineStr">
        <is>
          <t>Dry peas</t>
        </is>
      </c>
      <c r="B197" s="35" t="inlineStr">
        <is>
          <t>CHECK</t>
        </is>
      </c>
      <c r="C197" s="34" t="inlineStr">
        <is>
          <t>2016-17</t>
        </is>
      </c>
      <c r="O197" s="41" t="n">
        <v>-3.410605131648481e-13</v>
      </c>
      <c r="P197" s="41">
        <f>SUM(D197:O197)</f>
        <v/>
      </c>
    </row>
    <row r="198">
      <c r="A198" s="34" t="inlineStr">
        <is>
          <t>Dry peas</t>
        </is>
      </c>
      <c r="B198" s="35" t="inlineStr">
        <is>
          <t>Planted Area</t>
        </is>
      </c>
      <c r="C198" s="34" t="inlineStr">
        <is>
          <t>2017-18</t>
        </is>
      </c>
      <c r="P198" s="36">
        <f>SUM(D198:O198)</f>
        <v/>
      </c>
    </row>
    <row r="199">
      <c r="A199" s="34" t="inlineStr">
        <is>
          <t>Dry peas</t>
        </is>
      </c>
      <c r="B199" s="35" t="inlineStr">
        <is>
          <t>Harvested Area</t>
        </is>
      </c>
      <c r="C199" s="34" t="inlineStr">
        <is>
          <t>2017-18</t>
        </is>
      </c>
      <c r="P199" s="36">
        <f>SUM(D199:O199)</f>
        <v/>
      </c>
    </row>
    <row r="200">
      <c r="A200" s="34" t="inlineStr">
        <is>
          <t>Dry peas</t>
        </is>
      </c>
      <c r="B200" s="35" t="inlineStr">
        <is>
          <t>Proportion Harvested</t>
        </is>
      </c>
      <c r="C200" s="34" t="inlineStr">
        <is>
          <t>2017-18</t>
        </is>
      </c>
      <c r="P200" s="37">
        <f>SUM(D200:O200)</f>
        <v/>
      </c>
    </row>
    <row r="201">
      <c r="A201" s="34" t="inlineStr">
        <is>
          <t>Dry peas</t>
        </is>
      </c>
      <c r="B201" s="35" t="inlineStr">
        <is>
          <t>Yield</t>
        </is>
      </c>
      <c r="C201" s="34" t="inlineStr">
        <is>
          <t>2017-18</t>
        </is>
      </c>
      <c r="P201" s="38">
        <f>SUM(D201:O201)</f>
        <v/>
      </c>
    </row>
    <row r="202">
      <c r="A202" s="34" t="inlineStr">
        <is>
          <t>Dry peas</t>
        </is>
      </c>
      <c r="B202" s="39" t="inlineStr">
        <is>
          <t>Beginning Stocks</t>
        </is>
      </c>
      <c r="C202" s="34" t="inlineStr">
        <is>
          <t>2017-18</t>
        </is>
      </c>
      <c r="O202" s="40" t="n">
        <v>300.4</v>
      </c>
      <c r="P202" s="41">
        <f>SUM(D202:O202)</f>
        <v/>
      </c>
    </row>
    <row r="203">
      <c r="A203" s="34" t="inlineStr">
        <is>
          <t>Dry peas</t>
        </is>
      </c>
      <c r="B203" s="39" t="inlineStr">
        <is>
          <t>Imports</t>
        </is>
      </c>
      <c r="C203" s="34" t="inlineStr">
        <is>
          <t>2017-18</t>
        </is>
      </c>
      <c r="O203" s="40" t="n">
        <v>11.5</v>
      </c>
      <c r="P203" s="41">
        <f>SUM(D203:O203)</f>
        <v/>
      </c>
    </row>
    <row r="204">
      <c r="A204" s="34" t="inlineStr">
        <is>
          <t>Dry peas</t>
        </is>
      </c>
      <c r="B204" s="39" t="inlineStr">
        <is>
          <t>Production</t>
        </is>
      </c>
      <c r="C204" s="34" t="inlineStr">
        <is>
          <t>2017-18</t>
        </is>
      </c>
      <c r="O204" s="40" t="n">
        <v>4112.2</v>
      </c>
      <c r="P204" s="41">
        <f>SUM(D204:O204)</f>
        <v/>
      </c>
    </row>
    <row r="205">
      <c r="A205" s="34" t="inlineStr">
        <is>
          <t>Dry peas</t>
        </is>
      </c>
      <c r="B205" s="39" t="inlineStr">
        <is>
          <t>FSR</t>
        </is>
      </c>
      <c r="C205" s="34" t="inlineStr">
        <is>
          <t>2017-18</t>
        </is>
      </c>
      <c r="O205" s="40" t="n">
        <v>690.5999999999992</v>
      </c>
      <c r="P205" s="41">
        <f>SUM(D205:O205)</f>
        <v/>
      </c>
    </row>
    <row r="206">
      <c r="A206" s="34" t="inlineStr">
        <is>
          <t>Dry peas</t>
        </is>
      </c>
      <c r="B206" s="39" t="inlineStr">
        <is>
          <t>Exports</t>
        </is>
      </c>
      <c r="C206" s="34" t="inlineStr">
        <is>
          <t>2017-18</t>
        </is>
      </c>
      <c r="O206" s="40" t="n">
        <v>3085.3</v>
      </c>
      <c r="P206" s="41">
        <f>SUM(D206:O206)</f>
        <v/>
      </c>
    </row>
    <row r="207">
      <c r="A207" s="34" t="inlineStr">
        <is>
          <t>Dry peas</t>
        </is>
      </c>
      <c r="B207" s="39" t="inlineStr">
        <is>
          <t>Ending Stocks</t>
        </is>
      </c>
      <c r="C207" s="34" t="inlineStr">
        <is>
          <t>2017-18</t>
        </is>
      </c>
      <c r="O207" s="40" t="n">
        <v>648.2</v>
      </c>
      <c r="P207" s="41">
        <f>SUM(D207:O207)</f>
        <v/>
      </c>
    </row>
    <row r="208">
      <c r="A208" s="34" t="inlineStr">
        <is>
          <t>Dry peas</t>
        </is>
      </c>
      <c r="B208" s="35" t="inlineStr">
        <is>
          <t>Stocks-to-Use</t>
        </is>
      </c>
      <c r="C208" s="34" t="inlineStr">
        <is>
          <t>2017-18</t>
        </is>
      </c>
      <c r="P208" s="37">
        <f>SUM(D208:O208)</f>
        <v/>
      </c>
    </row>
    <row r="209">
      <c r="A209" s="34" t="inlineStr">
        <is>
          <t>Dry peas</t>
        </is>
      </c>
      <c r="B209" s="35" t="inlineStr">
        <is>
          <t>STU Days</t>
        </is>
      </c>
      <c r="C209" s="34" t="inlineStr">
        <is>
          <t>2017-18</t>
        </is>
      </c>
      <c r="P209" s="41">
        <f>SUM(D209:O209)</f>
        <v/>
      </c>
    </row>
    <row r="210">
      <c r="A210" s="34" t="inlineStr">
        <is>
          <t>Dry peas</t>
        </is>
      </c>
      <c r="B210" s="35" t="inlineStr">
        <is>
          <t>CHECK</t>
        </is>
      </c>
      <c r="C210" s="34" t="inlineStr">
        <is>
          <t>2017-18</t>
        </is>
      </c>
      <c r="O210" s="41" t="n">
        <v>-2.273736754432321e-13</v>
      </c>
      <c r="P210" s="41">
        <f>SUM(D210:O210)</f>
        <v/>
      </c>
    </row>
    <row r="211">
      <c r="A211" s="34" t="inlineStr">
        <is>
          <t>Dry peas</t>
        </is>
      </c>
      <c r="B211" s="35" t="inlineStr">
        <is>
          <t>Planted Area</t>
        </is>
      </c>
      <c r="C211" s="34" t="inlineStr">
        <is>
          <t>2018-19</t>
        </is>
      </c>
      <c r="P211" s="36">
        <f>SUM(D211:O211)</f>
        <v/>
      </c>
    </row>
    <row r="212">
      <c r="A212" s="34" t="inlineStr">
        <is>
          <t>Dry peas</t>
        </is>
      </c>
      <c r="B212" s="35" t="inlineStr">
        <is>
          <t>Harvested Area</t>
        </is>
      </c>
      <c r="C212" s="34" t="inlineStr">
        <is>
          <t>2018-19</t>
        </is>
      </c>
      <c r="P212" s="36">
        <f>SUM(D212:O212)</f>
        <v/>
      </c>
    </row>
    <row r="213">
      <c r="A213" s="34" t="inlineStr">
        <is>
          <t>Dry peas</t>
        </is>
      </c>
      <c r="B213" s="35" t="inlineStr">
        <is>
          <t>Proportion Harvested</t>
        </is>
      </c>
      <c r="C213" s="34" t="inlineStr">
        <is>
          <t>2018-19</t>
        </is>
      </c>
      <c r="P213" s="37">
        <f>SUM(D213:O213)</f>
        <v/>
      </c>
    </row>
    <row r="214">
      <c r="A214" s="34" t="inlineStr">
        <is>
          <t>Dry peas</t>
        </is>
      </c>
      <c r="B214" s="35" t="inlineStr">
        <is>
          <t>Yield</t>
        </is>
      </c>
      <c r="C214" s="34" t="inlineStr">
        <is>
          <t>2018-19</t>
        </is>
      </c>
      <c r="P214" s="38">
        <f>SUM(D214:O214)</f>
        <v/>
      </c>
    </row>
    <row r="215">
      <c r="A215" s="34" t="inlineStr">
        <is>
          <t>Dry peas</t>
        </is>
      </c>
      <c r="B215" s="39" t="inlineStr">
        <is>
          <t>Beginning Stocks</t>
        </is>
      </c>
      <c r="C215" s="34" t="inlineStr">
        <is>
          <t>2018-19</t>
        </is>
      </c>
      <c r="O215" s="40" t="n">
        <v>648.2</v>
      </c>
      <c r="P215" s="41">
        <f>SUM(D215:O215)</f>
        <v/>
      </c>
    </row>
    <row r="216">
      <c r="A216" s="34" t="inlineStr">
        <is>
          <t>Dry peas</t>
        </is>
      </c>
      <c r="B216" s="39" t="inlineStr">
        <is>
          <t>Imports</t>
        </is>
      </c>
      <c r="C216" s="34" t="inlineStr">
        <is>
          <t>2018-19</t>
        </is>
      </c>
      <c r="O216" s="40" t="n">
        <v>61.6</v>
      </c>
      <c r="P216" s="41">
        <f>SUM(D216:O216)</f>
        <v/>
      </c>
    </row>
    <row r="217">
      <c r="A217" s="34" t="inlineStr">
        <is>
          <t>Dry peas</t>
        </is>
      </c>
      <c r="B217" s="39" t="inlineStr">
        <is>
          <t>Production</t>
        </is>
      </c>
      <c r="C217" s="34" t="inlineStr">
        <is>
          <t>2018-19</t>
        </is>
      </c>
      <c r="O217" s="40" t="n">
        <v>3580.7</v>
      </c>
      <c r="P217" s="41">
        <f>SUM(D217:O217)</f>
        <v/>
      </c>
    </row>
    <row r="218">
      <c r="A218" s="34" t="inlineStr">
        <is>
          <t>Dry peas</t>
        </is>
      </c>
      <c r="B218" s="39" t="inlineStr">
        <is>
          <t>FSR</t>
        </is>
      </c>
      <c r="C218" s="34" t="inlineStr">
        <is>
          <t>2018-19</t>
        </is>
      </c>
      <c r="O218" s="40" t="n">
        <v>707.8999999999999</v>
      </c>
      <c r="P218" s="41">
        <f>SUM(D218:O218)</f>
        <v/>
      </c>
    </row>
    <row r="219">
      <c r="A219" s="34" t="inlineStr">
        <is>
          <t>Dry peas</t>
        </is>
      </c>
      <c r="B219" s="39" t="inlineStr">
        <is>
          <t>Exports</t>
        </is>
      </c>
      <c r="C219" s="34" t="inlineStr">
        <is>
          <t>2018-19</t>
        </is>
      </c>
      <c r="O219" s="40" t="n">
        <v>3270.3</v>
      </c>
      <c r="P219" s="41">
        <f>SUM(D219:O219)</f>
        <v/>
      </c>
    </row>
    <row r="220">
      <c r="A220" s="34" t="inlineStr">
        <is>
          <t>Dry peas</t>
        </is>
      </c>
      <c r="B220" s="39" t="inlineStr">
        <is>
          <t>Ending Stocks</t>
        </is>
      </c>
      <c r="C220" s="34" t="inlineStr">
        <is>
          <t>2018-19</t>
        </is>
      </c>
      <c r="O220" s="40" t="n">
        <v>312.3</v>
      </c>
      <c r="P220" s="41">
        <f>SUM(D220:O220)</f>
        <v/>
      </c>
    </row>
    <row r="221">
      <c r="A221" s="34" t="inlineStr">
        <is>
          <t>Dry peas</t>
        </is>
      </c>
      <c r="B221" s="35" t="inlineStr">
        <is>
          <t>Stocks-to-Use</t>
        </is>
      </c>
      <c r="C221" s="34" t="inlineStr">
        <is>
          <t>2018-19</t>
        </is>
      </c>
      <c r="P221" s="37">
        <f>SUM(D221:O221)</f>
        <v/>
      </c>
    </row>
    <row r="222">
      <c r="A222" s="34" t="inlineStr">
        <is>
          <t>Dry peas</t>
        </is>
      </c>
      <c r="B222" s="35" t="inlineStr">
        <is>
          <t>STU Days</t>
        </is>
      </c>
      <c r="C222" s="34" t="inlineStr">
        <is>
          <t>2018-19</t>
        </is>
      </c>
      <c r="P222" s="41">
        <f>SUM(D222:O222)</f>
        <v/>
      </c>
    </row>
    <row r="223">
      <c r="A223" s="34" t="inlineStr">
        <is>
          <t>Dry peas</t>
        </is>
      </c>
      <c r="B223" s="35" t="inlineStr">
        <is>
          <t>CHECK</t>
        </is>
      </c>
      <c r="C223" s="34" t="inlineStr">
        <is>
          <t>2018-19</t>
        </is>
      </c>
      <c r="O223" s="41" t="n">
        <v>1.70530256582424e-13</v>
      </c>
      <c r="P223" s="41">
        <f>SUM(D223:O223)</f>
        <v/>
      </c>
    </row>
    <row r="224">
      <c r="A224" s="34" t="inlineStr">
        <is>
          <t>Dry peas</t>
        </is>
      </c>
      <c r="B224" s="35" t="inlineStr">
        <is>
          <t>Planted Area</t>
        </is>
      </c>
      <c r="C224" s="34" t="inlineStr">
        <is>
          <t>2019-20</t>
        </is>
      </c>
      <c r="P224" s="36">
        <f>SUM(D224:O224)</f>
        <v/>
      </c>
    </row>
    <row r="225">
      <c r="A225" s="34" t="inlineStr">
        <is>
          <t>Dry peas</t>
        </is>
      </c>
      <c r="B225" s="35" t="inlineStr">
        <is>
          <t>Harvested Area</t>
        </is>
      </c>
      <c r="C225" s="34" t="inlineStr">
        <is>
          <t>2019-20</t>
        </is>
      </c>
      <c r="P225" s="36">
        <f>SUM(D225:O225)</f>
        <v/>
      </c>
    </row>
    <row r="226">
      <c r="A226" s="34" t="inlineStr">
        <is>
          <t>Dry peas</t>
        </is>
      </c>
      <c r="B226" s="35" t="inlineStr">
        <is>
          <t>Proportion Harvested</t>
        </is>
      </c>
      <c r="C226" s="34" t="inlineStr">
        <is>
          <t>2019-20</t>
        </is>
      </c>
      <c r="P226" s="37">
        <f>SUM(D226:O226)</f>
        <v/>
      </c>
    </row>
    <row r="227">
      <c r="A227" s="34" t="inlineStr">
        <is>
          <t>Dry peas</t>
        </is>
      </c>
      <c r="B227" s="35" t="inlineStr">
        <is>
          <t>Yield</t>
        </is>
      </c>
      <c r="C227" s="34" t="inlineStr">
        <is>
          <t>2019-20</t>
        </is>
      </c>
      <c r="P227" s="38">
        <f>SUM(D227:O227)</f>
        <v/>
      </c>
    </row>
    <row r="228">
      <c r="A228" s="34" t="inlineStr">
        <is>
          <t>Dry peas</t>
        </is>
      </c>
      <c r="B228" s="39" t="inlineStr">
        <is>
          <t>Beginning Stocks</t>
        </is>
      </c>
      <c r="C228" s="34" t="inlineStr">
        <is>
          <t>2019-20</t>
        </is>
      </c>
      <c r="O228" s="40" t="n">
        <v>312.3</v>
      </c>
      <c r="P228" s="41">
        <f>SUM(D228:O228)</f>
        <v/>
      </c>
    </row>
    <row r="229">
      <c r="A229" s="34" t="inlineStr">
        <is>
          <t>Dry peas</t>
        </is>
      </c>
      <c r="B229" s="39" t="inlineStr">
        <is>
          <t>Imports</t>
        </is>
      </c>
      <c r="C229" s="34" t="inlineStr">
        <is>
          <t>2019-20</t>
        </is>
      </c>
      <c r="O229" s="40" t="n">
        <v>82.3</v>
      </c>
      <c r="P229" s="41">
        <f>SUM(D229:O229)</f>
        <v/>
      </c>
    </row>
    <row r="230">
      <c r="A230" s="34" t="inlineStr">
        <is>
          <t>Dry peas</t>
        </is>
      </c>
      <c r="B230" s="39" t="inlineStr">
        <is>
          <t>Production</t>
        </is>
      </c>
      <c r="C230" s="34" t="inlineStr">
        <is>
          <t>2019-20</t>
        </is>
      </c>
      <c r="O230" s="40" t="n">
        <v>4236.5</v>
      </c>
      <c r="P230" s="41">
        <f>SUM(D230:O230)</f>
        <v/>
      </c>
    </row>
    <row r="231">
      <c r="A231" s="34" t="inlineStr">
        <is>
          <t>Dry peas</t>
        </is>
      </c>
      <c r="B231" s="39" t="inlineStr">
        <is>
          <t>FSR</t>
        </is>
      </c>
      <c r="C231" s="34" t="inlineStr">
        <is>
          <t>2019-20</t>
        </is>
      </c>
      <c r="O231" s="40" t="n">
        <v>688.7000000000005</v>
      </c>
      <c r="P231" s="41">
        <f>SUM(D231:O231)</f>
        <v/>
      </c>
    </row>
    <row r="232">
      <c r="A232" s="34" t="inlineStr">
        <is>
          <t>Dry peas</t>
        </is>
      </c>
      <c r="B232" s="39" t="inlineStr">
        <is>
          <t>Exports</t>
        </is>
      </c>
      <c r="C232" s="34" t="inlineStr">
        <is>
          <t>2019-20</t>
        </is>
      </c>
      <c r="O232" s="40" t="n">
        <v>3709.2</v>
      </c>
      <c r="P232" s="41">
        <f>SUM(D232:O232)</f>
        <v/>
      </c>
    </row>
    <row r="233">
      <c r="A233" s="34" t="inlineStr">
        <is>
          <t>Dry peas</t>
        </is>
      </c>
      <c r="B233" s="39" t="inlineStr">
        <is>
          <t>Ending Stocks</t>
        </is>
      </c>
      <c r="C233" s="34" t="inlineStr">
        <is>
          <t>2019-20</t>
        </is>
      </c>
      <c r="O233" s="40" t="n">
        <v>233.2</v>
      </c>
      <c r="P233" s="41">
        <f>SUM(D233:O233)</f>
        <v/>
      </c>
    </row>
    <row r="234">
      <c r="A234" s="34" t="inlineStr">
        <is>
          <t>Dry peas</t>
        </is>
      </c>
      <c r="B234" s="35" t="inlineStr">
        <is>
          <t>Stocks-to-Use</t>
        </is>
      </c>
      <c r="C234" s="34" t="inlineStr">
        <is>
          <t>2019-20</t>
        </is>
      </c>
      <c r="P234" s="37">
        <f>SUM(D234:O234)</f>
        <v/>
      </c>
    </row>
    <row r="235">
      <c r="A235" s="34" t="inlineStr">
        <is>
          <t>Dry peas</t>
        </is>
      </c>
      <c r="B235" s="35" t="inlineStr">
        <is>
          <t>STU Days</t>
        </is>
      </c>
      <c r="C235" s="34" t="inlineStr">
        <is>
          <t>2019-20</t>
        </is>
      </c>
      <c r="P235" s="41">
        <f>SUM(D235:O235)</f>
        <v/>
      </c>
    </row>
    <row r="236">
      <c r="A236" s="34" t="inlineStr">
        <is>
          <t>Dry peas</t>
        </is>
      </c>
      <c r="B236" s="35" t="inlineStr">
        <is>
          <t>CHECK</t>
        </is>
      </c>
      <c r="C236" s="34" t="inlineStr">
        <is>
          <t>2019-20</t>
        </is>
      </c>
      <c r="O236" s="41" t="n">
        <v>-1.70530256582424e-13</v>
      </c>
      <c r="P236" s="41">
        <f>SUM(D236:O236)</f>
        <v/>
      </c>
    </row>
    <row r="237">
      <c r="A237" s="34" t="inlineStr">
        <is>
          <t>Dry peas</t>
        </is>
      </c>
      <c r="B237" s="35" t="inlineStr">
        <is>
          <t>Planted Area</t>
        </is>
      </c>
      <c r="C237" s="34" t="inlineStr">
        <is>
          <t>2020-21</t>
        </is>
      </c>
      <c r="P237" s="36">
        <f>SUM(D237:O237)</f>
        <v/>
      </c>
    </row>
    <row r="238">
      <c r="A238" s="34" t="inlineStr">
        <is>
          <t>Dry peas</t>
        </is>
      </c>
      <c r="B238" s="35" t="inlineStr">
        <is>
          <t>Harvested Area</t>
        </is>
      </c>
      <c r="C238" s="34" t="inlineStr">
        <is>
          <t>2020-21</t>
        </is>
      </c>
      <c r="P238" s="36">
        <f>SUM(D238:O238)</f>
        <v/>
      </c>
    </row>
    <row r="239">
      <c r="A239" s="34" t="inlineStr">
        <is>
          <t>Dry peas</t>
        </is>
      </c>
      <c r="B239" s="35" t="inlineStr">
        <is>
          <t>Proportion Harvested</t>
        </is>
      </c>
      <c r="C239" s="34" t="inlineStr">
        <is>
          <t>2020-21</t>
        </is>
      </c>
      <c r="P239" s="37">
        <f>SUM(D239:O239)</f>
        <v/>
      </c>
    </row>
    <row r="240">
      <c r="A240" s="34" t="inlineStr">
        <is>
          <t>Dry peas</t>
        </is>
      </c>
      <c r="B240" s="35" t="inlineStr">
        <is>
          <t>Yield</t>
        </is>
      </c>
      <c r="C240" s="34" t="inlineStr">
        <is>
          <t>2020-21</t>
        </is>
      </c>
      <c r="P240" s="38">
        <f>SUM(D240:O240)</f>
        <v/>
      </c>
    </row>
    <row r="241">
      <c r="A241" s="34" t="inlineStr">
        <is>
          <t>Dry peas</t>
        </is>
      </c>
      <c r="B241" s="39" t="inlineStr">
        <is>
          <t>Beginning Stocks</t>
        </is>
      </c>
      <c r="C241" s="34" t="inlineStr">
        <is>
          <t>2020-21</t>
        </is>
      </c>
      <c r="O241" s="40" t="n">
        <v>233.2</v>
      </c>
      <c r="P241" s="41">
        <f>SUM(D241:O241)</f>
        <v/>
      </c>
    </row>
    <row r="242">
      <c r="A242" s="34" t="inlineStr">
        <is>
          <t>Dry peas</t>
        </is>
      </c>
      <c r="B242" s="39" t="inlineStr">
        <is>
          <t>Imports</t>
        </is>
      </c>
      <c r="C242" s="34" t="inlineStr">
        <is>
          <t>2020-21</t>
        </is>
      </c>
      <c r="O242" s="40" t="n">
        <v>81.09999999999999</v>
      </c>
      <c r="P242" s="41">
        <f>SUM(D242:O242)</f>
        <v/>
      </c>
    </row>
    <row r="243">
      <c r="A243" s="34" t="inlineStr">
        <is>
          <t>Dry peas</t>
        </is>
      </c>
      <c r="B243" s="39" t="inlineStr">
        <is>
          <t>Production</t>
        </is>
      </c>
      <c r="C243" s="34" t="inlineStr">
        <is>
          <t>2020-21</t>
        </is>
      </c>
      <c r="O243" s="40" t="n">
        <v>4594.4</v>
      </c>
      <c r="P243" s="41">
        <f>SUM(D243:O243)</f>
        <v/>
      </c>
    </row>
    <row r="244">
      <c r="A244" s="34" t="inlineStr">
        <is>
          <t>Dry peas</t>
        </is>
      </c>
      <c r="B244" s="39" t="inlineStr">
        <is>
          <t>FSR</t>
        </is>
      </c>
      <c r="C244" s="34" t="inlineStr">
        <is>
          <t>2020-21</t>
        </is>
      </c>
      <c r="O244" s="40" t="n">
        <v>765.8</v>
      </c>
      <c r="P244" s="41">
        <f>SUM(D244:O244)</f>
        <v/>
      </c>
    </row>
    <row r="245">
      <c r="A245" s="34" t="inlineStr">
        <is>
          <t>Dry peas</t>
        </is>
      </c>
      <c r="B245" s="39" t="inlineStr">
        <is>
          <t>Exports</t>
        </is>
      </c>
      <c r="C245" s="34" t="inlineStr">
        <is>
          <t>2020-21</t>
        </is>
      </c>
      <c r="O245" s="40" t="n">
        <v>3583.6</v>
      </c>
      <c r="P245" s="41">
        <f>SUM(D245:O245)</f>
        <v/>
      </c>
    </row>
    <row r="246">
      <c r="A246" s="34" t="inlineStr">
        <is>
          <t>Dry peas</t>
        </is>
      </c>
      <c r="B246" s="39" t="inlineStr">
        <is>
          <t>Ending Stocks</t>
        </is>
      </c>
      <c r="C246" s="34" t="inlineStr">
        <is>
          <t>2020-21</t>
        </is>
      </c>
      <c r="O246" s="40" t="n">
        <v>559.3</v>
      </c>
      <c r="P246" s="41">
        <f>SUM(D246:O246)</f>
        <v/>
      </c>
    </row>
    <row r="247">
      <c r="A247" s="34" t="inlineStr">
        <is>
          <t>Dry peas</t>
        </is>
      </c>
      <c r="B247" s="35" t="inlineStr">
        <is>
          <t>Stocks-to-Use</t>
        </is>
      </c>
      <c r="C247" s="34" t="inlineStr">
        <is>
          <t>2020-21</t>
        </is>
      </c>
      <c r="P247" s="37">
        <f>SUM(D247:O247)</f>
        <v/>
      </c>
    </row>
    <row r="248">
      <c r="A248" s="34" t="inlineStr">
        <is>
          <t>Dry peas</t>
        </is>
      </c>
      <c r="B248" s="35" t="inlineStr">
        <is>
          <t>STU Days</t>
        </is>
      </c>
      <c r="C248" s="34" t="inlineStr">
        <is>
          <t>2020-21</t>
        </is>
      </c>
      <c r="P248" s="41">
        <f>SUM(D248:O248)</f>
        <v/>
      </c>
    </row>
    <row r="249">
      <c r="A249" s="34" t="inlineStr">
        <is>
          <t>Dry peas</t>
        </is>
      </c>
      <c r="B249" s="35" t="inlineStr">
        <is>
          <t>CHECK</t>
        </is>
      </c>
      <c r="C249" s="34" t="inlineStr">
        <is>
          <t>2020-21</t>
        </is>
      </c>
      <c r="O249" s="41" t="n">
        <v>-2.273736754432321e-13</v>
      </c>
      <c r="P249" s="41">
        <f>SUM(D249:O249)</f>
        <v/>
      </c>
    </row>
    <row r="250">
      <c r="A250" s="34" t="inlineStr">
        <is>
          <t>Dry peas</t>
        </is>
      </c>
      <c r="B250" s="35" t="inlineStr">
        <is>
          <t>Planted Area</t>
        </is>
      </c>
      <c r="C250" s="34" t="inlineStr">
        <is>
          <t>2021-22</t>
        </is>
      </c>
      <c r="P250" s="36">
        <f>SUM(D250:O250)</f>
        <v/>
      </c>
    </row>
    <row r="251">
      <c r="A251" s="34" t="inlineStr">
        <is>
          <t>Dry peas</t>
        </is>
      </c>
      <c r="B251" s="35" t="inlineStr">
        <is>
          <t>Harvested Area</t>
        </is>
      </c>
      <c r="C251" s="34" t="inlineStr">
        <is>
          <t>2021-22</t>
        </is>
      </c>
      <c r="P251" s="36">
        <f>SUM(D251:O251)</f>
        <v/>
      </c>
    </row>
    <row r="252">
      <c r="A252" s="34" t="inlineStr">
        <is>
          <t>Dry peas</t>
        </is>
      </c>
      <c r="B252" s="35" t="inlineStr">
        <is>
          <t>Proportion Harvested</t>
        </is>
      </c>
      <c r="C252" s="34" t="inlineStr">
        <is>
          <t>2021-22</t>
        </is>
      </c>
      <c r="P252" s="37">
        <f>SUM(D252:O252)</f>
        <v/>
      </c>
    </row>
    <row r="253">
      <c r="A253" s="34" t="inlineStr">
        <is>
          <t>Dry peas</t>
        </is>
      </c>
      <c r="B253" s="35" t="inlineStr">
        <is>
          <t>Yield</t>
        </is>
      </c>
      <c r="C253" s="34" t="inlineStr">
        <is>
          <t>2021-22</t>
        </is>
      </c>
      <c r="P253" s="38">
        <f>SUM(D253:O253)</f>
        <v/>
      </c>
    </row>
    <row r="254">
      <c r="A254" s="34" t="inlineStr">
        <is>
          <t>Dry peas</t>
        </is>
      </c>
      <c r="B254" s="39" t="inlineStr">
        <is>
          <t>Beginning Stocks</t>
        </is>
      </c>
      <c r="C254" s="34" t="inlineStr">
        <is>
          <t>2021-22</t>
        </is>
      </c>
      <c r="O254" s="40" t="n">
        <v>559.3</v>
      </c>
      <c r="P254" s="41">
        <f>SUM(D254:O254)</f>
        <v/>
      </c>
    </row>
    <row r="255">
      <c r="A255" s="34" t="inlineStr">
        <is>
          <t>Dry peas</t>
        </is>
      </c>
      <c r="B255" s="39" t="inlineStr">
        <is>
          <t>Imports</t>
        </is>
      </c>
      <c r="C255" s="34" t="inlineStr">
        <is>
          <t>2021-22</t>
        </is>
      </c>
      <c r="O255" s="40" t="n">
        <v>28.6</v>
      </c>
      <c r="P255" s="41">
        <f>SUM(D255:O255)</f>
        <v/>
      </c>
    </row>
    <row r="256">
      <c r="A256" s="34" t="inlineStr">
        <is>
          <t>Dry peas</t>
        </is>
      </c>
      <c r="B256" s="39" t="inlineStr">
        <is>
          <t>Production</t>
        </is>
      </c>
      <c r="C256" s="34" t="inlineStr">
        <is>
          <t>2021-22</t>
        </is>
      </c>
      <c r="O256" s="40" t="n">
        <v>2243.8</v>
      </c>
      <c r="P256" s="41">
        <f>SUM(D256:O256)</f>
        <v/>
      </c>
    </row>
    <row r="257">
      <c r="A257" s="34" t="inlineStr">
        <is>
          <t>Dry peas</t>
        </is>
      </c>
      <c r="B257" s="39" t="inlineStr">
        <is>
          <t>FSR</t>
        </is>
      </c>
      <c r="C257" s="34" t="inlineStr">
        <is>
          <t>2021-22</t>
        </is>
      </c>
      <c r="O257" s="40" t="n">
        <v>580.5000000000003</v>
      </c>
      <c r="P257" s="41">
        <f>SUM(D257:O257)</f>
        <v/>
      </c>
    </row>
    <row r="258">
      <c r="A258" s="34" t="inlineStr">
        <is>
          <t>Dry peas</t>
        </is>
      </c>
      <c r="B258" s="39" t="inlineStr">
        <is>
          <t>Exports</t>
        </is>
      </c>
      <c r="C258" s="34" t="inlineStr">
        <is>
          <t>2021-22</t>
        </is>
      </c>
      <c r="O258" s="40" t="n">
        <v>1912.1</v>
      </c>
      <c r="P258" s="41">
        <f>SUM(D258:O258)</f>
        <v/>
      </c>
    </row>
    <row r="259">
      <c r="A259" s="34" t="inlineStr">
        <is>
          <t>Dry peas</t>
        </is>
      </c>
      <c r="B259" s="39" t="inlineStr">
        <is>
          <t>Ending Stocks</t>
        </is>
      </c>
      <c r="C259" s="34" t="inlineStr">
        <is>
          <t>2021-22</t>
        </is>
      </c>
      <c r="O259" s="40" t="n">
        <v>339.1</v>
      </c>
      <c r="P259" s="41">
        <f>SUM(D259:O259)</f>
        <v/>
      </c>
    </row>
    <row r="260">
      <c r="A260" s="34" t="inlineStr">
        <is>
          <t>Dry peas</t>
        </is>
      </c>
      <c r="B260" s="35" t="inlineStr">
        <is>
          <t>Stocks-to-Use</t>
        </is>
      </c>
      <c r="C260" s="34" t="inlineStr">
        <is>
          <t>2021-22</t>
        </is>
      </c>
      <c r="P260" s="37">
        <f>SUM(D260:O260)</f>
        <v/>
      </c>
    </row>
    <row r="261">
      <c r="A261" s="34" t="inlineStr">
        <is>
          <t>Dry peas</t>
        </is>
      </c>
      <c r="B261" s="35" t="inlineStr">
        <is>
          <t>STU Days</t>
        </is>
      </c>
      <c r="C261" s="34" t="inlineStr">
        <is>
          <t>2021-22</t>
        </is>
      </c>
      <c r="P261" s="41">
        <f>SUM(D261:O261)</f>
        <v/>
      </c>
    </row>
    <row r="262">
      <c r="A262" s="34" t="inlineStr">
        <is>
          <t>Dry peas</t>
        </is>
      </c>
      <c r="B262" s="35" t="inlineStr">
        <is>
          <t>CHECK</t>
        </is>
      </c>
      <c r="C262" s="34" t="inlineStr">
        <is>
          <t>2021-22</t>
        </is>
      </c>
      <c r="O262" s="41" t="n">
        <v>-1.136868377216161e-13</v>
      </c>
      <c r="P262" s="41">
        <f>SUM(D262:O262)</f>
        <v/>
      </c>
    </row>
    <row r="263">
      <c r="A263" s="34" t="inlineStr">
        <is>
          <t>Dry peas</t>
        </is>
      </c>
      <c r="B263" s="35" t="inlineStr">
        <is>
          <t>Planted Area</t>
        </is>
      </c>
      <c r="C263" s="34" t="inlineStr">
        <is>
          <t>2022-23</t>
        </is>
      </c>
      <c r="P263" s="36">
        <f>SUM(D263:O263)</f>
        <v/>
      </c>
    </row>
    <row r="264">
      <c r="A264" s="34" t="inlineStr">
        <is>
          <t>Dry peas</t>
        </is>
      </c>
      <c r="B264" s="35" t="inlineStr">
        <is>
          <t>Harvested Area</t>
        </is>
      </c>
      <c r="C264" s="34" t="inlineStr">
        <is>
          <t>2022-23</t>
        </is>
      </c>
      <c r="P264" s="36">
        <f>SUM(D264:O264)</f>
        <v/>
      </c>
    </row>
    <row r="265">
      <c r="A265" s="34" t="inlineStr">
        <is>
          <t>Dry peas</t>
        </is>
      </c>
      <c r="B265" s="35" t="inlineStr">
        <is>
          <t>Proportion Harvested</t>
        </is>
      </c>
      <c r="C265" s="34" t="inlineStr">
        <is>
          <t>2022-23</t>
        </is>
      </c>
      <c r="P265" s="37">
        <f>SUM(D265:O265)</f>
        <v/>
      </c>
    </row>
    <row r="266">
      <c r="A266" s="34" t="inlineStr">
        <is>
          <t>Dry peas</t>
        </is>
      </c>
      <c r="B266" s="35" t="inlineStr">
        <is>
          <t>Yield</t>
        </is>
      </c>
      <c r="C266" s="34" t="inlineStr">
        <is>
          <t>2022-23</t>
        </is>
      </c>
      <c r="P266" s="38">
        <f>SUM(D266:O266)</f>
        <v/>
      </c>
    </row>
    <row r="267">
      <c r="A267" s="34" t="inlineStr">
        <is>
          <t>Dry peas</t>
        </is>
      </c>
      <c r="B267" s="39" t="inlineStr">
        <is>
          <t>Beginning Stocks</t>
        </is>
      </c>
      <c r="C267" s="34" t="inlineStr">
        <is>
          <t>2022-23</t>
        </is>
      </c>
      <c r="O267" s="40" t="n">
        <v>339.1</v>
      </c>
      <c r="P267" s="41">
        <f>SUM(D267:O267)</f>
        <v/>
      </c>
    </row>
    <row r="268">
      <c r="A268" s="34" t="inlineStr">
        <is>
          <t>Dry peas</t>
        </is>
      </c>
      <c r="B268" s="39" t="inlineStr">
        <is>
          <t>Imports</t>
        </is>
      </c>
      <c r="C268" s="34" t="inlineStr">
        <is>
          <t>2022-23</t>
        </is>
      </c>
      <c r="O268" s="40" t="n">
        <v>34.9</v>
      </c>
      <c r="P268" s="41">
        <f>SUM(D268:O268)</f>
        <v/>
      </c>
    </row>
    <row r="269">
      <c r="A269" s="34" t="inlineStr">
        <is>
          <t>Dry peas</t>
        </is>
      </c>
      <c r="B269" s="39" t="inlineStr">
        <is>
          <t>Production</t>
        </is>
      </c>
      <c r="C269" s="34" t="inlineStr">
        <is>
          <t>2022-23</t>
        </is>
      </c>
      <c r="O269" s="40" t="n">
        <v>3423.3</v>
      </c>
      <c r="P269" s="41">
        <f>SUM(D269:O269)</f>
        <v/>
      </c>
    </row>
    <row r="270">
      <c r="A270" s="34" t="inlineStr">
        <is>
          <t>Dry peas</t>
        </is>
      </c>
      <c r="B270" s="39" t="inlineStr">
        <is>
          <t>FSR</t>
        </is>
      </c>
      <c r="C270" s="34" t="inlineStr">
        <is>
          <t>2022-23</t>
        </is>
      </c>
      <c r="O270" s="40" t="n">
        <v>683.5000000000001</v>
      </c>
      <c r="P270" s="41">
        <f>SUM(D270:O270)</f>
        <v/>
      </c>
    </row>
    <row r="271">
      <c r="A271" s="34" t="inlineStr">
        <is>
          <t>Dry peas</t>
        </is>
      </c>
      <c r="B271" s="39" t="inlineStr">
        <is>
          <t>Exports</t>
        </is>
      </c>
      <c r="C271" s="34" t="inlineStr">
        <is>
          <t>2022-23</t>
        </is>
      </c>
      <c r="O271" s="40" t="n">
        <v>2563.9</v>
      </c>
      <c r="P271" s="41">
        <f>SUM(D271:O271)</f>
        <v/>
      </c>
    </row>
    <row r="272">
      <c r="A272" s="34" t="inlineStr">
        <is>
          <t>Dry peas</t>
        </is>
      </c>
      <c r="B272" s="39" t="inlineStr">
        <is>
          <t>Ending Stocks</t>
        </is>
      </c>
      <c r="C272" s="34" t="inlineStr">
        <is>
          <t>2022-23</t>
        </is>
      </c>
      <c r="O272" s="40" t="n">
        <v>549.9</v>
      </c>
      <c r="P272" s="41">
        <f>SUM(D272:O272)</f>
        <v/>
      </c>
    </row>
    <row r="273">
      <c r="A273" s="34" t="inlineStr">
        <is>
          <t>Dry peas</t>
        </is>
      </c>
      <c r="B273" s="35" t="inlineStr">
        <is>
          <t>Stocks-to-Use</t>
        </is>
      </c>
      <c r="C273" s="34" t="inlineStr">
        <is>
          <t>2022-23</t>
        </is>
      </c>
      <c r="P273" s="37">
        <f>SUM(D273:O273)</f>
        <v/>
      </c>
    </row>
    <row r="274">
      <c r="A274" s="34" t="inlineStr">
        <is>
          <t>Dry peas</t>
        </is>
      </c>
      <c r="B274" s="35" t="inlineStr">
        <is>
          <t>STU Days</t>
        </is>
      </c>
      <c r="C274" s="34" t="inlineStr">
        <is>
          <t>2022-23</t>
        </is>
      </c>
      <c r="P274" s="41">
        <f>SUM(D274:O274)</f>
        <v/>
      </c>
    </row>
    <row r="275">
      <c r="A275" s="34" t="inlineStr">
        <is>
          <t>Dry peas</t>
        </is>
      </c>
      <c r="B275" s="35" t="inlineStr">
        <is>
          <t>CHECK</t>
        </is>
      </c>
      <c r="C275" s="34" t="inlineStr">
        <is>
          <t>2022-23</t>
        </is>
      </c>
      <c r="O275" s="41" t="n">
        <v>1.136868377216161e-13</v>
      </c>
      <c r="P275" s="41">
        <f>SUM(D275:O275)</f>
        <v/>
      </c>
    </row>
    <row r="276">
      <c r="A276" s="34" t="inlineStr">
        <is>
          <t>Dry peas</t>
        </is>
      </c>
      <c r="B276" s="35" t="inlineStr">
        <is>
          <t>Planted Area</t>
        </is>
      </c>
      <c r="C276" s="34" t="inlineStr">
        <is>
          <t>2023-24</t>
        </is>
      </c>
      <c r="P276" s="36">
        <f>SUM(D276:O276)</f>
        <v/>
      </c>
    </row>
    <row r="277">
      <c r="A277" s="34" t="inlineStr">
        <is>
          <t>Dry peas</t>
        </is>
      </c>
      <c r="B277" s="35" t="inlineStr">
        <is>
          <t>Harvested Area</t>
        </is>
      </c>
      <c r="C277" s="34" t="inlineStr">
        <is>
          <t>2023-24</t>
        </is>
      </c>
      <c r="P277" s="36">
        <f>SUM(D277:O277)</f>
        <v/>
      </c>
    </row>
    <row r="278">
      <c r="A278" s="34" t="inlineStr">
        <is>
          <t>Dry peas</t>
        </is>
      </c>
      <c r="B278" s="35" t="inlineStr">
        <is>
          <t>Proportion Harvested</t>
        </is>
      </c>
      <c r="C278" s="34" t="inlineStr">
        <is>
          <t>2023-24</t>
        </is>
      </c>
      <c r="P278" s="37">
        <f>SUM(D278:O278)</f>
        <v/>
      </c>
    </row>
    <row r="279">
      <c r="A279" s="34" t="inlineStr">
        <is>
          <t>Dry peas</t>
        </is>
      </c>
      <c r="B279" s="35" t="inlineStr">
        <is>
          <t>Yield</t>
        </is>
      </c>
      <c r="C279" s="34" t="inlineStr">
        <is>
          <t>2023-24</t>
        </is>
      </c>
      <c r="P279" s="38">
        <f>SUM(D279:O279)</f>
        <v/>
      </c>
    </row>
    <row r="280">
      <c r="A280" s="34" t="inlineStr">
        <is>
          <t>Dry peas</t>
        </is>
      </c>
      <c r="B280" s="39" t="inlineStr">
        <is>
          <t>Beginning Stocks</t>
        </is>
      </c>
      <c r="C280" s="34" t="inlineStr">
        <is>
          <t>2023-24</t>
        </is>
      </c>
      <c r="O280" s="40" t="n">
        <v>549.9</v>
      </c>
      <c r="P280" s="41">
        <f>SUM(D280:O280)</f>
        <v/>
      </c>
    </row>
    <row r="281">
      <c r="A281" s="34" t="inlineStr">
        <is>
          <t>Dry peas</t>
        </is>
      </c>
      <c r="B281" s="39" t="inlineStr">
        <is>
          <t>Imports</t>
        </is>
      </c>
      <c r="C281" s="34" t="inlineStr">
        <is>
          <t>2023-24</t>
        </is>
      </c>
      <c r="O281" s="40" t="n">
        <v>126.9</v>
      </c>
      <c r="P281" s="41">
        <f>SUM(D281:O281)</f>
        <v/>
      </c>
    </row>
    <row r="282">
      <c r="A282" s="34" t="inlineStr">
        <is>
          <t>Dry peas</t>
        </is>
      </c>
      <c r="B282" s="39" t="inlineStr">
        <is>
          <t>Production</t>
        </is>
      </c>
      <c r="C282" s="34" t="inlineStr">
        <is>
          <t>2023-24</t>
        </is>
      </c>
      <c r="O282" s="40" t="n">
        <v>2608.8</v>
      </c>
      <c r="P282" s="41">
        <f>SUM(D282:O282)</f>
        <v/>
      </c>
    </row>
    <row r="283">
      <c r="A283" s="34" t="inlineStr">
        <is>
          <t>Dry peas</t>
        </is>
      </c>
      <c r="B283" s="39" t="inlineStr">
        <is>
          <t>FSR</t>
        </is>
      </c>
      <c r="C283" s="34" t="inlineStr">
        <is>
          <t>2023-24</t>
        </is>
      </c>
      <c r="O283" s="40" t="n">
        <v>572.7000000000005</v>
      </c>
      <c r="P283" s="41">
        <f>SUM(D283:O283)</f>
        <v/>
      </c>
    </row>
    <row r="284">
      <c r="A284" s="34" t="inlineStr">
        <is>
          <t>Dry peas</t>
        </is>
      </c>
      <c r="B284" s="39" t="inlineStr">
        <is>
          <t>Exports</t>
        </is>
      </c>
      <c r="C284" s="34" t="inlineStr">
        <is>
          <t>2023-24</t>
        </is>
      </c>
      <c r="O284" s="40" t="n">
        <v>2413.6</v>
      </c>
      <c r="P284" s="41">
        <f>SUM(D284:O284)</f>
        <v/>
      </c>
    </row>
    <row r="285">
      <c r="A285" s="34" t="inlineStr">
        <is>
          <t>Dry peas</t>
        </is>
      </c>
      <c r="B285" s="39" t="inlineStr">
        <is>
          <t>Ending Stocks</t>
        </is>
      </c>
      <c r="C285" s="34" t="inlineStr">
        <is>
          <t>2023-24</t>
        </is>
      </c>
      <c r="O285" s="40" t="n">
        <v>299.3</v>
      </c>
      <c r="P285" s="41">
        <f>SUM(D285:O285)</f>
        <v/>
      </c>
    </row>
    <row r="286">
      <c r="A286" s="34" t="inlineStr">
        <is>
          <t>Dry peas</t>
        </is>
      </c>
      <c r="B286" s="35" t="inlineStr">
        <is>
          <t>Stocks-to-Use</t>
        </is>
      </c>
      <c r="C286" s="34" t="inlineStr">
        <is>
          <t>2023-24</t>
        </is>
      </c>
      <c r="P286" s="37">
        <f>SUM(D286:O286)</f>
        <v/>
      </c>
    </row>
    <row r="287">
      <c r="A287" s="34" t="inlineStr">
        <is>
          <t>Dry peas</t>
        </is>
      </c>
      <c r="B287" s="35" t="inlineStr">
        <is>
          <t>STU Days</t>
        </is>
      </c>
      <c r="C287" s="34" t="inlineStr">
        <is>
          <t>2023-24</t>
        </is>
      </c>
      <c r="P287" s="41">
        <f>SUM(D287:O287)</f>
        <v/>
      </c>
    </row>
    <row r="288">
      <c r="A288" s="34" t="inlineStr">
        <is>
          <t>Dry peas</t>
        </is>
      </c>
      <c r="B288" s="35" t="inlineStr">
        <is>
          <t>CHECK</t>
        </is>
      </c>
      <c r="C288" s="34" t="inlineStr">
        <is>
          <t>2023-24</t>
        </is>
      </c>
      <c r="O288" s="41" t="n">
        <v>-2.842170943040401e-13</v>
      </c>
      <c r="P288" s="41">
        <f>SUM(D288:O288)</f>
        <v/>
      </c>
    </row>
    <row r="289">
      <c r="A289" s="34" t="inlineStr">
        <is>
          <t>Dry peas</t>
        </is>
      </c>
      <c r="B289" s="35" t="inlineStr">
        <is>
          <t>Planted Area</t>
        </is>
      </c>
      <c r="C289" s="34" t="inlineStr">
        <is>
          <t>2024-25</t>
        </is>
      </c>
      <c r="P289" s="36">
        <f>SUM(D289:O289)</f>
        <v/>
      </c>
    </row>
    <row r="290">
      <c r="A290" s="34" t="inlineStr">
        <is>
          <t>Dry peas</t>
        </is>
      </c>
      <c r="B290" s="35" t="inlineStr">
        <is>
          <t>Harvested Area</t>
        </is>
      </c>
      <c r="C290" s="34" t="inlineStr">
        <is>
          <t>2024-25</t>
        </is>
      </c>
      <c r="P290" s="36">
        <f>SUM(D290:O290)</f>
        <v/>
      </c>
    </row>
    <row r="291">
      <c r="A291" s="34" t="inlineStr">
        <is>
          <t>Dry peas</t>
        </is>
      </c>
      <c r="B291" s="35" t="inlineStr">
        <is>
          <t>Proportion Harvested</t>
        </is>
      </c>
      <c r="C291" s="34" t="inlineStr">
        <is>
          <t>2024-25</t>
        </is>
      </c>
      <c r="P291" s="37">
        <f>SUM(D291:O291)</f>
        <v/>
      </c>
    </row>
    <row r="292">
      <c r="A292" s="34" t="inlineStr">
        <is>
          <t>Dry peas</t>
        </is>
      </c>
      <c r="B292" s="35" t="inlineStr">
        <is>
          <t>Yield</t>
        </is>
      </c>
      <c r="C292" s="34" t="inlineStr">
        <is>
          <t>2024-25</t>
        </is>
      </c>
      <c r="P292" s="38">
        <f>SUM(D292:O292)</f>
        <v/>
      </c>
    </row>
    <row r="293">
      <c r="A293" s="34" t="inlineStr">
        <is>
          <t>Dry peas</t>
        </is>
      </c>
      <c r="B293" s="39" t="inlineStr">
        <is>
          <t>Beginning Stocks</t>
        </is>
      </c>
      <c r="C293" s="34" t="inlineStr">
        <is>
          <t>2024-25</t>
        </is>
      </c>
      <c r="O293" s="40" t="n">
        <v>299.3</v>
      </c>
      <c r="P293" s="41">
        <f>SUM(D293:O293)</f>
        <v/>
      </c>
    </row>
    <row r="294">
      <c r="A294" s="34" t="inlineStr">
        <is>
          <t>Dry peas</t>
        </is>
      </c>
      <c r="B294" s="39" t="inlineStr">
        <is>
          <t>Imports</t>
        </is>
      </c>
      <c r="C294" s="34" t="inlineStr">
        <is>
          <t>2024-25</t>
        </is>
      </c>
      <c r="O294" s="40" t="n">
        <v>38.5</v>
      </c>
      <c r="P294" s="41">
        <f>SUM(D294:O294)</f>
        <v/>
      </c>
    </row>
    <row r="295">
      <c r="A295" s="34" t="inlineStr">
        <is>
          <t>Dry peas</t>
        </is>
      </c>
      <c r="B295" s="39" t="inlineStr">
        <is>
          <t>Production</t>
        </is>
      </c>
      <c r="C295" s="34" t="inlineStr">
        <is>
          <t>2024-25</t>
        </is>
      </c>
      <c r="O295" s="40" t="n">
        <v>2997.4</v>
      </c>
      <c r="P295" s="41">
        <f>SUM(D295:O295)</f>
        <v/>
      </c>
    </row>
    <row r="296">
      <c r="A296" s="34" t="inlineStr">
        <is>
          <t>Dry peas</t>
        </is>
      </c>
      <c r="B296" s="39" t="inlineStr">
        <is>
          <t>FSR</t>
        </is>
      </c>
      <c r="C296" s="34" t="inlineStr">
        <is>
          <t>2024-25</t>
        </is>
      </c>
      <c r="O296" s="40" t="n">
        <v>669.7000000000003</v>
      </c>
      <c r="P296" s="41">
        <f>SUM(D296:O296)</f>
        <v/>
      </c>
    </row>
    <row r="297">
      <c r="A297" s="34" t="inlineStr">
        <is>
          <t>Dry peas</t>
        </is>
      </c>
      <c r="B297" s="39" t="inlineStr">
        <is>
          <t>Exports</t>
        </is>
      </c>
      <c r="C297" s="34" t="inlineStr">
        <is>
          <t>2024-25</t>
        </is>
      </c>
      <c r="O297" s="40" t="n">
        <v>2176.5</v>
      </c>
      <c r="P297" s="41">
        <f>SUM(D297:O297)</f>
        <v/>
      </c>
    </row>
    <row r="298">
      <c r="A298" s="34" t="inlineStr">
        <is>
          <t>Dry peas</t>
        </is>
      </c>
      <c r="B298" s="39" t="inlineStr">
        <is>
          <t>Ending Stocks</t>
        </is>
      </c>
      <c r="C298" s="34" t="inlineStr">
        <is>
          <t>2024-25</t>
        </is>
      </c>
      <c r="O298" s="40" t="n">
        <v>489</v>
      </c>
      <c r="P298" s="41">
        <f>SUM(D298:O298)</f>
        <v/>
      </c>
    </row>
    <row r="299">
      <c r="A299" s="34" t="inlineStr">
        <is>
          <t>Dry peas</t>
        </is>
      </c>
      <c r="B299" s="35" t="inlineStr">
        <is>
          <t>Stocks-to-Use</t>
        </is>
      </c>
      <c r="C299" s="34" t="inlineStr">
        <is>
          <t>2024-25</t>
        </is>
      </c>
      <c r="P299" s="37">
        <f>SUM(D299:O299)</f>
        <v/>
      </c>
    </row>
    <row r="300">
      <c r="A300" s="34" t="inlineStr">
        <is>
          <t>Dry peas</t>
        </is>
      </c>
      <c r="B300" s="35" t="inlineStr">
        <is>
          <t>STU Days</t>
        </is>
      </c>
      <c r="C300" s="34" t="inlineStr">
        <is>
          <t>2024-25</t>
        </is>
      </c>
      <c r="P300" s="41">
        <f>SUM(D300:O300)</f>
        <v/>
      </c>
    </row>
    <row r="301">
      <c r="A301" s="34" t="inlineStr">
        <is>
          <t>Dry peas</t>
        </is>
      </c>
      <c r="B301" s="35" t="inlineStr">
        <is>
          <t>CHECK</t>
        </is>
      </c>
      <c r="C301" s="34" t="inlineStr">
        <is>
          <t>2024-25</t>
        </is>
      </c>
      <c r="O301" s="41" t="n">
        <v>0</v>
      </c>
      <c r="P301" s="41">
        <f>SUM(D301:O301)</f>
        <v/>
      </c>
    </row>
    <row r="302">
      <c r="A302" s="34" t="inlineStr">
        <is>
          <t>Dry peas</t>
        </is>
      </c>
      <c r="B302" s="42" t="inlineStr">
        <is>
          <t>CHECK</t>
        </is>
      </c>
      <c r="C302" s="43" t="inlineStr">
        <is>
          <t>KMT</t>
        </is>
      </c>
      <c r="D302" s="40" t="n">
        <v>0</v>
      </c>
      <c r="E302" s="40" t="n">
        <v>0</v>
      </c>
      <c r="F302" s="40" t="n">
        <v>0</v>
      </c>
      <c r="G302" s="40" t="n">
        <v>0</v>
      </c>
      <c r="H302" s="40" t="n">
        <v>0</v>
      </c>
      <c r="I302" s="40" t="n">
        <v>0</v>
      </c>
      <c r="J302" s="40" t="n">
        <v>0</v>
      </c>
      <c r="K302" s="40" t="n">
        <v>0</v>
      </c>
      <c r="L302" s="40" t="n">
        <v>0</v>
      </c>
      <c r="M302" s="40" t="n">
        <v>0</v>
      </c>
      <c r="N302" s="40" t="n">
        <v>0</v>
      </c>
      <c r="O302" s="40" t="n">
        <v>0</v>
      </c>
      <c r="P302" s="44" t="n">
        <v>0</v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02"/>
  <sheetViews>
    <sheetView workbookViewId="0">
      <selection activeCell="A1" sqref="A1:C1"/>
    </sheetView>
  </sheetViews>
  <sheetFormatPr baseColWidth="8" defaultRowHeight="14.4"/>
  <cols>
    <col width="18" customWidth="1" style="46" min="1" max="1"/>
    <col width="28" customWidth="1" style="46" min="2" max="2"/>
    <col width="10" customWidth="1" style="46" min="3" max="3"/>
    <col width="8" customWidth="1" style="46" min="4" max="15"/>
    <col width="12" customWidth="1" style="46" min="16" max="16"/>
  </cols>
  <sheetData>
    <row r="1" ht="15.6" customHeight="1" s="46">
      <c r="A1" s="48" t="inlineStr">
        <is>
          <t>Lentils</t>
        </is>
      </c>
    </row>
    <row r="2">
      <c r="A2" s="33" t="inlineStr">
        <is>
          <t>Commodity</t>
        </is>
      </c>
      <c r="B2" s="33" t="inlineStr">
        <is>
          <t>Metric</t>
        </is>
      </c>
      <c r="C2" s="33" t="inlineStr">
        <is>
          <t>Crop Year</t>
        </is>
      </c>
      <c r="D2" s="33" t="inlineStr">
        <is>
          <t>08</t>
        </is>
      </c>
      <c r="E2" s="33" t="inlineStr">
        <is>
          <t>09</t>
        </is>
      </c>
      <c r="F2" s="33" t="inlineStr">
        <is>
          <t>10</t>
        </is>
      </c>
      <c r="G2" s="33" t="inlineStr">
        <is>
          <t>11</t>
        </is>
      </c>
      <c r="H2" s="33" t="inlineStr">
        <is>
          <t>12</t>
        </is>
      </c>
      <c r="I2" s="33" t="inlineStr">
        <is>
          <t>01</t>
        </is>
      </c>
      <c r="J2" s="33" t="inlineStr">
        <is>
          <t>02</t>
        </is>
      </c>
      <c r="K2" s="33" t="inlineStr">
        <is>
          <t>03</t>
        </is>
      </c>
      <c r="L2" s="33" t="inlineStr">
        <is>
          <t>04</t>
        </is>
      </c>
      <c r="M2" s="33" t="inlineStr">
        <is>
          <t>05</t>
        </is>
      </c>
      <c r="N2" s="33" t="inlineStr">
        <is>
          <t>06</t>
        </is>
      </c>
      <c r="O2" s="33" t="inlineStr">
        <is>
          <t>07</t>
        </is>
      </c>
      <c r="P2" s="33" t="inlineStr">
        <is>
          <t>Total</t>
        </is>
      </c>
    </row>
    <row r="3">
      <c r="A3" s="34" t="inlineStr">
        <is>
          <t>Lentils</t>
        </is>
      </c>
      <c r="B3" s="35" t="inlineStr">
        <is>
          <t>Planted Area</t>
        </is>
      </c>
      <c r="C3" s="34" t="inlineStr">
        <is>
          <t>2002-03</t>
        </is>
      </c>
      <c r="P3" s="36">
        <f>SUM(D3:O3)</f>
        <v/>
      </c>
    </row>
    <row r="4">
      <c r="A4" s="34" t="inlineStr">
        <is>
          <t>Lentils</t>
        </is>
      </c>
      <c r="B4" s="35" t="inlineStr">
        <is>
          <t>Harvested Area</t>
        </is>
      </c>
      <c r="C4" s="34" t="inlineStr">
        <is>
          <t>2002-03</t>
        </is>
      </c>
      <c r="P4" s="36">
        <f>SUM(D4:O4)</f>
        <v/>
      </c>
    </row>
    <row r="5">
      <c r="A5" s="34" t="inlineStr">
        <is>
          <t>Lentils</t>
        </is>
      </c>
      <c r="B5" s="35" t="inlineStr">
        <is>
          <t>Proportion Harvested</t>
        </is>
      </c>
      <c r="C5" s="34" t="inlineStr">
        <is>
          <t>2002-03</t>
        </is>
      </c>
      <c r="P5" s="37">
        <f>SUM(D5:O5)</f>
        <v/>
      </c>
    </row>
    <row r="6">
      <c r="A6" s="34" t="inlineStr">
        <is>
          <t>Lentils</t>
        </is>
      </c>
      <c r="B6" s="35" t="inlineStr">
        <is>
          <t>Yield</t>
        </is>
      </c>
      <c r="C6" s="34" t="inlineStr">
        <is>
          <t>2002-03</t>
        </is>
      </c>
      <c r="P6" s="38">
        <f>SUM(D6:O6)</f>
        <v/>
      </c>
    </row>
    <row r="7">
      <c r="A7" s="34" t="inlineStr">
        <is>
          <t>Lentils</t>
        </is>
      </c>
      <c r="B7" s="39" t="inlineStr">
        <is>
          <t>Beginning Stocks</t>
        </is>
      </c>
      <c r="C7" s="34" t="inlineStr">
        <is>
          <t>2002-03</t>
        </is>
      </c>
      <c r="O7" s="40" t="n">
        <v>132</v>
      </c>
      <c r="P7" s="41">
        <f>SUM(D7:O7)</f>
        <v/>
      </c>
    </row>
    <row r="8">
      <c r="A8" s="34" t="inlineStr">
        <is>
          <t>Lentils</t>
        </is>
      </c>
      <c r="B8" s="39" t="inlineStr">
        <is>
          <t>Imports</t>
        </is>
      </c>
      <c r="C8" s="34" t="inlineStr">
        <is>
          <t>2002-03</t>
        </is>
      </c>
      <c r="O8" s="40" t="n">
        <v>9.1</v>
      </c>
      <c r="P8" s="41">
        <f>SUM(D8:O8)</f>
        <v/>
      </c>
    </row>
    <row r="9">
      <c r="A9" s="34" t="inlineStr">
        <is>
          <t>Lentils</t>
        </is>
      </c>
      <c r="B9" s="39" t="inlineStr">
        <is>
          <t>Production</t>
        </is>
      </c>
      <c r="C9" s="34" t="inlineStr">
        <is>
          <t>2002-03</t>
        </is>
      </c>
      <c r="O9" s="40" t="n">
        <v>328</v>
      </c>
      <c r="P9" s="41">
        <f>SUM(D9:O9)</f>
        <v/>
      </c>
    </row>
    <row r="10">
      <c r="A10" s="34" t="inlineStr">
        <is>
          <t>Lentils</t>
        </is>
      </c>
      <c r="B10" s="39" t="inlineStr">
        <is>
          <t>FSR</t>
        </is>
      </c>
      <c r="C10" s="34" t="inlineStr">
        <is>
          <t>2002-03</t>
        </is>
      </c>
      <c r="O10" s="40" t="n">
        <v>99.70000000000005</v>
      </c>
      <c r="P10" s="41">
        <f>SUM(D10:O10)</f>
        <v/>
      </c>
    </row>
    <row r="11">
      <c r="A11" s="34" t="inlineStr">
        <is>
          <t>Lentils</t>
        </is>
      </c>
      <c r="B11" s="39" t="inlineStr">
        <is>
          <t>Exports</t>
        </is>
      </c>
      <c r="C11" s="34" t="inlineStr">
        <is>
          <t>2002-03</t>
        </is>
      </c>
      <c r="O11" s="40" t="n">
        <v>319.4</v>
      </c>
      <c r="P11" s="41">
        <f>SUM(D11:O11)</f>
        <v/>
      </c>
    </row>
    <row r="12">
      <c r="A12" s="34" t="inlineStr">
        <is>
          <t>Lentils</t>
        </is>
      </c>
      <c r="B12" s="39" t="inlineStr">
        <is>
          <t>Ending Stocks</t>
        </is>
      </c>
      <c r="C12" s="34" t="inlineStr">
        <is>
          <t>2002-03</t>
        </is>
      </c>
      <c r="O12" s="40" t="n">
        <v>50</v>
      </c>
      <c r="P12" s="41">
        <f>SUM(D12:O12)</f>
        <v/>
      </c>
    </row>
    <row r="13">
      <c r="A13" s="34" t="inlineStr">
        <is>
          <t>Lentils</t>
        </is>
      </c>
      <c r="B13" s="35" t="inlineStr">
        <is>
          <t>Stocks-to-Use</t>
        </is>
      </c>
      <c r="C13" s="34" t="inlineStr">
        <is>
          <t>2002-03</t>
        </is>
      </c>
      <c r="P13" s="37">
        <f>SUM(D13:O13)</f>
        <v/>
      </c>
    </row>
    <row r="14">
      <c r="A14" s="34" t="inlineStr">
        <is>
          <t>Lentils</t>
        </is>
      </c>
      <c r="B14" s="35" t="inlineStr">
        <is>
          <t>STU Days</t>
        </is>
      </c>
      <c r="C14" s="34" t="inlineStr">
        <is>
          <t>2002-03</t>
        </is>
      </c>
      <c r="P14" s="41">
        <f>SUM(D14:O14)</f>
        <v/>
      </c>
    </row>
    <row r="15">
      <c r="A15" s="34" t="inlineStr">
        <is>
          <t>Lentils</t>
        </is>
      </c>
      <c r="B15" s="35" t="inlineStr">
        <is>
          <t>CHECK</t>
        </is>
      </c>
      <c r="C15" s="34" t="inlineStr">
        <is>
          <t>2002-03</t>
        </is>
      </c>
      <c r="O15" s="41" t="n">
        <v>0</v>
      </c>
      <c r="P15" s="41">
        <f>SUM(D15:O15)</f>
        <v/>
      </c>
    </row>
    <row r="16">
      <c r="A16" s="34" t="inlineStr">
        <is>
          <t>Lentils</t>
        </is>
      </c>
      <c r="B16" s="35" t="inlineStr">
        <is>
          <t>Planted Area</t>
        </is>
      </c>
      <c r="C16" s="34" t="inlineStr">
        <is>
          <t>2003-04</t>
        </is>
      </c>
      <c r="P16" s="36">
        <f>SUM(D16:O16)</f>
        <v/>
      </c>
    </row>
    <row r="17">
      <c r="A17" s="34" t="inlineStr">
        <is>
          <t>Lentils</t>
        </is>
      </c>
      <c r="B17" s="35" t="inlineStr">
        <is>
          <t>Harvested Area</t>
        </is>
      </c>
      <c r="C17" s="34" t="inlineStr">
        <is>
          <t>2003-04</t>
        </is>
      </c>
      <c r="P17" s="36">
        <f>SUM(D17:O17)</f>
        <v/>
      </c>
    </row>
    <row r="18">
      <c r="A18" s="34" t="inlineStr">
        <is>
          <t>Lentils</t>
        </is>
      </c>
      <c r="B18" s="35" t="inlineStr">
        <is>
          <t>Proportion Harvested</t>
        </is>
      </c>
      <c r="C18" s="34" t="inlineStr">
        <is>
          <t>2003-04</t>
        </is>
      </c>
      <c r="P18" s="37">
        <f>SUM(D18:O18)</f>
        <v/>
      </c>
    </row>
    <row r="19">
      <c r="A19" s="34" t="inlineStr">
        <is>
          <t>Lentils</t>
        </is>
      </c>
      <c r="B19" s="35" t="inlineStr">
        <is>
          <t>Yield</t>
        </is>
      </c>
      <c r="C19" s="34" t="inlineStr">
        <is>
          <t>2003-04</t>
        </is>
      </c>
      <c r="P19" s="38">
        <f>SUM(D19:O19)</f>
        <v/>
      </c>
    </row>
    <row r="20">
      <c r="A20" s="34" t="inlineStr">
        <is>
          <t>Lentils</t>
        </is>
      </c>
      <c r="B20" s="39" t="inlineStr">
        <is>
          <t>Beginning Stocks</t>
        </is>
      </c>
      <c r="C20" s="34" t="inlineStr">
        <is>
          <t>2003-04</t>
        </is>
      </c>
      <c r="O20" s="40" t="n">
        <v>50</v>
      </c>
      <c r="P20" s="41">
        <f>SUM(D20:O20)</f>
        <v/>
      </c>
    </row>
    <row r="21">
      <c r="A21" s="34" t="inlineStr">
        <is>
          <t>Lentils</t>
        </is>
      </c>
      <c r="B21" s="39" t="inlineStr">
        <is>
          <t>Imports</t>
        </is>
      </c>
      <c r="C21" s="34" t="inlineStr">
        <is>
          <t>2003-04</t>
        </is>
      </c>
      <c r="O21" s="40" t="n">
        <v>5.4</v>
      </c>
      <c r="P21" s="41">
        <f>SUM(D21:O21)</f>
        <v/>
      </c>
    </row>
    <row r="22">
      <c r="A22" s="34" t="inlineStr">
        <is>
          <t>Lentils</t>
        </is>
      </c>
      <c r="B22" s="39" t="inlineStr">
        <is>
          <t>Production</t>
        </is>
      </c>
      <c r="C22" s="34" t="inlineStr">
        <is>
          <t>2003-04</t>
        </is>
      </c>
      <c r="O22" s="40" t="n">
        <v>484.6</v>
      </c>
      <c r="P22" s="41">
        <f>SUM(D22:O22)</f>
        <v/>
      </c>
    </row>
    <row r="23">
      <c r="A23" s="34" t="inlineStr">
        <is>
          <t>Lentils</t>
        </is>
      </c>
      <c r="B23" s="39" t="inlineStr">
        <is>
          <t>FSR</t>
        </is>
      </c>
      <c r="C23" s="34" t="inlineStr">
        <is>
          <t>2003-04</t>
        </is>
      </c>
      <c r="O23" s="40" t="n">
        <v>134.9</v>
      </c>
      <c r="P23" s="41">
        <f>SUM(D23:O23)</f>
        <v/>
      </c>
    </row>
    <row r="24">
      <c r="A24" s="34" t="inlineStr">
        <is>
          <t>Lentils</t>
        </is>
      </c>
      <c r="B24" s="39" t="inlineStr">
        <is>
          <t>Exports</t>
        </is>
      </c>
      <c r="C24" s="34" t="inlineStr">
        <is>
          <t>2003-04</t>
        </is>
      </c>
      <c r="O24" s="40" t="n">
        <v>367.1</v>
      </c>
      <c r="P24" s="41">
        <f>SUM(D24:O24)</f>
        <v/>
      </c>
    </row>
    <row r="25">
      <c r="A25" s="34" t="inlineStr">
        <is>
          <t>Lentils</t>
        </is>
      </c>
      <c r="B25" s="39" t="inlineStr">
        <is>
          <t>Ending Stocks</t>
        </is>
      </c>
      <c r="C25" s="34" t="inlineStr">
        <is>
          <t>2003-04</t>
        </is>
      </c>
      <c r="O25" s="40" t="n">
        <v>38</v>
      </c>
      <c r="P25" s="41">
        <f>SUM(D25:O25)</f>
        <v/>
      </c>
    </row>
    <row r="26">
      <c r="A26" s="34" t="inlineStr">
        <is>
          <t>Lentils</t>
        </is>
      </c>
      <c r="B26" s="35" t="inlineStr">
        <is>
          <t>Stocks-to-Use</t>
        </is>
      </c>
      <c r="C26" s="34" t="inlineStr">
        <is>
          <t>2003-04</t>
        </is>
      </c>
      <c r="P26" s="37">
        <f>SUM(D26:O26)</f>
        <v/>
      </c>
    </row>
    <row r="27">
      <c r="A27" s="34" t="inlineStr">
        <is>
          <t>Lentils</t>
        </is>
      </c>
      <c r="B27" s="35" t="inlineStr">
        <is>
          <t>STU Days</t>
        </is>
      </c>
      <c r="C27" s="34" t="inlineStr">
        <is>
          <t>2003-04</t>
        </is>
      </c>
      <c r="P27" s="41">
        <f>SUM(D27:O27)</f>
        <v/>
      </c>
    </row>
    <row r="28">
      <c r="A28" s="34" t="inlineStr">
        <is>
          <t>Lentils</t>
        </is>
      </c>
      <c r="B28" s="35" t="inlineStr">
        <is>
          <t>CHECK</t>
        </is>
      </c>
      <c r="C28" s="34" t="inlineStr">
        <is>
          <t>2003-04</t>
        </is>
      </c>
      <c r="O28" s="41" t="n">
        <v>0</v>
      </c>
      <c r="P28" s="41">
        <f>SUM(D28:O28)</f>
        <v/>
      </c>
    </row>
    <row r="29">
      <c r="A29" s="34" t="inlineStr">
        <is>
          <t>Lentils</t>
        </is>
      </c>
      <c r="B29" s="35" t="inlineStr">
        <is>
          <t>Planted Area</t>
        </is>
      </c>
      <c r="C29" s="34" t="inlineStr">
        <is>
          <t>2004-05</t>
        </is>
      </c>
      <c r="P29" s="36">
        <f>SUM(D29:O29)</f>
        <v/>
      </c>
    </row>
    <row r="30">
      <c r="A30" s="34" t="inlineStr">
        <is>
          <t>Lentils</t>
        </is>
      </c>
      <c r="B30" s="35" t="inlineStr">
        <is>
          <t>Harvested Area</t>
        </is>
      </c>
      <c r="C30" s="34" t="inlineStr">
        <is>
          <t>2004-05</t>
        </is>
      </c>
      <c r="P30" s="36">
        <f>SUM(D30:O30)</f>
        <v/>
      </c>
    </row>
    <row r="31">
      <c r="A31" s="34" t="inlineStr">
        <is>
          <t>Lentils</t>
        </is>
      </c>
      <c r="B31" s="35" t="inlineStr">
        <is>
          <t>Proportion Harvested</t>
        </is>
      </c>
      <c r="C31" s="34" t="inlineStr">
        <is>
          <t>2004-05</t>
        </is>
      </c>
      <c r="P31" s="37">
        <f>SUM(D31:O31)</f>
        <v/>
      </c>
    </row>
    <row r="32">
      <c r="A32" s="34" t="inlineStr">
        <is>
          <t>Lentils</t>
        </is>
      </c>
      <c r="B32" s="35" t="inlineStr">
        <is>
          <t>Yield</t>
        </is>
      </c>
      <c r="C32" s="34" t="inlineStr">
        <is>
          <t>2004-05</t>
        </is>
      </c>
      <c r="P32" s="38">
        <f>SUM(D32:O32)</f>
        <v/>
      </c>
    </row>
    <row r="33">
      <c r="A33" s="34" t="inlineStr">
        <is>
          <t>Lentils</t>
        </is>
      </c>
      <c r="B33" s="39" t="inlineStr">
        <is>
          <t>Beginning Stocks</t>
        </is>
      </c>
      <c r="C33" s="34" t="inlineStr">
        <is>
          <t>2004-05</t>
        </is>
      </c>
      <c r="O33" s="40" t="n">
        <v>38</v>
      </c>
      <c r="P33" s="41">
        <f>SUM(D33:O33)</f>
        <v/>
      </c>
    </row>
    <row r="34">
      <c r="A34" s="34" t="inlineStr">
        <is>
          <t>Lentils</t>
        </is>
      </c>
      <c r="B34" s="39" t="inlineStr">
        <is>
          <t>Imports</t>
        </is>
      </c>
      <c r="C34" s="34" t="inlineStr">
        <is>
          <t>2004-05</t>
        </is>
      </c>
      <c r="O34" s="40" t="n">
        <v>10</v>
      </c>
      <c r="P34" s="41">
        <f>SUM(D34:O34)</f>
        <v/>
      </c>
    </row>
    <row r="35">
      <c r="A35" s="34" t="inlineStr">
        <is>
          <t>Lentils</t>
        </is>
      </c>
      <c r="B35" s="39" t="inlineStr">
        <is>
          <t>Production</t>
        </is>
      </c>
      <c r="C35" s="34" t="inlineStr">
        <is>
          <t>2004-05</t>
        </is>
      </c>
      <c r="O35" s="40" t="n">
        <v>915.8</v>
      </c>
      <c r="P35" s="41">
        <f>SUM(D35:O35)</f>
        <v/>
      </c>
    </row>
    <row r="36">
      <c r="A36" s="34" t="inlineStr">
        <is>
          <t>Lentils</t>
        </is>
      </c>
      <c r="B36" s="39" t="inlineStr">
        <is>
          <t>FSR</t>
        </is>
      </c>
      <c r="C36" s="34" t="inlineStr">
        <is>
          <t>2004-05</t>
        </is>
      </c>
      <c r="O36" s="40" t="n">
        <v>270.9</v>
      </c>
      <c r="P36" s="41">
        <f>SUM(D36:O36)</f>
        <v/>
      </c>
    </row>
    <row r="37">
      <c r="A37" s="34" t="inlineStr">
        <is>
          <t>Lentils</t>
        </is>
      </c>
      <c r="B37" s="39" t="inlineStr">
        <is>
          <t>Exports</t>
        </is>
      </c>
      <c r="C37" s="34" t="inlineStr">
        <is>
          <t>2004-05</t>
        </is>
      </c>
      <c r="O37" s="40" t="n">
        <v>450.9</v>
      </c>
      <c r="P37" s="41">
        <f>SUM(D37:O37)</f>
        <v/>
      </c>
    </row>
    <row r="38">
      <c r="A38" s="34" t="inlineStr">
        <is>
          <t>Lentils</t>
        </is>
      </c>
      <c r="B38" s="39" t="inlineStr">
        <is>
          <t>Ending Stocks</t>
        </is>
      </c>
      <c r="C38" s="34" t="inlineStr">
        <is>
          <t>2004-05</t>
        </is>
      </c>
      <c r="O38" s="40" t="n">
        <v>242</v>
      </c>
      <c r="P38" s="41">
        <f>SUM(D38:O38)</f>
        <v/>
      </c>
    </row>
    <row r="39">
      <c r="A39" s="34" t="inlineStr">
        <is>
          <t>Lentils</t>
        </is>
      </c>
      <c r="B39" s="35" t="inlineStr">
        <is>
          <t>Stocks-to-Use</t>
        </is>
      </c>
      <c r="C39" s="34" t="inlineStr">
        <is>
          <t>2004-05</t>
        </is>
      </c>
      <c r="P39" s="37">
        <f>SUM(D39:O39)</f>
        <v/>
      </c>
    </row>
    <row r="40">
      <c r="A40" s="34" t="inlineStr">
        <is>
          <t>Lentils</t>
        </is>
      </c>
      <c r="B40" s="35" t="inlineStr">
        <is>
          <t>STU Days</t>
        </is>
      </c>
      <c r="C40" s="34" t="inlineStr">
        <is>
          <t>2004-05</t>
        </is>
      </c>
      <c r="P40" s="41">
        <f>SUM(D40:O40)</f>
        <v/>
      </c>
    </row>
    <row r="41">
      <c r="A41" s="34" t="inlineStr">
        <is>
          <t>Lentils</t>
        </is>
      </c>
      <c r="B41" s="35" t="inlineStr">
        <is>
          <t>CHECK</t>
        </is>
      </c>
      <c r="C41" s="34" t="inlineStr">
        <is>
          <t>2004-05</t>
        </is>
      </c>
      <c r="O41" s="41" t="n">
        <v>0</v>
      </c>
      <c r="P41" s="41">
        <f>SUM(D41:O41)</f>
        <v/>
      </c>
    </row>
    <row r="42">
      <c r="A42" s="34" t="inlineStr">
        <is>
          <t>Lentils</t>
        </is>
      </c>
      <c r="B42" s="35" t="inlineStr">
        <is>
          <t>Planted Area</t>
        </is>
      </c>
      <c r="C42" s="34" t="inlineStr">
        <is>
          <t>2005-06</t>
        </is>
      </c>
      <c r="P42" s="36">
        <f>SUM(D42:O42)</f>
        <v/>
      </c>
    </row>
    <row r="43">
      <c r="A43" s="34" t="inlineStr">
        <is>
          <t>Lentils</t>
        </is>
      </c>
      <c r="B43" s="35" t="inlineStr">
        <is>
          <t>Harvested Area</t>
        </is>
      </c>
      <c r="C43" s="34" t="inlineStr">
        <is>
          <t>2005-06</t>
        </is>
      </c>
      <c r="P43" s="36">
        <f>SUM(D43:O43)</f>
        <v/>
      </c>
    </row>
    <row r="44">
      <c r="A44" s="34" t="inlineStr">
        <is>
          <t>Lentils</t>
        </is>
      </c>
      <c r="B44" s="35" t="inlineStr">
        <is>
          <t>Proportion Harvested</t>
        </is>
      </c>
      <c r="C44" s="34" t="inlineStr">
        <is>
          <t>2005-06</t>
        </is>
      </c>
      <c r="P44" s="37">
        <f>SUM(D44:O44)</f>
        <v/>
      </c>
    </row>
    <row r="45">
      <c r="A45" s="34" t="inlineStr">
        <is>
          <t>Lentils</t>
        </is>
      </c>
      <c r="B45" s="35" t="inlineStr">
        <is>
          <t>Yield</t>
        </is>
      </c>
      <c r="C45" s="34" t="inlineStr">
        <is>
          <t>2005-06</t>
        </is>
      </c>
      <c r="P45" s="38">
        <f>SUM(D45:O45)</f>
        <v/>
      </c>
    </row>
    <row r="46">
      <c r="A46" s="34" t="inlineStr">
        <is>
          <t>Lentils</t>
        </is>
      </c>
      <c r="B46" s="39" t="inlineStr">
        <is>
          <t>Beginning Stocks</t>
        </is>
      </c>
      <c r="C46" s="34" t="inlineStr">
        <is>
          <t>2005-06</t>
        </is>
      </c>
      <c r="O46" s="40" t="n">
        <v>242</v>
      </c>
      <c r="P46" s="41">
        <f>SUM(D46:O46)</f>
        <v/>
      </c>
    </row>
    <row r="47">
      <c r="A47" s="34" t="inlineStr">
        <is>
          <t>Lentils</t>
        </is>
      </c>
      <c r="B47" s="39" t="inlineStr">
        <is>
          <t>Imports</t>
        </is>
      </c>
      <c r="C47" s="34" t="inlineStr">
        <is>
          <t>2005-06</t>
        </is>
      </c>
      <c r="O47" s="40" t="n">
        <v>7.6</v>
      </c>
      <c r="P47" s="41">
        <f>SUM(D47:O47)</f>
        <v/>
      </c>
    </row>
    <row r="48">
      <c r="A48" s="34" t="inlineStr">
        <is>
          <t>Lentils</t>
        </is>
      </c>
      <c r="B48" s="39" t="inlineStr">
        <is>
          <t>Production</t>
        </is>
      </c>
      <c r="C48" s="34" t="inlineStr">
        <is>
          <t>2005-06</t>
        </is>
      </c>
      <c r="O48" s="40" t="n">
        <v>1164.3</v>
      </c>
      <c r="P48" s="41">
        <f>SUM(D48:O48)</f>
        <v/>
      </c>
    </row>
    <row r="49">
      <c r="A49" s="34" t="inlineStr">
        <is>
          <t>Lentils</t>
        </is>
      </c>
      <c r="B49" s="39" t="inlineStr">
        <is>
          <t>FSR</t>
        </is>
      </c>
      <c r="C49" s="34" t="inlineStr">
        <is>
          <t>2005-06</t>
        </is>
      </c>
      <c r="O49" s="40" t="n">
        <v>257.5999999999999</v>
      </c>
      <c r="P49" s="41">
        <f>SUM(D49:O49)</f>
        <v/>
      </c>
    </row>
    <row r="50">
      <c r="A50" s="34" t="inlineStr">
        <is>
          <t>Lentils</t>
        </is>
      </c>
      <c r="B50" s="39" t="inlineStr">
        <is>
          <t>Exports</t>
        </is>
      </c>
      <c r="C50" s="34" t="inlineStr">
        <is>
          <t>2005-06</t>
        </is>
      </c>
      <c r="O50" s="40" t="n">
        <v>671.3</v>
      </c>
      <c r="P50" s="41">
        <f>SUM(D50:O50)</f>
        <v/>
      </c>
    </row>
    <row r="51">
      <c r="A51" s="34" t="inlineStr">
        <is>
          <t>Lentils</t>
        </is>
      </c>
      <c r="B51" s="39" t="inlineStr">
        <is>
          <t>Ending Stocks</t>
        </is>
      </c>
      <c r="C51" s="34" t="inlineStr">
        <is>
          <t>2005-06</t>
        </is>
      </c>
      <c r="O51" s="40" t="n">
        <v>485</v>
      </c>
      <c r="P51" s="41">
        <f>SUM(D51:O51)</f>
        <v/>
      </c>
    </row>
    <row r="52">
      <c r="A52" s="34" t="inlineStr">
        <is>
          <t>Lentils</t>
        </is>
      </c>
      <c r="B52" s="35" t="inlineStr">
        <is>
          <t>Stocks-to-Use</t>
        </is>
      </c>
      <c r="C52" s="34" t="inlineStr">
        <is>
          <t>2005-06</t>
        </is>
      </c>
      <c r="P52" s="37">
        <f>SUM(D52:O52)</f>
        <v/>
      </c>
    </row>
    <row r="53">
      <c r="A53" s="34" t="inlineStr">
        <is>
          <t>Lentils</t>
        </is>
      </c>
      <c r="B53" s="35" t="inlineStr">
        <is>
          <t>STU Days</t>
        </is>
      </c>
      <c r="C53" s="34" t="inlineStr">
        <is>
          <t>2005-06</t>
        </is>
      </c>
      <c r="P53" s="41">
        <f>SUM(D53:O53)</f>
        <v/>
      </c>
    </row>
    <row r="54">
      <c r="A54" s="34" t="inlineStr">
        <is>
          <t>Lentils</t>
        </is>
      </c>
      <c r="B54" s="35" t="inlineStr">
        <is>
          <t>CHECK</t>
        </is>
      </c>
      <c r="C54" s="34" t="inlineStr">
        <is>
          <t>2005-06</t>
        </is>
      </c>
      <c r="O54" s="41" t="n">
        <v>0</v>
      </c>
      <c r="P54" s="41">
        <f>SUM(D54:O54)</f>
        <v/>
      </c>
    </row>
    <row r="55">
      <c r="A55" s="34" t="inlineStr">
        <is>
          <t>Lentils</t>
        </is>
      </c>
      <c r="B55" s="35" t="inlineStr">
        <is>
          <t>Planted Area</t>
        </is>
      </c>
      <c r="C55" s="34" t="inlineStr">
        <is>
          <t>2006-07</t>
        </is>
      </c>
      <c r="P55" s="36">
        <f>SUM(D55:O55)</f>
        <v/>
      </c>
    </row>
    <row r="56">
      <c r="A56" s="34" t="inlineStr">
        <is>
          <t>Lentils</t>
        </is>
      </c>
      <c r="B56" s="35" t="inlineStr">
        <is>
          <t>Harvested Area</t>
        </is>
      </c>
      <c r="C56" s="34" t="inlineStr">
        <is>
          <t>2006-07</t>
        </is>
      </c>
      <c r="P56" s="36">
        <f>SUM(D56:O56)</f>
        <v/>
      </c>
    </row>
    <row r="57">
      <c r="A57" s="34" t="inlineStr">
        <is>
          <t>Lentils</t>
        </is>
      </c>
      <c r="B57" s="35" t="inlineStr">
        <is>
          <t>Proportion Harvested</t>
        </is>
      </c>
      <c r="C57" s="34" t="inlineStr">
        <is>
          <t>2006-07</t>
        </is>
      </c>
      <c r="P57" s="37">
        <f>SUM(D57:O57)</f>
        <v/>
      </c>
    </row>
    <row r="58">
      <c r="A58" s="34" t="inlineStr">
        <is>
          <t>Lentils</t>
        </is>
      </c>
      <c r="B58" s="35" t="inlineStr">
        <is>
          <t>Yield</t>
        </is>
      </c>
      <c r="C58" s="34" t="inlineStr">
        <is>
          <t>2006-07</t>
        </is>
      </c>
      <c r="P58" s="38">
        <f>SUM(D58:O58)</f>
        <v/>
      </c>
    </row>
    <row r="59">
      <c r="A59" s="34" t="inlineStr">
        <is>
          <t>Lentils</t>
        </is>
      </c>
      <c r="B59" s="39" t="inlineStr">
        <is>
          <t>Beginning Stocks</t>
        </is>
      </c>
      <c r="C59" s="34" t="inlineStr">
        <is>
          <t>2006-07</t>
        </is>
      </c>
      <c r="O59" s="40" t="n">
        <v>485</v>
      </c>
      <c r="P59" s="41">
        <f>SUM(D59:O59)</f>
        <v/>
      </c>
    </row>
    <row r="60">
      <c r="A60" s="34" t="inlineStr">
        <is>
          <t>Lentils</t>
        </is>
      </c>
      <c r="B60" s="39" t="inlineStr">
        <is>
          <t>Imports</t>
        </is>
      </c>
      <c r="C60" s="34" t="inlineStr">
        <is>
          <t>2006-07</t>
        </is>
      </c>
      <c r="O60" s="40" t="n">
        <v>12.8</v>
      </c>
      <c r="P60" s="41">
        <f>SUM(D60:O60)</f>
        <v/>
      </c>
    </row>
    <row r="61">
      <c r="A61" s="34" t="inlineStr">
        <is>
          <t>Lentils</t>
        </is>
      </c>
      <c r="B61" s="39" t="inlineStr">
        <is>
          <t>Production</t>
        </is>
      </c>
      <c r="C61" s="34" t="inlineStr">
        <is>
          <t>2006-07</t>
        </is>
      </c>
      <c r="O61" s="40" t="n">
        <v>692.8</v>
      </c>
      <c r="P61" s="41">
        <f>SUM(D61:O61)</f>
        <v/>
      </c>
    </row>
    <row r="62">
      <c r="A62" s="34" t="inlineStr">
        <is>
          <t>Lentils</t>
        </is>
      </c>
      <c r="B62" s="39" t="inlineStr">
        <is>
          <t>FSR</t>
        </is>
      </c>
      <c r="C62" s="34" t="inlineStr">
        <is>
          <t>2006-07</t>
        </is>
      </c>
      <c r="O62" s="40" t="n">
        <v>139.8999999999999</v>
      </c>
      <c r="P62" s="41">
        <f>SUM(D62:O62)</f>
        <v/>
      </c>
    </row>
    <row r="63">
      <c r="A63" s="34" t="inlineStr">
        <is>
          <t>Lentils</t>
        </is>
      </c>
      <c r="B63" s="39" t="inlineStr">
        <is>
          <t>Exports</t>
        </is>
      </c>
      <c r="C63" s="34" t="inlineStr">
        <is>
          <t>2006-07</t>
        </is>
      </c>
      <c r="O63" s="40" t="n">
        <v>851.7</v>
      </c>
      <c r="P63" s="41">
        <f>SUM(D63:O63)</f>
        <v/>
      </c>
    </row>
    <row r="64">
      <c r="A64" s="34" t="inlineStr">
        <is>
          <t>Lentils</t>
        </is>
      </c>
      <c r="B64" s="39" t="inlineStr">
        <is>
          <t>Ending Stocks</t>
        </is>
      </c>
      <c r="C64" s="34" t="inlineStr">
        <is>
          <t>2006-07</t>
        </is>
      </c>
      <c r="O64" s="40" t="n">
        <v>199</v>
      </c>
      <c r="P64" s="41">
        <f>SUM(D64:O64)</f>
        <v/>
      </c>
    </row>
    <row r="65">
      <c r="A65" s="34" t="inlineStr">
        <is>
          <t>Lentils</t>
        </is>
      </c>
      <c r="B65" s="35" t="inlineStr">
        <is>
          <t>Stocks-to-Use</t>
        </is>
      </c>
      <c r="C65" s="34" t="inlineStr">
        <is>
          <t>2006-07</t>
        </is>
      </c>
      <c r="P65" s="37">
        <f>SUM(D65:O65)</f>
        <v/>
      </c>
    </row>
    <row r="66">
      <c r="A66" s="34" t="inlineStr">
        <is>
          <t>Lentils</t>
        </is>
      </c>
      <c r="B66" s="35" t="inlineStr">
        <is>
          <t>STU Days</t>
        </is>
      </c>
      <c r="C66" s="34" t="inlineStr">
        <is>
          <t>2006-07</t>
        </is>
      </c>
      <c r="P66" s="41">
        <f>SUM(D66:O66)</f>
        <v/>
      </c>
    </row>
    <row r="67">
      <c r="A67" s="34" t="inlineStr">
        <is>
          <t>Lentils</t>
        </is>
      </c>
      <c r="B67" s="35" t="inlineStr">
        <is>
          <t>CHECK</t>
        </is>
      </c>
      <c r="C67" s="34" t="inlineStr">
        <is>
          <t>2006-07</t>
        </is>
      </c>
      <c r="O67" s="41" t="n">
        <v>0</v>
      </c>
      <c r="P67" s="41">
        <f>SUM(D67:O67)</f>
        <v/>
      </c>
    </row>
    <row r="68">
      <c r="A68" s="34" t="inlineStr">
        <is>
          <t>Lentils</t>
        </is>
      </c>
      <c r="B68" s="35" t="inlineStr">
        <is>
          <t>Planted Area</t>
        </is>
      </c>
      <c r="C68" s="34" t="inlineStr">
        <is>
          <t>2007-08</t>
        </is>
      </c>
      <c r="P68" s="36">
        <f>SUM(D68:O68)</f>
        <v/>
      </c>
    </row>
    <row r="69">
      <c r="A69" s="34" t="inlineStr">
        <is>
          <t>Lentils</t>
        </is>
      </c>
      <c r="B69" s="35" t="inlineStr">
        <is>
          <t>Harvested Area</t>
        </is>
      </c>
      <c r="C69" s="34" t="inlineStr">
        <is>
          <t>2007-08</t>
        </is>
      </c>
      <c r="P69" s="36">
        <f>SUM(D69:O69)</f>
        <v/>
      </c>
    </row>
    <row r="70">
      <c r="A70" s="34" t="inlineStr">
        <is>
          <t>Lentils</t>
        </is>
      </c>
      <c r="B70" s="35" t="inlineStr">
        <is>
          <t>Proportion Harvested</t>
        </is>
      </c>
      <c r="C70" s="34" t="inlineStr">
        <is>
          <t>2007-08</t>
        </is>
      </c>
      <c r="P70" s="37">
        <f>SUM(D70:O70)</f>
        <v/>
      </c>
    </row>
    <row r="71">
      <c r="A71" s="34" t="inlineStr">
        <is>
          <t>Lentils</t>
        </is>
      </c>
      <c r="B71" s="35" t="inlineStr">
        <is>
          <t>Yield</t>
        </is>
      </c>
      <c r="C71" s="34" t="inlineStr">
        <is>
          <t>2007-08</t>
        </is>
      </c>
      <c r="P71" s="38">
        <f>SUM(D71:O71)</f>
        <v/>
      </c>
    </row>
    <row r="72">
      <c r="A72" s="34" t="inlineStr">
        <is>
          <t>Lentils</t>
        </is>
      </c>
      <c r="B72" s="39" t="inlineStr">
        <is>
          <t>Beginning Stocks</t>
        </is>
      </c>
      <c r="C72" s="34" t="inlineStr">
        <is>
          <t>2007-08</t>
        </is>
      </c>
      <c r="O72" s="40" t="n">
        <v>199</v>
      </c>
      <c r="P72" s="41">
        <f>SUM(D72:O72)</f>
        <v/>
      </c>
    </row>
    <row r="73">
      <c r="A73" s="34" t="inlineStr">
        <is>
          <t>Lentils</t>
        </is>
      </c>
      <c r="B73" s="39" t="inlineStr">
        <is>
          <t>Imports</t>
        </is>
      </c>
      <c r="C73" s="34" t="inlineStr">
        <is>
          <t>2007-08</t>
        </is>
      </c>
      <c r="O73" s="40" t="n">
        <v>8.800000000000001</v>
      </c>
      <c r="P73" s="41">
        <f>SUM(D73:O73)</f>
        <v/>
      </c>
    </row>
    <row r="74">
      <c r="A74" s="34" t="inlineStr">
        <is>
          <t>Lentils</t>
        </is>
      </c>
      <c r="B74" s="39" t="inlineStr">
        <is>
          <t>Production</t>
        </is>
      </c>
      <c r="C74" s="34" t="inlineStr">
        <is>
          <t>2007-08</t>
        </is>
      </c>
      <c r="O74" s="40" t="n">
        <v>733.9</v>
      </c>
      <c r="P74" s="41">
        <f>SUM(D74:O74)</f>
        <v/>
      </c>
    </row>
    <row r="75">
      <c r="A75" s="34" t="inlineStr">
        <is>
          <t>Lentils</t>
        </is>
      </c>
      <c r="B75" s="39" t="inlineStr">
        <is>
          <t>FSR</t>
        </is>
      </c>
      <c r="C75" s="34" t="inlineStr">
        <is>
          <t>2007-08</t>
        </is>
      </c>
      <c r="O75" s="40" t="n">
        <v>85.19999999999993</v>
      </c>
      <c r="P75" s="41">
        <f>SUM(D75:O75)</f>
        <v/>
      </c>
    </row>
    <row r="76">
      <c r="A76" s="34" t="inlineStr">
        <is>
          <t>Lentils</t>
        </is>
      </c>
      <c r="B76" s="39" t="inlineStr">
        <is>
          <t>Exports</t>
        </is>
      </c>
      <c r="C76" s="34" t="inlineStr">
        <is>
          <t>2007-08</t>
        </is>
      </c>
      <c r="O76" s="40" t="n">
        <v>810.5</v>
      </c>
      <c r="P76" s="41">
        <f>SUM(D76:O76)</f>
        <v/>
      </c>
    </row>
    <row r="77">
      <c r="A77" s="34" t="inlineStr">
        <is>
          <t>Lentils</t>
        </is>
      </c>
      <c r="B77" s="39" t="inlineStr">
        <is>
          <t>Ending Stocks</t>
        </is>
      </c>
      <c r="C77" s="34" t="inlineStr">
        <is>
          <t>2007-08</t>
        </is>
      </c>
      <c r="O77" s="40" t="n">
        <v>46</v>
      </c>
      <c r="P77" s="41">
        <f>SUM(D77:O77)</f>
        <v/>
      </c>
    </row>
    <row r="78">
      <c r="A78" s="34" t="inlineStr">
        <is>
          <t>Lentils</t>
        </is>
      </c>
      <c r="B78" s="35" t="inlineStr">
        <is>
          <t>Stocks-to-Use</t>
        </is>
      </c>
      <c r="C78" s="34" t="inlineStr">
        <is>
          <t>2007-08</t>
        </is>
      </c>
      <c r="P78" s="37">
        <f>SUM(D78:O78)</f>
        <v/>
      </c>
    </row>
    <row r="79">
      <c r="A79" s="34" t="inlineStr">
        <is>
          <t>Lentils</t>
        </is>
      </c>
      <c r="B79" s="35" t="inlineStr">
        <is>
          <t>STU Days</t>
        </is>
      </c>
      <c r="C79" s="34" t="inlineStr">
        <is>
          <t>2007-08</t>
        </is>
      </c>
      <c r="P79" s="41">
        <f>SUM(D79:O79)</f>
        <v/>
      </c>
    </row>
    <row r="80">
      <c r="A80" s="34" t="inlineStr">
        <is>
          <t>Lentils</t>
        </is>
      </c>
      <c r="B80" s="35" t="inlineStr">
        <is>
          <t>CHECK</t>
        </is>
      </c>
      <c r="C80" s="34" t="inlineStr">
        <is>
          <t>2007-08</t>
        </is>
      </c>
      <c r="O80" s="41" t="n">
        <v>0</v>
      </c>
      <c r="P80" s="41">
        <f>SUM(D80:O80)</f>
        <v/>
      </c>
    </row>
    <row r="81">
      <c r="A81" s="34" t="inlineStr">
        <is>
          <t>Lentils</t>
        </is>
      </c>
      <c r="B81" s="35" t="inlineStr">
        <is>
          <t>Planted Area</t>
        </is>
      </c>
      <c r="C81" s="34" t="inlineStr">
        <is>
          <t>2008-09</t>
        </is>
      </c>
      <c r="P81" s="36">
        <f>SUM(D81:O81)</f>
        <v/>
      </c>
    </row>
    <row r="82">
      <c r="A82" s="34" t="inlineStr">
        <is>
          <t>Lentils</t>
        </is>
      </c>
      <c r="B82" s="35" t="inlineStr">
        <is>
          <t>Harvested Area</t>
        </is>
      </c>
      <c r="C82" s="34" t="inlineStr">
        <is>
          <t>2008-09</t>
        </is>
      </c>
      <c r="P82" s="36">
        <f>SUM(D82:O82)</f>
        <v/>
      </c>
    </row>
    <row r="83">
      <c r="A83" s="34" t="inlineStr">
        <is>
          <t>Lentils</t>
        </is>
      </c>
      <c r="B83" s="35" t="inlineStr">
        <is>
          <t>Proportion Harvested</t>
        </is>
      </c>
      <c r="C83" s="34" t="inlineStr">
        <is>
          <t>2008-09</t>
        </is>
      </c>
      <c r="P83" s="37">
        <f>SUM(D83:O83)</f>
        <v/>
      </c>
    </row>
    <row r="84">
      <c r="A84" s="34" t="inlineStr">
        <is>
          <t>Lentils</t>
        </is>
      </c>
      <c r="B84" s="35" t="inlineStr">
        <is>
          <t>Yield</t>
        </is>
      </c>
      <c r="C84" s="34" t="inlineStr">
        <is>
          <t>2008-09</t>
        </is>
      </c>
      <c r="P84" s="38">
        <f>SUM(D84:O84)</f>
        <v/>
      </c>
    </row>
    <row r="85">
      <c r="A85" s="34" t="inlineStr">
        <is>
          <t>Lentils</t>
        </is>
      </c>
      <c r="B85" s="39" t="inlineStr">
        <is>
          <t>Beginning Stocks</t>
        </is>
      </c>
      <c r="C85" s="34" t="inlineStr">
        <is>
          <t>2008-09</t>
        </is>
      </c>
      <c r="O85" s="40" t="n">
        <v>46</v>
      </c>
      <c r="P85" s="41">
        <f>SUM(D85:O85)</f>
        <v/>
      </c>
    </row>
    <row r="86">
      <c r="A86" s="34" t="inlineStr">
        <is>
          <t>Lentils</t>
        </is>
      </c>
      <c r="B86" s="39" t="inlineStr">
        <is>
          <t>Imports</t>
        </is>
      </c>
      <c r="C86" s="34" t="inlineStr">
        <is>
          <t>2008-09</t>
        </is>
      </c>
      <c r="O86" s="40" t="n">
        <v>7.2</v>
      </c>
      <c r="P86" s="41">
        <f>SUM(D86:O86)</f>
        <v/>
      </c>
    </row>
    <row r="87">
      <c r="A87" s="34" t="inlineStr">
        <is>
          <t>Lentils</t>
        </is>
      </c>
      <c r="B87" s="39" t="inlineStr">
        <is>
          <t>Production</t>
        </is>
      </c>
      <c r="C87" s="34" t="inlineStr">
        <is>
          <t>2008-09</t>
        </is>
      </c>
      <c r="O87" s="40" t="n">
        <v>1043.2</v>
      </c>
      <c r="P87" s="41">
        <f>SUM(D87:O87)</f>
        <v/>
      </c>
    </row>
    <row r="88">
      <c r="A88" s="34" t="inlineStr">
        <is>
          <t>Lentils</t>
        </is>
      </c>
      <c r="B88" s="39" t="inlineStr">
        <is>
          <t>FSR</t>
        </is>
      </c>
      <c r="C88" s="34" t="inlineStr">
        <is>
          <t>2008-09</t>
        </is>
      </c>
      <c r="O88" s="40" t="n">
        <v>101.4000000000001</v>
      </c>
      <c r="P88" s="41">
        <f>SUM(D88:O88)</f>
        <v/>
      </c>
    </row>
    <row r="89">
      <c r="A89" s="34" t="inlineStr">
        <is>
          <t>Lentils</t>
        </is>
      </c>
      <c r="B89" s="39" t="inlineStr">
        <is>
          <t>Exports</t>
        </is>
      </c>
      <c r="C89" s="34" t="inlineStr">
        <is>
          <t>2008-09</t>
        </is>
      </c>
      <c r="O89" s="40" t="n">
        <v>973</v>
      </c>
      <c r="P89" s="41">
        <f>SUM(D89:O89)</f>
        <v/>
      </c>
    </row>
    <row r="90">
      <c r="A90" s="34" t="inlineStr">
        <is>
          <t>Lentils</t>
        </is>
      </c>
      <c r="B90" s="39" t="inlineStr">
        <is>
          <t>Ending Stocks</t>
        </is>
      </c>
      <c r="C90" s="34" t="inlineStr">
        <is>
          <t>2008-09</t>
        </is>
      </c>
      <c r="O90" s="40" t="n">
        <v>22</v>
      </c>
      <c r="P90" s="41">
        <f>SUM(D90:O90)</f>
        <v/>
      </c>
    </row>
    <row r="91">
      <c r="A91" s="34" t="inlineStr">
        <is>
          <t>Lentils</t>
        </is>
      </c>
      <c r="B91" s="35" t="inlineStr">
        <is>
          <t>Stocks-to-Use</t>
        </is>
      </c>
      <c r="C91" s="34" t="inlineStr">
        <is>
          <t>2008-09</t>
        </is>
      </c>
      <c r="P91" s="37">
        <f>SUM(D91:O91)</f>
        <v/>
      </c>
    </row>
    <row r="92">
      <c r="A92" s="34" t="inlineStr">
        <is>
          <t>Lentils</t>
        </is>
      </c>
      <c r="B92" s="35" t="inlineStr">
        <is>
          <t>STU Days</t>
        </is>
      </c>
      <c r="C92" s="34" t="inlineStr">
        <is>
          <t>2008-09</t>
        </is>
      </c>
      <c r="P92" s="41">
        <f>SUM(D92:O92)</f>
        <v/>
      </c>
    </row>
    <row r="93">
      <c r="A93" s="34" t="inlineStr">
        <is>
          <t>Lentils</t>
        </is>
      </c>
      <c r="B93" s="35" t="inlineStr">
        <is>
          <t>CHECK</t>
        </is>
      </c>
      <c r="C93" s="34" t="inlineStr">
        <is>
          <t>2008-09</t>
        </is>
      </c>
      <c r="O93" s="41" t="n">
        <v>0</v>
      </c>
      <c r="P93" s="41">
        <f>SUM(D93:O93)</f>
        <v/>
      </c>
    </row>
    <row r="94">
      <c r="A94" s="34" t="inlineStr">
        <is>
          <t>Lentils</t>
        </is>
      </c>
      <c r="B94" s="35" t="inlineStr">
        <is>
          <t>Planted Area</t>
        </is>
      </c>
      <c r="C94" s="34" t="inlineStr">
        <is>
          <t>2009-10</t>
        </is>
      </c>
      <c r="P94" s="36">
        <f>SUM(D94:O94)</f>
        <v/>
      </c>
    </row>
    <row r="95">
      <c r="A95" s="34" t="inlineStr">
        <is>
          <t>Lentils</t>
        </is>
      </c>
      <c r="B95" s="35" t="inlineStr">
        <is>
          <t>Harvested Area</t>
        </is>
      </c>
      <c r="C95" s="34" t="inlineStr">
        <is>
          <t>2009-10</t>
        </is>
      </c>
      <c r="P95" s="36">
        <f>SUM(D95:O95)</f>
        <v/>
      </c>
    </row>
    <row r="96">
      <c r="A96" s="34" t="inlineStr">
        <is>
          <t>Lentils</t>
        </is>
      </c>
      <c r="B96" s="35" t="inlineStr">
        <is>
          <t>Proportion Harvested</t>
        </is>
      </c>
      <c r="C96" s="34" t="inlineStr">
        <is>
          <t>2009-10</t>
        </is>
      </c>
      <c r="P96" s="37">
        <f>SUM(D96:O96)</f>
        <v/>
      </c>
    </row>
    <row r="97">
      <c r="A97" s="34" t="inlineStr">
        <is>
          <t>Lentils</t>
        </is>
      </c>
      <c r="B97" s="35" t="inlineStr">
        <is>
          <t>Yield</t>
        </is>
      </c>
      <c r="C97" s="34" t="inlineStr">
        <is>
          <t>2009-10</t>
        </is>
      </c>
      <c r="P97" s="38">
        <f>SUM(D97:O97)</f>
        <v/>
      </c>
    </row>
    <row r="98">
      <c r="A98" s="34" t="inlineStr">
        <is>
          <t>Lentils</t>
        </is>
      </c>
      <c r="B98" s="39" t="inlineStr">
        <is>
          <t>Beginning Stocks</t>
        </is>
      </c>
      <c r="C98" s="34" t="inlineStr">
        <is>
          <t>2009-10</t>
        </is>
      </c>
      <c r="O98" s="40" t="n">
        <v>22</v>
      </c>
      <c r="P98" s="41">
        <f>SUM(D98:O98)</f>
        <v/>
      </c>
    </row>
    <row r="99">
      <c r="A99" s="34" t="inlineStr">
        <is>
          <t>Lentils</t>
        </is>
      </c>
      <c r="B99" s="39" t="inlineStr">
        <is>
          <t>Imports</t>
        </is>
      </c>
      <c r="C99" s="34" t="inlineStr">
        <is>
          <t>2009-10</t>
        </is>
      </c>
      <c r="O99" s="40" t="n">
        <v>8.199999999999999</v>
      </c>
      <c r="P99" s="41">
        <f>SUM(D99:O99)</f>
        <v/>
      </c>
    </row>
    <row r="100">
      <c r="A100" s="34" t="inlineStr">
        <is>
          <t>Lentils</t>
        </is>
      </c>
      <c r="B100" s="39" t="inlineStr">
        <is>
          <t>Production</t>
        </is>
      </c>
      <c r="C100" s="34" t="inlineStr">
        <is>
          <t>2009-10</t>
        </is>
      </c>
      <c r="O100" s="40" t="n">
        <v>1530.2</v>
      </c>
      <c r="P100" s="41">
        <f>SUM(D100:O100)</f>
        <v/>
      </c>
    </row>
    <row r="101">
      <c r="A101" s="34" t="inlineStr">
        <is>
          <t>Lentils</t>
        </is>
      </c>
      <c r="B101" s="39" t="inlineStr">
        <is>
          <t>FSR</t>
        </is>
      </c>
      <c r="C101" s="34" t="inlineStr">
        <is>
          <t>2009-10</t>
        </is>
      </c>
      <c r="O101" s="40" t="n">
        <v>133.6000000000001</v>
      </c>
      <c r="P101" s="41">
        <f>SUM(D101:O101)</f>
        <v/>
      </c>
    </row>
    <row r="102">
      <c r="A102" s="34" t="inlineStr">
        <is>
          <t>Lentils</t>
        </is>
      </c>
      <c r="B102" s="39" t="inlineStr">
        <is>
          <t>Exports</t>
        </is>
      </c>
      <c r="C102" s="34" t="inlineStr">
        <is>
          <t>2009-10</t>
        </is>
      </c>
      <c r="O102" s="40" t="n">
        <v>1386.8</v>
      </c>
      <c r="P102" s="41">
        <f>SUM(D102:O102)</f>
        <v/>
      </c>
    </row>
    <row r="103">
      <c r="A103" s="34" t="inlineStr">
        <is>
          <t>Lentils</t>
        </is>
      </c>
      <c r="B103" s="39" t="inlineStr">
        <is>
          <t>Ending Stocks</t>
        </is>
      </c>
      <c r="C103" s="34" t="inlineStr">
        <is>
          <t>2009-10</t>
        </is>
      </c>
      <c r="O103" s="40" t="n">
        <v>40</v>
      </c>
      <c r="P103" s="41">
        <f>SUM(D103:O103)</f>
        <v/>
      </c>
    </row>
    <row r="104">
      <c r="A104" s="34" t="inlineStr">
        <is>
          <t>Lentils</t>
        </is>
      </c>
      <c r="B104" s="35" t="inlineStr">
        <is>
          <t>Stocks-to-Use</t>
        </is>
      </c>
      <c r="C104" s="34" t="inlineStr">
        <is>
          <t>2009-10</t>
        </is>
      </c>
      <c r="P104" s="37">
        <f>SUM(D104:O104)</f>
        <v/>
      </c>
    </row>
    <row r="105">
      <c r="A105" s="34" t="inlineStr">
        <is>
          <t>Lentils</t>
        </is>
      </c>
      <c r="B105" s="35" t="inlineStr">
        <is>
          <t>STU Days</t>
        </is>
      </c>
      <c r="C105" s="34" t="inlineStr">
        <is>
          <t>2009-10</t>
        </is>
      </c>
      <c r="P105" s="41">
        <f>SUM(D105:O105)</f>
        <v/>
      </c>
    </row>
    <row r="106">
      <c r="A106" s="34" t="inlineStr">
        <is>
          <t>Lentils</t>
        </is>
      </c>
      <c r="B106" s="35" t="inlineStr">
        <is>
          <t>CHECK</t>
        </is>
      </c>
      <c r="C106" s="34" t="inlineStr">
        <is>
          <t>2009-10</t>
        </is>
      </c>
      <c r="O106" s="41" t="n">
        <v>0</v>
      </c>
      <c r="P106" s="41">
        <f>SUM(D106:O106)</f>
        <v/>
      </c>
    </row>
    <row r="107">
      <c r="A107" s="34" t="inlineStr">
        <is>
          <t>Lentils</t>
        </is>
      </c>
      <c r="B107" s="35" t="inlineStr">
        <is>
          <t>Planted Area</t>
        </is>
      </c>
      <c r="C107" s="34" t="inlineStr">
        <is>
          <t>2010-11</t>
        </is>
      </c>
      <c r="P107" s="36">
        <f>SUM(D107:O107)</f>
        <v/>
      </c>
    </row>
    <row r="108">
      <c r="A108" s="34" t="inlineStr">
        <is>
          <t>Lentils</t>
        </is>
      </c>
      <c r="B108" s="35" t="inlineStr">
        <is>
          <t>Harvested Area</t>
        </is>
      </c>
      <c r="C108" s="34" t="inlineStr">
        <is>
          <t>2010-11</t>
        </is>
      </c>
      <c r="P108" s="36">
        <f>SUM(D108:O108)</f>
        <v/>
      </c>
    </row>
    <row r="109">
      <c r="A109" s="34" t="inlineStr">
        <is>
          <t>Lentils</t>
        </is>
      </c>
      <c r="B109" s="35" t="inlineStr">
        <is>
          <t>Proportion Harvested</t>
        </is>
      </c>
      <c r="C109" s="34" t="inlineStr">
        <is>
          <t>2010-11</t>
        </is>
      </c>
      <c r="P109" s="37">
        <f>SUM(D109:O109)</f>
        <v/>
      </c>
    </row>
    <row r="110">
      <c r="A110" s="34" t="inlineStr">
        <is>
          <t>Lentils</t>
        </is>
      </c>
      <c r="B110" s="35" t="inlineStr">
        <is>
          <t>Yield</t>
        </is>
      </c>
      <c r="C110" s="34" t="inlineStr">
        <is>
          <t>2010-11</t>
        </is>
      </c>
      <c r="P110" s="38">
        <f>SUM(D110:O110)</f>
        <v/>
      </c>
    </row>
    <row r="111">
      <c r="A111" s="34" t="inlineStr">
        <is>
          <t>Lentils</t>
        </is>
      </c>
      <c r="B111" s="39" t="inlineStr">
        <is>
          <t>Beginning Stocks</t>
        </is>
      </c>
      <c r="C111" s="34" t="inlineStr">
        <is>
          <t>2010-11</t>
        </is>
      </c>
      <c r="O111" s="40" t="n">
        <v>40</v>
      </c>
      <c r="P111" s="41">
        <f>SUM(D111:O111)</f>
        <v/>
      </c>
    </row>
    <row r="112">
      <c r="A112" s="34" t="inlineStr">
        <is>
          <t>Lentils</t>
        </is>
      </c>
      <c r="B112" s="39" t="inlineStr">
        <is>
          <t>Imports</t>
        </is>
      </c>
      <c r="C112" s="34" t="inlineStr">
        <is>
          <t>2010-11</t>
        </is>
      </c>
      <c r="O112" s="40" t="n">
        <v>28.5</v>
      </c>
      <c r="P112" s="41">
        <f>SUM(D112:O112)</f>
        <v/>
      </c>
    </row>
    <row r="113">
      <c r="A113" s="34" t="inlineStr">
        <is>
          <t>Lentils</t>
        </is>
      </c>
      <c r="B113" s="39" t="inlineStr">
        <is>
          <t>Production</t>
        </is>
      </c>
      <c r="C113" s="34" t="inlineStr">
        <is>
          <t>2010-11</t>
        </is>
      </c>
      <c r="O113" s="40" t="n">
        <v>2004.8</v>
      </c>
      <c r="P113" s="41">
        <f>SUM(D113:O113)</f>
        <v/>
      </c>
    </row>
    <row r="114">
      <c r="A114" s="34" t="inlineStr">
        <is>
          <t>Lentils</t>
        </is>
      </c>
      <c r="B114" s="39" t="inlineStr">
        <is>
          <t>FSR</t>
        </is>
      </c>
      <c r="C114" s="34" t="inlineStr">
        <is>
          <t>2010-11</t>
        </is>
      </c>
      <c r="O114" s="40" t="n">
        <v>138.3000000000002</v>
      </c>
      <c r="P114" s="41">
        <f>SUM(D114:O114)</f>
        <v/>
      </c>
    </row>
    <row r="115">
      <c r="A115" s="34" t="inlineStr">
        <is>
          <t>Lentils</t>
        </is>
      </c>
      <c r="B115" s="39" t="inlineStr">
        <is>
          <t>Exports</t>
        </is>
      </c>
      <c r="C115" s="34" t="inlineStr">
        <is>
          <t>2010-11</t>
        </is>
      </c>
      <c r="O115" s="40" t="n">
        <v>1105</v>
      </c>
      <c r="P115" s="41">
        <f>SUM(D115:O115)</f>
        <v/>
      </c>
    </row>
    <row r="116">
      <c r="A116" s="34" t="inlineStr">
        <is>
          <t>Lentils</t>
        </is>
      </c>
      <c r="B116" s="39" t="inlineStr">
        <is>
          <t>Ending Stocks</t>
        </is>
      </c>
      <c r="C116" s="34" t="inlineStr">
        <is>
          <t>2010-11</t>
        </is>
      </c>
      <c r="O116" s="40" t="n">
        <v>830</v>
      </c>
      <c r="P116" s="41">
        <f>SUM(D116:O116)</f>
        <v/>
      </c>
    </row>
    <row r="117">
      <c r="A117" s="34" t="inlineStr">
        <is>
          <t>Lentils</t>
        </is>
      </c>
      <c r="B117" s="35" t="inlineStr">
        <is>
          <t>Stocks-to-Use</t>
        </is>
      </c>
      <c r="C117" s="34" t="inlineStr">
        <is>
          <t>2010-11</t>
        </is>
      </c>
      <c r="P117" s="37">
        <f>SUM(D117:O117)</f>
        <v/>
      </c>
    </row>
    <row r="118">
      <c r="A118" s="34" t="inlineStr">
        <is>
          <t>Lentils</t>
        </is>
      </c>
      <c r="B118" s="35" t="inlineStr">
        <is>
          <t>STU Days</t>
        </is>
      </c>
      <c r="C118" s="34" t="inlineStr">
        <is>
          <t>2010-11</t>
        </is>
      </c>
      <c r="P118" s="41">
        <f>SUM(D118:O118)</f>
        <v/>
      </c>
    </row>
    <row r="119">
      <c r="A119" s="34" t="inlineStr">
        <is>
          <t>Lentils</t>
        </is>
      </c>
      <c r="B119" s="35" t="inlineStr">
        <is>
          <t>CHECK</t>
        </is>
      </c>
      <c r="C119" s="34" t="inlineStr">
        <is>
          <t>2010-11</t>
        </is>
      </c>
      <c r="O119" s="41" t="n">
        <v>0</v>
      </c>
      <c r="P119" s="41">
        <f>SUM(D119:O119)</f>
        <v/>
      </c>
    </row>
    <row r="120">
      <c r="A120" s="34" t="inlineStr">
        <is>
          <t>Lentils</t>
        </is>
      </c>
      <c r="B120" s="35" t="inlineStr">
        <is>
          <t>Planted Area</t>
        </is>
      </c>
      <c r="C120" s="34" t="inlineStr">
        <is>
          <t>2011-12</t>
        </is>
      </c>
      <c r="P120" s="36">
        <f>SUM(D120:O120)</f>
        <v/>
      </c>
    </row>
    <row r="121">
      <c r="A121" s="34" t="inlineStr">
        <is>
          <t>Lentils</t>
        </is>
      </c>
      <c r="B121" s="35" t="inlineStr">
        <is>
          <t>Harvested Area</t>
        </is>
      </c>
      <c r="C121" s="34" t="inlineStr">
        <is>
          <t>2011-12</t>
        </is>
      </c>
      <c r="P121" s="36">
        <f>SUM(D121:O121)</f>
        <v/>
      </c>
    </row>
    <row r="122">
      <c r="A122" s="34" t="inlineStr">
        <is>
          <t>Lentils</t>
        </is>
      </c>
      <c r="B122" s="35" t="inlineStr">
        <is>
          <t>Proportion Harvested</t>
        </is>
      </c>
      <c r="C122" s="34" t="inlineStr">
        <is>
          <t>2011-12</t>
        </is>
      </c>
      <c r="P122" s="37">
        <f>SUM(D122:O122)</f>
        <v/>
      </c>
    </row>
    <row r="123">
      <c r="A123" s="34" t="inlineStr">
        <is>
          <t>Lentils</t>
        </is>
      </c>
      <c r="B123" s="35" t="inlineStr">
        <is>
          <t>Yield</t>
        </is>
      </c>
      <c r="C123" s="34" t="inlineStr">
        <is>
          <t>2011-12</t>
        </is>
      </c>
      <c r="P123" s="38">
        <f>SUM(D123:O123)</f>
        <v/>
      </c>
    </row>
    <row r="124">
      <c r="A124" s="34" t="inlineStr">
        <is>
          <t>Lentils</t>
        </is>
      </c>
      <c r="B124" s="39" t="inlineStr">
        <is>
          <t>Beginning Stocks</t>
        </is>
      </c>
      <c r="C124" s="34" t="inlineStr">
        <is>
          <t>2011-12</t>
        </is>
      </c>
      <c r="O124" s="40" t="n">
        <v>830</v>
      </c>
      <c r="P124" s="41">
        <f>SUM(D124:O124)</f>
        <v/>
      </c>
    </row>
    <row r="125">
      <c r="A125" s="34" t="inlineStr">
        <is>
          <t>Lentils</t>
        </is>
      </c>
      <c r="B125" s="39" t="inlineStr">
        <is>
          <t>Imports</t>
        </is>
      </c>
      <c r="C125" s="34" t="inlineStr">
        <is>
          <t>2011-12</t>
        </is>
      </c>
      <c r="O125" s="40" t="n">
        <v>11.4</v>
      </c>
      <c r="P125" s="41">
        <f>SUM(D125:O125)</f>
        <v/>
      </c>
    </row>
    <row r="126">
      <c r="A126" s="34" t="inlineStr">
        <is>
          <t>Lentils</t>
        </is>
      </c>
      <c r="B126" s="39" t="inlineStr">
        <is>
          <t>Production</t>
        </is>
      </c>
      <c r="C126" s="34" t="inlineStr">
        <is>
          <t>2011-12</t>
        </is>
      </c>
      <c r="O126" s="40" t="n">
        <v>1573.5</v>
      </c>
      <c r="P126" s="41">
        <f>SUM(D126:O126)</f>
        <v/>
      </c>
    </row>
    <row r="127">
      <c r="A127" s="34" t="inlineStr">
        <is>
          <t>Lentils</t>
        </is>
      </c>
      <c r="B127" s="39" t="inlineStr">
        <is>
          <t>FSR</t>
        </is>
      </c>
      <c r="C127" s="34" t="inlineStr">
        <is>
          <t>2011-12</t>
        </is>
      </c>
      <c r="O127" s="40" t="n">
        <v>407.2000000000001</v>
      </c>
      <c r="P127" s="41">
        <f>SUM(D127:O127)</f>
        <v/>
      </c>
    </row>
    <row r="128">
      <c r="A128" s="34" t="inlineStr">
        <is>
          <t>Lentils</t>
        </is>
      </c>
      <c r="B128" s="39" t="inlineStr">
        <is>
          <t>Exports</t>
        </is>
      </c>
      <c r="C128" s="34" t="inlineStr">
        <is>
          <t>2011-12</t>
        </is>
      </c>
      <c r="O128" s="40" t="n">
        <v>1147.7</v>
      </c>
      <c r="P128" s="41">
        <f>SUM(D128:O128)</f>
        <v/>
      </c>
    </row>
    <row r="129">
      <c r="A129" s="34" t="inlineStr">
        <is>
          <t>Lentils</t>
        </is>
      </c>
      <c r="B129" s="39" t="inlineStr">
        <is>
          <t>Ending Stocks</t>
        </is>
      </c>
      <c r="C129" s="34" t="inlineStr">
        <is>
          <t>2011-12</t>
        </is>
      </c>
      <c r="O129" s="40" t="n">
        <v>860</v>
      </c>
      <c r="P129" s="41">
        <f>SUM(D129:O129)</f>
        <v/>
      </c>
    </row>
    <row r="130">
      <c r="A130" s="34" t="inlineStr">
        <is>
          <t>Lentils</t>
        </is>
      </c>
      <c r="B130" s="35" t="inlineStr">
        <is>
          <t>Stocks-to-Use</t>
        </is>
      </c>
      <c r="C130" s="34" t="inlineStr">
        <is>
          <t>2011-12</t>
        </is>
      </c>
      <c r="P130" s="37">
        <f>SUM(D130:O130)</f>
        <v/>
      </c>
    </row>
    <row r="131">
      <c r="A131" s="34" t="inlineStr">
        <is>
          <t>Lentils</t>
        </is>
      </c>
      <c r="B131" s="35" t="inlineStr">
        <is>
          <t>STU Days</t>
        </is>
      </c>
      <c r="C131" s="34" t="inlineStr">
        <is>
          <t>2011-12</t>
        </is>
      </c>
      <c r="P131" s="41">
        <f>SUM(D131:O131)</f>
        <v/>
      </c>
    </row>
    <row r="132">
      <c r="A132" s="34" t="inlineStr">
        <is>
          <t>Lentils</t>
        </is>
      </c>
      <c r="B132" s="35" t="inlineStr">
        <is>
          <t>CHECK</t>
        </is>
      </c>
      <c r="C132" s="34" t="inlineStr">
        <is>
          <t>2011-12</t>
        </is>
      </c>
      <c r="O132" s="41" t="n">
        <v>0</v>
      </c>
      <c r="P132" s="41">
        <f>SUM(D132:O132)</f>
        <v/>
      </c>
    </row>
    <row r="133">
      <c r="A133" s="34" t="inlineStr">
        <is>
          <t>Lentils</t>
        </is>
      </c>
      <c r="B133" s="35" t="inlineStr">
        <is>
          <t>Planted Area</t>
        </is>
      </c>
      <c r="C133" s="34" t="inlineStr">
        <is>
          <t>2012-13</t>
        </is>
      </c>
      <c r="P133" s="36">
        <f>SUM(D133:O133)</f>
        <v/>
      </c>
    </row>
    <row r="134">
      <c r="A134" s="34" t="inlineStr">
        <is>
          <t>Lentils</t>
        </is>
      </c>
      <c r="B134" s="35" t="inlineStr">
        <is>
          <t>Harvested Area</t>
        </is>
      </c>
      <c r="C134" s="34" t="inlineStr">
        <is>
          <t>2012-13</t>
        </is>
      </c>
      <c r="P134" s="36">
        <f>SUM(D134:O134)</f>
        <v/>
      </c>
    </row>
    <row r="135">
      <c r="A135" s="34" t="inlineStr">
        <is>
          <t>Lentils</t>
        </is>
      </c>
      <c r="B135" s="35" t="inlineStr">
        <is>
          <t>Proportion Harvested</t>
        </is>
      </c>
      <c r="C135" s="34" t="inlineStr">
        <is>
          <t>2012-13</t>
        </is>
      </c>
      <c r="P135" s="37">
        <f>SUM(D135:O135)</f>
        <v/>
      </c>
    </row>
    <row r="136">
      <c r="A136" s="34" t="inlineStr">
        <is>
          <t>Lentils</t>
        </is>
      </c>
      <c r="B136" s="35" t="inlineStr">
        <is>
          <t>Yield</t>
        </is>
      </c>
      <c r="C136" s="34" t="inlineStr">
        <is>
          <t>2012-13</t>
        </is>
      </c>
      <c r="P136" s="38">
        <f>SUM(D136:O136)</f>
        <v/>
      </c>
    </row>
    <row r="137">
      <c r="A137" s="34" t="inlineStr">
        <is>
          <t>Lentils</t>
        </is>
      </c>
      <c r="B137" s="39" t="inlineStr">
        <is>
          <t>Beginning Stocks</t>
        </is>
      </c>
      <c r="C137" s="34" t="inlineStr">
        <is>
          <t>2012-13</t>
        </is>
      </c>
      <c r="O137" s="40" t="n">
        <v>860</v>
      </c>
      <c r="P137" s="41">
        <f>SUM(D137:O137)</f>
        <v/>
      </c>
    </row>
    <row r="138">
      <c r="A138" s="34" t="inlineStr">
        <is>
          <t>Lentils</t>
        </is>
      </c>
      <c r="B138" s="39" t="inlineStr">
        <is>
          <t>Imports</t>
        </is>
      </c>
      <c r="C138" s="34" t="inlineStr">
        <is>
          <t>2012-13</t>
        </is>
      </c>
      <c r="O138" s="40" t="n">
        <v>8.699999999999999</v>
      </c>
      <c r="P138" s="41">
        <f>SUM(D138:O138)</f>
        <v/>
      </c>
    </row>
    <row r="139">
      <c r="A139" s="34" t="inlineStr">
        <is>
          <t>Lentils</t>
        </is>
      </c>
      <c r="B139" s="39" t="inlineStr">
        <is>
          <t>Production</t>
        </is>
      </c>
      <c r="C139" s="34" t="inlineStr">
        <is>
          <t>2012-13</t>
        </is>
      </c>
      <c r="O139" s="40" t="n">
        <v>1537.9</v>
      </c>
      <c r="P139" s="41">
        <f>SUM(D139:O139)</f>
        <v/>
      </c>
    </row>
    <row r="140">
      <c r="A140" s="34" t="inlineStr">
        <is>
          <t>Lentils</t>
        </is>
      </c>
      <c r="B140" s="39" t="inlineStr">
        <is>
          <t>FSR</t>
        </is>
      </c>
      <c r="C140" s="34" t="inlineStr">
        <is>
          <t>2012-13</t>
        </is>
      </c>
      <c r="O140" s="40" t="n">
        <v>301.3999999999999</v>
      </c>
      <c r="P140" s="41">
        <f>SUM(D140:O140)</f>
        <v/>
      </c>
    </row>
    <row r="141">
      <c r="A141" s="34" t="inlineStr">
        <is>
          <t>Lentils</t>
        </is>
      </c>
      <c r="B141" s="39" t="inlineStr">
        <is>
          <t>Exports</t>
        </is>
      </c>
      <c r="C141" s="34" t="inlineStr">
        <is>
          <t>2012-13</t>
        </is>
      </c>
      <c r="O141" s="40" t="n">
        <v>1638.2</v>
      </c>
      <c r="P141" s="41">
        <f>SUM(D141:O141)</f>
        <v/>
      </c>
    </row>
    <row r="142">
      <c r="A142" s="34" t="inlineStr">
        <is>
          <t>Lentils</t>
        </is>
      </c>
      <c r="B142" s="39" t="inlineStr">
        <is>
          <t>Ending Stocks</t>
        </is>
      </c>
      <c r="C142" s="34" t="inlineStr">
        <is>
          <t>2012-13</t>
        </is>
      </c>
      <c r="O142" s="40" t="n">
        <v>467</v>
      </c>
      <c r="P142" s="41">
        <f>SUM(D142:O142)</f>
        <v/>
      </c>
    </row>
    <row r="143">
      <c r="A143" s="34" t="inlineStr">
        <is>
          <t>Lentils</t>
        </is>
      </c>
      <c r="B143" s="35" t="inlineStr">
        <is>
          <t>Stocks-to-Use</t>
        </is>
      </c>
      <c r="C143" s="34" t="inlineStr">
        <is>
          <t>2012-13</t>
        </is>
      </c>
      <c r="P143" s="37">
        <f>SUM(D143:O143)</f>
        <v/>
      </c>
    </row>
    <row r="144">
      <c r="A144" s="34" t="inlineStr">
        <is>
          <t>Lentils</t>
        </is>
      </c>
      <c r="B144" s="35" t="inlineStr">
        <is>
          <t>STU Days</t>
        </is>
      </c>
      <c r="C144" s="34" t="inlineStr">
        <is>
          <t>2012-13</t>
        </is>
      </c>
      <c r="P144" s="41">
        <f>SUM(D144:O144)</f>
        <v/>
      </c>
    </row>
    <row r="145">
      <c r="A145" s="34" t="inlineStr">
        <is>
          <t>Lentils</t>
        </is>
      </c>
      <c r="B145" s="35" t="inlineStr">
        <is>
          <t>CHECK</t>
        </is>
      </c>
      <c r="C145" s="34" t="inlineStr">
        <is>
          <t>2012-13</t>
        </is>
      </c>
      <c r="O145" s="41" t="n">
        <v>-2.273736754432321e-13</v>
      </c>
      <c r="P145" s="41">
        <f>SUM(D145:O145)</f>
        <v/>
      </c>
    </row>
    <row r="146">
      <c r="A146" s="34" t="inlineStr">
        <is>
          <t>Lentils</t>
        </is>
      </c>
      <c r="B146" s="35" t="inlineStr">
        <is>
          <t>Planted Area</t>
        </is>
      </c>
      <c r="C146" s="34" t="inlineStr">
        <is>
          <t>2013-14</t>
        </is>
      </c>
      <c r="P146" s="36">
        <f>SUM(D146:O146)</f>
        <v/>
      </c>
    </row>
    <row r="147">
      <c r="A147" s="34" t="inlineStr">
        <is>
          <t>Lentils</t>
        </is>
      </c>
      <c r="B147" s="35" t="inlineStr">
        <is>
          <t>Harvested Area</t>
        </is>
      </c>
      <c r="C147" s="34" t="inlineStr">
        <is>
          <t>2013-14</t>
        </is>
      </c>
      <c r="P147" s="36">
        <f>SUM(D147:O147)</f>
        <v/>
      </c>
    </row>
    <row r="148">
      <c r="A148" s="34" t="inlineStr">
        <is>
          <t>Lentils</t>
        </is>
      </c>
      <c r="B148" s="35" t="inlineStr">
        <is>
          <t>Proportion Harvested</t>
        </is>
      </c>
      <c r="C148" s="34" t="inlineStr">
        <is>
          <t>2013-14</t>
        </is>
      </c>
      <c r="P148" s="37">
        <f>SUM(D148:O148)</f>
        <v/>
      </c>
    </row>
    <row r="149">
      <c r="A149" s="34" t="inlineStr">
        <is>
          <t>Lentils</t>
        </is>
      </c>
      <c r="B149" s="35" t="inlineStr">
        <is>
          <t>Yield</t>
        </is>
      </c>
      <c r="C149" s="34" t="inlineStr">
        <is>
          <t>2013-14</t>
        </is>
      </c>
      <c r="P149" s="38">
        <f>SUM(D149:O149)</f>
        <v/>
      </c>
    </row>
    <row r="150">
      <c r="A150" s="34" t="inlineStr">
        <is>
          <t>Lentils</t>
        </is>
      </c>
      <c r="B150" s="39" t="inlineStr">
        <is>
          <t>Beginning Stocks</t>
        </is>
      </c>
      <c r="C150" s="34" t="inlineStr">
        <is>
          <t>2013-14</t>
        </is>
      </c>
      <c r="O150" s="40" t="n">
        <v>467</v>
      </c>
      <c r="P150" s="41">
        <f>SUM(D150:O150)</f>
        <v/>
      </c>
    </row>
    <row r="151">
      <c r="A151" s="34" t="inlineStr">
        <is>
          <t>Lentils</t>
        </is>
      </c>
      <c r="B151" s="39" t="inlineStr">
        <is>
          <t>Imports</t>
        </is>
      </c>
      <c r="C151" s="34" t="inlineStr">
        <is>
          <t>2013-14</t>
        </is>
      </c>
      <c r="O151" s="40" t="n">
        <v>9.4</v>
      </c>
      <c r="P151" s="41">
        <f>SUM(D151:O151)</f>
        <v/>
      </c>
    </row>
    <row r="152">
      <c r="A152" s="34" t="inlineStr">
        <is>
          <t>Lentils</t>
        </is>
      </c>
      <c r="B152" s="39" t="inlineStr">
        <is>
          <t>Production</t>
        </is>
      </c>
      <c r="C152" s="34" t="inlineStr">
        <is>
          <t>2013-14</t>
        </is>
      </c>
      <c r="O152" s="40" t="n">
        <v>2261.7</v>
      </c>
      <c r="P152" s="41">
        <f>SUM(D152:O152)</f>
        <v/>
      </c>
    </row>
    <row r="153">
      <c r="A153" s="34" t="inlineStr">
        <is>
          <t>Lentils</t>
        </is>
      </c>
      <c r="B153" s="39" t="inlineStr">
        <is>
          <t>FSR</t>
        </is>
      </c>
      <c r="C153" s="34" t="inlineStr">
        <is>
          <t>2013-14</t>
        </is>
      </c>
      <c r="O153" s="40" t="n">
        <v>199.3999999999998</v>
      </c>
      <c r="P153" s="41">
        <f>SUM(D153:O153)</f>
        <v/>
      </c>
    </row>
    <row r="154">
      <c r="A154" s="34" t="inlineStr">
        <is>
          <t>Lentils</t>
        </is>
      </c>
      <c r="B154" s="39" t="inlineStr">
        <is>
          <t>Exports</t>
        </is>
      </c>
      <c r="C154" s="34" t="inlineStr">
        <is>
          <t>2013-14</t>
        </is>
      </c>
      <c r="O154" s="40" t="n">
        <v>1752.7</v>
      </c>
      <c r="P154" s="41">
        <f>SUM(D154:O154)</f>
        <v/>
      </c>
    </row>
    <row r="155">
      <c r="A155" s="34" t="inlineStr">
        <is>
          <t>Lentils</t>
        </is>
      </c>
      <c r="B155" s="39" t="inlineStr">
        <is>
          <t>Ending Stocks</t>
        </is>
      </c>
      <c r="C155" s="34" t="inlineStr">
        <is>
          <t>2013-14</t>
        </is>
      </c>
      <c r="O155" s="40" t="n">
        <v>786</v>
      </c>
      <c r="P155" s="41">
        <f>SUM(D155:O155)</f>
        <v/>
      </c>
    </row>
    <row r="156">
      <c r="A156" s="34" t="inlineStr">
        <is>
          <t>Lentils</t>
        </is>
      </c>
      <c r="B156" s="35" t="inlineStr">
        <is>
          <t>Stocks-to-Use</t>
        </is>
      </c>
      <c r="C156" s="34" t="inlineStr">
        <is>
          <t>2013-14</t>
        </is>
      </c>
      <c r="P156" s="37">
        <f>SUM(D156:O156)</f>
        <v/>
      </c>
    </row>
    <row r="157">
      <c r="A157" s="34" t="inlineStr">
        <is>
          <t>Lentils</t>
        </is>
      </c>
      <c r="B157" s="35" t="inlineStr">
        <is>
          <t>STU Days</t>
        </is>
      </c>
      <c r="C157" s="34" t="inlineStr">
        <is>
          <t>2013-14</t>
        </is>
      </c>
      <c r="P157" s="41">
        <f>SUM(D157:O157)</f>
        <v/>
      </c>
    </row>
    <row r="158">
      <c r="A158" s="34" t="inlineStr">
        <is>
          <t>Lentils</t>
        </is>
      </c>
      <c r="B158" s="35" t="inlineStr">
        <is>
          <t>CHECK</t>
        </is>
      </c>
      <c r="C158" s="34" t="inlineStr">
        <is>
          <t>2013-14</t>
        </is>
      </c>
      <c r="O158" s="41" t="n">
        <v>-2.273736754432321e-13</v>
      </c>
      <c r="P158" s="41">
        <f>SUM(D158:O158)</f>
        <v/>
      </c>
    </row>
    <row r="159">
      <c r="A159" s="34" t="inlineStr">
        <is>
          <t>Lentils</t>
        </is>
      </c>
      <c r="B159" s="35" t="inlineStr">
        <is>
          <t>Planted Area</t>
        </is>
      </c>
      <c r="C159" s="34" t="inlineStr">
        <is>
          <t>2014-15</t>
        </is>
      </c>
      <c r="P159" s="36">
        <f>SUM(D159:O159)</f>
        <v/>
      </c>
    </row>
    <row r="160">
      <c r="A160" s="34" t="inlineStr">
        <is>
          <t>Lentils</t>
        </is>
      </c>
      <c r="B160" s="35" t="inlineStr">
        <is>
          <t>Harvested Area</t>
        </is>
      </c>
      <c r="C160" s="34" t="inlineStr">
        <is>
          <t>2014-15</t>
        </is>
      </c>
      <c r="P160" s="36">
        <f>SUM(D160:O160)</f>
        <v/>
      </c>
    </row>
    <row r="161">
      <c r="A161" s="34" t="inlineStr">
        <is>
          <t>Lentils</t>
        </is>
      </c>
      <c r="B161" s="35" t="inlineStr">
        <is>
          <t>Proportion Harvested</t>
        </is>
      </c>
      <c r="C161" s="34" t="inlineStr">
        <is>
          <t>2014-15</t>
        </is>
      </c>
      <c r="P161" s="37">
        <f>SUM(D161:O161)</f>
        <v/>
      </c>
    </row>
    <row r="162">
      <c r="A162" s="34" t="inlineStr">
        <is>
          <t>Lentils</t>
        </is>
      </c>
      <c r="B162" s="35" t="inlineStr">
        <is>
          <t>Yield</t>
        </is>
      </c>
      <c r="C162" s="34" t="inlineStr">
        <is>
          <t>2014-15</t>
        </is>
      </c>
      <c r="P162" s="38">
        <f>SUM(D162:O162)</f>
        <v/>
      </c>
    </row>
    <row r="163">
      <c r="A163" s="34" t="inlineStr">
        <is>
          <t>Lentils</t>
        </is>
      </c>
      <c r="B163" s="39" t="inlineStr">
        <is>
          <t>Beginning Stocks</t>
        </is>
      </c>
      <c r="C163" s="34" t="inlineStr">
        <is>
          <t>2014-15</t>
        </is>
      </c>
      <c r="O163" s="40" t="n">
        <v>786</v>
      </c>
      <c r="P163" s="41">
        <f>SUM(D163:O163)</f>
        <v/>
      </c>
    </row>
    <row r="164">
      <c r="A164" s="34" t="inlineStr">
        <is>
          <t>Lentils</t>
        </is>
      </c>
      <c r="B164" s="39" t="inlineStr">
        <is>
          <t>Imports</t>
        </is>
      </c>
      <c r="C164" s="34" t="inlineStr">
        <is>
          <t>2014-15</t>
        </is>
      </c>
      <c r="O164" s="40" t="n">
        <v>13.4</v>
      </c>
      <c r="P164" s="41">
        <f>SUM(D164:O164)</f>
        <v/>
      </c>
    </row>
    <row r="165">
      <c r="A165" s="34" t="inlineStr">
        <is>
          <t>Lentils</t>
        </is>
      </c>
      <c r="B165" s="39" t="inlineStr">
        <is>
          <t>Production</t>
        </is>
      </c>
      <c r="C165" s="34" t="inlineStr">
        <is>
          <t>2014-15</t>
        </is>
      </c>
      <c r="O165" s="40" t="n">
        <v>1987</v>
      </c>
      <c r="P165" s="41">
        <f>SUM(D165:O165)</f>
        <v/>
      </c>
    </row>
    <row r="166">
      <c r="A166" s="34" t="inlineStr">
        <is>
          <t>Lentils</t>
        </is>
      </c>
      <c r="B166" s="39" t="inlineStr">
        <is>
          <t>FSR</t>
        </is>
      </c>
      <c r="C166" s="34" t="inlineStr">
        <is>
          <t>2014-15</t>
        </is>
      </c>
      <c r="O166" s="40" t="n">
        <v>244.0999999999999</v>
      </c>
      <c r="P166" s="41">
        <f>SUM(D166:O166)</f>
        <v/>
      </c>
    </row>
    <row r="167">
      <c r="A167" s="34" t="inlineStr">
        <is>
          <t>Lentils</t>
        </is>
      </c>
      <c r="B167" s="39" t="inlineStr">
        <is>
          <t>Exports</t>
        </is>
      </c>
      <c r="C167" s="34" t="inlineStr">
        <is>
          <t>2014-15</t>
        </is>
      </c>
      <c r="O167" s="40" t="n">
        <v>2179.3</v>
      </c>
      <c r="P167" s="41">
        <f>SUM(D167:O167)</f>
        <v/>
      </c>
    </row>
    <row r="168">
      <c r="A168" s="34" t="inlineStr">
        <is>
          <t>Lentils</t>
        </is>
      </c>
      <c r="B168" s="39" t="inlineStr">
        <is>
          <t>Ending Stocks</t>
        </is>
      </c>
      <c r="C168" s="34" t="inlineStr">
        <is>
          <t>2014-15</t>
        </is>
      </c>
      <c r="O168" s="40" t="n">
        <v>363</v>
      </c>
      <c r="P168" s="41">
        <f>SUM(D168:O168)</f>
        <v/>
      </c>
    </row>
    <row r="169">
      <c r="A169" s="34" t="inlineStr">
        <is>
          <t>Lentils</t>
        </is>
      </c>
      <c r="B169" s="35" t="inlineStr">
        <is>
          <t>Stocks-to-Use</t>
        </is>
      </c>
      <c r="C169" s="34" t="inlineStr">
        <is>
          <t>2014-15</t>
        </is>
      </c>
      <c r="P169" s="37">
        <f>SUM(D169:O169)</f>
        <v/>
      </c>
    </row>
    <row r="170">
      <c r="A170" s="34" t="inlineStr">
        <is>
          <t>Lentils</t>
        </is>
      </c>
      <c r="B170" s="35" t="inlineStr">
        <is>
          <t>STU Days</t>
        </is>
      </c>
      <c r="C170" s="34" t="inlineStr">
        <is>
          <t>2014-15</t>
        </is>
      </c>
      <c r="P170" s="41">
        <f>SUM(D170:O170)</f>
        <v/>
      </c>
    </row>
    <row r="171">
      <c r="A171" s="34" t="inlineStr">
        <is>
          <t>Lentils</t>
        </is>
      </c>
      <c r="B171" s="35" t="inlineStr">
        <is>
          <t>CHECK</t>
        </is>
      </c>
      <c r="C171" s="34" t="inlineStr">
        <is>
          <t>2014-15</t>
        </is>
      </c>
      <c r="O171" s="41" t="n">
        <v>0</v>
      </c>
      <c r="P171" s="41">
        <f>SUM(D171:O171)</f>
        <v/>
      </c>
    </row>
    <row r="172">
      <c r="A172" s="34" t="inlineStr">
        <is>
          <t>Lentils</t>
        </is>
      </c>
      <c r="B172" s="35" t="inlineStr">
        <is>
          <t>Planted Area</t>
        </is>
      </c>
      <c r="C172" s="34" t="inlineStr">
        <is>
          <t>2015-16</t>
        </is>
      </c>
      <c r="P172" s="36">
        <f>SUM(D172:O172)</f>
        <v/>
      </c>
    </row>
    <row r="173">
      <c r="A173" s="34" t="inlineStr">
        <is>
          <t>Lentils</t>
        </is>
      </c>
      <c r="B173" s="35" t="inlineStr">
        <is>
          <t>Harvested Area</t>
        </is>
      </c>
      <c r="C173" s="34" t="inlineStr">
        <is>
          <t>2015-16</t>
        </is>
      </c>
      <c r="P173" s="36">
        <f>SUM(D173:O173)</f>
        <v/>
      </c>
    </row>
    <row r="174">
      <c r="A174" s="34" t="inlineStr">
        <is>
          <t>Lentils</t>
        </is>
      </c>
      <c r="B174" s="35" t="inlineStr">
        <is>
          <t>Proportion Harvested</t>
        </is>
      </c>
      <c r="C174" s="34" t="inlineStr">
        <is>
          <t>2015-16</t>
        </is>
      </c>
      <c r="P174" s="37">
        <f>SUM(D174:O174)</f>
        <v/>
      </c>
    </row>
    <row r="175">
      <c r="A175" s="34" t="inlineStr">
        <is>
          <t>Lentils</t>
        </is>
      </c>
      <c r="B175" s="35" t="inlineStr">
        <is>
          <t>Yield</t>
        </is>
      </c>
      <c r="C175" s="34" t="inlineStr">
        <is>
          <t>2015-16</t>
        </is>
      </c>
      <c r="P175" s="38">
        <f>SUM(D175:O175)</f>
        <v/>
      </c>
    </row>
    <row r="176">
      <c r="A176" s="34" t="inlineStr">
        <is>
          <t>Lentils</t>
        </is>
      </c>
      <c r="B176" s="39" t="inlineStr">
        <is>
          <t>Beginning Stocks</t>
        </is>
      </c>
      <c r="C176" s="34" t="inlineStr">
        <is>
          <t>2015-16</t>
        </is>
      </c>
      <c r="O176" s="40" t="n">
        <v>363</v>
      </c>
      <c r="P176" s="41">
        <f>SUM(D176:O176)</f>
        <v/>
      </c>
    </row>
    <row r="177">
      <c r="A177" s="34" t="inlineStr">
        <is>
          <t>Lentils</t>
        </is>
      </c>
      <c r="B177" s="39" t="inlineStr">
        <is>
          <t>Imports</t>
        </is>
      </c>
      <c r="C177" s="34" t="inlineStr">
        <is>
          <t>2015-16</t>
        </is>
      </c>
      <c r="O177" s="40" t="n">
        <v>16.3</v>
      </c>
      <c r="P177" s="41">
        <f>SUM(D177:O177)</f>
        <v/>
      </c>
    </row>
    <row r="178">
      <c r="A178" s="34" t="inlineStr">
        <is>
          <t>Lentils</t>
        </is>
      </c>
      <c r="B178" s="39" t="inlineStr">
        <is>
          <t>Production</t>
        </is>
      </c>
      <c r="C178" s="34" t="inlineStr">
        <is>
          <t>2015-16</t>
        </is>
      </c>
      <c r="O178" s="40" t="n">
        <v>2540.5</v>
      </c>
      <c r="P178" s="41">
        <f>SUM(D178:O178)</f>
        <v/>
      </c>
    </row>
    <row r="179">
      <c r="A179" s="34" t="inlineStr">
        <is>
          <t>Lentils</t>
        </is>
      </c>
      <c r="B179" s="39" t="inlineStr">
        <is>
          <t>FSR</t>
        </is>
      </c>
      <c r="C179" s="34" t="inlineStr">
        <is>
          <t>2015-16</t>
        </is>
      </c>
      <c r="O179" s="40" t="n">
        <v>701.9000000000002</v>
      </c>
      <c r="P179" s="41">
        <f>SUM(D179:O179)</f>
        <v/>
      </c>
    </row>
    <row r="180">
      <c r="A180" s="34" t="inlineStr">
        <is>
          <t>Lentils</t>
        </is>
      </c>
      <c r="B180" s="39" t="inlineStr">
        <is>
          <t>Exports</t>
        </is>
      </c>
      <c r="C180" s="34" t="inlineStr">
        <is>
          <t>2015-16</t>
        </is>
      </c>
      <c r="O180" s="40" t="n">
        <v>2144.5</v>
      </c>
      <c r="P180" s="41">
        <f>SUM(D180:O180)</f>
        <v/>
      </c>
    </row>
    <row r="181">
      <c r="A181" s="34" t="inlineStr">
        <is>
          <t>Lentils</t>
        </is>
      </c>
      <c r="B181" s="39" t="inlineStr">
        <is>
          <t>Ending Stocks</t>
        </is>
      </c>
      <c r="C181" s="34" t="inlineStr">
        <is>
          <t>2015-16</t>
        </is>
      </c>
      <c r="O181" s="40" t="n">
        <v>73.40000000000001</v>
      </c>
      <c r="P181" s="41">
        <f>SUM(D181:O181)</f>
        <v/>
      </c>
    </row>
    <row r="182">
      <c r="A182" s="34" t="inlineStr">
        <is>
          <t>Lentils</t>
        </is>
      </c>
      <c r="B182" s="35" t="inlineStr">
        <is>
          <t>Stocks-to-Use</t>
        </is>
      </c>
      <c r="C182" s="34" t="inlineStr">
        <is>
          <t>2015-16</t>
        </is>
      </c>
      <c r="P182" s="37">
        <f>SUM(D182:O182)</f>
        <v/>
      </c>
    </row>
    <row r="183">
      <c r="A183" s="34" t="inlineStr">
        <is>
          <t>Lentils</t>
        </is>
      </c>
      <c r="B183" s="35" t="inlineStr">
        <is>
          <t>STU Days</t>
        </is>
      </c>
      <c r="C183" s="34" t="inlineStr">
        <is>
          <t>2015-16</t>
        </is>
      </c>
      <c r="P183" s="41">
        <f>SUM(D183:O183)</f>
        <v/>
      </c>
    </row>
    <row r="184">
      <c r="A184" s="34" t="inlineStr">
        <is>
          <t>Lentils</t>
        </is>
      </c>
      <c r="B184" s="35" t="inlineStr">
        <is>
          <t>CHECK</t>
        </is>
      </c>
      <c r="C184" s="34" t="inlineStr">
        <is>
          <t>2015-16</t>
        </is>
      </c>
      <c r="O184" s="41" t="n">
        <v>8.526512829121202e-14</v>
      </c>
      <c r="P184" s="41">
        <f>SUM(D184:O184)</f>
        <v/>
      </c>
    </row>
    <row r="185">
      <c r="A185" s="34" t="inlineStr">
        <is>
          <t>Lentils</t>
        </is>
      </c>
      <c r="B185" s="35" t="inlineStr">
        <is>
          <t>Planted Area</t>
        </is>
      </c>
      <c r="C185" s="34" t="inlineStr">
        <is>
          <t>2016-17</t>
        </is>
      </c>
      <c r="P185" s="36">
        <f>SUM(D185:O185)</f>
        <v/>
      </c>
    </row>
    <row r="186">
      <c r="A186" s="34" t="inlineStr">
        <is>
          <t>Lentils</t>
        </is>
      </c>
      <c r="B186" s="35" t="inlineStr">
        <is>
          <t>Harvested Area</t>
        </is>
      </c>
      <c r="C186" s="34" t="inlineStr">
        <is>
          <t>2016-17</t>
        </is>
      </c>
      <c r="P186" s="36">
        <f>SUM(D186:O186)</f>
        <v/>
      </c>
    </row>
    <row r="187">
      <c r="A187" s="34" t="inlineStr">
        <is>
          <t>Lentils</t>
        </is>
      </c>
      <c r="B187" s="35" t="inlineStr">
        <is>
          <t>Proportion Harvested</t>
        </is>
      </c>
      <c r="C187" s="34" t="inlineStr">
        <is>
          <t>2016-17</t>
        </is>
      </c>
      <c r="P187" s="37">
        <f>SUM(D187:O187)</f>
        <v/>
      </c>
    </row>
    <row r="188">
      <c r="A188" s="34" t="inlineStr">
        <is>
          <t>Lentils</t>
        </is>
      </c>
      <c r="B188" s="35" t="inlineStr">
        <is>
          <t>Yield</t>
        </is>
      </c>
      <c r="C188" s="34" t="inlineStr">
        <is>
          <t>2016-17</t>
        </is>
      </c>
      <c r="P188" s="38">
        <f>SUM(D188:O188)</f>
        <v/>
      </c>
    </row>
    <row r="189">
      <c r="A189" s="34" t="inlineStr">
        <is>
          <t>Lentils</t>
        </is>
      </c>
      <c r="B189" s="39" t="inlineStr">
        <is>
          <t>Beginning Stocks</t>
        </is>
      </c>
      <c r="C189" s="34" t="inlineStr">
        <is>
          <t>2016-17</t>
        </is>
      </c>
      <c r="O189" s="40" t="n">
        <v>73.40000000000001</v>
      </c>
      <c r="P189" s="41">
        <f>SUM(D189:O189)</f>
        <v/>
      </c>
    </row>
    <row r="190">
      <c r="A190" s="34" t="inlineStr">
        <is>
          <t>Lentils</t>
        </is>
      </c>
      <c r="B190" s="39" t="inlineStr">
        <is>
          <t>Imports</t>
        </is>
      </c>
      <c r="C190" s="34" t="inlineStr">
        <is>
          <t>2016-17</t>
        </is>
      </c>
      <c r="O190" s="40" t="n">
        <v>98</v>
      </c>
      <c r="P190" s="41">
        <f>SUM(D190:O190)</f>
        <v/>
      </c>
    </row>
    <row r="191">
      <c r="A191" s="34" t="inlineStr">
        <is>
          <t>Lentils</t>
        </is>
      </c>
      <c r="B191" s="39" t="inlineStr">
        <is>
          <t>Production</t>
        </is>
      </c>
      <c r="C191" s="34" t="inlineStr">
        <is>
          <t>2016-17</t>
        </is>
      </c>
      <c r="O191" s="40" t="n">
        <v>3193.8</v>
      </c>
      <c r="P191" s="41">
        <f>SUM(D191:O191)</f>
        <v/>
      </c>
    </row>
    <row r="192">
      <c r="A192" s="34" t="inlineStr">
        <is>
          <t>Lentils</t>
        </is>
      </c>
      <c r="B192" s="39" t="inlineStr">
        <is>
          <t>FSR</t>
        </is>
      </c>
      <c r="C192" s="34" t="inlineStr">
        <is>
          <t>2016-17</t>
        </is>
      </c>
      <c r="O192" s="40" t="n">
        <v>595.2000000000003</v>
      </c>
      <c r="P192" s="41">
        <f>SUM(D192:O192)</f>
        <v/>
      </c>
    </row>
    <row r="193">
      <c r="A193" s="34" t="inlineStr">
        <is>
          <t>Lentils</t>
        </is>
      </c>
      <c r="B193" s="39" t="inlineStr">
        <is>
          <t>Exports</t>
        </is>
      </c>
      <c r="C193" s="34" t="inlineStr">
        <is>
          <t>2016-17</t>
        </is>
      </c>
      <c r="O193" s="40" t="n">
        <v>2455</v>
      </c>
      <c r="P193" s="41">
        <f>SUM(D193:O193)</f>
        <v/>
      </c>
    </row>
    <row r="194">
      <c r="A194" s="34" t="inlineStr">
        <is>
          <t>Lentils</t>
        </is>
      </c>
      <c r="B194" s="39" t="inlineStr">
        <is>
          <t>Ending Stocks</t>
        </is>
      </c>
      <c r="C194" s="34" t="inlineStr">
        <is>
          <t>2016-17</t>
        </is>
      </c>
      <c r="O194" s="40" t="n">
        <v>315</v>
      </c>
      <c r="P194" s="41">
        <f>SUM(D194:O194)</f>
        <v/>
      </c>
    </row>
    <row r="195">
      <c r="A195" s="34" t="inlineStr">
        <is>
          <t>Lentils</t>
        </is>
      </c>
      <c r="B195" s="35" t="inlineStr">
        <is>
          <t>Stocks-to-Use</t>
        </is>
      </c>
      <c r="C195" s="34" t="inlineStr">
        <is>
          <t>2016-17</t>
        </is>
      </c>
      <c r="P195" s="37">
        <f>SUM(D195:O195)</f>
        <v/>
      </c>
    </row>
    <row r="196">
      <c r="A196" s="34" t="inlineStr">
        <is>
          <t>Lentils</t>
        </is>
      </c>
      <c r="B196" s="35" t="inlineStr">
        <is>
          <t>STU Days</t>
        </is>
      </c>
      <c r="C196" s="34" t="inlineStr">
        <is>
          <t>2016-17</t>
        </is>
      </c>
      <c r="P196" s="41">
        <f>SUM(D196:O196)</f>
        <v/>
      </c>
    </row>
    <row r="197">
      <c r="A197" s="34" t="inlineStr">
        <is>
          <t>Lentils</t>
        </is>
      </c>
      <c r="B197" s="35" t="inlineStr">
        <is>
          <t>CHECK</t>
        </is>
      </c>
      <c r="C197" s="34" t="inlineStr">
        <is>
          <t>2016-17</t>
        </is>
      </c>
      <c r="O197" s="41" t="n">
        <v>0</v>
      </c>
      <c r="P197" s="41">
        <f>SUM(D197:O197)</f>
        <v/>
      </c>
    </row>
    <row r="198">
      <c r="A198" s="34" t="inlineStr">
        <is>
          <t>Lentils</t>
        </is>
      </c>
      <c r="B198" s="35" t="inlineStr">
        <is>
          <t>Planted Area</t>
        </is>
      </c>
      <c r="C198" s="34" t="inlineStr">
        <is>
          <t>2017-18</t>
        </is>
      </c>
      <c r="P198" s="36">
        <f>SUM(D198:O198)</f>
        <v/>
      </c>
    </row>
    <row r="199">
      <c r="A199" s="34" t="inlineStr">
        <is>
          <t>Lentils</t>
        </is>
      </c>
      <c r="B199" s="35" t="inlineStr">
        <is>
          <t>Harvested Area</t>
        </is>
      </c>
      <c r="C199" s="34" t="inlineStr">
        <is>
          <t>2017-18</t>
        </is>
      </c>
      <c r="P199" s="36">
        <f>SUM(D199:O199)</f>
        <v/>
      </c>
    </row>
    <row r="200">
      <c r="A200" s="34" t="inlineStr">
        <is>
          <t>Lentils</t>
        </is>
      </c>
      <c r="B200" s="35" t="inlineStr">
        <is>
          <t>Proportion Harvested</t>
        </is>
      </c>
      <c r="C200" s="34" t="inlineStr">
        <is>
          <t>2017-18</t>
        </is>
      </c>
      <c r="P200" s="37">
        <f>SUM(D200:O200)</f>
        <v/>
      </c>
    </row>
    <row r="201">
      <c r="A201" s="34" t="inlineStr">
        <is>
          <t>Lentils</t>
        </is>
      </c>
      <c r="B201" s="35" t="inlineStr">
        <is>
          <t>Yield</t>
        </is>
      </c>
      <c r="C201" s="34" t="inlineStr">
        <is>
          <t>2017-18</t>
        </is>
      </c>
      <c r="P201" s="38">
        <f>SUM(D201:O201)</f>
        <v/>
      </c>
    </row>
    <row r="202">
      <c r="A202" s="34" t="inlineStr">
        <is>
          <t>Lentils</t>
        </is>
      </c>
      <c r="B202" s="39" t="inlineStr">
        <is>
          <t>Beginning Stocks</t>
        </is>
      </c>
      <c r="C202" s="34" t="inlineStr">
        <is>
          <t>2017-18</t>
        </is>
      </c>
      <c r="O202" s="40" t="n">
        <v>315</v>
      </c>
      <c r="P202" s="41">
        <f>SUM(D202:O202)</f>
        <v/>
      </c>
    </row>
    <row r="203">
      <c r="A203" s="34" t="inlineStr">
        <is>
          <t>Lentils</t>
        </is>
      </c>
      <c r="B203" s="39" t="inlineStr">
        <is>
          <t>Imports</t>
        </is>
      </c>
      <c r="C203" s="34" t="inlineStr">
        <is>
          <t>2017-18</t>
        </is>
      </c>
      <c r="O203" s="40" t="n">
        <v>34.7</v>
      </c>
      <c r="P203" s="41">
        <f>SUM(D203:O203)</f>
        <v/>
      </c>
    </row>
    <row r="204">
      <c r="A204" s="34" t="inlineStr">
        <is>
          <t>Lentils</t>
        </is>
      </c>
      <c r="B204" s="39" t="inlineStr">
        <is>
          <t>Production</t>
        </is>
      </c>
      <c r="C204" s="34" t="inlineStr">
        <is>
          <t>2017-18</t>
        </is>
      </c>
      <c r="O204" s="40" t="n">
        <v>2558.5</v>
      </c>
      <c r="P204" s="41">
        <f>SUM(D204:O204)</f>
        <v/>
      </c>
    </row>
    <row r="205">
      <c r="A205" s="34" t="inlineStr">
        <is>
          <t>Lentils</t>
        </is>
      </c>
      <c r="B205" s="39" t="inlineStr">
        <is>
          <t>FSR</t>
        </is>
      </c>
      <c r="C205" s="34" t="inlineStr">
        <is>
          <t>2017-18</t>
        </is>
      </c>
      <c r="O205" s="40" t="n">
        <v>497.4999999999998</v>
      </c>
      <c r="P205" s="41">
        <f>SUM(D205:O205)</f>
        <v/>
      </c>
    </row>
    <row r="206">
      <c r="A206" s="34" t="inlineStr">
        <is>
          <t>Lentils</t>
        </is>
      </c>
      <c r="B206" s="39" t="inlineStr">
        <is>
          <t>Exports</t>
        </is>
      </c>
      <c r="C206" s="34" t="inlineStr">
        <is>
          <t>2017-18</t>
        </is>
      </c>
      <c r="O206" s="40" t="n">
        <v>1538</v>
      </c>
      <c r="P206" s="41">
        <f>SUM(D206:O206)</f>
        <v/>
      </c>
    </row>
    <row r="207">
      <c r="A207" s="34" t="inlineStr">
        <is>
          <t>Lentils</t>
        </is>
      </c>
      <c r="B207" s="39" t="inlineStr">
        <is>
          <t>Ending Stocks</t>
        </is>
      </c>
      <c r="C207" s="34" t="inlineStr">
        <is>
          <t>2017-18</t>
        </is>
      </c>
      <c r="O207" s="40" t="n">
        <v>872.7</v>
      </c>
      <c r="P207" s="41">
        <f>SUM(D207:O207)</f>
        <v/>
      </c>
    </row>
    <row r="208">
      <c r="A208" s="34" t="inlineStr">
        <is>
          <t>Lentils</t>
        </is>
      </c>
      <c r="B208" s="35" t="inlineStr">
        <is>
          <t>Stocks-to-Use</t>
        </is>
      </c>
      <c r="C208" s="34" t="inlineStr">
        <is>
          <t>2017-18</t>
        </is>
      </c>
      <c r="P208" s="37">
        <f>SUM(D208:O208)</f>
        <v/>
      </c>
    </row>
    <row r="209">
      <c r="A209" s="34" t="inlineStr">
        <is>
          <t>Lentils</t>
        </is>
      </c>
      <c r="B209" s="35" t="inlineStr">
        <is>
          <t>STU Days</t>
        </is>
      </c>
      <c r="C209" s="34" t="inlineStr">
        <is>
          <t>2017-18</t>
        </is>
      </c>
      <c r="P209" s="41">
        <f>SUM(D209:O209)</f>
        <v/>
      </c>
    </row>
    <row r="210">
      <c r="A210" s="34" t="inlineStr">
        <is>
          <t>Lentils</t>
        </is>
      </c>
      <c r="B210" s="35" t="inlineStr">
        <is>
          <t>CHECK</t>
        </is>
      </c>
      <c r="C210" s="34" t="inlineStr">
        <is>
          <t>2017-18</t>
        </is>
      </c>
      <c r="O210" s="41" t="n">
        <v>-2.273736754432321e-13</v>
      </c>
      <c r="P210" s="41">
        <f>SUM(D210:O210)</f>
        <v/>
      </c>
    </row>
    <row r="211">
      <c r="A211" s="34" t="inlineStr">
        <is>
          <t>Lentils</t>
        </is>
      </c>
      <c r="B211" s="35" t="inlineStr">
        <is>
          <t>Planted Area</t>
        </is>
      </c>
      <c r="C211" s="34" t="inlineStr">
        <is>
          <t>2018-19</t>
        </is>
      </c>
      <c r="P211" s="36">
        <f>SUM(D211:O211)</f>
        <v/>
      </c>
    </row>
    <row r="212">
      <c r="A212" s="34" t="inlineStr">
        <is>
          <t>Lentils</t>
        </is>
      </c>
      <c r="B212" s="35" t="inlineStr">
        <is>
          <t>Harvested Area</t>
        </is>
      </c>
      <c r="C212" s="34" t="inlineStr">
        <is>
          <t>2018-19</t>
        </is>
      </c>
      <c r="P212" s="36">
        <f>SUM(D212:O212)</f>
        <v/>
      </c>
    </row>
    <row r="213">
      <c r="A213" s="34" t="inlineStr">
        <is>
          <t>Lentils</t>
        </is>
      </c>
      <c r="B213" s="35" t="inlineStr">
        <is>
          <t>Proportion Harvested</t>
        </is>
      </c>
      <c r="C213" s="34" t="inlineStr">
        <is>
          <t>2018-19</t>
        </is>
      </c>
      <c r="P213" s="37">
        <f>SUM(D213:O213)</f>
        <v/>
      </c>
    </row>
    <row r="214">
      <c r="A214" s="34" t="inlineStr">
        <is>
          <t>Lentils</t>
        </is>
      </c>
      <c r="B214" s="35" t="inlineStr">
        <is>
          <t>Yield</t>
        </is>
      </c>
      <c r="C214" s="34" t="inlineStr">
        <is>
          <t>2018-19</t>
        </is>
      </c>
      <c r="P214" s="38">
        <f>SUM(D214:O214)</f>
        <v/>
      </c>
    </row>
    <row r="215">
      <c r="A215" s="34" t="inlineStr">
        <is>
          <t>Lentils</t>
        </is>
      </c>
      <c r="B215" s="39" t="inlineStr">
        <is>
          <t>Beginning Stocks</t>
        </is>
      </c>
      <c r="C215" s="34" t="inlineStr">
        <is>
          <t>2018-19</t>
        </is>
      </c>
      <c r="O215" s="40" t="n">
        <v>872.7</v>
      </c>
      <c r="P215" s="41">
        <f>SUM(D215:O215)</f>
        <v/>
      </c>
    </row>
    <row r="216">
      <c r="A216" s="34" t="inlineStr">
        <is>
          <t>Lentils</t>
        </is>
      </c>
      <c r="B216" s="39" t="inlineStr">
        <is>
          <t>Imports</t>
        </is>
      </c>
      <c r="C216" s="34" t="inlineStr">
        <is>
          <t>2018-19</t>
        </is>
      </c>
      <c r="O216" s="40" t="n">
        <v>50.6</v>
      </c>
      <c r="P216" s="41">
        <f>SUM(D216:O216)</f>
        <v/>
      </c>
    </row>
    <row r="217">
      <c r="A217" s="34" t="inlineStr">
        <is>
          <t>Lentils</t>
        </is>
      </c>
      <c r="B217" s="39" t="inlineStr">
        <is>
          <t>Production</t>
        </is>
      </c>
      <c r="C217" s="34" t="inlineStr">
        <is>
          <t>2018-19</t>
        </is>
      </c>
      <c r="O217" s="40" t="n">
        <v>2192.1</v>
      </c>
      <c r="P217" s="41">
        <f>SUM(D217:O217)</f>
        <v/>
      </c>
    </row>
    <row r="218">
      <c r="A218" s="34" t="inlineStr">
        <is>
          <t>Lentils</t>
        </is>
      </c>
      <c r="B218" s="39" t="inlineStr">
        <is>
          <t>FSR</t>
        </is>
      </c>
      <c r="C218" s="34" t="inlineStr">
        <is>
          <t>2018-19</t>
        </is>
      </c>
      <c r="O218" s="40" t="n">
        <v>226.6</v>
      </c>
      <c r="P218" s="41">
        <f>SUM(D218:O218)</f>
        <v/>
      </c>
    </row>
    <row r="219">
      <c r="A219" s="34" t="inlineStr">
        <is>
          <t>Lentils</t>
        </is>
      </c>
      <c r="B219" s="39" t="inlineStr">
        <is>
          <t>Exports</t>
        </is>
      </c>
      <c r="C219" s="34" t="inlineStr">
        <is>
          <t>2018-19</t>
        </is>
      </c>
      <c r="O219" s="40" t="n">
        <v>2033.2</v>
      </c>
      <c r="P219" s="41">
        <f>SUM(D219:O219)</f>
        <v/>
      </c>
    </row>
    <row r="220">
      <c r="A220" s="34" t="inlineStr">
        <is>
          <t>Lentils</t>
        </is>
      </c>
      <c r="B220" s="39" t="inlineStr">
        <is>
          <t>Ending Stocks</t>
        </is>
      </c>
      <c r="C220" s="34" t="inlineStr">
        <is>
          <t>2018-19</t>
        </is>
      </c>
      <c r="O220" s="40" t="n">
        <v>855.6</v>
      </c>
      <c r="P220" s="41">
        <f>SUM(D220:O220)</f>
        <v/>
      </c>
    </row>
    <row r="221">
      <c r="A221" s="34" t="inlineStr">
        <is>
          <t>Lentils</t>
        </is>
      </c>
      <c r="B221" s="35" t="inlineStr">
        <is>
          <t>Stocks-to-Use</t>
        </is>
      </c>
      <c r="C221" s="34" t="inlineStr">
        <is>
          <t>2018-19</t>
        </is>
      </c>
      <c r="P221" s="37">
        <f>SUM(D221:O221)</f>
        <v/>
      </c>
    </row>
    <row r="222">
      <c r="A222" s="34" t="inlineStr">
        <is>
          <t>Lentils</t>
        </is>
      </c>
      <c r="B222" s="35" t="inlineStr">
        <is>
          <t>STU Days</t>
        </is>
      </c>
      <c r="C222" s="34" t="inlineStr">
        <is>
          <t>2018-19</t>
        </is>
      </c>
      <c r="P222" s="41">
        <f>SUM(D222:O222)</f>
        <v/>
      </c>
    </row>
    <row r="223">
      <c r="A223" s="34" t="inlineStr">
        <is>
          <t>Lentils</t>
        </is>
      </c>
      <c r="B223" s="35" t="inlineStr">
        <is>
          <t>CHECK</t>
        </is>
      </c>
      <c r="C223" s="34" t="inlineStr">
        <is>
          <t>2018-19</t>
        </is>
      </c>
      <c r="O223" s="41" t="n">
        <v>1.136868377216161e-13</v>
      </c>
      <c r="P223" s="41">
        <f>SUM(D223:O223)</f>
        <v/>
      </c>
    </row>
    <row r="224">
      <c r="A224" s="34" t="inlineStr">
        <is>
          <t>Lentils</t>
        </is>
      </c>
      <c r="B224" s="35" t="inlineStr">
        <is>
          <t>Planted Area</t>
        </is>
      </c>
      <c r="C224" s="34" t="inlineStr">
        <is>
          <t>2019-20</t>
        </is>
      </c>
      <c r="P224" s="36">
        <f>SUM(D224:O224)</f>
        <v/>
      </c>
    </row>
    <row r="225">
      <c r="A225" s="34" t="inlineStr">
        <is>
          <t>Lentils</t>
        </is>
      </c>
      <c r="B225" s="35" t="inlineStr">
        <is>
          <t>Harvested Area</t>
        </is>
      </c>
      <c r="C225" s="34" t="inlineStr">
        <is>
          <t>2019-20</t>
        </is>
      </c>
      <c r="P225" s="36">
        <f>SUM(D225:O225)</f>
        <v/>
      </c>
    </row>
    <row r="226">
      <c r="A226" s="34" t="inlineStr">
        <is>
          <t>Lentils</t>
        </is>
      </c>
      <c r="B226" s="35" t="inlineStr">
        <is>
          <t>Proportion Harvested</t>
        </is>
      </c>
      <c r="C226" s="34" t="inlineStr">
        <is>
          <t>2019-20</t>
        </is>
      </c>
      <c r="P226" s="37">
        <f>SUM(D226:O226)</f>
        <v/>
      </c>
    </row>
    <row r="227">
      <c r="A227" s="34" t="inlineStr">
        <is>
          <t>Lentils</t>
        </is>
      </c>
      <c r="B227" s="35" t="inlineStr">
        <is>
          <t>Yield</t>
        </is>
      </c>
      <c r="C227" s="34" t="inlineStr">
        <is>
          <t>2019-20</t>
        </is>
      </c>
      <c r="P227" s="38">
        <f>SUM(D227:O227)</f>
        <v/>
      </c>
    </row>
    <row r="228">
      <c r="A228" s="34" t="inlineStr">
        <is>
          <t>Lentils</t>
        </is>
      </c>
      <c r="B228" s="39" t="inlineStr">
        <is>
          <t>Beginning Stocks</t>
        </is>
      </c>
      <c r="C228" s="34" t="inlineStr">
        <is>
          <t>2019-20</t>
        </is>
      </c>
      <c r="O228" s="40" t="n">
        <v>855.6</v>
      </c>
      <c r="P228" s="41">
        <f>SUM(D228:O228)</f>
        <v/>
      </c>
    </row>
    <row r="229">
      <c r="A229" s="34" t="inlineStr">
        <is>
          <t>Lentils</t>
        </is>
      </c>
      <c r="B229" s="39" t="inlineStr">
        <is>
          <t>Imports</t>
        </is>
      </c>
      <c r="C229" s="34" t="inlineStr">
        <is>
          <t>2019-20</t>
        </is>
      </c>
      <c r="O229" s="40" t="n">
        <v>89.7</v>
      </c>
      <c r="P229" s="41">
        <f>SUM(D229:O229)</f>
        <v/>
      </c>
    </row>
    <row r="230">
      <c r="A230" s="34" t="inlineStr">
        <is>
          <t>Lentils</t>
        </is>
      </c>
      <c r="B230" s="39" t="inlineStr">
        <is>
          <t>Production</t>
        </is>
      </c>
      <c r="C230" s="34" t="inlineStr">
        <is>
          <t>2019-20</t>
        </is>
      </c>
      <c r="O230" s="40" t="n">
        <v>2382</v>
      </c>
      <c r="P230" s="41">
        <f>SUM(D230:O230)</f>
        <v/>
      </c>
    </row>
    <row r="231">
      <c r="A231" s="34" t="inlineStr">
        <is>
          <t>Lentils</t>
        </is>
      </c>
      <c r="B231" s="39" t="inlineStr">
        <is>
          <t>FSR</t>
        </is>
      </c>
      <c r="C231" s="34" t="inlineStr">
        <is>
          <t>2019-20</t>
        </is>
      </c>
      <c r="O231" s="40" t="n">
        <v>383.3999999999997</v>
      </c>
      <c r="P231" s="41">
        <f>SUM(D231:O231)</f>
        <v/>
      </c>
    </row>
    <row r="232">
      <c r="A232" s="34" t="inlineStr">
        <is>
          <t>Lentils</t>
        </is>
      </c>
      <c r="B232" s="39" t="inlineStr">
        <is>
          <t>Exports</t>
        </is>
      </c>
      <c r="C232" s="34" t="inlineStr">
        <is>
          <t>2019-20</t>
        </is>
      </c>
      <c r="O232" s="40" t="n">
        <v>2734.9</v>
      </c>
      <c r="P232" s="41">
        <f>SUM(D232:O232)</f>
        <v/>
      </c>
    </row>
    <row r="233">
      <c r="A233" s="34" t="inlineStr">
        <is>
          <t>Lentils</t>
        </is>
      </c>
      <c r="B233" s="39" t="inlineStr">
        <is>
          <t>Ending Stocks</t>
        </is>
      </c>
      <c r="C233" s="34" t="inlineStr">
        <is>
          <t>2019-20</t>
        </is>
      </c>
      <c r="O233" s="40" t="n">
        <v>209</v>
      </c>
      <c r="P233" s="41">
        <f>SUM(D233:O233)</f>
        <v/>
      </c>
    </row>
    <row r="234">
      <c r="A234" s="34" t="inlineStr">
        <is>
          <t>Lentils</t>
        </is>
      </c>
      <c r="B234" s="35" t="inlineStr">
        <is>
          <t>Stocks-to-Use</t>
        </is>
      </c>
      <c r="C234" s="34" t="inlineStr">
        <is>
          <t>2019-20</t>
        </is>
      </c>
      <c r="P234" s="37">
        <f>SUM(D234:O234)</f>
        <v/>
      </c>
    </row>
    <row r="235">
      <c r="A235" s="34" t="inlineStr">
        <is>
          <t>Lentils</t>
        </is>
      </c>
      <c r="B235" s="35" t="inlineStr">
        <is>
          <t>STU Days</t>
        </is>
      </c>
      <c r="C235" s="34" t="inlineStr">
        <is>
          <t>2019-20</t>
        </is>
      </c>
      <c r="P235" s="41">
        <f>SUM(D235:O235)</f>
        <v/>
      </c>
    </row>
    <row r="236">
      <c r="A236" s="34" t="inlineStr">
        <is>
          <t>Lentils</t>
        </is>
      </c>
      <c r="B236" s="35" t="inlineStr">
        <is>
          <t>CHECK</t>
        </is>
      </c>
      <c r="C236" s="34" t="inlineStr">
        <is>
          <t>2019-20</t>
        </is>
      </c>
      <c r="O236" s="41" t="n">
        <v>0</v>
      </c>
      <c r="P236" s="41">
        <f>SUM(D236:O236)</f>
        <v/>
      </c>
    </row>
    <row r="237">
      <c r="A237" s="34" t="inlineStr">
        <is>
          <t>Lentils</t>
        </is>
      </c>
      <c r="B237" s="35" t="inlineStr">
        <is>
          <t>Planted Area</t>
        </is>
      </c>
      <c r="C237" s="34" t="inlineStr">
        <is>
          <t>2020-21</t>
        </is>
      </c>
      <c r="P237" s="36">
        <f>SUM(D237:O237)</f>
        <v/>
      </c>
    </row>
    <row r="238">
      <c r="A238" s="34" t="inlineStr">
        <is>
          <t>Lentils</t>
        </is>
      </c>
      <c r="B238" s="35" t="inlineStr">
        <is>
          <t>Harvested Area</t>
        </is>
      </c>
      <c r="C238" s="34" t="inlineStr">
        <is>
          <t>2020-21</t>
        </is>
      </c>
      <c r="P238" s="36">
        <f>SUM(D238:O238)</f>
        <v/>
      </c>
    </row>
    <row r="239">
      <c r="A239" s="34" t="inlineStr">
        <is>
          <t>Lentils</t>
        </is>
      </c>
      <c r="B239" s="35" t="inlineStr">
        <is>
          <t>Proportion Harvested</t>
        </is>
      </c>
      <c r="C239" s="34" t="inlineStr">
        <is>
          <t>2020-21</t>
        </is>
      </c>
      <c r="P239" s="37">
        <f>SUM(D239:O239)</f>
        <v/>
      </c>
    </row>
    <row r="240">
      <c r="A240" s="34" t="inlineStr">
        <is>
          <t>Lentils</t>
        </is>
      </c>
      <c r="B240" s="35" t="inlineStr">
        <is>
          <t>Yield</t>
        </is>
      </c>
      <c r="C240" s="34" t="inlineStr">
        <is>
          <t>2020-21</t>
        </is>
      </c>
      <c r="P240" s="38">
        <f>SUM(D240:O240)</f>
        <v/>
      </c>
    </row>
    <row r="241">
      <c r="A241" s="34" t="inlineStr">
        <is>
          <t>Lentils</t>
        </is>
      </c>
      <c r="B241" s="39" t="inlineStr">
        <is>
          <t>Beginning Stocks</t>
        </is>
      </c>
      <c r="C241" s="34" t="inlineStr">
        <is>
          <t>2020-21</t>
        </is>
      </c>
      <c r="O241" s="40" t="n">
        <v>209</v>
      </c>
      <c r="P241" s="41">
        <f>SUM(D241:O241)</f>
        <v/>
      </c>
    </row>
    <row r="242">
      <c r="A242" s="34" t="inlineStr">
        <is>
          <t>Lentils</t>
        </is>
      </c>
      <c r="B242" s="39" t="inlineStr">
        <is>
          <t>Imports</t>
        </is>
      </c>
      <c r="C242" s="34" t="inlineStr">
        <is>
          <t>2020-21</t>
        </is>
      </c>
      <c r="O242" s="40" t="n">
        <v>109.9</v>
      </c>
      <c r="P242" s="41">
        <f>SUM(D242:O242)</f>
        <v/>
      </c>
    </row>
    <row r="243">
      <c r="A243" s="34" t="inlineStr">
        <is>
          <t>Lentils</t>
        </is>
      </c>
      <c r="B243" s="39" t="inlineStr">
        <is>
          <t>Production</t>
        </is>
      </c>
      <c r="C243" s="34" t="inlineStr">
        <is>
          <t>2020-21</t>
        </is>
      </c>
      <c r="O243" s="40" t="n">
        <v>2867.7</v>
      </c>
      <c r="P243" s="41">
        <f>SUM(D243:O243)</f>
        <v/>
      </c>
    </row>
    <row r="244">
      <c r="A244" s="34" t="inlineStr">
        <is>
          <t>Lentils</t>
        </is>
      </c>
      <c r="B244" s="39" t="inlineStr">
        <is>
          <t>FSR</t>
        </is>
      </c>
      <c r="C244" s="34" t="inlineStr">
        <is>
          <t>2020-21</t>
        </is>
      </c>
      <c r="O244" s="40" t="n">
        <v>421.0999999999999</v>
      </c>
      <c r="P244" s="41">
        <f>SUM(D244:O244)</f>
        <v/>
      </c>
    </row>
    <row r="245">
      <c r="A245" s="34" t="inlineStr">
        <is>
          <t>Lentils</t>
        </is>
      </c>
      <c r="B245" s="39" t="inlineStr">
        <is>
          <t>Exports</t>
        </is>
      </c>
      <c r="C245" s="34" t="inlineStr">
        <is>
          <t>2020-21</t>
        </is>
      </c>
      <c r="O245" s="40" t="n">
        <v>2327.5</v>
      </c>
      <c r="P245" s="41">
        <f>SUM(D245:O245)</f>
        <v/>
      </c>
    </row>
    <row r="246">
      <c r="A246" s="34" t="inlineStr">
        <is>
          <t>Lentils</t>
        </is>
      </c>
      <c r="B246" s="39" t="inlineStr">
        <is>
          <t>Ending Stocks</t>
        </is>
      </c>
      <c r="C246" s="34" t="inlineStr">
        <is>
          <t>2020-21</t>
        </is>
      </c>
      <c r="O246" s="40" t="n">
        <v>438</v>
      </c>
      <c r="P246" s="41">
        <f>SUM(D246:O246)</f>
        <v/>
      </c>
    </row>
    <row r="247">
      <c r="A247" s="34" t="inlineStr">
        <is>
          <t>Lentils</t>
        </is>
      </c>
      <c r="B247" s="35" t="inlineStr">
        <is>
          <t>Stocks-to-Use</t>
        </is>
      </c>
      <c r="C247" s="34" t="inlineStr">
        <is>
          <t>2020-21</t>
        </is>
      </c>
      <c r="P247" s="37">
        <f>SUM(D247:O247)</f>
        <v/>
      </c>
    </row>
    <row r="248">
      <c r="A248" s="34" t="inlineStr">
        <is>
          <t>Lentils</t>
        </is>
      </c>
      <c r="B248" s="35" t="inlineStr">
        <is>
          <t>STU Days</t>
        </is>
      </c>
      <c r="C248" s="34" t="inlineStr">
        <is>
          <t>2020-21</t>
        </is>
      </c>
      <c r="P248" s="41">
        <f>SUM(D248:O248)</f>
        <v/>
      </c>
    </row>
    <row r="249">
      <c r="A249" s="34" t="inlineStr">
        <is>
          <t>Lentils</t>
        </is>
      </c>
      <c r="B249" s="35" t="inlineStr">
        <is>
          <t>CHECK</t>
        </is>
      </c>
      <c r="C249" s="34" t="inlineStr">
        <is>
          <t>2020-21</t>
        </is>
      </c>
      <c r="O249" s="41" t="n">
        <v>0</v>
      </c>
      <c r="P249" s="41">
        <f>SUM(D249:O249)</f>
        <v/>
      </c>
    </row>
    <row r="250">
      <c r="A250" s="34" t="inlineStr">
        <is>
          <t>Lentils</t>
        </is>
      </c>
      <c r="B250" s="35" t="inlineStr">
        <is>
          <t>Planted Area</t>
        </is>
      </c>
      <c r="C250" s="34" t="inlineStr">
        <is>
          <t>2021-22</t>
        </is>
      </c>
      <c r="P250" s="36">
        <f>SUM(D250:O250)</f>
        <v/>
      </c>
    </row>
    <row r="251">
      <c r="A251" s="34" t="inlineStr">
        <is>
          <t>Lentils</t>
        </is>
      </c>
      <c r="B251" s="35" t="inlineStr">
        <is>
          <t>Harvested Area</t>
        </is>
      </c>
      <c r="C251" s="34" t="inlineStr">
        <is>
          <t>2021-22</t>
        </is>
      </c>
      <c r="P251" s="36">
        <f>SUM(D251:O251)</f>
        <v/>
      </c>
    </row>
    <row r="252">
      <c r="A252" s="34" t="inlineStr">
        <is>
          <t>Lentils</t>
        </is>
      </c>
      <c r="B252" s="35" t="inlineStr">
        <is>
          <t>Proportion Harvested</t>
        </is>
      </c>
      <c r="C252" s="34" t="inlineStr">
        <is>
          <t>2021-22</t>
        </is>
      </c>
      <c r="P252" s="37">
        <f>SUM(D252:O252)</f>
        <v/>
      </c>
    </row>
    <row r="253">
      <c r="A253" s="34" t="inlineStr">
        <is>
          <t>Lentils</t>
        </is>
      </c>
      <c r="B253" s="35" t="inlineStr">
        <is>
          <t>Yield</t>
        </is>
      </c>
      <c r="C253" s="34" t="inlineStr">
        <is>
          <t>2021-22</t>
        </is>
      </c>
      <c r="P253" s="38">
        <f>SUM(D253:O253)</f>
        <v/>
      </c>
    </row>
    <row r="254">
      <c r="A254" s="34" t="inlineStr">
        <is>
          <t>Lentils</t>
        </is>
      </c>
      <c r="B254" s="39" t="inlineStr">
        <is>
          <t>Beginning Stocks</t>
        </is>
      </c>
      <c r="C254" s="34" t="inlineStr">
        <is>
          <t>2021-22</t>
        </is>
      </c>
      <c r="O254" s="40" t="n">
        <v>438</v>
      </c>
      <c r="P254" s="41">
        <f>SUM(D254:O254)</f>
        <v/>
      </c>
    </row>
    <row r="255">
      <c r="A255" s="34" t="inlineStr">
        <is>
          <t>Lentils</t>
        </is>
      </c>
      <c r="B255" s="39" t="inlineStr">
        <is>
          <t>Imports</t>
        </is>
      </c>
      <c r="C255" s="34" t="inlineStr">
        <is>
          <t>2021-22</t>
        </is>
      </c>
      <c r="O255" s="40" t="n">
        <v>51.3</v>
      </c>
      <c r="P255" s="41">
        <f>SUM(D255:O255)</f>
        <v/>
      </c>
    </row>
    <row r="256">
      <c r="A256" s="34" t="inlineStr">
        <is>
          <t>Lentils</t>
        </is>
      </c>
      <c r="B256" s="39" t="inlineStr">
        <is>
          <t>Production</t>
        </is>
      </c>
      <c r="C256" s="34" t="inlineStr">
        <is>
          <t>2021-22</t>
        </is>
      </c>
      <c r="O256" s="40" t="n">
        <v>1593.6</v>
      </c>
      <c r="P256" s="41">
        <f>SUM(D256:O256)</f>
        <v/>
      </c>
    </row>
    <row r="257">
      <c r="A257" s="34" t="inlineStr">
        <is>
          <t>Lentils</t>
        </is>
      </c>
      <c r="B257" s="39" t="inlineStr">
        <is>
          <t>FSR</t>
        </is>
      </c>
      <c r="C257" s="34" t="inlineStr">
        <is>
          <t>2021-22</t>
        </is>
      </c>
      <c r="O257" s="40" t="n">
        <v>255.1000000000001</v>
      </c>
      <c r="P257" s="41">
        <f>SUM(D257:O257)</f>
        <v/>
      </c>
    </row>
    <row r="258">
      <c r="A258" s="34" t="inlineStr">
        <is>
          <t>Lentils</t>
        </is>
      </c>
      <c r="B258" s="39" t="inlineStr">
        <is>
          <t>Exports</t>
        </is>
      </c>
      <c r="C258" s="34" t="inlineStr">
        <is>
          <t>2021-22</t>
        </is>
      </c>
      <c r="O258" s="40" t="n">
        <v>1602.8</v>
      </c>
      <c r="P258" s="41">
        <f>SUM(D258:O258)</f>
        <v/>
      </c>
    </row>
    <row r="259">
      <c r="A259" s="34" t="inlineStr">
        <is>
          <t>Lentils</t>
        </is>
      </c>
      <c r="B259" s="39" t="inlineStr">
        <is>
          <t>Ending Stocks</t>
        </is>
      </c>
      <c r="C259" s="34" t="inlineStr">
        <is>
          <t>2021-22</t>
        </is>
      </c>
      <c r="O259" s="40" t="n">
        <v>225</v>
      </c>
      <c r="P259" s="41">
        <f>SUM(D259:O259)</f>
        <v/>
      </c>
    </row>
    <row r="260">
      <c r="A260" s="34" t="inlineStr">
        <is>
          <t>Lentils</t>
        </is>
      </c>
      <c r="B260" s="35" t="inlineStr">
        <is>
          <t>Stocks-to-Use</t>
        </is>
      </c>
      <c r="C260" s="34" t="inlineStr">
        <is>
          <t>2021-22</t>
        </is>
      </c>
      <c r="P260" s="37">
        <f>SUM(D260:O260)</f>
        <v/>
      </c>
    </row>
    <row r="261">
      <c r="A261" s="34" t="inlineStr">
        <is>
          <t>Lentils</t>
        </is>
      </c>
      <c r="B261" s="35" t="inlineStr">
        <is>
          <t>STU Days</t>
        </is>
      </c>
      <c r="C261" s="34" t="inlineStr">
        <is>
          <t>2021-22</t>
        </is>
      </c>
      <c r="P261" s="41">
        <f>SUM(D261:O261)</f>
        <v/>
      </c>
    </row>
    <row r="262">
      <c r="A262" s="34" t="inlineStr">
        <is>
          <t>Lentils</t>
        </is>
      </c>
      <c r="B262" s="35" t="inlineStr">
        <is>
          <t>CHECK</t>
        </is>
      </c>
      <c r="C262" s="34" t="inlineStr">
        <is>
          <t>2021-22</t>
        </is>
      </c>
      <c r="O262" s="41" t="n">
        <v>0</v>
      </c>
      <c r="P262" s="41">
        <f>SUM(D262:O262)</f>
        <v/>
      </c>
    </row>
    <row r="263">
      <c r="A263" s="34" t="inlineStr">
        <is>
          <t>Lentils</t>
        </is>
      </c>
      <c r="B263" s="35" t="inlineStr">
        <is>
          <t>Planted Area</t>
        </is>
      </c>
      <c r="C263" s="34" t="inlineStr">
        <is>
          <t>2022-23</t>
        </is>
      </c>
      <c r="P263" s="36">
        <f>SUM(D263:O263)</f>
        <v/>
      </c>
    </row>
    <row r="264">
      <c r="A264" s="34" t="inlineStr">
        <is>
          <t>Lentils</t>
        </is>
      </c>
      <c r="B264" s="35" t="inlineStr">
        <is>
          <t>Harvested Area</t>
        </is>
      </c>
      <c r="C264" s="34" t="inlineStr">
        <is>
          <t>2022-23</t>
        </is>
      </c>
      <c r="P264" s="36">
        <f>SUM(D264:O264)</f>
        <v/>
      </c>
    </row>
    <row r="265">
      <c r="A265" s="34" t="inlineStr">
        <is>
          <t>Lentils</t>
        </is>
      </c>
      <c r="B265" s="35" t="inlineStr">
        <is>
          <t>Proportion Harvested</t>
        </is>
      </c>
      <c r="C265" s="34" t="inlineStr">
        <is>
          <t>2022-23</t>
        </is>
      </c>
      <c r="P265" s="37">
        <f>SUM(D265:O265)</f>
        <v/>
      </c>
    </row>
    <row r="266">
      <c r="A266" s="34" t="inlineStr">
        <is>
          <t>Lentils</t>
        </is>
      </c>
      <c r="B266" s="35" t="inlineStr">
        <is>
          <t>Yield</t>
        </is>
      </c>
      <c r="C266" s="34" t="inlineStr">
        <is>
          <t>2022-23</t>
        </is>
      </c>
      <c r="P266" s="38">
        <f>SUM(D266:O266)</f>
        <v/>
      </c>
    </row>
    <row r="267">
      <c r="A267" s="34" t="inlineStr">
        <is>
          <t>Lentils</t>
        </is>
      </c>
      <c r="B267" s="39" t="inlineStr">
        <is>
          <t>Beginning Stocks</t>
        </is>
      </c>
      <c r="C267" s="34" t="inlineStr">
        <is>
          <t>2022-23</t>
        </is>
      </c>
      <c r="O267" s="40" t="n">
        <v>225</v>
      </c>
      <c r="P267" s="41">
        <f>SUM(D267:O267)</f>
        <v/>
      </c>
    </row>
    <row r="268">
      <c r="A268" s="34" t="inlineStr">
        <is>
          <t>Lentils</t>
        </is>
      </c>
      <c r="B268" s="39" t="inlineStr">
        <is>
          <t>Imports</t>
        </is>
      </c>
      <c r="C268" s="34" t="inlineStr">
        <is>
          <t>2022-23</t>
        </is>
      </c>
      <c r="O268" s="40" t="n">
        <v>86.5</v>
      </c>
      <c r="P268" s="41">
        <f>SUM(D268:O268)</f>
        <v/>
      </c>
    </row>
    <row r="269">
      <c r="A269" s="34" t="inlineStr">
        <is>
          <t>Lentils</t>
        </is>
      </c>
      <c r="B269" s="39" t="inlineStr">
        <is>
          <t>Production</t>
        </is>
      </c>
      <c r="C269" s="34" t="inlineStr">
        <is>
          <t>2022-23</t>
        </is>
      </c>
      <c r="O269" s="40" t="n">
        <v>2330.6</v>
      </c>
      <c r="P269" s="41">
        <f>SUM(D269:O269)</f>
        <v/>
      </c>
    </row>
    <row r="270">
      <c r="A270" s="34" t="inlineStr">
        <is>
          <t>Lentils</t>
        </is>
      </c>
      <c r="B270" s="39" t="inlineStr">
        <is>
          <t>FSR</t>
        </is>
      </c>
      <c r="C270" s="34" t="inlineStr">
        <is>
          <t>2022-23</t>
        </is>
      </c>
      <c r="O270" s="40" t="n">
        <v>222.2000000000001</v>
      </c>
      <c r="P270" s="41">
        <f>SUM(D270:O270)</f>
        <v/>
      </c>
    </row>
    <row r="271">
      <c r="A271" s="34" t="inlineStr">
        <is>
          <t>Lentils</t>
        </is>
      </c>
      <c r="B271" s="39" t="inlineStr">
        <is>
          <t>Exports</t>
        </is>
      </c>
      <c r="C271" s="34" t="inlineStr">
        <is>
          <t>2022-23</t>
        </is>
      </c>
      <c r="O271" s="40" t="n">
        <v>2208.7</v>
      </c>
      <c r="P271" s="41">
        <f>SUM(D271:O271)</f>
        <v/>
      </c>
    </row>
    <row r="272">
      <c r="A272" s="34" t="inlineStr">
        <is>
          <t>Lentils</t>
        </is>
      </c>
      <c r="B272" s="39" t="inlineStr">
        <is>
          <t>Ending Stocks</t>
        </is>
      </c>
      <c r="C272" s="34" t="inlineStr">
        <is>
          <t>2022-23</t>
        </is>
      </c>
      <c r="O272" s="40" t="n">
        <v>211.2</v>
      </c>
      <c r="P272" s="41">
        <f>SUM(D272:O272)</f>
        <v/>
      </c>
    </row>
    <row r="273">
      <c r="A273" s="34" t="inlineStr">
        <is>
          <t>Lentils</t>
        </is>
      </c>
      <c r="B273" s="35" t="inlineStr">
        <is>
          <t>Stocks-to-Use</t>
        </is>
      </c>
      <c r="C273" s="34" t="inlineStr">
        <is>
          <t>2022-23</t>
        </is>
      </c>
      <c r="P273" s="37">
        <f>SUM(D273:O273)</f>
        <v/>
      </c>
    </row>
    <row r="274">
      <c r="A274" s="34" t="inlineStr">
        <is>
          <t>Lentils</t>
        </is>
      </c>
      <c r="B274" s="35" t="inlineStr">
        <is>
          <t>STU Days</t>
        </is>
      </c>
      <c r="C274" s="34" t="inlineStr">
        <is>
          <t>2022-23</t>
        </is>
      </c>
      <c r="P274" s="41">
        <f>SUM(D274:O274)</f>
        <v/>
      </c>
    </row>
    <row r="275">
      <c r="A275" s="34" t="inlineStr">
        <is>
          <t>Lentils</t>
        </is>
      </c>
      <c r="B275" s="35" t="inlineStr">
        <is>
          <t>CHECK</t>
        </is>
      </c>
      <c r="C275" s="34" t="inlineStr">
        <is>
          <t>2022-23</t>
        </is>
      </c>
      <c r="O275" s="41" t="n">
        <v>-1.70530256582424e-13</v>
      </c>
      <c r="P275" s="41">
        <f>SUM(D275:O275)</f>
        <v/>
      </c>
    </row>
    <row r="276">
      <c r="A276" s="34" t="inlineStr">
        <is>
          <t>Lentils</t>
        </is>
      </c>
      <c r="B276" s="35" t="inlineStr">
        <is>
          <t>Planted Area</t>
        </is>
      </c>
      <c r="C276" s="34" t="inlineStr">
        <is>
          <t>2023-24</t>
        </is>
      </c>
      <c r="P276" s="36">
        <f>SUM(D276:O276)</f>
        <v/>
      </c>
    </row>
    <row r="277">
      <c r="A277" s="34" t="inlineStr">
        <is>
          <t>Lentils</t>
        </is>
      </c>
      <c r="B277" s="35" t="inlineStr">
        <is>
          <t>Harvested Area</t>
        </is>
      </c>
      <c r="C277" s="34" t="inlineStr">
        <is>
          <t>2023-24</t>
        </is>
      </c>
      <c r="P277" s="36">
        <f>SUM(D277:O277)</f>
        <v/>
      </c>
    </row>
    <row r="278">
      <c r="A278" s="34" t="inlineStr">
        <is>
          <t>Lentils</t>
        </is>
      </c>
      <c r="B278" s="35" t="inlineStr">
        <is>
          <t>Proportion Harvested</t>
        </is>
      </c>
      <c r="C278" s="34" t="inlineStr">
        <is>
          <t>2023-24</t>
        </is>
      </c>
      <c r="P278" s="37">
        <f>SUM(D278:O278)</f>
        <v/>
      </c>
    </row>
    <row r="279">
      <c r="A279" s="34" t="inlineStr">
        <is>
          <t>Lentils</t>
        </is>
      </c>
      <c r="B279" s="35" t="inlineStr">
        <is>
          <t>Yield</t>
        </is>
      </c>
      <c r="C279" s="34" t="inlineStr">
        <is>
          <t>2023-24</t>
        </is>
      </c>
      <c r="P279" s="38">
        <f>SUM(D279:O279)</f>
        <v/>
      </c>
    </row>
    <row r="280">
      <c r="A280" s="34" t="inlineStr">
        <is>
          <t>Lentils</t>
        </is>
      </c>
      <c r="B280" s="39" t="inlineStr">
        <is>
          <t>Beginning Stocks</t>
        </is>
      </c>
      <c r="C280" s="34" t="inlineStr">
        <is>
          <t>2023-24</t>
        </is>
      </c>
      <c r="O280" s="40" t="n">
        <v>211.2</v>
      </c>
      <c r="P280" s="41">
        <f>SUM(D280:O280)</f>
        <v/>
      </c>
    </row>
    <row r="281">
      <c r="A281" s="34" t="inlineStr">
        <is>
          <t>Lentils</t>
        </is>
      </c>
      <c r="B281" s="39" t="inlineStr">
        <is>
          <t>Imports</t>
        </is>
      </c>
      <c r="C281" s="34" t="inlineStr">
        <is>
          <t>2023-24</t>
        </is>
      </c>
      <c r="O281" s="40" t="n">
        <v>91.7</v>
      </c>
      <c r="P281" s="41">
        <f>SUM(D281:O281)</f>
        <v/>
      </c>
    </row>
    <row r="282">
      <c r="A282" s="34" t="inlineStr">
        <is>
          <t>Lentils</t>
        </is>
      </c>
      <c r="B282" s="39" t="inlineStr">
        <is>
          <t>Production</t>
        </is>
      </c>
      <c r="C282" s="34" t="inlineStr">
        <is>
          <t>2023-24</t>
        </is>
      </c>
      <c r="O282" s="40" t="n">
        <v>1801.1</v>
      </c>
      <c r="P282" s="41">
        <f>SUM(D282:O282)</f>
        <v/>
      </c>
    </row>
    <row r="283">
      <c r="A283" s="34" t="inlineStr">
        <is>
          <t>Lentils</t>
        </is>
      </c>
      <c r="B283" s="39" t="inlineStr">
        <is>
          <t>FSR</t>
        </is>
      </c>
      <c r="C283" s="34" t="inlineStr">
        <is>
          <t>2023-24</t>
        </is>
      </c>
      <c r="O283" s="40" t="n">
        <v>263.5</v>
      </c>
      <c r="P283" s="41">
        <f>SUM(D283:O283)</f>
        <v/>
      </c>
    </row>
    <row r="284">
      <c r="A284" s="34" t="inlineStr">
        <is>
          <t>Lentils</t>
        </is>
      </c>
      <c r="B284" s="39" t="inlineStr">
        <is>
          <t>Exports</t>
        </is>
      </c>
      <c r="C284" s="34" t="inlineStr">
        <is>
          <t>2023-24</t>
        </is>
      </c>
      <c r="O284" s="40" t="n">
        <v>1675.5</v>
      </c>
      <c r="P284" s="41">
        <f>SUM(D284:O284)</f>
        <v/>
      </c>
    </row>
    <row r="285">
      <c r="A285" s="34" t="inlineStr">
        <is>
          <t>Lentils</t>
        </is>
      </c>
      <c r="B285" s="39" t="inlineStr">
        <is>
          <t>Ending Stocks</t>
        </is>
      </c>
      <c r="C285" s="34" t="inlineStr">
        <is>
          <t>2023-24</t>
        </is>
      </c>
      <c r="O285" s="40" t="n">
        <v>165</v>
      </c>
      <c r="P285" s="41">
        <f>SUM(D285:O285)</f>
        <v/>
      </c>
    </row>
    <row r="286">
      <c r="A286" s="34" t="inlineStr">
        <is>
          <t>Lentils</t>
        </is>
      </c>
      <c r="B286" s="35" t="inlineStr">
        <is>
          <t>Stocks-to-Use</t>
        </is>
      </c>
      <c r="C286" s="34" t="inlineStr">
        <is>
          <t>2023-24</t>
        </is>
      </c>
      <c r="P286" s="37">
        <f>SUM(D286:O286)</f>
        <v/>
      </c>
    </row>
    <row r="287">
      <c r="A287" s="34" t="inlineStr">
        <is>
          <t>Lentils</t>
        </is>
      </c>
      <c r="B287" s="35" t="inlineStr">
        <is>
          <t>STU Days</t>
        </is>
      </c>
      <c r="C287" s="34" t="inlineStr">
        <is>
          <t>2023-24</t>
        </is>
      </c>
      <c r="P287" s="41">
        <f>SUM(D287:O287)</f>
        <v/>
      </c>
    </row>
    <row r="288">
      <c r="A288" s="34" t="inlineStr">
        <is>
          <t>Lentils</t>
        </is>
      </c>
      <c r="B288" s="35" t="inlineStr">
        <is>
          <t>CHECK</t>
        </is>
      </c>
      <c r="C288" s="34" t="inlineStr">
        <is>
          <t>2023-24</t>
        </is>
      </c>
      <c r="O288" s="41" t="n">
        <v>0</v>
      </c>
      <c r="P288" s="41">
        <f>SUM(D288:O288)</f>
        <v/>
      </c>
    </row>
    <row r="289">
      <c r="A289" s="34" t="inlineStr">
        <is>
          <t>Lentils</t>
        </is>
      </c>
      <c r="B289" s="35" t="inlineStr">
        <is>
          <t>Planted Area</t>
        </is>
      </c>
      <c r="C289" s="34" t="inlineStr">
        <is>
          <t>2024-25</t>
        </is>
      </c>
      <c r="P289" s="36">
        <f>SUM(D289:O289)</f>
        <v/>
      </c>
    </row>
    <row r="290">
      <c r="A290" s="34" t="inlineStr">
        <is>
          <t>Lentils</t>
        </is>
      </c>
      <c r="B290" s="35" t="inlineStr">
        <is>
          <t>Harvested Area</t>
        </is>
      </c>
      <c r="C290" s="34" t="inlineStr">
        <is>
          <t>2024-25</t>
        </is>
      </c>
      <c r="P290" s="36">
        <f>SUM(D290:O290)</f>
        <v/>
      </c>
    </row>
    <row r="291">
      <c r="A291" s="34" t="inlineStr">
        <is>
          <t>Lentils</t>
        </is>
      </c>
      <c r="B291" s="35" t="inlineStr">
        <is>
          <t>Proportion Harvested</t>
        </is>
      </c>
      <c r="C291" s="34" t="inlineStr">
        <is>
          <t>2024-25</t>
        </is>
      </c>
      <c r="P291" s="37">
        <f>SUM(D291:O291)</f>
        <v/>
      </c>
    </row>
    <row r="292">
      <c r="A292" s="34" t="inlineStr">
        <is>
          <t>Lentils</t>
        </is>
      </c>
      <c r="B292" s="35" t="inlineStr">
        <is>
          <t>Yield</t>
        </is>
      </c>
      <c r="C292" s="34" t="inlineStr">
        <is>
          <t>2024-25</t>
        </is>
      </c>
      <c r="P292" s="38">
        <f>SUM(D292:O292)</f>
        <v/>
      </c>
    </row>
    <row r="293">
      <c r="A293" s="34" t="inlineStr">
        <is>
          <t>Lentils</t>
        </is>
      </c>
      <c r="B293" s="39" t="inlineStr">
        <is>
          <t>Beginning Stocks</t>
        </is>
      </c>
      <c r="C293" s="34" t="inlineStr">
        <is>
          <t>2024-25</t>
        </is>
      </c>
      <c r="O293" s="40" t="n">
        <v>165</v>
      </c>
      <c r="P293" s="41">
        <f>SUM(D293:O293)</f>
        <v/>
      </c>
    </row>
    <row r="294">
      <c r="A294" s="34" t="inlineStr">
        <is>
          <t>Lentils</t>
        </is>
      </c>
      <c r="B294" s="39" t="inlineStr">
        <is>
          <t>Imports</t>
        </is>
      </c>
      <c r="C294" s="34" t="inlineStr">
        <is>
          <t>2024-25</t>
        </is>
      </c>
      <c r="O294" s="40" t="n">
        <v>125.7</v>
      </c>
      <c r="P294" s="41">
        <f>SUM(D294:O294)</f>
        <v/>
      </c>
    </row>
    <row r="295">
      <c r="A295" s="34" t="inlineStr">
        <is>
          <t>Lentils</t>
        </is>
      </c>
      <c r="B295" s="39" t="inlineStr">
        <is>
          <t>Production</t>
        </is>
      </c>
      <c r="C295" s="34" t="inlineStr">
        <is>
          <t>2024-25</t>
        </is>
      </c>
      <c r="O295" s="40" t="n">
        <v>2431.3</v>
      </c>
      <c r="P295" s="41">
        <f>SUM(D295:O295)</f>
        <v/>
      </c>
    </row>
    <row r="296">
      <c r="A296" s="34" t="inlineStr">
        <is>
          <t>Lentils</t>
        </is>
      </c>
      <c r="B296" s="39" t="inlineStr">
        <is>
          <t>FSR</t>
        </is>
      </c>
      <c r="C296" s="34" t="inlineStr">
        <is>
          <t>2024-25</t>
        </is>
      </c>
      <c r="O296" s="40" t="n">
        <v>338.7</v>
      </c>
      <c r="P296" s="41">
        <f>SUM(D296:O296)</f>
        <v/>
      </c>
    </row>
    <row r="297">
      <c r="A297" s="34" t="inlineStr">
        <is>
          <t>Lentils</t>
        </is>
      </c>
      <c r="B297" s="39" t="inlineStr">
        <is>
          <t>Exports</t>
        </is>
      </c>
      <c r="C297" s="34" t="inlineStr">
        <is>
          <t>2024-25</t>
        </is>
      </c>
      <c r="O297" s="40" t="n">
        <v>1822.1</v>
      </c>
      <c r="P297" s="41">
        <f>SUM(D297:O297)</f>
        <v/>
      </c>
    </row>
    <row r="298">
      <c r="A298" s="34" t="inlineStr">
        <is>
          <t>Lentils</t>
        </is>
      </c>
      <c r="B298" s="39" t="inlineStr">
        <is>
          <t>Ending Stocks</t>
        </is>
      </c>
      <c r="C298" s="34" t="inlineStr">
        <is>
          <t>2024-25</t>
        </is>
      </c>
      <c r="O298" s="40" t="n">
        <v>561.2</v>
      </c>
      <c r="P298" s="41">
        <f>SUM(D298:O298)</f>
        <v/>
      </c>
    </row>
    <row r="299">
      <c r="A299" s="34" t="inlineStr">
        <is>
          <t>Lentils</t>
        </is>
      </c>
      <c r="B299" s="35" t="inlineStr">
        <is>
          <t>Stocks-to-Use</t>
        </is>
      </c>
      <c r="C299" s="34" t="inlineStr">
        <is>
          <t>2024-25</t>
        </is>
      </c>
      <c r="P299" s="37">
        <f>SUM(D299:O299)</f>
        <v/>
      </c>
    </row>
    <row r="300">
      <c r="A300" s="34" t="inlineStr">
        <is>
          <t>Lentils</t>
        </is>
      </c>
      <c r="B300" s="35" t="inlineStr">
        <is>
          <t>STU Days</t>
        </is>
      </c>
      <c r="C300" s="34" t="inlineStr">
        <is>
          <t>2024-25</t>
        </is>
      </c>
      <c r="P300" s="41">
        <f>SUM(D300:O300)</f>
        <v/>
      </c>
    </row>
    <row r="301">
      <c r="A301" s="34" t="inlineStr">
        <is>
          <t>Lentils</t>
        </is>
      </c>
      <c r="B301" s="35" t="inlineStr">
        <is>
          <t>CHECK</t>
        </is>
      </c>
      <c r="C301" s="34" t="inlineStr">
        <is>
          <t>2024-25</t>
        </is>
      </c>
      <c r="O301" s="41" t="n">
        <v>2.273736754432321e-13</v>
      </c>
      <c r="P301" s="41">
        <f>SUM(D301:O301)</f>
        <v/>
      </c>
    </row>
    <row r="302">
      <c r="A302" s="34" t="inlineStr">
        <is>
          <t>Lentils</t>
        </is>
      </c>
      <c r="B302" s="42" t="inlineStr">
        <is>
          <t>CHECK</t>
        </is>
      </c>
      <c r="C302" s="43" t="inlineStr">
        <is>
          <t>KMT</t>
        </is>
      </c>
      <c r="D302" s="40" t="n">
        <v>0</v>
      </c>
      <c r="E302" s="40" t="n">
        <v>0</v>
      </c>
      <c r="F302" s="40" t="n">
        <v>0</v>
      </c>
      <c r="G302" s="40" t="n">
        <v>0</v>
      </c>
      <c r="H302" s="40" t="n">
        <v>0</v>
      </c>
      <c r="I302" s="40" t="n">
        <v>0</v>
      </c>
      <c r="J302" s="40" t="n">
        <v>0</v>
      </c>
      <c r="K302" s="40" t="n">
        <v>0</v>
      </c>
      <c r="L302" s="40" t="n">
        <v>0</v>
      </c>
      <c r="M302" s="40" t="n">
        <v>0</v>
      </c>
      <c r="N302" s="40" t="n">
        <v>0</v>
      </c>
      <c r="O302" s="40" t="n">
        <v>0</v>
      </c>
      <c r="P302" s="44" t="n">
        <v>0</v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348"/>
  <sheetViews>
    <sheetView workbookViewId="0">
      <selection activeCell="A1" sqref="A1"/>
    </sheetView>
  </sheetViews>
  <sheetFormatPr baseColWidth="8" defaultRowHeight="15"/>
  <cols>
    <col width="18" customWidth="1" style="46" min="1" max="1"/>
    <col width="28" customWidth="1" style="46" min="2" max="2"/>
    <col width="10" customWidth="1" style="46" min="3" max="3"/>
    <col width="8" customWidth="1" style="46" min="4" max="4"/>
    <col width="8" customWidth="1" style="46" min="5" max="5"/>
    <col width="8" customWidth="1" style="46" min="6" max="6"/>
    <col width="8" customWidth="1" style="46" min="7" max="7"/>
    <col width="8" customWidth="1" style="46" min="8" max="8"/>
    <col width="8" customWidth="1" style="46" min="9" max="9"/>
    <col width="8" customWidth="1" style="46" min="10" max="10"/>
    <col width="8" customWidth="1" style="46" min="11" max="11"/>
    <col width="8" customWidth="1" style="46" min="12" max="12"/>
    <col width="8" customWidth="1" style="46" min="13" max="13"/>
    <col width="8" customWidth="1" style="46" min="14" max="14"/>
    <col width="8" customWidth="1" style="46" min="15" max="15"/>
    <col width="12" customWidth="1" style="46" min="16" max="16"/>
  </cols>
  <sheetData>
    <row r="1">
      <c r="A1" s="49" t="inlineStr">
        <is>
          <t>Durum</t>
        </is>
      </c>
    </row>
    <row r="2">
      <c r="A2" s="50" t="inlineStr">
        <is>
          <t>Commodity</t>
        </is>
      </c>
      <c r="B2" s="50" t="inlineStr">
        <is>
          <t>Metric</t>
        </is>
      </c>
      <c r="C2" s="50" t="inlineStr">
        <is>
          <t>Crop Year</t>
        </is>
      </c>
      <c r="D2" s="50" t="inlineStr">
        <is>
          <t>08</t>
        </is>
      </c>
      <c r="E2" s="50" t="inlineStr">
        <is>
          <t>09</t>
        </is>
      </c>
      <c r="F2" s="50" t="inlineStr">
        <is>
          <t>10</t>
        </is>
      </c>
      <c r="G2" s="50" t="inlineStr">
        <is>
          <t>11</t>
        </is>
      </c>
      <c r="H2" s="50" t="inlineStr">
        <is>
          <t>12</t>
        </is>
      </c>
      <c r="I2" s="50" t="inlineStr">
        <is>
          <t>01</t>
        </is>
      </c>
      <c r="J2" s="50" t="inlineStr">
        <is>
          <t>02</t>
        </is>
      </c>
      <c r="K2" s="50" t="inlineStr">
        <is>
          <t>03</t>
        </is>
      </c>
      <c r="L2" s="50" t="inlineStr">
        <is>
          <t>04</t>
        </is>
      </c>
      <c r="M2" s="50" t="inlineStr">
        <is>
          <t>05</t>
        </is>
      </c>
      <c r="N2" s="50" t="inlineStr">
        <is>
          <t>06</t>
        </is>
      </c>
      <c r="O2" s="50" t="inlineStr">
        <is>
          <t>07</t>
        </is>
      </c>
      <c r="P2" s="50" t="inlineStr">
        <is>
          <t>Total</t>
        </is>
      </c>
    </row>
    <row r="3">
      <c r="A3" s="51" t="inlineStr">
        <is>
          <t>Durum</t>
        </is>
      </c>
      <c r="B3" s="52" t="inlineStr">
        <is>
          <t>Planted Area</t>
        </is>
      </c>
      <c r="C3" s="51" t="inlineStr">
        <is>
          <t>2002-03</t>
        </is>
      </c>
      <c r="P3" s="53">
        <f>SUM(D3:O3)</f>
        <v/>
      </c>
    </row>
    <row r="4">
      <c r="A4" s="51" t="inlineStr">
        <is>
          <t>Durum</t>
        </is>
      </c>
      <c r="B4" s="52" t="inlineStr">
        <is>
          <t>Harvested Area</t>
        </is>
      </c>
      <c r="C4" s="51" t="inlineStr">
        <is>
          <t>2002-03</t>
        </is>
      </c>
      <c r="P4" s="53">
        <f>SUM(D4:O4)</f>
        <v/>
      </c>
    </row>
    <row r="5">
      <c r="A5" s="51" t="inlineStr">
        <is>
          <t>Durum</t>
        </is>
      </c>
      <c r="B5" s="52" t="inlineStr">
        <is>
          <t>Proportion Harvested</t>
        </is>
      </c>
      <c r="C5" s="51" t="inlineStr">
        <is>
          <t>2002-03</t>
        </is>
      </c>
      <c r="P5" s="54">
        <f>SUM(D5:O5)</f>
        <v/>
      </c>
    </row>
    <row r="6">
      <c r="A6" s="51" t="inlineStr">
        <is>
          <t>Durum</t>
        </is>
      </c>
      <c r="B6" s="52" t="inlineStr">
        <is>
          <t>Yield</t>
        </is>
      </c>
      <c r="C6" s="51" t="inlineStr">
        <is>
          <t>2002-03</t>
        </is>
      </c>
      <c r="P6" s="55">
        <f>SUM(D6:O6)</f>
        <v/>
      </c>
    </row>
    <row r="7">
      <c r="A7" s="51" t="inlineStr">
        <is>
          <t>Durum</t>
        </is>
      </c>
      <c r="B7" s="56" t="inlineStr">
        <is>
          <t>Beginning Stocks</t>
        </is>
      </c>
      <c r="C7" s="51" t="inlineStr">
        <is>
          <t>2002-03</t>
        </is>
      </c>
      <c r="H7" s="57" t="n">
        <v>1544.9</v>
      </c>
      <c r="K7" s="57" t="n">
        <v>3665.4</v>
      </c>
      <c r="O7" s="57" t="n">
        <v>3133.4</v>
      </c>
      <c r="P7" s="58">
        <f>SUM(D7:O7)</f>
        <v/>
      </c>
    </row>
    <row r="8">
      <c r="A8" s="51" t="inlineStr">
        <is>
          <t>Durum</t>
        </is>
      </c>
      <c r="B8" s="56" t="inlineStr">
        <is>
          <t>Imports</t>
        </is>
      </c>
      <c r="C8" s="51" t="inlineStr">
        <is>
          <t>2002-03</t>
        </is>
      </c>
      <c r="H8" s="57" t="n">
        <v>3.9</v>
      </c>
      <c r="K8" s="57" t="n">
        <v>5.3</v>
      </c>
      <c r="O8" s="57" t="n">
        <v>5.5</v>
      </c>
      <c r="P8" s="58">
        <f>SUM(D8:O8)</f>
        <v/>
      </c>
    </row>
    <row r="9">
      <c r="A9" s="51" t="inlineStr">
        <is>
          <t>Durum</t>
        </is>
      </c>
      <c r="B9" s="56" t="inlineStr">
        <is>
          <t>Production</t>
        </is>
      </c>
      <c r="C9" s="51" t="inlineStr">
        <is>
          <t>2002-03</t>
        </is>
      </c>
      <c r="H9" s="57" t="n">
        <v>3876.9</v>
      </c>
      <c r="K9" s="57" t="n">
        <v>3876.9</v>
      </c>
      <c r="O9" s="57" t="n">
        <v>3876.9</v>
      </c>
      <c r="P9" s="58">
        <f>SUM(D9:O9)</f>
        <v/>
      </c>
    </row>
    <row r="10">
      <c r="A10" s="51" t="inlineStr">
        <is>
          <t>Durum</t>
        </is>
      </c>
      <c r="B10" s="56" t="inlineStr">
        <is>
          <t>Food</t>
        </is>
      </c>
      <c r="C10" s="51" t="inlineStr">
        <is>
          <t>2002-03</t>
        </is>
      </c>
      <c r="H10" s="57" t="n">
        <v>23.58</v>
      </c>
      <c r="K10" s="57" t="n">
        <v>24.76666666666666</v>
      </c>
      <c r="O10" s="57" t="n">
        <v>21.02500000000001</v>
      </c>
      <c r="P10" s="58">
        <f>SUM(D10:O10)</f>
        <v/>
      </c>
    </row>
    <row r="11">
      <c r="A11" s="51" t="inlineStr">
        <is>
          <t>Durum</t>
        </is>
      </c>
      <c r="B11" s="56" t="inlineStr">
        <is>
          <t>Industrial</t>
        </is>
      </c>
      <c r="C11" s="51" t="inlineStr">
        <is>
          <t>2002-03</t>
        </is>
      </c>
      <c r="H11" s="57" t="n">
        <v>0</v>
      </c>
      <c r="K11" s="57" t="n">
        <v>0</v>
      </c>
      <c r="O11" s="57" t="n">
        <v>0</v>
      </c>
      <c r="P11" s="58">
        <f>SUM(D11:O11)</f>
        <v/>
      </c>
    </row>
    <row r="12">
      <c r="A12" s="51" t="inlineStr">
        <is>
          <t>Durum</t>
        </is>
      </c>
      <c r="B12" s="56" t="inlineStr">
        <is>
          <t>FSR</t>
        </is>
      </c>
      <c r="C12" s="51" t="inlineStr">
        <is>
          <t>2002-03</t>
        </is>
      </c>
      <c r="H12" s="57" t="n">
        <v>1459.199999999999</v>
      </c>
      <c r="K12" s="57" t="n">
        <v>4253.433333333334</v>
      </c>
      <c r="O12" s="57" t="n">
        <v>5093.075000000001</v>
      </c>
      <c r="P12" s="58">
        <f>SUM(D12:O12)</f>
        <v/>
      </c>
    </row>
    <row r="13">
      <c r="A13" s="51" t="inlineStr">
        <is>
          <t>Durum</t>
        </is>
      </c>
      <c r="B13" s="56" t="inlineStr">
        <is>
          <t>Exports</t>
        </is>
      </c>
      <c r="C13" s="51" t="inlineStr">
        <is>
          <t>2002-03</t>
        </is>
      </c>
      <c r="H13" s="57" t="n">
        <v>277.52</v>
      </c>
      <c r="K13" s="57" t="n">
        <v>136</v>
      </c>
      <c r="O13" s="57" t="n">
        <v>293.1</v>
      </c>
      <c r="P13" s="58">
        <f>SUM(D13:O13)</f>
        <v/>
      </c>
    </row>
    <row r="14">
      <c r="A14" s="51" t="inlineStr">
        <is>
          <t>Durum</t>
        </is>
      </c>
      <c r="B14" s="56" t="inlineStr">
        <is>
          <t>Ending Stocks</t>
        </is>
      </c>
      <c r="C14" s="51" t="inlineStr">
        <is>
          <t>2002-03</t>
        </is>
      </c>
      <c r="H14" s="57" t="n">
        <v>3665.4</v>
      </c>
      <c r="K14" s="57" t="n">
        <v>3133.4</v>
      </c>
      <c r="O14" s="57" t="n">
        <v>1608.6</v>
      </c>
      <c r="P14" s="58">
        <f>SUM(D14:O14)</f>
        <v/>
      </c>
    </row>
    <row r="15">
      <c r="A15" s="51" t="inlineStr">
        <is>
          <t>Durum</t>
        </is>
      </c>
      <c r="B15" s="52" t="inlineStr">
        <is>
          <t>Stocks-to-Use</t>
        </is>
      </c>
      <c r="C15" s="51" t="inlineStr">
        <is>
          <t>2002-03</t>
        </is>
      </c>
      <c r="P15" s="54">
        <f>SUM(D15:O15)</f>
        <v/>
      </c>
    </row>
    <row r="16">
      <c r="A16" s="51" t="inlineStr">
        <is>
          <t>Durum</t>
        </is>
      </c>
      <c r="B16" s="52" t="inlineStr">
        <is>
          <t>STU Days</t>
        </is>
      </c>
      <c r="C16" s="51" t="inlineStr">
        <is>
          <t>2002-03</t>
        </is>
      </c>
      <c r="P16" s="58">
        <f>SUM(D16:O16)</f>
        <v/>
      </c>
    </row>
    <row r="17">
      <c r="A17" s="51" t="inlineStr">
        <is>
          <t>Durum</t>
        </is>
      </c>
      <c r="B17" s="52" t="inlineStr">
        <is>
          <t>CHECK</t>
        </is>
      </c>
      <c r="C17" s="51" t="inlineStr">
        <is>
          <t>2002-03</t>
        </is>
      </c>
      <c r="H17" s="58" t="n">
        <v>4.547473508864641e-13</v>
      </c>
      <c r="K17" s="58" t="n">
        <v>-4.547473508864641e-13</v>
      </c>
      <c r="O17" s="58" t="n">
        <v>0</v>
      </c>
      <c r="P17" s="58">
        <f>SUM(D17:O17)</f>
        <v/>
      </c>
    </row>
    <row r="18">
      <c r="A18" s="51" t="inlineStr">
        <is>
          <t>Durum</t>
        </is>
      </c>
      <c r="B18" s="52" t="inlineStr">
        <is>
          <t>Planted Area</t>
        </is>
      </c>
      <c r="C18" s="51" t="inlineStr">
        <is>
          <t>2003-04</t>
        </is>
      </c>
      <c r="P18" s="53">
        <f>SUM(D18:O18)</f>
        <v/>
      </c>
    </row>
    <row r="19">
      <c r="A19" s="51" t="inlineStr">
        <is>
          <t>Durum</t>
        </is>
      </c>
      <c r="B19" s="52" t="inlineStr">
        <is>
          <t>Harvested Area</t>
        </is>
      </c>
      <c r="C19" s="51" t="inlineStr">
        <is>
          <t>2003-04</t>
        </is>
      </c>
      <c r="P19" s="53">
        <f>SUM(D19:O19)</f>
        <v/>
      </c>
    </row>
    <row r="20">
      <c r="A20" s="51" t="inlineStr">
        <is>
          <t>Durum</t>
        </is>
      </c>
      <c r="B20" s="52" t="inlineStr">
        <is>
          <t>Proportion Harvested</t>
        </is>
      </c>
      <c r="C20" s="51" t="inlineStr">
        <is>
          <t>2003-04</t>
        </is>
      </c>
      <c r="P20" s="54">
        <f>SUM(D20:O20)</f>
        <v/>
      </c>
    </row>
    <row r="21">
      <c r="A21" s="51" t="inlineStr">
        <is>
          <t>Durum</t>
        </is>
      </c>
      <c r="B21" s="52" t="inlineStr">
        <is>
          <t>Yield</t>
        </is>
      </c>
      <c r="C21" s="51" t="inlineStr">
        <is>
          <t>2003-04</t>
        </is>
      </c>
      <c r="P21" s="55">
        <f>SUM(D21:O21)</f>
        <v/>
      </c>
    </row>
    <row r="22">
      <c r="A22" s="51" t="inlineStr">
        <is>
          <t>Durum</t>
        </is>
      </c>
      <c r="B22" s="56" t="inlineStr">
        <is>
          <t>Beginning Stocks</t>
        </is>
      </c>
      <c r="C22" s="51" t="inlineStr">
        <is>
          <t>2003-04</t>
        </is>
      </c>
      <c r="H22" s="57" t="n">
        <v>1608.6</v>
      </c>
      <c r="K22" s="57" t="n">
        <v>3906.7</v>
      </c>
      <c r="O22" s="57" t="n">
        <v>3138.6</v>
      </c>
      <c r="P22" s="58">
        <f>SUM(D22:O22)</f>
        <v/>
      </c>
    </row>
    <row r="23">
      <c r="A23" s="51" t="inlineStr">
        <is>
          <t>Durum</t>
        </is>
      </c>
      <c r="B23" s="56" t="inlineStr">
        <is>
          <t>Imports</t>
        </is>
      </c>
      <c r="C23" s="51" t="inlineStr">
        <is>
          <t>2003-04</t>
        </is>
      </c>
      <c r="H23" s="57" t="n">
        <v>0.3</v>
      </c>
      <c r="K23" s="57" t="n">
        <v>0.7</v>
      </c>
      <c r="O23" s="57" t="n">
        <v>1.3</v>
      </c>
      <c r="P23" s="58">
        <f>SUM(D23:O23)</f>
        <v/>
      </c>
    </row>
    <row r="24">
      <c r="A24" s="51" t="inlineStr">
        <is>
          <t>Durum</t>
        </is>
      </c>
      <c r="B24" s="56" t="inlineStr">
        <is>
          <t>Production</t>
        </is>
      </c>
      <c r="C24" s="51" t="inlineStr">
        <is>
          <t>2003-04</t>
        </is>
      </c>
      <c r="H24" s="57" t="n">
        <v>4211.6</v>
      </c>
      <c r="K24" s="57" t="n">
        <v>4211.6</v>
      </c>
      <c r="O24" s="57" t="n">
        <v>4211.6</v>
      </c>
      <c r="P24" s="58">
        <f>SUM(D24:O24)</f>
        <v/>
      </c>
    </row>
    <row r="25">
      <c r="A25" s="51" t="inlineStr">
        <is>
          <t>Durum</t>
        </is>
      </c>
      <c r="B25" s="56" t="inlineStr">
        <is>
          <t>Food</t>
        </is>
      </c>
      <c r="C25" s="51" t="inlineStr">
        <is>
          <t>2003-04</t>
        </is>
      </c>
      <c r="H25" s="57" t="n">
        <v>22.46</v>
      </c>
      <c r="K25" s="57" t="n">
        <v>20.7</v>
      </c>
      <c r="O25" s="57" t="n">
        <v>19.275</v>
      </c>
      <c r="P25" s="58">
        <f>SUM(D25:O25)</f>
        <v/>
      </c>
    </row>
    <row r="26">
      <c r="A26" s="51" t="inlineStr">
        <is>
          <t>Durum</t>
        </is>
      </c>
      <c r="B26" s="56" t="inlineStr">
        <is>
          <t>Industrial</t>
        </is>
      </c>
      <c r="C26" s="51" t="inlineStr">
        <is>
          <t>2003-04</t>
        </is>
      </c>
      <c r="H26" s="57" t="n">
        <v>0</v>
      </c>
      <c r="K26" s="57" t="n">
        <v>0</v>
      </c>
      <c r="O26" s="57" t="n">
        <v>0</v>
      </c>
      <c r="P26" s="58">
        <f>SUM(D26:O26)</f>
        <v/>
      </c>
    </row>
    <row r="27">
      <c r="A27" s="51" t="inlineStr">
        <is>
          <t>Durum</t>
        </is>
      </c>
      <c r="B27" s="56" t="inlineStr">
        <is>
          <t>FSR</t>
        </is>
      </c>
      <c r="C27" s="51" t="inlineStr">
        <is>
          <t>2003-04</t>
        </is>
      </c>
      <c r="H27" s="57" t="n">
        <v>1553.520000000001</v>
      </c>
      <c r="K27" s="57" t="n">
        <v>4731.133333333333</v>
      </c>
      <c r="O27" s="57" t="n">
        <v>5294.975</v>
      </c>
      <c r="P27" s="58">
        <f>SUM(D27:O27)</f>
        <v/>
      </c>
    </row>
    <row r="28">
      <c r="A28" s="51" t="inlineStr">
        <is>
          <t>Durum</t>
        </is>
      </c>
      <c r="B28" s="56" t="inlineStr">
        <is>
          <t>Exports</t>
        </is>
      </c>
      <c r="C28" s="51" t="inlineStr">
        <is>
          <t>2003-04</t>
        </is>
      </c>
      <c r="H28" s="57" t="n">
        <v>337.82</v>
      </c>
      <c r="K28" s="57" t="n">
        <v>228.5666666666667</v>
      </c>
      <c r="O28" s="57" t="n">
        <v>263.15</v>
      </c>
      <c r="P28" s="58">
        <f>SUM(D28:O28)</f>
        <v/>
      </c>
    </row>
    <row r="29">
      <c r="A29" s="51" t="inlineStr">
        <is>
          <t>Durum</t>
        </is>
      </c>
      <c r="B29" s="56" t="inlineStr">
        <is>
          <t>Ending Stocks</t>
        </is>
      </c>
      <c r="C29" s="51" t="inlineStr">
        <is>
          <t>2003-04</t>
        </is>
      </c>
      <c r="H29" s="57" t="n">
        <v>3906.7</v>
      </c>
      <c r="K29" s="57" t="n">
        <v>3138.6</v>
      </c>
      <c r="O29" s="57" t="n">
        <v>1774.1</v>
      </c>
      <c r="P29" s="58">
        <f>SUM(D29:O29)</f>
        <v/>
      </c>
    </row>
    <row r="30">
      <c r="A30" s="51" t="inlineStr">
        <is>
          <t>Durum</t>
        </is>
      </c>
      <c r="B30" s="52" t="inlineStr">
        <is>
          <t>Stocks-to-Use</t>
        </is>
      </c>
      <c r="C30" s="51" t="inlineStr">
        <is>
          <t>2003-04</t>
        </is>
      </c>
      <c r="P30" s="54">
        <f>SUM(D30:O30)</f>
        <v/>
      </c>
    </row>
    <row r="31">
      <c r="A31" s="51" t="inlineStr">
        <is>
          <t>Durum</t>
        </is>
      </c>
      <c r="B31" s="52" t="inlineStr">
        <is>
          <t>STU Days</t>
        </is>
      </c>
      <c r="C31" s="51" t="inlineStr">
        <is>
          <t>2003-04</t>
        </is>
      </c>
      <c r="P31" s="58">
        <f>SUM(D31:O31)</f>
        <v/>
      </c>
    </row>
    <row r="32">
      <c r="A32" s="51" t="inlineStr">
        <is>
          <t>Durum</t>
        </is>
      </c>
      <c r="B32" s="52" t="inlineStr">
        <is>
          <t>CHECK</t>
        </is>
      </c>
      <c r="C32" s="51" t="inlineStr">
        <is>
          <t>2003-04</t>
        </is>
      </c>
      <c r="H32" s="58" t="n">
        <v>-4.547473508864641e-13</v>
      </c>
      <c r="K32" s="58" t="n">
        <v>4.547473508864641e-13</v>
      </c>
      <c r="O32" s="58" t="n">
        <v>9.094947017729282e-13</v>
      </c>
      <c r="P32" s="58">
        <f>SUM(D32:O32)</f>
        <v/>
      </c>
    </row>
    <row r="33">
      <c r="A33" s="51" t="inlineStr">
        <is>
          <t>Durum</t>
        </is>
      </c>
      <c r="B33" s="52" t="inlineStr">
        <is>
          <t>Planted Area</t>
        </is>
      </c>
      <c r="C33" s="51" t="inlineStr">
        <is>
          <t>2004-05</t>
        </is>
      </c>
      <c r="P33" s="53">
        <f>SUM(D33:O33)</f>
        <v/>
      </c>
    </row>
    <row r="34">
      <c r="A34" s="51" t="inlineStr">
        <is>
          <t>Durum</t>
        </is>
      </c>
      <c r="B34" s="52" t="inlineStr">
        <is>
          <t>Harvested Area</t>
        </is>
      </c>
      <c r="C34" s="51" t="inlineStr">
        <is>
          <t>2004-05</t>
        </is>
      </c>
      <c r="P34" s="53">
        <f>SUM(D34:O34)</f>
        <v/>
      </c>
    </row>
    <row r="35">
      <c r="A35" s="51" t="inlineStr">
        <is>
          <t>Durum</t>
        </is>
      </c>
      <c r="B35" s="52" t="inlineStr">
        <is>
          <t>Proportion Harvested</t>
        </is>
      </c>
      <c r="C35" s="51" t="inlineStr">
        <is>
          <t>2004-05</t>
        </is>
      </c>
      <c r="P35" s="54">
        <f>SUM(D35:O35)</f>
        <v/>
      </c>
    </row>
    <row r="36">
      <c r="A36" s="51" t="inlineStr">
        <is>
          <t>Durum</t>
        </is>
      </c>
      <c r="B36" s="52" t="inlineStr">
        <is>
          <t>Yield</t>
        </is>
      </c>
      <c r="C36" s="51" t="inlineStr">
        <is>
          <t>2004-05</t>
        </is>
      </c>
      <c r="P36" s="55">
        <f>SUM(D36:O36)</f>
        <v/>
      </c>
    </row>
    <row r="37">
      <c r="A37" s="51" t="inlineStr">
        <is>
          <t>Durum</t>
        </is>
      </c>
      <c r="B37" s="56" t="inlineStr">
        <is>
          <t>Beginning Stocks</t>
        </is>
      </c>
      <c r="C37" s="51" t="inlineStr">
        <is>
          <t>2004-05</t>
        </is>
      </c>
      <c r="H37" s="57" t="n">
        <v>1774.1</v>
      </c>
      <c r="K37" s="57" t="n">
        <v>4833.7</v>
      </c>
      <c r="O37" s="57" t="n">
        <v>4160</v>
      </c>
      <c r="P37" s="58">
        <f>SUM(D37:O37)</f>
        <v/>
      </c>
    </row>
    <row r="38">
      <c r="A38" s="51" t="inlineStr">
        <is>
          <t>Durum</t>
        </is>
      </c>
      <c r="B38" s="56" t="inlineStr">
        <is>
          <t>Imports</t>
        </is>
      </c>
      <c r="C38" s="51" t="inlineStr">
        <is>
          <t>2004-05</t>
        </is>
      </c>
      <c r="H38" s="57" t="n">
        <v>0.3</v>
      </c>
      <c r="K38" s="57" t="n">
        <v>0.5</v>
      </c>
      <c r="O38" s="57" t="n">
        <v>0.8</v>
      </c>
      <c r="P38" s="58">
        <f>SUM(D38:O38)</f>
        <v/>
      </c>
    </row>
    <row r="39">
      <c r="A39" s="51" t="inlineStr">
        <is>
          <t>Durum</t>
        </is>
      </c>
      <c r="B39" s="56" t="inlineStr">
        <is>
          <t>Production</t>
        </is>
      </c>
      <c r="C39" s="51" t="inlineStr">
        <is>
          <t>2004-05</t>
        </is>
      </c>
      <c r="H39" s="57" t="n">
        <v>4801.4</v>
      </c>
      <c r="K39" s="57" t="n">
        <v>4801.4</v>
      </c>
      <c r="O39" s="57" t="n">
        <v>4801.4</v>
      </c>
      <c r="P39" s="58">
        <f>SUM(D39:O39)</f>
        <v/>
      </c>
    </row>
    <row r="40">
      <c r="A40" s="51" t="inlineStr">
        <is>
          <t>Durum</t>
        </is>
      </c>
      <c r="B40" s="56" t="inlineStr">
        <is>
          <t>Food</t>
        </is>
      </c>
      <c r="C40" s="51" t="inlineStr">
        <is>
          <t>2004-05</t>
        </is>
      </c>
      <c r="H40" s="57" t="n">
        <v>22.34</v>
      </c>
      <c r="K40" s="57" t="n">
        <v>21.3</v>
      </c>
      <c r="O40" s="57" t="n">
        <v>19.65</v>
      </c>
      <c r="P40" s="58">
        <f>SUM(D40:O40)</f>
        <v/>
      </c>
    </row>
    <row r="41">
      <c r="A41" s="51" t="inlineStr">
        <is>
          <t>Durum</t>
        </is>
      </c>
      <c r="B41" s="56" t="inlineStr">
        <is>
          <t>Industrial</t>
        </is>
      </c>
      <c r="C41" s="51" t="inlineStr">
        <is>
          <t>2004-05</t>
        </is>
      </c>
      <c r="H41" s="57" t="n">
        <v>0</v>
      </c>
      <c r="K41" s="57" t="n">
        <v>0</v>
      </c>
      <c r="O41" s="57" t="n">
        <v>0</v>
      </c>
      <c r="P41" s="58">
        <f>SUM(D41:O41)</f>
        <v/>
      </c>
    </row>
    <row r="42">
      <c r="A42" s="51" t="inlineStr">
        <is>
          <t>Durum</t>
        </is>
      </c>
      <c r="B42" s="56" t="inlineStr">
        <is>
          <t>FSR</t>
        </is>
      </c>
      <c r="C42" s="51" t="inlineStr">
        <is>
          <t>2004-05</t>
        </is>
      </c>
      <c r="H42" s="57" t="n">
        <v>1413.700000000001</v>
      </c>
      <c r="K42" s="57" t="n">
        <v>5292.066666666666</v>
      </c>
      <c r="O42" s="57" t="n">
        <v>6155.299999999999</v>
      </c>
      <c r="P42" s="58">
        <f>SUM(D42:O42)</f>
        <v/>
      </c>
    </row>
    <row r="43">
      <c r="A43" s="51" t="inlineStr">
        <is>
          <t>Durum</t>
        </is>
      </c>
      <c r="B43" s="56" t="inlineStr">
        <is>
          <t>Exports</t>
        </is>
      </c>
      <c r="C43" s="51" t="inlineStr">
        <is>
          <t>2004-05</t>
        </is>
      </c>
      <c r="H43" s="57" t="n">
        <v>306.06</v>
      </c>
      <c r="K43" s="57" t="n">
        <v>162.2333333333333</v>
      </c>
      <c r="O43" s="57" t="n">
        <v>300.35</v>
      </c>
      <c r="P43" s="58">
        <f>SUM(D43:O43)</f>
        <v/>
      </c>
    </row>
    <row r="44">
      <c r="A44" s="51" t="inlineStr">
        <is>
          <t>Durum</t>
        </is>
      </c>
      <c r="B44" s="56" t="inlineStr">
        <is>
          <t>Ending Stocks</t>
        </is>
      </c>
      <c r="C44" s="51" t="inlineStr">
        <is>
          <t>2004-05</t>
        </is>
      </c>
      <c r="H44" s="57" t="n">
        <v>4833.7</v>
      </c>
      <c r="K44" s="57" t="n">
        <v>4160</v>
      </c>
      <c r="O44" s="57" t="n">
        <v>2486.9</v>
      </c>
      <c r="P44" s="58">
        <f>SUM(D44:O44)</f>
        <v/>
      </c>
    </row>
    <row r="45">
      <c r="A45" s="51" t="inlineStr">
        <is>
          <t>Durum</t>
        </is>
      </c>
      <c r="B45" s="52" t="inlineStr">
        <is>
          <t>Stocks-to-Use</t>
        </is>
      </c>
      <c r="C45" s="51" t="inlineStr">
        <is>
          <t>2004-05</t>
        </is>
      </c>
      <c r="P45" s="54">
        <f>SUM(D45:O45)</f>
        <v/>
      </c>
    </row>
    <row r="46">
      <c r="A46" s="51" t="inlineStr">
        <is>
          <t>Durum</t>
        </is>
      </c>
      <c r="B46" s="52" t="inlineStr">
        <is>
          <t>STU Days</t>
        </is>
      </c>
      <c r="C46" s="51" t="inlineStr">
        <is>
          <t>2004-05</t>
        </is>
      </c>
      <c r="P46" s="58">
        <f>SUM(D46:O46)</f>
        <v/>
      </c>
    </row>
    <row r="47">
      <c r="A47" s="51" t="inlineStr">
        <is>
          <t>Durum</t>
        </is>
      </c>
      <c r="B47" s="52" t="inlineStr">
        <is>
          <t>CHECK</t>
        </is>
      </c>
      <c r="C47" s="51" t="inlineStr">
        <is>
          <t>2004-05</t>
        </is>
      </c>
      <c r="H47" s="58" t="n">
        <v>-9.094947017729282e-13</v>
      </c>
      <c r="K47" s="58" t="n">
        <v>0</v>
      </c>
      <c r="O47" s="58" t="n">
        <v>0</v>
      </c>
      <c r="P47" s="58">
        <f>SUM(D47:O47)</f>
        <v/>
      </c>
    </row>
    <row r="48">
      <c r="A48" s="51" t="inlineStr">
        <is>
          <t>Durum</t>
        </is>
      </c>
      <c r="B48" s="52" t="inlineStr">
        <is>
          <t>Planted Area</t>
        </is>
      </c>
      <c r="C48" s="51" t="inlineStr">
        <is>
          <t>2005-06</t>
        </is>
      </c>
      <c r="P48" s="53">
        <f>SUM(D48:O48)</f>
        <v/>
      </c>
    </row>
    <row r="49">
      <c r="A49" s="51" t="inlineStr">
        <is>
          <t>Durum</t>
        </is>
      </c>
      <c r="B49" s="52" t="inlineStr">
        <is>
          <t>Harvested Area</t>
        </is>
      </c>
      <c r="C49" s="51" t="inlineStr">
        <is>
          <t>2005-06</t>
        </is>
      </c>
      <c r="P49" s="53">
        <f>SUM(D49:O49)</f>
        <v/>
      </c>
    </row>
    <row r="50">
      <c r="A50" s="51" t="inlineStr">
        <is>
          <t>Durum</t>
        </is>
      </c>
      <c r="B50" s="52" t="inlineStr">
        <is>
          <t>Proportion Harvested</t>
        </is>
      </c>
      <c r="C50" s="51" t="inlineStr">
        <is>
          <t>2005-06</t>
        </is>
      </c>
      <c r="P50" s="54">
        <f>SUM(D50:O50)</f>
        <v/>
      </c>
    </row>
    <row r="51">
      <c r="A51" s="51" t="inlineStr">
        <is>
          <t>Durum</t>
        </is>
      </c>
      <c r="B51" s="52" t="inlineStr">
        <is>
          <t>Yield</t>
        </is>
      </c>
      <c r="C51" s="51" t="inlineStr">
        <is>
          <t>2005-06</t>
        </is>
      </c>
      <c r="P51" s="55">
        <f>SUM(D51:O51)</f>
        <v/>
      </c>
    </row>
    <row r="52">
      <c r="A52" s="51" t="inlineStr">
        <is>
          <t>Durum</t>
        </is>
      </c>
      <c r="B52" s="56" t="inlineStr">
        <is>
          <t>Beginning Stocks</t>
        </is>
      </c>
      <c r="C52" s="51" t="inlineStr">
        <is>
          <t>2005-06</t>
        </is>
      </c>
      <c r="H52" s="57" t="n">
        <v>2486.9</v>
      </c>
      <c r="K52" s="57" t="n">
        <v>6393</v>
      </c>
      <c r="O52" s="57" t="n">
        <v>5206.7</v>
      </c>
      <c r="P52" s="58">
        <f>SUM(D52:O52)</f>
        <v/>
      </c>
    </row>
    <row r="53">
      <c r="A53" s="51" t="inlineStr">
        <is>
          <t>Durum</t>
        </is>
      </c>
      <c r="B53" s="56" t="inlineStr">
        <is>
          <t>Imports</t>
        </is>
      </c>
      <c r="C53" s="51" t="inlineStr">
        <is>
          <t>2005-06</t>
        </is>
      </c>
      <c r="H53" s="57" t="n">
        <v>0.1</v>
      </c>
      <c r="K53" s="57" t="n">
        <v>3.5</v>
      </c>
      <c r="O53" s="57" t="n">
        <v>3.6</v>
      </c>
      <c r="P53" s="58">
        <f>SUM(D53:O53)</f>
        <v/>
      </c>
    </row>
    <row r="54">
      <c r="A54" s="51" t="inlineStr">
        <is>
          <t>Durum</t>
        </is>
      </c>
      <c r="B54" s="56" t="inlineStr">
        <is>
          <t>Production</t>
        </is>
      </c>
      <c r="C54" s="51" t="inlineStr">
        <is>
          <t>2005-06</t>
        </is>
      </c>
      <c r="H54" s="57" t="n">
        <v>5914.6</v>
      </c>
      <c r="K54" s="57" t="n">
        <v>5914.6</v>
      </c>
      <c r="O54" s="57" t="n">
        <v>5914.6</v>
      </c>
      <c r="P54" s="58">
        <f>SUM(D54:O54)</f>
        <v/>
      </c>
    </row>
    <row r="55">
      <c r="A55" s="51" t="inlineStr">
        <is>
          <t>Durum</t>
        </is>
      </c>
      <c r="B55" s="56" t="inlineStr">
        <is>
          <t>Food</t>
        </is>
      </c>
      <c r="C55" s="51" t="inlineStr">
        <is>
          <t>2005-06</t>
        </is>
      </c>
      <c r="H55" s="57" t="n">
        <v>21.62</v>
      </c>
      <c r="K55" s="57" t="n">
        <v>21.26666666666667</v>
      </c>
      <c r="O55" s="57" t="n">
        <v>19.05</v>
      </c>
      <c r="P55" s="58">
        <f>SUM(D55:O55)</f>
        <v/>
      </c>
    </row>
    <row r="56">
      <c r="A56" s="51" t="inlineStr">
        <is>
          <t>Durum</t>
        </is>
      </c>
      <c r="B56" s="56" t="inlineStr">
        <is>
          <t>Industrial</t>
        </is>
      </c>
      <c r="C56" s="51" t="inlineStr">
        <is>
          <t>2005-06</t>
        </is>
      </c>
      <c r="H56" s="57" t="n">
        <v>0</v>
      </c>
      <c r="K56" s="57" t="n">
        <v>0</v>
      </c>
      <c r="O56" s="57" t="n">
        <v>0</v>
      </c>
      <c r="P56" s="58">
        <f>SUM(D56:O56)</f>
        <v/>
      </c>
    </row>
    <row r="57">
      <c r="A57" s="51" t="inlineStr">
        <is>
          <t>Durum</t>
        </is>
      </c>
      <c r="B57" s="56" t="inlineStr">
        <is>
          <t>FSR</t>
        </is>
      </c>
      <c r="C57" s="51" t="inlineStr">
        <is>
          <t>2005-06</t>
        </is>
      </c>
      <c r="H57" s="57" t="n">
        <v>1629.740000000001</v>
      </c>
      <c r="K57" s="57" t="n">
        <v>6766.766666666667</v>
      </c>
      <c r="O57" s="57" t="n">
        <v>7448.15</v>
      </c>
      <c r="P57" s="58">
        <f>SUM(D57:O57)</f>
        <v/>
      </c>
    </row>
    <row r="58">
      <c r="A58" s="51" t="inlineStr">
        <is>
          <t>Durum</t>
        </is>
      </c>
      <c r="B58" s="56" t="inlineStr">
        <is>
          <t>Exports</t>
        </is>
      </c>
      <c r="C58" s="51" t="inlineStr">
        <is>
          <t>2005-06</t>
        </is>
      </c>
      <c r="H58" s="57" t="n">
        <v>357.24</v>
      </c>
      <c r="K58" s="57" t="n">
        <v>316.3666666666667</v>
      </c>
      <c r="O58" s="57" t="n">
        <v>384.3</v>
      </c>
      <c r="P58" s="58">
        <f>SUM(D58:O58)</f>
        <v/>
      </c>
    </row>
    <row r="59">
      <c r="A59" s="51" t="inlineStr">
        <is>
          <t>Durum</t>
        </is>
      </c>
      <c r="B59" s="56" t="inlineStr">
        <is>
          <t>Ending Stocks</t>
        </is>
      </c>
      <c r="C59" s="51" t="inlineStr">
        <is>
          <t>2005-06</t>
        </is>
      </c>
      <c r="H59" s="57" t="n">
        <v>6393</v>
      </c>
      <c r="K59" s="57" t="n">
        <v>5206.7</v>
      </c>
      <c r="O59" s="57" t="n">
        <v>3273.4</v>
      </c>
      <c r="P59" s="58">
        <f>SUM(D59:O59)</f>
        <v/>
      </c>
    </row>
    <row r="60">
      <c r="A60" s="51" t="inlineStr">
        <is>
          <t>Durum</t>
        </is>
      </c>
      <c r="B60" s="52" t="inlineStr">
        <is>
          <t>Stocks-to-Use</t>
        </is>
      </c>
      <c r="C60" s="51" t="inlineStr">
        <is>
          <t>2005-06</t>
        </is>
      </c>
      <c r="P60" s="54">
        <f>SUM(D60:O60)</f>
        <v/>
      </c>
    </row>
    <row r="61">
      <c r="A61" s="51" t="inlineStr">
        <is>
          <t>Durum</t>
        </is>
      </c>
      <c r="B61" s="52" t="inlineStr">
        <is>
          <t>STU Days</t>
        </is>
      </c>
      <c r="C61" s="51" t="inlineStr">
        <is>
          <t>2005-06</t>
        </is>
      </c>
      <c r="P61" s="58">
        <f>SUM(D61:O61)</f>
        <v/>
      </c>
    </row>
    <row r="62">
      <c r="A62" s="51" t="inlineStr">
        <is>
          <t>Durum</t>
        </is>
      </c>
      <c r="B62" s="52" t="inlineStr">
        <is>
          <t>CHECK</t>
        </is>
      </c>
      <c r="C62" s="51" t="inlineStr">
        <is>
          <t>2005-06</t>
        </is>
      </c>
      <c r="H62" s="58" t="n">
        <v>-9.094947017729282e-13</v>
      </c>
      <c r="K62" s="58" t="n">
        <v>0</v>
      </c>
      <c r="O62" s="58" t="n">
        <v>4.547473508864641e-13</v>
      </c>
      <c r="P62" s="58">
        <f>SUM(D62:O62)</f>
        <v/>
      </c>
    </row>
    <row r="63">
      <c r="A63" s="51" t="inlineStr">
        <is>
          <t>Durum</t>
        </is>
      </c>
      <c r="B63" s="52" t="inlineStr">
        <is>
          <t>Planted Area</t>
        </is>
      </c>
      <c r="C63" s="51" t="inlineStr">
        <is>
          <t>2006-07</t>
        </is>
      </c>
      <c r="P63" s="53">
        <f>SUM(D63:O63)</f>
        <v/>
      </c>
    </row>
    <row r="64">
      <c r="A64" s="51" t="inlineStr">
        <is>
          <t>Durum</t>
        </is>
      </c>
      <c r="B64" s="52" t="inlineStr">
        <is>
          <t>Harvested Area</t>
        </is>
      </c>
      <c r="C64" s="51" t="inlineStr">
        <is>
          <t>2006-07</t>
        </is>
      </c>
      <c r="P64" s="53">
        <f>SUM(D64:O64)</f>
        <v/>
      </c>
    </row>
    <row r="65">
      <c r="A65" s="51" t="inlineStr">
        <is>
          <t>Durum</t>
        </is>
      </c>
      <c r="B65" s="52" t="inlineStr">
        <is>
          <t>Proportion Harvested</t>
        </is>
      </c>
      <c r="C65" s="51" t="inlineStr">
        <is>
          <t>2006-07</t>
        </is>
      </c>
      <c r="P65" s="54">
        <f>SUM(D65:O65)</f>
        <v/>
      </c>
    </row>
    <row r="66">
      <c r="A66" s="51" t="inlineStr">
        <is>
          <t>Durum</t>
        </is>
      </c>
      <c r="B66" s="52" t="inlineStr">
        <is>
          <t>Yield</t>
        </is>
      </c>
      <c r="C66" s="51" t="inlineStr">
        <is>
          <t>2006-07</t>
        </is>
      </c>
      <c r="P66" s="55">
        <f>SUM(D66:O66)</f>
        <v/>
      </c>
    </row>
    <row r="67">
      <c r="A67" s="51" t="inlineStr">
        <is>
          <t>Durum</t>
        </is>
      </c>
      <c r="B67" s="56" t="inlineStr">
        <is>
          <t>Beginning Stocks</t>
        </is>
      </c>
      <c r="C67" s="51" t="inlineStr">
        <is>
          <t>2006-07</t>
        </is>
      </c>
      <c r="H67" s="57" t="n">
        <v>3273.4</v>
      </c>
      <c r="K67" s="57" t="n">
        <v>4071.9</v>
      </c>
      <c r="O67" s="57" t="n">
        <v>3155</v>
      </c>
      <c r="P67" s="58">
        <f>SUM(D67:O67)</f>
        <v/>
      </c>
    </row>
    <row r="68">
      <c r="A68" s="51" t="inlineStr">
        <is>
          <t>Durum</t>
        </is>
      </c>
      <c r="B68" s="56" t="inlineStr">
        <is>
          <t>Imports</t>
        </is>
      </c>
      <c r="C68" s="51" t="inlineStr">
        <is>
          <t>2006-07</t>
        </is>
      </c>
      <c r="H68" s="57" t="n">
        <v>0.3</v>
      </c>
      <c r="K68" s="57" t="n">
        <v>0.4</v>
      </c>
      <c r="O68" s="57" t="n">
        <v>0.9</v>
      </c>
      <c r="P68" s="58">
        <f>SUM(D68:O68)</f>
        <v/>
      </c>
    </row>
    <row r="69">
      <c r="A69" s="51" t="inlineStr">
        <is>
          <t>Durum</t>
        </is>
      </c>
      <c r="B69" s="56" t="inlineStr">
        <is>
          <t>Production</t>
        </is>
      </c>
      <c r="C69" s="51" t="inlineStr">
        <is>
          <t>2006-07</t>
        </is>
      </c>
      <c r="H69" s="57" t="n">
        <v>3346.2</v>
      </c>
      <c r="K69" s="57" t="n">
        <v>3346.2</v>
      </c>
      <c r="O69" s="57" t="n">
        <v>3346.2</v>
      </c>
      <c r="P69" s="58">
        <f>SUM(D69:O69)</f>
        <v/>
      </c>
    </row>
    <row r="70">
      <c r="A70" s="51" t="inlineStr">
        <is>
          <t>Durum</t>
        </is>
      </c>
      <c r="B70" s="56" t="inlineStr">
        <is>
          <t>Food</t>
        </is>
      </c>
      <c r="C70" s="51" t="inlineStr">
        <is>
          <t>2006-07</t>
        </is>
      </c>
      <c r="H70" s="57" t="n">
        <v>21.36</v>
      </c>
      <c r="K70" s="57" t="n">
        <v>23.13333333333333</v>
      </c>
      <c r="O70" s="57" t="n">
        <v>20.075</v>
      </c>
      <c r="P70" s="58">
        <f>SUM(D70:O70)</f>
        <v/>
      </c>
    </row>
    <row r="71">
      <c r="A71" s="51" t="inlineStr">
        <is>
          <t>Durum</t>
        </is>
      </c>
      <c r="B71" s="56" t="inlineStr">
        <is>
          <t>Industrial</t>
        </is>
      </c>
      <c r="C71" s="51" t="inlineStr">
        <is>
          <t>2006-07</t>
        </is>
      </c>
      <c r="H71" s="57" t="n">
        <v>0</v>
      </c>
      <c r="K71" s="57" t="n">
        <v>0</v>
      </c>
      <c r="O71" s="57" t="n">
        <v>0</v>
      </c>
      <c r="P71" s="58">
        <f>SUM(D71:O71)</f>
        <v/>
      </c>
    </row>
    <row r="72">
      <c r="A72" s="51" t="inlineStr">
        <is>
          <t>Durum</t>
        </is>
      </c>
      <c r="B72" s="56" t="inlineStr">
        <is>
          <t>FSR</t>
        </is>
      </c>
      <c r="C72" s="51" t="inlineStr">
        <is>
          <t>2006-07</t>
        </is>
      </c>
      <c r="H72" s="57" t="n">
        <v>2087.12</v>
      </c>
      <c r="K72" s="57" t="n">
        <v>4004.433333333333</v>
      </c>
      <c r="O72" s="57" t="n">
        <v>4831.874999999999</v>
      </c>
      <c r="P72" s="58">
        <f>SUM(D72:O72)</f>
        <v/>
      </c>
    </row>
    <row r="73">
      <c r="A73" s="51" t="inlineStr">
        <is>
          <t>Durum</t>
        </is>
      </c>
      <c r="B73" s="56" t="inlineStr">
        <is>
          <t>Exports</t>
        </is>
      </c>
      <c r="C73" s="51" t="inlineStr">
        <is>
          <t>2006-07</t>
        </is>
      </c>
      <c r="H73" s="57" t="n">
        <v>439.52</v>
      </c>
      <c r="K73" s="57" t="n">
        <v>235.9333333333334</v>
      </c>
      <c r="O73" s="57" t="n">
        <v>393.35</v>
      </c>
      <c r="P73" s="58">
        <f>SUM(D73:O73)</f>
        <v/>
      </c>
    </row>
    <row r="74">
      <c r="A74" s="51" t="inlineStr">
        <is>
          <t>Durum</t>
        </is>
      </c>
      <c r="B74" s="56" t="inlineStr">
        <is>
          <t>Ending Stocks</t>
        </is>
      </c>
      <c r="C74" s="51" t="inlineStr">
        <is>
          <t>2006-07</t>
        </is>
      </c>
      <c r="H74" s="57" t="n">
        <v>4071.9</v>
      </c>
      <c r="K74" s="57" t="n">
        <v>3155</v>
      </c>
      <c r="O74" s="57" t="n">
        <v>1256.8</v>
      </c>
      <c r="P74" s="58">
        <f>SUM(D74:O74)</f>
        <v/>
      </c>
    </row>
    <row r="75">
      <c r="A75" s="51" t="inlineStr">
        <is>
          <t>Durum</t>
        </is>
      </c>
      <c r="B75" s="52" t="inlineStr">
        <is>
          <t>Stocks-to-Use</t>
        </is>
      </c>
      <c r="C75" s="51" t="inlineStr">
        <is>
          <t>2006-07</t>
        </is>
      </c>
      <c r="P75" s="54">
        <f>SUM(D75:O75)</f>
        <v/>
      </c>
    </row>
    <row r="76">
      <c r="A76" s="51" t="inlineStr">
        <is>
          <t>Durum</t>
        </is>
      </c>
      <c r="B76" s="52" t="inlineStr">
        <is>
          <t>STU Days</t>
        </is>
      </c>
      <c r="C76" s="51" t="inlineStr">
        <is>
          <t>2006-07</t>
        </is>
      </c>
      <c r="P76" s="58">
        <f>SUM(D76:O76)</f>
        <v/>
      </c>
    </row>
    <row r="77">
      <c r="A77" s="51" t="inlineStr">
        <is>
          <t>Durum</t>
        </is>
      </c>
      <c r="B77" s="52" t="inlineStr">
        <is>
          <t>CHECK</t>
        </is>
      </c>
      <c r="C77" s="51" t="inlineStr">
        <is>
          <t>2006-07</t>
        </is>
      </c>
      <c r="H77" s="58" t="n">
        <v>0</v>
      </c>
      <c r="K77" s="58" t="n">
        <v>0</v>
      </c>
      <c r="O77" s="58" t="n">
        <v>6.821210263296962e-13</v>
      </c>
      <c r="P77" s="58">
        <f>SUM(D77:O77)</f>
        <v/>
      </c>
    </row>
    <row r="78">
      <c r="A78" s="51" t="inlineStr">
        <is>
          <t>Durum</t>
        </is>
      </c>
      <c r="B78" s="52" t="inlineStr">
        <is>
          <t>Planted Area</t>
        </is>
      </c>
      <c r="C78" s="51" t="inlineStr">
        <is>
          <t>2007-08</t>
        </is>
      </c>
      <c r="P78" s="53">
        <f>SUM(D78:O78)</f>
        <v/>
      </c>
    </row>
    <row r="79">
      <c r="A79" s="51" t="inlineStr">
        <is>
          <t>Durum</t>
        </is>
      </c>
      <c r="B79" s="52" t="inlineStr">
        <is>
          <t>Harvested Area</t>
        </is>
      </c>
      <c r="C79" s="51" t="inlineStr">
        <is>
          <t>2007-08</t>
        </is>
      </c>
      <c r="P79" s="53">
        <f>SUM(D79:O79)</f>
        <v/>
      </c>
    </row>
    <row r="80">
      <c r="A80" s="51" t="inlineStr">
        <is>
          <t>Durum</t>
        </is>
      </c>
      <c r="B80" s="52" t="inlineStr">
        <is>
          <t>Proportion Harvested</t>
        </is>
      </c>
      <c r="C80" s="51" t="inlineStr">
        <is>
          <t>2007-08</t>
        </is>
      </c>
      <c r="P80" s="54">
        <f>SUM(D80:O80)</f>
        <v/>
      </c>
    </row>
    <row r="81">
      <c r="A81" s="51" t="inlineStr">
        <is>
          <t>Durum</t>
        </is>
      </c>
      <c r="B81" s="52" t="inlineStr">
        <is>
          <t>Yield</t>
        </is>
      </c>
      <c r="C81" s="51" t="inlineStr">
        <is>
          <t>2007-08</t>
        </is>
      </c>
      <c r="P81" s="55">
        <f>SUM(D81:O81)</f>
        <v/>
      </c>
    </row>
    <row r="82">
      <c r="A82" s="51" t="inlineStr">
        <is>
          <t>Durum</t>
        </is>
      </c>
      <c r="B82" s="56" t="inlineStr">
        <is>
          <t>Beginning Stocks</t>
        </is>
      </c>
      <c r="C82" s="51" t="inlineStr">
        <is>
          <t>2007-08</t>
        </is>
      </c>
      <c r="H82" s="57" t="n">
        <v>1256.8</v>
      </c>
      <c r="K82" s="57" t="n">
        <v>2972.1</v>
      </c>
      <c r="O82" s="57" t="n">
        <v>2070.8</v>
      </c>
      <c r="P82" s="58">
        <f>SUM(D82:O82)</f>
        <v/>
      </c>
    </row>
    <row r="83">
      <c r="A83" s="51" t="inlineStr">
        <is>
          <t>Durum</t>
        </is>
      </c>
      <c r="B83" s="56" t="inlineStr">
        <is>
          <t>Imports</t>
        </is>
      </c>
      <c r="C83" s="51" t="inlineStr">
        <is>
          <t>2007-08</t>
        </is>
      </c>
      <c r="H83" s="57" t="n">
        <v>1.8</v>
      </c>
      <c r="K83" s="57" t="n">
        <v>2.2</v>
      </c>
      <c r="O83" s="57" t="n">
        <v>2.9</v>
      </c>
      <c r="P83" s="58">
        <f>SUM(D83:O83)</f>
        <v/>
      </c>
    </row>
    <row r="84">
      <c r="A84" s="51" t="inlineStr">
        <is>
          <t>Durum</t>
        </is>
      </c>
      <c r="B84" s="56" t="inlineStr">
        <is>
          <t>Production</t>
        </is>
      </c>
      <c r="C84" s="51" t="inlineStr">
        <is>
          <t>2007-08</t>
        </is>
      </c>
      <c r="H84" s="57" t="n">
        <v>3681.4</v>
      </c>
      <c r="K84" s="57" t="n">
        <v>3681.4</v>
      </c>
      <c r="O84" s="57" t="n">
        <v>3681.4</v>
      </c>
      <c r="P84" s="58">
        <f>SUM(D84:O84)</f>
        <v/>
      </c>
    </row>
    <row r="85">
      <c r="A85" s="51" t="inlineStr">
        <is>
          <t>Durum</t>
        </is>
      </c>
      <c r="B85" s="56" t="inlineStr">
        <is>
          <t>Food</t>
        </is>
      </c>
      <c r="C85" s="51" t="inlineStr">
        <is>
          <t>2007-08</t>
        </is>
      </c>
      <c r="H85" s="57" t="n">
        <v>21.42</v>
      </c>
      <c r="K85" s="57" t="n">
        <v>17.73333333333334</v>
      </c>
      <c r="O85" s="57" t="n">
        <v>17.05</v>
      </c>
      <c r="P85" s="58">
        <f>SUM(D85:O85)</f>
        <v/>
      </c>
    </row>
    <row r="86">
      <c r="A86" s="51" t="inlineStr">
        <is>
          <t>Durum</t>
        </is>
      </c>
      <c r="B86" s="56" t="inlineStr">
        <is>
          <t>Industrial</t>
        </is>
      </c>
      <c r="C86" s="51" t="inlineStr">
        <is>
          <t>2007-08</t>
        </is>
      </c>
      <c r="H86" s="57" t="n">
        <v>0</v>
      </c>
      <c r="K86" s="57" t="n">
        <v>0</v>
      </c>
      <c r="O86" s="57" t="n">
        <v>0</v>
      </c>
      <c r="P86" s="58">
        <f>SUM(D86:O86)</f>
        <v/>
      </c>
    </row>
    <row r="87">
      <c r="A87" s="51" t="inlineStr">
        <is>
          <t>Durum</t>
        </is>
      </c>
      <c r="B87" s="56" t="inlineStr">
        <is>
          <t>FSR</t>
        </is>
      </c>
      <c r="C87" s="51" t="inlineStr">
        <is>
          <t>2007-08</t>
        </is>
      </c>
      <c r="H87" s="57" t="n">
        <v>1637.96</v>
      </c>
      <c r="K87" s="57" t="n">
        <v>4305.666666666666</v>
      </c>
      <c r="O87" s="57" t="n">
        <v>4717.500000000001</v>
      </c>
      <c r="P87" s="58">
        <f>SUM(D87:O87)</f>
        <v/>
      </c>
    </row>
    <row r="88">
      <c r="A88" s="51" t="inlineStr">
        <is>
          <t>Durum</t>
        </is>
      </c>
      <c r="B88" s="56" t="inlineStr">
        <is>
          <t>Exports</t>
        </is>
      </c>
      <c r="C88" s="51" t="inlineStr">
        <is>
          <t>2007-08</t>
        </is>
      </c>
      <c r="H88" s="57" t="n">
        <v>308.52</v>
      </c>
      <c r="K88" s="57" t="n">
        <v>261.5</v>
      </c>
      <c r="O88" s="57" t="n">
        <v>211.85</v>
      </c>
      <c r="P88" s="58">
        <f>SUM(D88:O88)</f>
        <v/>
      </c>
    </row>
    <row r="89">
      <c r="A89" s="51" t="inlineStr">
        <is>
          <t>Durum</t>
        </is>
      </c>
      <c r="B89" s="56" t="inlineStr">
        <is>
          <t>Ending Stocks</t>
        </is>
      </c>
      <c r="C89" s="51" t="inlineStr">
        <is>
          <t>2007-08</t>
        </is>
      </c>
      <c r="H89" s="57" t="n">
        <v>2972.1</v>
      </c>
      <c r="K89" s="57" t="n">
        <v>2070.8</v>
      </c>
      <c r="O89" s="57" t="n">
        <v>808.7</v>
      </c>
      <c r="P89" s="58">
        <f>SUM(D89:O89)</f>
        <v/>
      </c>
    </row>
    <row r="90">
      <c r="A90" s="51" t="inlineStr">
        <is>
          <t>Durum</t>
        </is>
      </c>
      <c r="B90" s="52" t="inlineStr">
        <is>
          <t>Stocks-to-Use</t>
        </is>
      </c>
      <c r="C90" s="51" t="inlineStr">
        <is>
          <t>2007-08</t>
        </is>
      </c>
      <c r="P90" s="54">
        <f>SUM(D90:O90)</f>
        <v/>
      </c>
    </row>
    <row r="91">
      <c r="A91" s="51" t="inlineStr">
        <is>
          <t>Durum</t>
        </is>
      </c>
      <c r="B91" s="52" t="inlineStr">
        <is>
          <t>STU Days</t>
        </is>
      </c>
      <c r="C91" s="51" t="inlineStr">
        <is>
          <t>2007-08</t>
        </is>
      </c>
      <c r="P91" s="58">
        <f>SUM(D91:O91)</f>
        <v/>
      </c>
    </row>
    <row r="92">
      <c r="A92" s="51" t="inlineStr">
        <is>
          <t>Durum</t>
        </is>
      </c>
      <c r="B92" s="52" t="inlineStr">
        <is>
          <t>CHECK</t>
        </is>
      </c>
      <c r="C92" s="51" t="inlineStr">
        <is>
          <t>2007-08</t>
        </is>
      </c>
      <c r="H92" s="58" t="n">
        <v>-4.547473508864641e-13</v>
      </c>
      <c r="K92" s="58" t="n">
        <v>0</v>
      </c>
      <c r="O92" s="58" t="n">
        <v>-7.958078640513122e-13</v>
      </c>
      <c r="P92" s="58">
        <f>SUM(D92:O92)</f>
        <v/>
      </c>
    </row>
    <row r="93">
      <c r="A93" s="51" t="inlineStr">
        <is>
          <t>Durum</t>
        </is>
      </c>
      <c r="B93" s="52" t="inlineStr">
        <is>
          <t>Planted Area</t>
        </is>
      </c>
      <c r="C93" s="51" t="inlineStr">
        <is>
          <t>2008-09</t>
        </is>
      </c>
      <c r="P93" s="53">
        <f>SUM(D93:O93)</f>
        <v/>
      </c>
    </row>
    <row r="94">
      <c r="A94" s="51" t="inlineStr">
        <is>
          <t>Durum</t>
        </is>
      </c>
      <c r="B94" s="52" t="inlineStr">
        <is>
          <t>Harvested Area</t>
        </is>
      </c>
      <c r="C94" s="51" t="inlineStr">
        <is>
          <t>2008-09</t>
        </is>
      </c>
      <c r="P94" s="53">
        <f>SUM(D94:O94)</f>
        <v/>
      </c>
    </row>
    <row r="95">
      <c r="A95" s="51" t="inlineStr">
        <is>
          <t>Durum</t>
        </is>
      </c>
      <c r="B95" s="52" t="inlineStr">
        <is>
          <t>Proportion Harvested</t>
        </is>
      </c>
      <c r="C95" s="51" t="inlineStr">
        <is>
          <t>2008-09</t>
        </is>
      </c>
      <c r="P95" s="54">
        <f>SUM(D95:O95)</f>
        <v/>
      </c>
    </row>
    <row r="96">
      <c r="A96" s="51" t="inlineStr">
        <is>
          <t>Durum</t>
        </is>
      </c>
      <c r="B96" s="52" t="inlineStr">
        <is>
          <t>Yield</t>
        </is>
      </c>
      <c r="C96" s="51" t="inlineStr">
        <is>
          <t>2008-09</t>
        </is>
      </c>
      <c r="P96" s="55">
        <f>SUM(D96:O96)</f>
        <v/>
      </c>
    </row>
    <row r="97">
      <c r="A97" s="51" t="inlineStr">
        <is>
          <t>Durum</t>
        </is>
      </c>
      <c r="B97" s="56" t="inlineStr">
        <is>
          <t>Beginning Stocks</t>
        </is>
      </c>
      <c r="C97" s="51" t="inlineStr">
        <is>
          <t>2008-09</t>
        </is>
      </c>
      <c r="H97" s="57" t="n">
        <v>808.7</v>
      </c>
      <c r="K97" s="57" t="n">
        <v>4873.7</v>
      </c>
      <c r="O97" s="57" t="n">
        <v>3901.7</v>
      </c>
      <c r="P97" s="58">
        <f>SUM(D97:O97)</f>
        <v/>
      </c>
    </row>
    <row r="98">
      <c r="A98" s="51" t="inlineStr">
        <is>
          <t>Durum</t>
        </is>
      </c>
      <c r="B98" s="56" t="inlineStr">
        <is>
          <t>Imports</t>
        </is>
      </c>
      <c r="C98" s="51" t="inlineStr">
        <is>
          <t>2008-09</t>
        </is>
      </c>
      <c r="H98" s="57" t="n">
        <v>1.2</v>
      </c>
      <c r="K98" s="57" t="n">
        <v>2.1</v>
      </c>
      <c r="O98" s="57" t="n">
        <v>2.4</v>
      </c>
      <c r="P98" s="58">
        <f>SUM(D98:O98)</f>
        <v/>
      </c>
    </row>
    <row r="99">
      <c r="A99" s="51" t="inlineStr">
        <is>
          <t>Durum</t>
        </is>
      </c>
      <c r="B99" s="56" t="inlineStr">
        <is>
          <t>Production</t>
        </is>
      </c>
      <c r="C99" s="51" t="inlineStr">
        <is>
          <t>2008-09</t>
        </is>
      </c>
      <c r="H99" s="57" t="n">
        <v>5519.3</v>
      </c>
      <c r="K99" s="57" t="n">
        <v>5519.3</v>
      </c>
      <c r="O99" s="57" t="n">
        <v>5519.3</v>
      </c>
      <c r="P99" s="58">
        <f>SUM(D99:O99)</f>
        <v/>
      </c>
    </row>
    <row r="100">
      <c r="A100" s="51" t="inlineStr">
        <is>
          <t>Durum</t>
        </is>
      </c>
      <c r="B100" s="56" t="inlineStr">
        <is>
          <t>Food</t>
        </is>
      </c>
      <c r="C100" s="51" t="inlineStr">
        <is>
          <t>2008-09</t>
        </is>
      </c>
      <c r="H100" s="57" t="n">
        <v>19.34</v>
      </c>
      <c r="K100" s="57" t="n">
        <v>20.5</v>
      </c>
      <c r="O100" s="57" t="n">
        <v>19.52500000000001</v>
      </c>
      <c r="P100" s="58">
        <f>SUM(D100:O100)</f>
        <v/>
      </c>
    </row>
    <row r="101">
      <c r="A101" s="51" t="inlineStr">
        <is>
          <t>Durum</t>
        </is>
      </c>
      <c r="B101" s="56" t="inlineStr">
        <is>
          <t>Industrial</t>
        </is>
      </c>
      <c r="C101" s="51" t="inlineStr">
        <is>
          <t>2008-09</t>
        </is>
      </c>
      <c r="H101" s="57" t="n">
        <v>0</v>
      </c>
      <c r="K101" s="57" t="n">
        <v>0</v>
      </c>
      <c r="O101" s="57" t="n">
        <v>0</v>
      </c>
      <c r="P101" s="58">
        <f>SUM(D101:O101)</f>
        <v/>
      </c>
    </row>
    <row r="102">
      <c r="A102" s="51" t="inlineStr">
        <is>
          <t>Durum</t>
        </is>
      </c>
      <c r="B102" s="56" t="inlineStr">
        <is>
          <t>FSR</t>
        </is>
      </c>
      <c r="C102" s="51" t="inlineStr">
        <is>
          <t>2008-09</t>
        </is>
      </c>
      <c r="H102" s="57" t="n">
        <v>1178.58</v>
      </c>
      <c r="K102" s="57" t="n">
        <v>6209.166666666667</v>
      </c>
      <c r="O102" s="57" t="n">
        <v>7010.449999999999</v>
      </c>
      <c r="P102" s="58">
        <f>SUM(D102:O102)</f>
        <v/>
      </c>
    </row>
    <row r="103">
      <c r="A103" s="51" t="inlineStr">
        <is>
          <t>Durum</t>
        </is>
      </c>
      <c r="B103" s="56" t="inlineStr">
        <is>
          <t>Exports</t>
        </is>
      </c>
      <c r="C103" s="51" t="inlineStr">
        <is>
          <t>2008-09</t>
        </is>
      </c>
      <c r="H103" s="57" t="n">
        <v>257.58</v>
      </c>
      <c r="K103" s="57" t="n">
        <v>263.7333333333333</v>
      </c>
      <c r="O103" s="57" t="n">
        <v>390.325</v>
      </c>
      <c r="P103" s="58">
        <f>SUM(D103:O103)</f>
        <v/>
      </c>
    </row>
    <row r="104">
      <c r="A104" s="51" t="inlineStr">
        <is>
          <t>Durum</t>
        </is>
      </c>
      <c r="B104" s="56" t="inlineStr">
        <is>
          <t>Ending Stocks</t>
        </is>
      </c>
      <c r="C104" s="51" t="inlineStr">
        <is>
          <t>2008-09</t>
        </is>
      </c>
      <c r="H104" s="57" t="n">
        <v>4873.7</v>
      </c>
      <c r="K104" s="57" t="n">
        <v>3901.7</v>
      </c>
      <c r="O104" s="57" t="n">
        <v>2003.1</v>
      </c>
      <c r="P104" s="58">
        <f>SUM(D104:O104)</f>
        <v/>
      </c>
    </row>
    <row r="105">
      <c r="A105" s="51" t="inlineStr">
        <is>
          <t>Durum</t>
        </is>
      </c>
      <c r="B105" s="52" t="inlineStr">
        <is>
          <t>Stocks-to-Use</t>
        </is>
      </c>
      <c r="C105" s="51" t="inlineStr">
        <is>
          <t>2008-09</t>
        </is>
      </c>
      <c r="P105" s="54">
        <f>SUM(D105:O105)</f>
        <v/>
      </c>
    </row>
    <row r="106">
      <c r="A106" s="51" t="inlineStr">
        <is>
          <t>Durum</t>
        </is>
      </c>
      <c r="B106" s="52" t="inlineStr">
        <is>
          <t>STU Days</t>
        </is>
      </c>
      <c r="C106" s="51" t="inlineStr">
        <is>
          <t>2008-09</t>
        </is>
      </c>
      <c r="P106" s="58">
        <f>SUM(D106:O106)</f>
        <v/>
      </c>
    </row>
    <row r="107">
      <c r="A107" s="51" t="inlineStr">
        <is>
          <t>Durum</t>
        </is>
      </c>
      <c r="B107" s="52" t="inlineStr">
        <is>
          <t>CHECK</t>
        </is>
      </c>
      <c r="C107" s="51" t="inlineStr">
        <is>
          <t>2008-09</t>
        </is>
      </c>
      <c r="H107" s="58" t="n">
        <v>0</v>
      </c>
      <c r="K107" s="58" t="n">
        <v>4.547473508864641e-13</v>
      </c>
      <c r="O107" s="58" t="n">
        <v>1.13686837721616e-12</v>
      </c>
      <c r="P107" s="58">
        <f>SUM(D107:O107)</f>
        <v/>
      </c>
    </row>
    <row r="108">
      <c r="A108" s="51" t="inlineStr">
        <is>
          <t>Durum</t>
        </is>
      </c>
      <c r="B108" s="52" t="inlineStr">
        <is>
          <t>Planted Area</t>
        </is>
      </c>
      <c r="C108" s="51" t="inlineStr">
        <is>
          <t>2009-10</t>
        </is>
      </c>
      <c r="P108" s="53">
        <f>SUM(D108:O108)</f>
        <v/>
      </c>
    </row>
    <row r="109">
      <c r="A109" s="51" t="inlineStr">
        <is>
          <t>Durum</t>
        </is>
      </c>
      <c r="B109" s="52" t="inlineStr">
        <is>
          <t>Harvested Area</t>
        </is>
      </c>
      <c r="C109" s="51" t="inlineStr">
        <is>
          <t>2009-10</t>
        </is>
      </c>
      <c r="P109" s="53">
        <f>SUM(D109:O109)</f>
        <v/>
      </c>
    </row>
    <row r="110">
      <c r="A110" s="51" t="inlineStr">
        <is>
          <t>Durum</t>
        </is>
      </c>
      <c r="B110" s="52" t="inlineStr">
        <is>
          <t>Proportion Harvested</t>
        </is>
      </c>
      <c r="C110" s="51" t="inlineStr">
        <is>
          <t>2009-10</t>
        </is>
      </c>
      <c r="P110" s="54">
        <f>SUM(D110:O110)</f>
        <v/>
      </c>
    </row>
    <row r="111">
      <c r="A111" s="51" t="inlineStr">
        <is>
          <t>Durum</t>
        </is>
      </c>
      <c r="B111" s="52" t="inlineStr">
        <is>
          <t>Yield</t>
        </is>
      </c>
      <c r="C111" s="51" t="inlineStr">
        <is>
          <t>2009-10</t>
        </is>
      </c>
      <c r="P111" s="55">
        <f>SUM(D111:O111)</f>
        <v/>
      </c>
    </row>
    <row r="112">
      <c r="A112" s="51" t="inlineStr">
        <is>
          <t>Durum</t>
        </is>
      </c>
      <c r="B112" s="56" t="inlineStr">
        <is>
          <t>Beginning Stocks</t>
        </is>
      </c>
      <c r="C112" s="51" t="inlineStr">
        <is>
          <t>2009-10</t>
        </is>
      </c>
      <c r="H112" s="57" t="n">
        <v>2003.1</v>
      </c>
      <c r="K112" s="57" t="n">
        <v>5634</v>
      </c>
      <c r="O112" s="57" t="n">
        <v>4637.9</v>
      </c>
      <c r="P112" s="58">
        <f>SUM(D112:O112)</f>
        <v/>
      </c>
    </row>
    <row r="113">
      <c r="A113" s="51" t="inlineStr">
        <is>
          <t>Durum</t>
        </is>
      </c>
      <c r="B113" s="56" t="inlineStr">
        <is>
          <t>Imports</t>
        </is>
      </c>
      <c r="C113" s="51" t="inlineStr">
        <is>
          <t>2009-10</t>
        </is>
      </c>
      <c r="H113" s="57" t="n">
        <v>1.4</v>
      </c>
      <c r="K113" s="57" t="n">
        <v>1.7</v>
      </c>
      <c r="O113" s="57" t="n">
        <v>2.4</v>
      </c>
      <c r="P113" s="58">
        <f>SUM(D113:O113)</f>
        <v/>
      </c>
    </row>
    <row r="114">
      <c r="A114" s="51" t="inlineStr">
        <is>
          <t>Durum</t>
        </is>
      </c>
      <c r="B114" s="56" t="inlineStr">
        <is>
          <t>Production</t>
        </is>
      </c>
      <c r="C114" s="51" t="inlineStr">
        <is>
          <t>2009-10</t>
        </is>
      </c>
      <c r="H114" s="57" t="n">
        <v>5399.6</v>
      </c>
      <c r="K114" s="57" t="n">
        <v>5399.6</v>
      </c>
      <c r="O114" s="57" t="n">
        <v>5399.6</v>
      </c>
      <c r="P114" s="58">
        <f>SUM(D114:O114)</f>
        <v/>
      </c>
    </row>
    <row r="115">
      <c r="A115" s="51" t="inlineStr">
        <is>
          <t>Durum</t>
        </is>
      </c>
      <c r="B115" s="56" t="inlineStr">
        <is>
          <t>Food</t>
        </is>
      </c>
      <c r="C115" s="51" t="inlineStr">
        <is>
          <t>2009-10</t>
        </is>
      </c>
      <c r="H115" s="57" t="n">
        <v>21.78</v>
      </c>
      <c r="K115" s="57" t="n">
        <v>23</v>
      </c>
      <c r="O115" s="57" t="n">
        <v>20.725</v>
      </c>
      <c r="P115" s="58">
        <f>SUM(D115:O115)</f>
        <v/>
      </c>
    </row>
    <row r="116">
      <c r="A116" s="51" t="inlineStr">
        <is>
          <t>Durum</t>
        </is>
      </c>
      <c r="B116" s="56" t="inlineStr">
        <is>
          <t>Industrial</t>
        </is>
      </c>
      <c r="C116" s="51" t="inlineStr">
        <is>
          <t>2009-10</t>
        </is>
      </c>
      <c r="H116" s="57" t="n">
        <v>0</v>
      </c>
      <c r="K116" s="57" t="n">
        <v>0</v>
      </c>
      <c r="O116" s="57" t="n">
        <v>0</v>
      </c>
      <c r="P116" s="58">
        <f>SUM(D116:O116)</f>
        <v/>
      </c>
    </row>
    <row r="117">
      <c r="A117" s="51" t="inlineStr">
        <is>
          <t>Durum</t>
        </is>
      </c>
      <c r="B117" s="56" t="inlineStr">
        <is>
          <t>FSR</t>
        </is>
      </c>
      <c r="C117" s="51" t="inlineStr">
        <is>
          <t>2009-10</t>
        </is>
      </c>
      <c r="H117" s="57" t="n">
        <v>1458.280000000001</v>
      </c>
      <c r="K117" s="57" t="n">
        <v>6124.566666666668</v>
      </c>
      <c r="O117" s="57" t="n">
        <v>6920.25</v>
      </c>
      <c r="P117" s="58">
        <f>SUM(D117:O117)</f>
        <v/>
      </c>
    </row>
    <row r="118">
      <c r="A118" s="51" t="inlineStr">
        <is>
          <t>Durum</t>
        </is>
      </c>
      <c r="B118" s="56" t="inlineStr">
        <is>
          <t>Exports</t>
        </is>
      </c>
      <c r="C118" s="51" t="inlineStr">
        <is>
          <t>2009-10</t>
        </is>
      </c>
      <c r="H118" s="57" t="n">
        <v>290.04</v>
      </c>
      <c r="K118" s="57" t="n">
        <v>249.8333333333333</v>
      </c>
      <c r="O118" s="57" t="n">
        <v>405.0250000000001</v>
      </c>
      <c r="P118" s="58">
        <f>SUM(D118:O118)</f>
        <v/>
      </c>
    </row>
    <row r="119">
      <c r="A119" s="51" t="inlineStr">
        <is>
          <t>Durum</t>
        </is>
      </c>
      <c r="B119" s="56" t="inlineStr">
        <is>
          <t>Ending Stocks</t>
        </is>
      </c>
      <c r="C119" s="51" t="inlineStr">
        <is>
          <t>2009-10</t>
        </is>
      </c>
      <c r="H119" s="57" t="n">
        <v>5634</v>
      </c>
      <c r="K119" s="57" t="n">
        <v>4637.9</v>
      </c>
      <c r="O119" s="57" t="n">
        <v>2693.9</v>
      </c>
      <c r="P119" s="58">
        <f>SUM(D119:O119)</f>
        <v/>
      </c>
    </row>
    <row r="120">
      <c r="A120" s="51" t="inlineStr">
        <is>
          <t>Durum</t>
        </is>
      </c>
      <c r="B120" s="52" t="inlineStr">
        <is>
          <t>Stocks-to-Use</t>
        </is>
      </c>
      <c r="C120" s="51" t="inlineStr">
        <is>
          <t>2009-10</t>
        </is>
      </c>
      <c r="P120" s="54">
        <f>SUM(D120:O120)</f>
        <v/>
      </c>
    </row>
    <row r="121">
      <c r="A121" s="51" t="inlineStr">
        <is>
          <t>Durum</t>
        </is>
      </c>
      <c r="B121" s="52" t="inlineStr">
        <is>
          <t>STU Days</t>
        </is>
      </c>
      <c r="C121" s="51" t="inlineStr">
        <is>
          <t>2009-10</t>
        </is>
      </c>
      <c r="P121" s="58">
        <f>SUM(D121:O121)</f>
        <v/>
      </c>
    </row>
    <row r="122">
      <c r="A122" s="51" t="inlineStr">
        <is>
          <t>Durum</t>
        </is>
      </c>
      <c r="B122" s="52" t="inlineStr">
        <is>
          <t>CHECK</t>
        </is>
      </c>
      <c r="C122" s="51" t="inlineStr">
        <is>
          <t>2009-10</t>
        </is>
      </c>
      <c r="H122" s="58" t="n">
        <v>0</v>
      </c>
      <c r="K122" s="58" t="n">
        <v>9.094947017729282e-13</v>
      </c>
      <c r="O122" s="58" t="n">
        <v>-9.094947017729282e-13</v>
      </c>
      <c r="P122" s="58">
        <f>SUM(D122:O122)</f>
        <v/>
      </c>
    </row>
    <row r="123">
      <c r="A123" s="51" t="inlineStr">
        <is>
          <t>Durum</t>
        </is>
      </c>
      <c r="B123" s="52" t="inlineStr">
        <is>
          <t>Planted Area</t>
        </is>
      </c>
      <c r="C123" s="51" t="inlineStr">
        <is>
          <t>2010-11</t>
        </is>
      </c>
      <c r="P123" s="53">
        <f>SUM(D123:O123)</f>
        <v/>
      </c>
    </row>
    <row r="124">
      <c r="A124" s="51" t="inlineStr">
        <is>
          <t>Durum</t>
        </is>
      </c>
      <c r="B124" s="52" t="inlineStr">
        <is>
          <t>Harvested Area</t>
        </is>
      </c>
      <c r="C124" s="51" t="inlineStr">
        <is>
          <t>2010-11</t>
        </is>
      </c>
      <c r="P124" s="53">
        <f>SUM(D124:O124)</f>
        <v/>
      </c>
    </row>
    <row r="125">
      <c r="A125" s="51" t="inlineStr">
        <is>
          <t>Durum</t>
        </is>
      </c>
      <c r="B125" s="52" t="inlineStr">
        <is>
          <t>Proportion Harvested</t>
        </is>
      </c>
      <c r="C125" s="51" t="inlineStr">
        <is>
          <t>2010-11</t>
        </is>
      </c>
      <c r="P125" s="54">
        <f>SUM(D125:O125)</f>
        <v/>
      </c>
    </row>
    <row r="126">
      <c r="A126" s="51" t="inlineStr">
        <is>
          <t>Durum</t>
        </is>
      </c>
      <c r="B126" s="52" t="inlineStr">
        <is>
          <t>Yield</t>
        </is>
      </c>
      <c r="C126" s="51" t="inlineStr">
        <is>
          <t>2010-11</t>
        </is>
      </c>
      <c r="P126" s="55">
        <f>SUM(D126:O126)</f>
        <v/>
      </c>
    </row>
    <row r="127">
      <c r="A127" s="51" t="inlineStr">
        <is>
          <t>Durum</t>
        </is>
      </c>
      <c r="B127" s="56" t="inlineStr">
        <is>
          <t>Beginning Stocks</t>
        </is>
      </c>
      <c r="C127" s="51" t="inlineStr">
        <is>
          <t>2010-11</t>
        </is>
      </c>
      <c r="H127" s="57" t="n">
        <v>2693.9</v>
      </c>
      <c r="K127" s="57" t="n">
        <v>3774.7</v>
      </c>
      <c r="O127" s="57" t="n">
        <v>2946.3</v>
      </c>
      <c r="P127" s="58">
        <f>SUM(D127:O127)</f>
        <v/>
      </c>
    </row>
    <row r="128">
      <c r="A128" s="51" t="inlineStr">
        <is>
          <t>Durum</t>
        </is>
      </c>
      <c r="B128" s="56" t="inlineStr">
        <is>
          <t>Imports</t>
        </is>
      </c>
      <c r="C128" s="51" t="inlineStr">
        <is>
          <t>2010-11</t>
        </is>
      </c>
      <c r="H128" s="57" t="n">
        <v>22.5</v>
      </c>
      <c r="K128" s="57" t="n">
        <v>34.4</v>
      </c>
      <c r="O128" s="57" t="n">
        <v>36.5</v>
      </c>
      <c r="P128" s="58">
        <f>SUM(D128:O128)</f>
        <v/>
      </c>
    </row>
    <row r="129">
      <c r="A129" s="51" t="inlineStr">
        <is>
          <t>Durum</t>
        </is>
      </c>
      <c r="B129" s="56" t="inlineStr">
        <is>
          <t>Production</t>
        </is>
      </c>
      <c r="C129" s="51" t="inlineStr">
        <is>
          <t>2010-11</t>
        </is>
      </c>
      <c r="H129" s="57" t="n">
        <v>3024.7</v>
      </c>
      <c r="K129" s="57" t="n">
        <v>3024.7</v>
      </c>
      <c r="O129" s="57" t="n">
        <v>3024.7</v>
      </c>
      <c r="P129" s="58">
        <f>SUM(D129:O129)</f>
        <v/>
      </c>
    </row>
    <row r="130">
      <c r="A130" s="51" t="inlineStr">
        <is>
          <t>Durum</t>
        </is>
      </c>
      <c r="B130" s="56" t="inlineStr">
        <is>
          <t>Food</t>
        </is>
      </c>
      <c r="C130" s="51" t="inlineStr">
        <is>
          <t>2010-11</t>
        </is>
      </c>
      <c r="H130" s="57" t="n">
        <v>22.58</v>
      </c>
      <c r="K130" s="57" t="n">
        <v>21.03333333333333</v>
      </c>
      <c r="O130" s="57" t="n">
        <v>19.65</v>
      </c>
      <c r="P130" s="58">
        <f>SUM(D130:O130)</f>
        <v/>
      </c>
    </row>
    <row r="131">
      <c r="A131" s="51" t="inlineStr">
        <is>
          <t>Durum</t>
        </is>
      </c>
      <c r="B131" s="56" t="inlineStr">
        <is>
          <t>Industrial</t>
        </is>
      </c>
      <c r="C131" s="51" t="inlineStr">
        <is>
          <t>2010-11</t>
        </is>
      </c>
      <c r="H131" s="57" t="n">
        <v>0</v>
      </c>
      <c r="K131" s="57" t="n">
        <v>0</v>
      </c>
      <c r="O131" s="57" t="n">
        <v>0</v>
      </c>
      <c r="P131" s="58">
        <f>SUM(D131:O131)</f>
        <v/>
      </c>
    </row>
    <row r="132">
      <c r="A132" s="51" t="inlineStr">
        <is>
          <t>Durum</t>
        </is>
      </c>
      <c r="B132" s="56" t="inlineStr">
        <is>
          <t>FSR</t>
        </is>
      </c>
      <c r="C132" s="51" t="inlineStr">
        <is>
          <t>2010-11</t>
        </is>
      </c>
      <c r="H132" s="57" t="n">
        <v>1608.540000000001</v>
      </c>
      <c r="K132" s="57" t="n">
        <v>3663.299999999999</v>
      </c>
      <c r="O132" s="57" t="n">
        <v>4167.625</v>
      </c>
      <c r="P132" s="58">
        <f>SUM(D132:O132)</f>
        <v/>
      </c>
    </row>
    <row r="133">
      <c r="A133" s="51" t="inlineStr">
        <is>
          <t>Durum</t>
        </is>
      </c>
      <c r="B133" s="56" t="inlineStr">
        <is>
          <t>Exports</t>
        </is>
      </c>
      <c r="C133" s="51" t="inlineStr">
        <is>
          <t>2010-11</t>
        </is>
      </c>
      <c r="H133" s="57" t="n">
        <v>335.28</v>
      </c>
      <c r="K133" s="57" t="n">
        <v>203.1666666666667</v>
      </c>
      <c r="O133" s="57" t="n">
        <v>254.225</v>
      </c>
      <c r="P133" s="58">
        <f>SUM(D133:O133)</f>
        <v/>
      </c>
    </row>
    <row r="134">
      <c r="A134" s="51" t="inlineStr">
        <is>
          <t>Durum</t>
        </is>
      </c>
      <c r="B134" s="56" t="inlineStr">
        <is>
          <t>Ending Stocks</t>
        </is>
      </c>
      <c r="C134" s="51" t="inlineStr">
        <is>
          <t>2010-11</t>
        </is>
      </c>
      <c r="H134" s="57" t="n">
        <v>3774.7</v>
      </c>
      <c r="K134" s="57" t="n">
        <v>2946.3</v>
      </c>
      <c r="O134" s="57" t="n">
        <v>1566</v>
      </c>
      <c r="P134" s="58">
        <f>SUM(D134:O134)</f>
        <v/>
      </c>
    </row>
    <row r="135">
      <c r="A135" s="51" t="inlineStr">
        <is>
          <t>Durum</t>
        </is>
      </c>
      <c r="B135" s="52" t="inlineStr">
        <is>
          <t>Stocks-to-Use</t>
        </is>
      </c>
      <c r="C135" s="51" t="inlineStr">
        <is>
          <t>2010-11</t>
        </is>
      </c>
      <c r="P135" s="54">
        <f>SUM(D135:O135)</f>
        <v/>
      </c>
    </row>
    <row r="136">
      <c r="A136" s="51" t="inlineStr">
        <is>
          <t>Durum</t>
        </is>
      </c>
      <c r="B136" s="52" t="inlineStr">
        <is>
          <t>STU Days</t>
        </is>
      </c>
      <c r="C136" s="51" t="inlineStr">
        <is>
          <t>2010-11</t>
        </is>
      </c>
      <c r="P136" s="58">
        <f>SUM(D136:O136)</f>
        <v/>
      </c>
    </row>
    <row r="137">
      <c r="A137" s="51" t="inlineStr">
        <is>
          <t>Durum</t>
        </is>
      </c>
      <c r="B137" s="52" t="inlineStr">
        <is>
          <t>CHECK</t>
        </is>
      </c>
      <c r="C137" s="51" t="inlineStr">
        <is>
          <t>2010-11</t>
        </is>
      </c>
      <c r="H137" s="58" t="n">
        <v>-4.547473508864641e-13</v>
      </c>
      <c r="K137" s="58" t="n">
        <v>-4.547473508864641e-13</v>
      </c>
      <c r="O137" s="58" t="n">
        <v>4.547473508864641e-13</v>
      </c>
      <c r="P137" s="58">
        <f>SUM(D137:O137)</f>
        <v/>
      </c>
    </row>
    <row r="138">
      <c r="A138" s="51" t="inlineStr">
        <is>
          <t>Durum</t>
        </is>
      </c>
      <c r="B138" s="52" t="inlineStr">
        <is>
          <t>Planted Area</t>
        </is>
      </c>
      <c r="C138" s="51" t="inlineStr">
        <is>
          <t>2011-12</t>
        </is>
      </c>
      <c r="P138" s="53">
        <f>SUM(D138:O138)</f>
        <v/>
      </c>
    </row>
    <row r="139">
      <c r="A139" s="51" t="inlineStr">
        <is>
          <t>Durum</t>
        </is>
      </c>
      <c r="B139" s="52" t="inlineStr">
        <is>
          <t>Harvested Area</t>
        </is>
      </c>
      <c r="C139" s="51" t="inlineStr">
        <is>
          <t>2011-12</t>
        </is>
      </c>
      <c r="P139" s="53">
        <f>SUM(D139:O139)</f>
        <v/>
      </c>
    </row>
    <row r="140">
      <c r="A140" s="51" t="inlineStr">
        <is>
          <t>Durum</t>
        </is>
      </c>
      <c r="B140" s="52" t="inlineStr">
        <is>
          <t>Proportion Harvested</t>
        </is>
      </c>
      <c r="C140" s="51" t="inlineStr">
        <is>
          <t>2011-12</t>
        </is>
      </c>
      <c r="P140" s="54">
        <f>SUM(D140:O140)</f>
        <v/>
      </c>
    </row>
    <row r="141">
      <c r="A141" s="51" t="inlineStr">
        <is>
          <t>Durum</t>
        </is>
      </c>
      <c r="B141" s="52" t="inlineStr">
        <is>
          <t>Yield</t>
        </is>
      </c>
      <c r="C141" s="51" t="inlineStr">
        <is>
          <t>2011-12</t>
        </is>
      </c>
      <c r="P141" s="55">
        <f>SUM(D141:O141)</f>
        <v/>
      </c>
    </row>
    <row r="142">
      <c r="A142" s="51" t="inlineStr">
        <is>
          <t>Durum</t>
        </is>
      </c>
      <c r="B142" s="56" t="inlineStr">
        <is>
          <t>Beginning Stocks</t>
        </is>
      </c>
      <c r="C142" s="51" t="inlineStr">
        <is>
          <t>2011-12</t>
        </is>
      </c>
      <c r="H142" s="57" t="n">
        <v>1566</v>
      </c>
      <c r="K142" s="57" t="n">
        <v>3994.9</v>
      </c>
      <c r="O142" s="57" t="n">
        <v>3087.1</v>
      </c>
      <c r="P142" s="58">
        <f>SUM(D142:O142)</f>
        <v/>
      </c>
    </row>
    <row r="143">
      <c r="A143" s="51" t="inlineStr">
        <is>
          <t>Durum</t>
        </is>
      </c>
      <c r="B143" s="56" t="inlineStr">
        <is>
          <t>Imports</t>
        </is>
      </c>
      <c r="C143" s="51" t="inlineStr">
        <is>
          <t>2011-12</t>
        </is>
      </c>
      <c r="H143" s="57" t="n">
        <v>11.8</v>
      </c>
      <c r="K143" s="57" t="n">
        <v>13.9</v>
      </c>
      <c r="O143" s="57" t="n">
        <v>17.3</v>
      </c>
      <c r="P143" s="58">
        <f>SUM(D143:O143)</f>
        <v/>
      </c>
    </row>
    <row r="144">
      <c r="A144" s="51" t="inlineStr">
        <is>
          <t>Durum</t>
        </is>
      </c>
      <c r="B144" s="56" t="inlineStr">
        <is>
          <t>Production</t>
        </is>
      </c>
      <c r="C144" s="51" t="inlineStr">
        <is>
          <t>2011-12</t>
        </is>
      </c>
      <c r="H144" s="57" t="n">
        <v>4172.1</v>
      </c>
      <c r="K144" s="57" t="n">
        <v>4172.1</v>
      </c>
      <c r="O144" s="57" t="n">
        <v>4172.1</v>
      </c>
      <c r="P144" s="58">
        <f>SUM(D144:O144)</f>
        <v/>
      </c>
    </row>
    <row r="145">
      <c r="A145" s="51" t="inlineStr">
        <is>
          <t>Durum</t>
        </is>
      </c>
      <c r="B145" s="56" t="inlineStr">
        <is>
          <t>Food</t>
        </is>
      </c>
      <c r="C145" s="51" t="inlineStr">
        <is>
          <t>2011-12</t>
        </is>
      </c>
      <c r="H145" s="57" t="n">
        <v>19.14</v>
      </c>
      <c r="K145" s="57" t="n">
        <v>19.06666666666667</v>
      </c>
      <c r="O145" s="57" t="n">
        <v>19.875</v>
      </c>
      <c r="P145" s="58">
        <f>SUM(D145:O145)</f>
        <v/>
      </c>
    </row>
    <row r="146">
      <c r="A146" s="51" t="inlineStr">
        <is>
          <t>Durum</t>
        </is>
      </c>
      <c r="B146" s="56" t="inlineStr">
        <is>
          <t>Industrial</t>
        </is>
      </c>
      <c r="C146" s="51" t="inlineStr">
        <is>
          <t>2011-12</t>
        </is>
      </c>
      <c r="H146" s="57" t="n">
        <v>0</v>
      </c>
      <c r="K146" s="57" t="n">
        <v>0</v>
      </c>
      <c r="O146" s="57" t="n">
        <v>0</v>
      </c>
      <c r="P146" s="58">
        <f>SUM(D146:O146)</f>
        <v/>
      </c>
    </row>
    <row r="147">
      <c r="A147" s="51" t="inlineStr">
        <is>
          <t>Durum</t>
        </is>
      </c>
      <c r="B147" s="56" t="inlineStr">
        <is>
          <t>FSR</t>
        </is>
      </c>
      <c r="C147" s="51" t="inlineStr">
        <is>
          <t>2011-12</t>
        </is>
      </c>
      <c r="H147" s="57" t="n">
        <v>1431.28</v>
      </c>
      <c r="K147" s="57" t="n">
        <v>4806.433333333332</v>
      </c>
      <c r="O147" s="57" t="n">
        <v>5456.625000000002</v>
      </c>
      <c r="P147" s="58">
        <f>SUM(D147:O147)</f>
        <v/>
      </c>
    </row>
    <row r="148">
      <c r="A148" s="51" t="inlineStr">
        <is>
          <t>Durum</t>
        </is>
      </c>
      <c r="B148" s="56" t="inlineStr">
        <is>
          <t>Exports</t>
        </is>
      </c>
      <c r="C148" s="51" t="inlineStr">
        <is>
          <t>2011-12</t>
        </is>
      </c>
      <c r="H148" s="57" t="n">
        <v>304.58</v>
      </c>
      <c r="K148" s="57" t="n">
        <v>268.3</v>
      </c>
      <c r="O148" s="57" t="n">
        <v>313.9</v>
      </c>
      <c r="P148" s="58">
        <f>SUM(D148:O148)</f>
        <v/>
      </c>
    </row>
    <row r="149">
      <c r="A149" s="51" t="inlineStr">
        <is>
          <t>Durum</t>
        </is>
      </c>
      <c r="B149" s="56" t="inlineStr">
        <is>
          <t>Ending Stocks</t>
        </is>
      </c>
      <c r="C149" s="51" t="inlineStr">
        <is>
          <t>2011-12</t>
        </is>
      </c>
      <c r="H149" s="57" t="n">
        <v>3994.9</v>
      </c>
      <c r="K149" s="57" t="n">
        <v>3087.1</v>
      </c>
      <c r="O149" s="57" t="n">
        <v>1486.1</v>
      </c>
      <c r="P149" s="58">
        <f>SUM(D149:O149)</f>
        <v/>
      </c>
    </row>
    <row r="150">
      <c r="A150" s="51" t="inlineStr">
        <is>
          <t>Durum</t>
        </is>
      </c>
      <c r="B150" s="52" t="inlineStr">
        <is>
          <t>Stocks-to-Use</t>
        </is>
      </c>
      <c r="C150" s="51" t="inlineStr">
        <is>
          <t>2011-12</t>
        </is>
      </c>
      <c r="P150" s="54">
        <f>SUM(D150:O150)</f>
        <v/>
      </c>
    </row>
    <row r="151">
      <c r="A151" s="51" t="inlineStr">
        <is>
          <t>Durum</t>
        </is>
      </c>
      <c r="B151" s="52" t="inlineStr">
        <is>
          <t>STU Days</t>
        </is>
      </c>
      <c r="C151" s="51" t="inlineStr">
        <is>
          <t>2011-12</t>
        </is>
      </c>
      <c r="P151" s="58">
        <f>SUM(D151:O151)</f>
        <v/>
      </c>
    </row>
    <row r="152">
      <c r="A152" s="51" t="inlineStr">
        <is>
          <t>Durum</t>
        </is>
      </c>
      <c r="B152" s="52" t="inlineStr">
        <is>
          <t>CHECK</t>
        </is>
      </c>
      <c r="C152" s="51" t="inlineStr">
        <is>
          <t>2011-12</t>
        </is>
      </c>
      <c r="H152" s="58" t="n">
        <v>-4.547473508864641e-13</v>
      </c>
      <c r="K152" s="58" t="n">
        <v>4.547473508864641e-13</v>
      </c>
      <c r="O152" s="58" t="n">
        <v>-9.094947017729282e-13</v>
      </c>
      <c r="P152" s="58">
        <f>SUM(D152:O152)</f>
        <v/>
      </c>
    </row>
    <row r="153">
      <c r="A153" s="51" t="inlineStr">
        <is>
          <t>Durum</t>
        </is>
      </c>
      <c r="B153" s="52" t="inlineStr">
        <is>
          <t>Planted Area</t>
        </is>
      </c>
      <c r="C153" s="51" t="inlineStr">
        <is>
          <t>2012-13</t>
        </is>
      </c>
      <c r="P153" s="53">
        <f>SUM(D153:O153)</f>
        <v/>
      </c>
    </row>
    <row r="154">
      <c r="A154" s="51" t="inlineStr">
        <is>
          <t>Durum</t>
        </is>
      </c>
      <c r="B154" s="52" t="inlineStr">
        <is>
          <t>Harvested Area</t>
        </is>
      </c>
      <c r="C154" s="51" t="inlineStr">
        <is>
          <t>2012-13</t>
        </is>
      </c>
      <c r="P154" s="53">
        <f>SUM(D154:O154)</f>
        <v/>
      </c>
    </row>
    <row r="155">
      <c r="A155" s="51" t="inlineStr">
        <is>
          <t>Durum</t>
        </is>
      </c>
      <c r="B155" s="52" t="inlineStr">
        <is>
          <t>Proportion Harvested</t>
        </is>
      </c>
      <c r="C155" s="51" t="inlineStr">
        <is>
          <t>2012-13</t>
        </is>
      </c>
      <c r="P155" s="54">
        <f>SUM(D155:O155)</f>
        <v/>
      </c>
    </row>
    <row r="156">
      <c r="A156" s="51" t="inlineStr">
        <is>
          <t>Durum</t>
        </is>
      </c>
      <c r="B156" s="52" t="inlineStr">
        <is>
          <t>Yield</t>
        </is>
      </c>
      <c r="C156" s="51" t="inlineStr">
        <is>
          <t>2012-13</t>
        </is>
      </c>
      <c r="P156" s="55">
        <f>SUM(D156:O156)</f>
        <v/>
      </c>
    </row>
    <row r="157">
      <c r="A157" s="51" t="inlineStr">
        <is>
          <t>Durum</t>
        </is>
      </c>
      <c r="B157" s="56" t="inlineStr">
        <is>
          <t>Beginning Stocks</t>
        </is>
      </c>
      <c r="C157" s="51" t="inlineStr">
        <is>
          <t>2012-13</t>
        </is>
      </c>
      <c r="H157" s="57" t="n">
        <v>1486.1</v>
      </c>
      <c r="K157" s="57" t="n">
        <v>3935.5</v>
      </c>
      <c r="O157" s="57" t="n">
        <v>2992</v>
      </c>
      <c r="P157" s="58">
        <f>SUM(D157:O157)</f>
        <v/>
      </c>
    </row>
    <row r="158">
      <c r="A158" s="51" t="inlineStr">
        <is>
          <t>Durum</t>
        </is>
      </c>
      <c r="B158" s="56" t="inlineStr">
        <is>
          <t>Imports</t>
        </is>
      </c>
      <c r="C158" s="51" t="inlineStr">
        <is>
          <t>2012-13</t>
        </is>
      </c>
      <c r="H158" s="57" t="n">
        <v>34.1</v>
      </c>
      <c r="K158" s="57" t="n">
        <v>34.9</v>
      </c>
      <c r="O158" s="57" t="n">
        <v>35.8</v>
      </c>
      <c r="P158" s="58">
        <f>SUM(D158:O158)</f>
        <v/>
      </c>
    </row>
    <row r="159">
      <c r="A159" s="51" t="inlineStr">
        <is>
          <t>Durum</t>
        </is>
      </c>
      <c r="B159" s="56" t="inlineStr">
        <is>
          <t>Production</t>
        </is>
      </c>
      <c r="C159" s="51" t="inlineStr">
        <is>
          <t>2012-13</t>
        </is>
      </c>
      <c r="H159" s="57" t="n">
        <v>4626.6</v>
      </c>
      <c r="K159" s="57" t="n">
        <v>4626.6</v>
      </c>
      <c r="O159" s="57" t="n">
        <v>4626.6</v>
      </c>
      <c r="P159" s="58">
        <f>SUM(D159:O159)</f>
        <v/>
      </c>
    </row>
    <row r="160">
      <c r="A160" s="51" t="inlineStr">
        <is>
          <t>Durum</t>
        </is>
      </c>
      <c r="B160" s="56" t="inlineStr">
        <is>
          <t>Food</t>
        </is>
      </c>
      <c r="C160" s="51" t="inlineStr">
        <is>
          <t>2012-13</t>
        </is>
      </c>
      <c r="H160" s="57" t="n">
        <v>19.4</v>
      </c>
      <c r="K160" s="57" t="n">
        <v>19.96666666666667</v>
      </c>
      <c r="O160" s="57" t="n">
        <v>18.55</v>
      </c>
      <c r="P160" s="58">
        <f>SUM(D160:O160)</f>
        <v/>
      </c>
    </row>
    <row r="161">
      <c r="A161" s="51" t="inlineStr">
        <is>
          <t>Durum</t>
        </is>
      </c>
      <c r="B161" s="56" t="inlineStr">
        <is>
          <t>Industrial</t>
        </is>
      </c>
      <c r="C161" s="51" t="inlineStr">
        <is>
          <t>2012-13</t>
        </is>
      </c>
      <c r="H161" s="57" t="n">
        <v>0</v>
      </c>
      <c r="K161" s="57" t="n">
        <v>0</v>
      </c>
      <c r="O161" s="57" t="n">
        <v>0</v>
      </c>
      <c r="P161" s="58">
        <f>SUM(D161:O161)</f>
        <v/>
      </c>
    </row>
    <row r="162">
      <c r="A162" s="51" t="inlineStr">
        <is>
          <t>Durum</t>
        </is>
      </c>
      <c r="B162" s="56" t="inlineStr">
        <is>
          <t>FSR</t>
        </is>
      </c>
      <c r="C162" s="51" t="inlineStr">
        <is>
          <t>2012-13</t>
        </is>
      </c>
      <c r="H162" s="57" t="n">
        <v>1789.480000000001</v>
      </c>
      <c r="K162" s="57" t="n">
        <v>5295.166666666666</v>
      </c>
      <c r="O162" s="57" t="n">
        <v>6168.025</v>
      </c>
      <c r="P162" s="58">
        <f>SUM(D162:O162)</f>
        <v/>
      </c>
    </row>
    <row r="163">
      <c r="A163" s="51" t="inlineStr">
        <is>
          <t>Durum</t>
        </is>
      </c>
      <c r="B163" s="56" t="inlineStr">
        <is>
          <t>Exports</t>
        </is>
      </c>
      <c r="C163" s="51" t="inlineStr">
        <is>
          <t>2012-13</t>
        </is>
      </c>
      <c r="H163" s="57" t="n">
        <v>402.42</v>
      </c>
      <c r="K163" s="57" t="n">
        <v>289.8666666666666</v>
      </c>
      <c r="O163" s="57" t="n">
        <v>340.925</v>
      </c>
      <c r="P163" s="58">
        <f>SUM(D163:O163)</f>
        <v/>
      </c>
    </row>
    <row r="164">
      <c r="A164" s="51" t="inlineStr">
        <is>
          <t>Durum</t>
        </is>
      </c>
      <c r="B164" s="56" t="inlineStr">
        <is>
          <t>Ending Stocks</t>
        </is>
      </c>
      <c r="C164" s="51" t="inlineStr">
        <is>
          <t>2012-13</t>
        </is>
      </c>
      <c r="H164" s="57" t="n">
        <v>3935.5</v>
      </c>
      <c r="K164" s="57" t="n">
        <v>2992</v>
      </c>
      <c r="O164" s="57" t="n">
        <v>1126.9</v>
      </c>
      <c r="P164" s="58">
        <f>SUM(D164:O164)</f>
        <v/>
      </c>
    </row>
    <row r="165">
      <c r="A165" s="51" t="inlineStr">
        <is>
          <t>Durum</t>
        </is>
      </c>
      <c r="B165" s="52" t="inlineStr">
        <is>
          <t>Stocks-to-Use</t>
        </is>
      </c>
      <c r="C165" s="51" t="inlineStr">
        <is>
          <t>2012-13</t>
        </is>
      </c>
      <c r="P165" s="54">
        <f>SUM(D165:O165)</f>
        <v/>
      </c>
    </row>
    <row r="166">
      <c r="A166" s="51" t="inlineStr">
        <is>
          <t>Durum</t>
        </is>
      </c>
      <c r="B166" s="52" t="inlineStr">
        <is>
          <t>STU Days</t>
        </is>
      </c>
      <c r="C166" s="51" t="inlineStr">
        <is>
          <t>2012-13</t>
        </is>
      </c>
      <c r="P166" s="58">
        <f>SUM(D166:O166)</f>
        <v/>
      </c>
    </row>
    <row r="167">
      <c r="A167" s="51" t="inlineStr">
        <is>
          <t>Durum</t>
        </is>
      </c>
      <c r="B167" s="52" t="inlineStr">
        <is>
          <t>CHECK</t>
        </is>
      </c>
      <c r="C167" s="51" t="inlineStr">
        <is>
          <t>2012-13</t>
        </is>
      </c>
      <c r="H167" s="58" t="n">
        <v>0</v>
      </c>
      <c r="K167" s="58" t="n">
        <v>0</v>
      </c>
      <c r="O167" s="58" t="n">
        <v>6.821210263296962e-13</v>
      </c>
      <c r="P167" s="58">
        <f>SUM(D167:O167)</f>
        <v/>
      </c>
    </row>
    <row r="168">
      <c r="A168" s="51" t="inlineStr">
        <is>
          <t>Durum</t>
        </is>
      </c>
      <c r="B168" s="52" t="inlineStr">
        <is>
          <t>Planted Area</t>
        </is>
      </c>
      <c r="C168" s="51" t="inlineStr">
        <is>
          <t>2013-14</t>
        </is>
      </c>
      <c r="P168" s="53">
        <f>SUM(D168:O168)</f>
        <v/>
      </c>
    </row>
    <row r="169">
      <c r="A169" s="51" t="inlineStr">
        <is>
          <t>Durum</t>
        </is>
      </c>
      <c r="B169" s="52" t="inlineStr">
        <is>
          <t>Harvested Area</t>
        </is>
      </c>
      <c r="C169" s="51" t="inlineStr">
        <is>
          <t>2013-14</t>
        </is>
      </c>
      <c r="P169" s="53">
        <f>SUM(D169:O169)</f>
        <v/>
      </c>
    </row>
    <row r="170">
      <c r="A170" s="51" t="inlineStr">
        <is>
          <t>Durum</t>
        </is>
      </c>
      <c r="B170" s="52" t="inlineStr">
        <is>
          <t>Proportion Harvested</t>
        </is>
      </c>
      <c r="C170" s="51" t="inlineStr">
        <is>
          <t>2013-14</t>
        </is>
      </c>
      <c r="P170" s="54">
        <f>SUM(D170:O170)</f>
        <v/>
      </c>
    </row>
    <row r="171">
      <c r="A171" s="51" t="inlineStr">
        <is>
          <t>Durum</t>
        </is>
      </c>
      <c r="B171" s="52" t="inlineStr">
        <is>
          <t>Yield</t>
        </is>
      </c>
      <c r="C171" s="51" t="inlineStr">
        <is>
          <t>2013-14</t>
        </is>
      </c>
      <c r="P171" s="55">
        <f>SUM(D171:O171)</f>
        <v/>
      </c>
    </row>
    <row r="172">
      <c r="A172" s="51" t="inlineStr">
        <is>
          <t>Durum</t>
        </is>
      </c>
      <c r="B172" s="56" t="inlineStr">
        <is>
          <t>Beginning Stocks</t>
        </is>
      </c>
      <c r="C172" s="51" t="inlineStr">
        <is>
          <t>2013-14</t>
        </is>
      </c>
      <c r="H172" s="57" t="n">
        <v>1126.9</v>
      </c>
      <c r="K172" s="57" t="n">
        <v>5264</v>
      </c>
      <c r="O172" s="57" t="n">
        <v>3977.1</v>
      </c>
      <c r="P172" s="58">
        <f>SUM(D172:O172)</f>
        <v/>
      </c>
    </row>
    <row r="173">
      <c r="A173" s="51" t="inlineStr">
        <is>
          <t>Durum</t>
        </is>
      </c>
      <c r="B173" s="56" t="inlineStr">
        <is>
          <t>Imports</t>
        </is>
      </c>
      <c r="C173" s="51" t="inlineStr">
        <is>
          <t>2013-14</t>
        </is>
      </c>
      <c r="H173" s="57" t="n">
        <v>0.8</v>
      </c>
      <c r="K173" s="57" t="n">
        <v>3.4</v>
      </c>
      <c r="O173" s="57" t="n">
        <v>5.1</v>
      </c>
      <c r="P173" s="58">
        <f>SUM(D173:O173)</f>
        <v/>
      </c>
    </row>
    <row r="174">
      <c r="A174" s="51" t="inlineStr">
        <is>
          <t>Durum</t>
        </is>
      </c>
      <c r="B174" s="56" t="inlineStr">
        <is>
          <t>Production</t>
        </is>
      </c>
      <c r="C174" s="51" t="inlineStr">
        <is>
          <t>2013-14</t>
        </is>
      </c>
      <c r="H174" s="57" t="n">
        <v>6504.5</v>
      </c>
      <c r="K174" s="57" t="n">
        <v>6504.5</v>
      </c>
      <c r="O174" s="57" t="n">
        <v>6504.5</v>
      </c>
      <c r="P174" s="58">
        <f>SUM(D174:O174)</f>
        <v/>
      </c>
    </row>
    <row r="175">
      <c r="A175" s="51" t="inlineStr">
        <is>
          <t>Durum</t>
        </is>
      </c>
      <c r="B175" s="56" t="inlineStr">
        <is>
          <t>Food</t>
        </is>
      </c>
      <c r="C175" s="51" t="inlineStr">
        <is>
          <t>2013-14</t>
        </is>
      </c>
      <c r="H175" s="57" t="n">
        <v>19.86</v>
      </c>
      <c r="K175" s="57" t="n">
        <v>20.23333333333333</v>
      </c>
      <c r="O175" s="57" t="n">
        <v>19.075</v>
      </c>
      <c r="P175" s="58">
        <f>SUM(D175:O175)</f>
        <v/>
      </c>
    </row>
    <row r="176">
      <c r="A176" s="51" t="inlineStr">
        <is>
          <t>Durum</t>
        </is>
      </c>
      <c r="B176" s="56" t="inlineStr">
        <is>
          <t>Industrial</t>
        </is>
      </c>
      <c r="C176" s="51" t="inlineStr">
        <is>
          <t>2013-14</t>
        </is>
      </c>
      <c r="H176" s="57" t="n">
        <v>0</v>
      </c>
      <c r="K176" s="57" t="n">
        <v>0</v>
      </c>
      <c r="O176" s="57" t="n">
        <v>0</v>
      </c>
      <c r="P176" s="58">
        <f>SUM(D176:O176)</f>
        <v/>
      </c>
    </row>
    <row r="177">
      <c r="A177" s="51" t="inlineStr">
        <is>
          <t>Durum</t>
        </is>
      </c>
      <c r="B177" s="56" t="inlineStr">
        <is>
          <t>FSR</t>
        </is>
      </c>
      <c r="C177" s="51" t="inlineStr">
        <is>
          <t>2013-14</t>
        </is>
      </c>
      <c r="H177" s="57" t="n">
        <v>1969.059999999999</v>
      </c>
      <c r="K177" s="57" t="n">
        <v>7370.699999999999</v>
      </c>
      <c r="O177" s="57" t="n">
        <v>8238.225</v>
      </c>
      <c r="P177" s="58">
        <f>SUM(D177:O177)</f>
        <v/>
      </c>
    </row>
    <row r="178">
      <c r="A178" s="51" t="inlineStr">
        <is>
          <t>Durum</t>
        </is>
      </c>
      <c r="B178" s="56" t="inlineStr">
        <is>
          <t>Exports</t>
        </is>
      </c>
      <c r="C178" s="51" t="inlineStr">
        <is>
          <t>2013-14</t>
        </is>
      </c>
      <c r="H178" s="57" t="n">
        <v>379.28</v>
      </c>
      <c r="K178" s="57" t="n">
        <v>403.8666666666666</v>
      </c>
      <c r="O178" s="57" t="n">
        <v>490.5</v>
      </c>
      <c r="P178" s="58">
        <f>SUM(D178:O178)</f>
        <v/>
      </c>
    </row>
    <row r="179">
      <c r="A179" s="51" t="inlineStr">
        <is>
          <t>Durum</t>
        </is>
      </c>
      <c r="B179" s="56" t="inlineStr">
        <is>
          <t>Ending Stocks</t>
        </is>
      </c>
      <c r="C179" s="51" t="inlineStr">
        <is>
          <t>2013-14</t>
        </is>
      </c>
      <c r="H179" s="57" t="n">
        <v>5264</v>
      </c>
      <c r="K179" s="57" t="n">
        <v>3977.1</v>
      </c>
      <c r="O179" s="57" t="n">
        <v>1738.9</v>
      </c>
      <c r="P179" s="58">
        <f>SUM(D179:O179)</f>
        <v/>
      </c>
    </row>
    <row r="180">
      <c r="A180" s="51" t="inlineStr">
        <is>
          <t>Durum</t>
        </is>
      </c>
      <c r="B180" s="52" t="inlineStr">
        <is>
          <t>Stocks-to-Use</t>
        </is>
      </c>
      <c r="C180" s="51" t="inlineStr">
        <is>
          <t>2013-14</t>
        </is>
      </c>
      <c r="P180" s="54">
        <f>SUM(D180:O180)</f>
        <v/>
      </c>
    </row>
    <row r="181">
      <c r="A181" s="51" t="inlineStr">
        <is>
          <t>Durum</t>
        </is>
      </c>
      <c r="B181" s="52" t="inlineStr">
        <is>
          <t>STU Days</t>
        </is>
      </c>
      <c r="C181" s="51" t="inlineStr">
        <is>
          <t>2013-14</t>
        </is>
      </c>
      <c r="P181" s="58">
        <f>SUM(D181:O181)</f>
        <v/>
      </c>
    </row>
    <row r="182">
      <c r="A182" s="51" t="inlineStr">
        <is>
          <t>Durum</t>
        </is>
      </c>
      <c r="B182" s="52" t="inlineStr">
        <is>
          <t>CHECK</t>
        </is>
      </c>
      <c r="C182" s="51" t="inlineStr">
        <is>
          <t>2013-14</t>
        </is>
      </c>
      <c r="H182" s="58" t="n">
        <v>9.094947017729282e-13</v>
      </c>
      <c r="K182" s="58" t="n">
        <v>4.547473508864641e-13</v>
      </c>
      <c r="O182" s="58" t="n">
        <v>-4.547473508864641e-13</v>
      </c>
      <c r="P182" s="58">
        <f>SUM(D182:O182)</f>
        <v/>
      </c>
    </row>
    <row r="183">
      <c r="A183" s="51" t="inlineStr">
        <is>
          <t>Durum</t>
        </is>
      </c>
      <c r="B183" s="52" t="inlineStr">
        <is>
          <t>Planted Area</t>
        </is>
      </c>
      <c r="C183" s="51" t="inlineStr">
        <is>
          <t>2014-15</t>
        </is>
      </c>
      <c r="P183" s="53">
        <f>SUM(D183:O183)</f>
        <v/>
      </c>
    </row>
    <row r="184">
      <c r="A184" s="51" t="inlineStr">
        <is>
          <t>Durum</t>
        </is>
      </c>
      <c r="B184" s="52" t="inlineStr">
        <is>
          <t>Harvested Area</t>
        </is>
      </c>
      <c r="C184" s="51" t="inlineStr">
        <is>
          <t>2014-15</t>
        </is>
      </c>
      <c r="P184" s="53">
        <f>SUM(D184:O184)</f>
        <v/>
      </c>
    </row>
    <row r="185">
      <c r="A185" s="51" t="inlineStr">
        <is>
          <t>Durum</t>
        </is>
      </c>
      <c r="B185" s="52" t="inlineStr">
        <is>
          <t>Proportion Harvested</t>
        </is>
      </c>
      <c r="C185" s="51" t="inlineStr">
        <is>
          <t>2014-15</t>
        </is>
      </c>
      <c r="P185" s="54">
        <f>SUM(D185:O185)</f>
        <v/>
      </c>
    </row>
    <row r="186">
      <c r="A186" s="51" t="inlineStr">
        <is>
          <t>Durum</t>
        </is>
      </c>
      <c r="B186" s="52" t="inlineStr">
        <is>
          <t>Yield</t>
        </is>
      </c>
      <c r="C186" s="51" t="inlineStr">
        <is>
          <t>2014-15</t>
        </is>
      </c>
      <c r="P186" s="55">
        <f>SUM(D186:O186)</f>
        <v/>
      </c>
    </row>
    <row r="187">
      <c r="A187" s="51" t="inlineStr">
        <is>
          <t>Durum</t>
        </is>
      </c>
      <c r="B187" s="56" t="inlineStr">
        <is>
          <t>Beginning Stocks</t>
        </is>
      </c>
      <c r="C187" s="51" t="inlineStr">
        <is>
          <t>2014-15</t>
        </is>
      </c>
      <c r="H187" s="57" t="n">
        <v>1738.9</v>
      </c>
      <c r="K187" s="57" t="n">
        <v>4086.8</v>
      </c>
      <c r="O187" s="57" t="n">
        <v>2557.8</v>
      </c>
      <c r="P187" s="58">
        <f>SUM(D187:O187)</f>
        <v/>
      </c>
    </row>
    <row r="188">
      <c r="A188" s="51" t="inlineStr">
        <is>
          <t>Durum</t>
        </is>
      </c>
      <c r="B188" s="56" t="inlineStr">
        <is>
          <t>Imports</t>
        </is>
      </c>
      <c r="C188" s="51" t="inlineStr">
        <is>
          <t>2014-15</t>
        </is>
      </c>
      <c r="H188" s="57" t="n">
        <v>4.1</v>
      </c>
      <c r="K188" s="57" t="n">
        <v>5.3</v>
      </c>
      <c r="O188" s="57" t="n">
        <v>7.7</v>
      </c>
      <c r="P188" s="58">
        <f>SUM(D188:O188)</f>
        <v/>
      </c>
    </row>
    <row r="189">
      <c r="A189" s="51" t="inlineStr">
        <is>
          <t>Durum</t>
        </is>
      </c>
      <c r="B189" s="56" t="inlineStr">
        <is>
          <t>Production</t>
        </is>
      </c>
      <c r="C189" s="51" t="inlineStr">
        <is>
          <t>2014-15</t>
        </is>
      </c>
      <c r="H189" s="57" t="n">
        <v>5192.7</v>
      </c>
      <c r="K189" s="57" t="n">
        <v>5192.7</v>
      </c>
      <c r="O189" s="57" t="n">
        <v>5192.7</v>
      </c>
      <c r="P189" s="58">
        <f>SUM(D189:O189)</f>
        <v/>
      </c>
    </row>
    <row r="190">
      <c r="A190" s="51" t="inlineStr">
        <is>
          <t>Durum</t>
        </is>
      </c>
      <c r="B190" s="56" t="inlineStr">
        <is>
          <t>Food</t>
        </is>
      </c>
      <c r="C190" s="51" t="inlineStr">
        <is>
          <t>2014-15</t>
        </is>
      </c>
      <c r="H190" s="57" t="n">
        <v>17.04</v>
      </c>
      <c r="K190" s="57" t="n">
        <v>16.6</v>
      </c>
      <c r="O190" s="57" t="n">
        <v>16.4</v>
      </c>
      <c r="P190" s="58">
        <f>SUM(D190:O190)</f>
        <v/>
      </c>
    </row>
    <row r="191">
      <c r="A191" s="51" t="inlineStr">
        <is>
          <t>Durum</t>
        </is>
      </c>
      <c r="B191" s="56" t="inlineStr">
        <is>
          <t>Industrial</t>
        </is>
      </c>
      <c r="C191" s="51" t="inlineStr">
        <is>
          <t>2014-15</t>
        </is>
      </c>
      <c r="H191" s="57" t="n">
        <v>0</v>
      </c>
      <c r="K191" s="57" t="n">
        <v>0</v>
      </c>
      <c r="O191" s="57" t="n">
        <v>0</v>
      </c>
      <c r="P191" s="58">
        <f>SUM(D191:O191)</f>
        <v/>
      </c>
    </row>
    <row r="192">
      <c r="A192" s="51" t="inlineStr">
        <is>
          <t>Durum</t>
        </is>
      </c>
      <c r="B192" s="56" t="inlineStr">
        <is>
          <t>FSR</t>
        </is>
      </c>
      <c r="C192" s="51" t="inlineStr">
        <is>
          <t>2014-15</t>
        </is>
      </c>
      <c r="H192" s="57" t="n">
        <v>2311.26</v>
      </c>
      <c r="K192" s="57" t="n">
        <v>6254.333333333333</v>
      </c>
      <c r="O192" s="57" t="n">
        <v>6464.374999999999</v>
      </c>
      <c r="P192" s="58">
        <f>SUM(D192:O192)</f>
        <v/>
      </c>
    </row>
    <row r="193">
      <c r="A193" s="51" t="inlineStr">
        <is>
          <t>Durum</t>
        </is>
      </c>
      <c r="B193" s="56" t="inlineStr">
        <is>
          <t>Exports</t>
        </is>
      </c>
      <c r="C193" s="51" t="inlineStr">
        <is>
          <t>2014-15</t>
        </is>
      </c>
      <c r="H193" s="57" t="n">
        <v>520.6</v>
      </c>
      <c r="K193" s="57" t="n">
        <v>456.0666666666666</v>
      </c>
      <c r="O193" s="57" t="n">
        <v>301.325</v>
      </c>
      <c r="P193" s="58">
        <f>SUM(D193:O193)</f>
        <v/>
      </c>
    </row>
    <row r="194">
      <c r="A194" s="51" t="inlineStr">
        <is>
          <t>Durum</t>
        </is>
      </c>
      <c r="B194" s="56" t="inlineStr">
        <is>
          <t>Ending Stocks</t>
        </is>
      </c>
      <c r="C194" s="51" t="inlineStr">
        <is>
          <t>2014-15</t>
        </is>
      </c>
      <c r="H194" s="57" t="n">
        <v>4086.8</v>
      </c>
      <c r="K194" s="57" t="n">
        <v>2557.8</v>
      </c>
      <c r="O194" s="57" t="n">
        <v>976.1</v>
      </c>
      <c r="P194" s="58">
        <f>SUM(D194:O194)</f>
        <v/>
      </c>
    </row>
    <row r="195">
      <c r="A195" s="51" t="inlineStr">
        <is>
          <t>Durum</t>
        </is>
      </c>
      <c r="B195" s="52" t="inlineStr">
        <is>
          <t>Stocks-to-Use</t>
        </is>
      </c>
      <c r="C195" s="51" t="inlineStr">
        <is>
          <t>2014-15</t>
        </is>
      </c>
      <c r="P195" s="54">
        <f>SUM(D195:O195)</f>
        <v/>
      </c>
    </row>
    <row r="196">
      <c r="A196" s="51" t="inlineStr">
        <is>
          <t>Durum</t>
        </is>
      </c>
      <c r="B196" s="52" t="inlineStr">
        <is>
          <t>STU Days</t>
        </is>
      </c>
      <c r="C196" s="51" t="inlineStr">
        <is>
          <t>2014-15</t>
        </is>
      </c>
      <c r="P196" s="58">
        <f>SUM(D196:O196)</f>
        <v/>
      </c>
    </row>
    <row r="197">
      <c r="A197" s="51" t="inlineStr">
        <is>
          <t>Durum</t>
        </is>
      </c>
      <c r="B197" s="52" t="inlineStr">
        <is>
          <t>CHECK</t>
        </is>
      </c>
      <c r="C197" s="51" t="inlineStr">
        <is>
          <t>2014-15</t>
        </is>
      </c>
      <c r="H197" s="58" t="n">
        <v>4.547473508864641e-13</v>
      </c>
      <c r="K197" s="58" t="n">
        <v>-9.094947017729282e-13</v>
      </c>
      <c r="O197" s="58" t="n">
        <v>1.023181539494544e-12</v>
      </c>
      <c r="P197" s="58">
        <f>SUM(D197:O197)</f>
        <v/>
      </c>
    </row>
    <row r="198">
      <c r="A198" s="51" t="inlineStr">
        <is>
          <t>Durum</t>
        </is>
      </c>
      <c r="B198" s="52" t="inlineStr">
        <is>
          <t>Planted Area</t>
        </is>
      </c>
      <c r="C198" s="51" t="inlineStr">
        <is>
          <t>2015-16</t>
        </is>
      </c>
      <c r="P198" s="53">
        <f>SUM(D198:O198)</f>
        <v/>
      </c>
    </row>
    <row r="199">
      <c r="A199" s="51" t="inlineStr">
        <is>
          <t>Durum</t>
        </is>
      </c>
      <c r="B199" s="52" t="inlineStr">
        <is>
          <t>Harvested Area</t>
        </is>
      </c>
      <c r="C199" s="51" t="inlineStr">
        <is>
          <t>2015-16</t>
        </is>
      </c>
      <c r="P199" s="53">
        <f>SUM(D199:O199)</f>
        <v/>
      </c>
    </row>
    <row r="200">
      <c r="A200" s="51" t="inlineStr">
        <is>
          <t>Durum</t>
        </is>
      </c>
      <c r="B200" s="52" t="inlineStr">
        <is>
          <t>Proportion Harvested</t>
        </is>
      </c>
      <c r="C200" s="51" t="inlineStr">
        <is>
          <t>2015-16</t>
        </is>
      </c>
      <c r="P200" s="54">
        <f>SUM(D200:O200)</f>
        <v/>
      </c>
    </row>
    <row r="201">
      <c r="A201" s="51" t="inlineStr">
        <is>
          <t>Durum</t>
        </is>
      </c>
      <c r="B201" s="52" t="inlineStr">
        <is>
          <t>Yield</t>
        </is>
      </c>
      <c r="C201" s="51" t="inlineStr">
        <is>
          <t>2015-16</t>
        </is>
      </c>
      <c r="P201" s="55">
        <f>SUM(D201:O201)</f>
        <v/>
      </c>
    </row>
    <row r="202">
      <c r="A202" s="51" t="inlineStr">
        <is>
          <t>Durum</t>
        </is>
      </c>
      <c r="B202" s="56" t="inlineStr">
        <is>
          <t>Beginning Stocks</t>
        </is>
      </c>
      <c r="C202" s="51" t="inlineStr">
        <is>
          <t>2015-16</t>
        </is>
      </c>
      <c r="H202" s="57" t="n">
        <v>976.1</v>
      </c>
      <c r="K202" s="57" t="n">
        <v>4231.3</v>
      </c>
      <c r="O202" s="57" t="n">
        <v>2704.5</v>
      </c>
      <c r="P202" s="58">
        <f>SUM(D202:O202)</f>
        <v/>
      </c>
    </row>
    <row r="203">
      <c r="A203" s="51" t="inlineStr">
        <is>
          <t>Durum</t>
        </is>
      </c>
      <c r="B203" s="56" t="inlineStr">
        <is>
          <t>Imports</t>
        </is>
      </c>
      <c r="C203" s="51" t="inlineStr">
        <is>
          <t>2015-16</t>
        </is>
      </c>
      <c r="H203" s="57" t="n">
        <v>8.5</v>
      </c>
      <c r="K203" s="57" t="n">
        <v>10.7</v>
      </c>
      <c r="O203" s="57" t="n">
        <v>12.9</v>
      </c>
      <c r="P203" s="58">
        <f>SUM(D203:O203)</f>
        <v/>
      </c>
    </row>
    <row r="204">
      <c r="A204" s="51" t="inlineStr">
        <is>
          <t>Durum</t>
        </is>
      </c>
      <c r="B204" s="56" t="inlineStr">
        <is>
          <t>Production</t>
        </is>
      </c>
      <c r="C204" s="51" t="inlineStr">
        <is>
          <t>2015-16</t>
        </is>
      </c>
      <c r="H204" s="57" t="n">
        <v>5388.7</v>
      </c>
      <c r="K204" s="57" t="n">
        <v>5388.7</v>
      </c>
      <c r="O204" s="57" t="n">
        <v>5388.7</v>
      </c>
      <c r="P204" s="58">
        <f>SUM(D204:O204)</f>
        <v/>
      </c>
    </row>
    <row r="205">
      <c r="A205" s="51" t="inlineStr">
        <is>
          <t>Durum</t>
        </is>
      </c>
      <c r="B205" s="56" t="inlineStr">
        <is>
          <t>Food</t>
        </is>
      </c>
      <c r="C205" s="51" t="inlineStr">
        <is>
          <t>2015-16</t>
        </is>
      </c>
      <c r="H205" s="57" t="n">
        <v>17.76</v>
      </c>
      <c r="K205" s="57" t="n">
        <v>18.16666666666667</v>
      </c>
      <c r="O205" s="57" t="n">
        <v>16.45</v>
      </c>
      <c r="P205" s="58">
        <f>SUM(D205:O205)</f>
        <v/>
      </c>
    </row>
    <row r="206">
      <c r="A206" s="51" t="inlineStr">
        <is>
          <t>Durum</t>
        </is>
      </c>
      <c r="B206" s="56" t="inlineStr">
        <is>
          <t>Industrial</t>
        </is>
      </c>
      <c r="C206" s="51" t="inlineStr">
        <is>
          <t>2015-16</t>
        </is>
      </c>
      <c r="H206" s="57" t="n">
        <v>0</v>
      </c>
      <c r="K206" s="57" t="n">
        <v>0</v>
      </c>
      <c r="O206" s="57" t="n">
        <v>0</v>
      </c>
      <c r="P206" s="58">
        <f>SUM(D206:O206)</f>
        <v/>
      </c>
    </row>
    <row r="207">
      <c r="A207" s="51" t="inlineStr">
        <is>
          <t>Durum</t>
        </is>
      </c>
      <c r="B207" s="56" t="inlineStr">
        <is>
          <t>FSR</t>
        </is>
      </c>
      <c r="C207" s="51" t="inlineStr">
        <is>
          <t>2015-16</t>
        </is>
      </c>
      <c r="H207" s="57" t="n">
        <v>1742.34</v>
      </c>
      <c r="K207" s="57" t="n">
        <v>6425.400000000001</v>
      </c>
      <c r="O207" s="57" t="n">
        <v>6700.174999999999</v>
      </c>
      <c r="P207" s="58">
        <f>SUM(D207:O207)</f>
        <v/>
      </c>
    </row>
    <row r="208">
      <c r="A208" s="51" t="inlineStr">
        <is>
          <t>Durum</t>
        </is>
      </c>
      <c r="B208" s="56" t="inlineStr">
        <is>
          <t>Exports</t>
        </is>
      </c>
      <c r="C208" s="51" t="inlineStr">
        <is>
          <t>2015-16</t>
        </is>
      </c>
      <c r="H208" s="57" t="n">
        <v>381.9</v>
      </c>
      <c r="K208" s="57" t="n">
        <v>482.6333333333334</v>
      </c>
      <c r="O208" s="57" t="n">
        <v>289.1750000000001</v>
      </c>
      <c r="P208" s="58">
        <f>SUM(D208:O208)</f>
        <v/>
      </c>
    </row>
    <row r="209">
      <c r="A209" s="51" t="inlineStr">
        <is>
          <t>Durum</t>
        </is>
      </c>
      <c r="B209" s="56" t="inlineStr">
        <is>
          <t>Ending Stocks</t>
        </is>
      </c>
      <c r="C209" s="51" t="inlineStr">
        <is>
          <t>2015-16</t>
        </is>
      </c>
      <c r="H209" s="57" t="n">
        <v>4231.3</v>
      </c>
      <c r="K209" s="57" t="n">
        <v>2704.5</v>
      </c>
      <c r="O209" s="57" t="n">
        <v>1100.3</v>
      </c>
      <c r="P209" s="58">
        <f>SUM(D209:O209)</f>
        <v/>
      </c>
    </row>
    <row r="210">
      <c r="A210" s="51" t="inlineStr">
        <is>
          <t>Durum</t>
        </is>
      </c>
      <c r="B210" s="52" t="inlineStr">
        <is>
          <t>Stocks-to-Use</t>
        </is>
      </c>
      <c r="C210" s="51" t="inlineStr">
        <is>
          <t>2015-16</t>
        </is>
      </c>
      <c r="P210" s="54">
        <f>SUM(D210:O210)</f>
        <v/>
      </c>
    </row>
    <row r="211">
      <c r="A211" s="51" t="inlineStr">
        <is>
          <t>Durum</t>
        </is>
      </c>
      <c r="B211" s="52" t="inlineStr">
        <is>
          <t>STU Days</t>
        </is>
      </c>
      <c r="C211" s="51" t="inlineStr">
        <is>
          <t>2015-16</t>
        </is>
      </c>
      <c r="P211" s="58">
        <f>SUM(D211:O211)</f>
        <v/>
      </c>
    </row>
    <row r="212">
      <c r="A212" s="51" t="inlineStr">
        <is>
          <t>Durum</t>
        </is>
      </c>
      <c r="B212" s="52" t="inlineStr">
        <is>
          <t>CHECK</t>
        </is>
      </c>
      <c r="C212" s="51" t="inlineStr">
        <is>
          <t>2015-16</t>
        </is>
      </c>
      <c r="H212" s="58" t="n">
        <v>0</v>
      </c>
      <c r="K212" s="58" t="n">
        <v>0</v>
      </c>
      <c r="O212" s="58" t="n">
        <v>2.273736754432321e-13</v>
      </c>
      <c r="P212" s="58">
        <f>SUM(D212:O212)</f>
        <v/>
      </c>
    </row>
    <row r="213">
      <c r="A213" s="51" t="inlineStr">
        <is>
          <t>Durum</t>
        </is>
      </c>
      <c r="B213" s="52" t="inlineStr">
        <is>
          <t>Planted Area</t>
        </is>
      </c>
      <c r="C213" s="51" t="inlineStr">
        <is>
          <t>2016-17</t>
        </is>
      </c>
      <c r="P213" s="53">
        <f>SUM(D213:O213)</f>
        <v/>
      </c>
    </row>
    <row r="214">
      <c r="A214" s="51" t="inlineStr">
        <is>
          <t>Durum</t>
        </is>
      </c>
      <c r="B214" s="52" t="inlineStr">
        <is>
          <t>Harvested Area</t>
        </is>
      </c>
      <c r="C214" s="51" t="inlineStr">
        <is>
          <t>2016-17</t>
        </is>
      </c>
      <c r="P214" s="53">
        <f>SUM(D214:O214)</f>
        <v/>
      </c>
    </row>
    <row r="215">
      <c r="A215" s="51" t="inlineStr">
        <is>
          <t>Durum</t>
        </is>
      </c>
      <c r="B215" s="52" t="inlineStr">
        <is>
          <t>Proportion Harvested</t>
        </is>
      </c>
      <c r="C215" s="51" t="inlineStr">
        <is>
          <t>2016-17</t>
        </is>
      </c>
      <c r="P215" s="54">
        <f>SUM(D215:O215)</f>
        <v/>
      </c>
    </row>
    <row r="216">
      <c r="A216" s="51" t="inlineStr">
        <is>
          <t>Durum</t>
        </is>
      </c>
      <c r="B216" s="52" t="inlineStr">
        <is>
          <t>Yield</t>
        </is>
      </c>
      <c r="C216" s="51" t="inlineStr">
        <is>
          <t>2016-17</t>
        </is>
      </c>
      <c r="P216" s="55">
        <f>SUM(D216:O216)</f>
        <v/>
      </c>
    </row>
    <row r="217">
      <c r="A217" s="51" t="inlineStr">
        <is>
          <t>Durum</t>
        </is>
      </c>
      <c r="B217" s="56" t="inlineStr">
        <is>
          <t>Beginning Stocks</t>
        </is>
      </c>
      <c r="C217" s="51" t="inlineStr">
        <is>
          <t>2016-17</t>
        </is>
      </c>
      <c r="H217" s="57" t="n">
        <v>1100.3</v>
      </c>
      <c r="K217" s="57" t="n">
        <v>6140</v>
      </c>
      <c r="O217" s="57" t="n">
        <v>4078.4</v>
      </c>
      <c r="P217" s="58">
        <f>SUM(D217:O217)</f>
        <v/>
      </c>
    </row>
    <row r="218">
      <c r="A218" s="51" t="inlineStr">
        <is>
          <t>Durum</t>
        </is>
      </c>
      <c r="B218" s="56" t="inlineStr">
        <is>
          <t>Imports</t>
        </is>
      </c>
      <c r="C218" s="51" t="inlineStr">
        <is>
          <t>2016-17</t>
        </is>
      </c>
      <c r="H218" s="57" t="n">
        <v>1.5</v>
      </c>
      <c r="K218" s="57" t="n">
        <v>6</v>
      </c>
      <c r="O218" s="57" t="n">
        <v>10.8</v>
      </c>
      <c r="P218" s="58">
        <f>SUM(D218:O218)</f>
        <v/>
      </c>
    </row>
    <row r="219">
      <c r="A219" s="51" t="inlineStr">
        <is>
          <t>Durum</t>
        </is>
      </c>
      <c r="B219" s="56" t="inlineStr">
        <is>
          <t>Production</t>
        </is>
      </c>
      <c r="C219" s="51" t="inlineStr">
        <is>
          <t>2016-17</t>
        </is>
      </c>
      <c r="H219" s="57" t="n">
        <v>7761.8</v>
      </c>
      <c r="K219" s="57" t="n">
        <v>7761.8</v>
      </c>
      <c r="O219" s="57" t="n">
        <v>7761.8</v>
      </c>
      <c r="P219" s="58">
        <f>SUM(D219:O219)</f>
        <v/>
      </c>
    </row>
    <row r="220">
      <c r="A220" s="51" t="inlineStr">
        <is>
          <t>Durum</t>
        </is>
      </c>
      <c r="B220" s="56" t="inlineStr">
        <is>
          <t>Food</t>
        </is>
      </c>
      <c r="C220" s="51" t="inlineStr">
        <is>
          <t>2016-17</t>
        </is>
      </c>
      <c r="H220" s="57" t="n">
        <v>16.28</v>
      </c>
      <c r="K220" s="57" t="n">
        <v>17.03333333333333</v>
      </c>
      <c r="O220" s="57" t="n">
        <v>10.275</v>
      </c>
      <c r="P220" s="58">
        <f>SUM(D220:O220)</f>
        <v/>
      </c>
    </row>
    <row r="221">
      <c r="A221" s="51" t="inlineStr">
        <is>
          <t>Durum</t>
        </is>
      </c>
      <c r="B221" s="56" t="inlineStr">
        <is>
          <t>Industrial</t>
        </is>
      </c>
      <c r="C221" s="51" t="inlineStr">
        <is>
          <t>2016-17</t>
        </is>
      </c>
      <c r="H221" s="57" t="n">
        <v>0</v>
      </c>
      <c r="K221" s="57" t="n">
        <v>0</v>
      </c>
      <c r="O221" s="57" t="n">
        <v>0</v>
      </c>
      <c r="P221" s="58">
        <f>SUM(D221:O221)</f>
        <v/>
      </c>
    </row>
    <row r="222">
      <c r="A222" s="51" t="inlineStr">
        <is>
          <t>Durum</t>
        </is>
      </c>
      <c r="B222" s="56" t="inlineStr">
        <is>
          <t>FSR</t>
        </is>
      </c>
      <c r="C222" s="51" t="inlineStr">
        <is>
          <t>2016-17</t>
        </is>
      </c>
      <c r="H222" s="57" t="n">
        <v>2364.42</v>
      </c>
      <c r="K222" s="57" t="n">
        <v>9420.799999999999</v>
      </c>
      <c r="O222" s="57" t="n">
        <v>9601.5</v>
      </c>
      <c r="P222" s="58">
        <f>SUM(D222:O222)</f>
        <v/>
      </c>
    </row>
    <row r="223">
      <c r="A223" s="51" t="inlineStr">
        <is>
          <t>Durum</t>
        </is>
      </c>
      <c r="B223" s="56" t="inlineStr">
        <is>
          <t>Exports</t>
        </is>
      </c>
      <c r="C223" s="51" t="inlineStr">
        <is>
          <t>2016-17</t>
        </is>
      </c>
      <c r="H223" s="57" t="n">
        <v>342.9</v>
      </c>
      <c r="K223" s="57" t="n">
        <v>391.5666666666666</v>
      </c>
      <c r="O223" s="57" t="n">
        <v>411.2250000000001</v>
      </c>
      <c r="P223" s="58">
        <f>SUM(D223:O223)</f>
        <v/>
      </c>
    </row>
    <row r="224">
      <c r="A224" s="51" t="inlineStr">
        <is>
          <t>Durum</t>
        </is>
      </c>
      <c r="B224" s="56" t="inlineStr">
        <is>
          <t>Ending Stocks</t>
        </is>
      </c>
      <c r="C224" s="51" t="inlineStr">
        <is>
          <t>2016-17</t>
        </is>
      </c>
      <c r="H224" s="57" t="n">
        <v>6140</v>
      </c>
      <c r="K224" s="57" t="n">
        <v>4078.4</v>
      </c>
      <c r="O224" s="57" t="n">
        <v>1828</v>
      </c>
      <c r="P224" s="58">
        <f>SUM(D224:O224)</f>
        <v/>
      </c>
    </row>
    <row r="225">
      <c r="A225" s="51" t="inlineStr">
        <is>
          <t>Durum</t>
        </is>
      </c>
      <c r="B225" s="52" t="inlineStr">
        <is>
          <t>Stocks-to-Use</t>
        </is>
      </c>
      <c r="C225" s="51" t="inlineStr">
        <is>
          <t>2016-17</t>
        </is>
      </c>
      <c r="P225" s="54">
        <f>SUM(D225:O225)</f>
        <v/>
      </c>
    </row>
    <row r="226">
      <c r="A226" s="51" t="inlineStr">
        <is>
          <t>Durum</t>
        </is>
      </c>
      <c r="B226" s="52" t="inlineStr">
        <is>
          <t>STU Days</t>
        </is>
      </c>
      <c r="C226" s="51" t="inlineStr">
        <is>
          <t>2016-17</t>
        </is>
      </c>
      <c r="P226" s="58">
        <f>SUM(D226:O226)</f>
        <v/>
      </c>
    </row>
    <row r="227">
      <c r="A227" s="51" t="inlineStr">
        <is>
          <t>Durum</t>
        </is>
      </c>
      <c r="B227" s="52" t="inlineStr">
        <is>
          <t>CHECK</t>
        </is>
      </c>
      <c r="C227" s="51" t="inlineStr">
        <is>
          <t>2016-17</t>
        </is>
      </c>
      <c r="H227" s="58" t="n">
        <v>0</v>
      </c>
      <c r="K227" s="58" t="n">
        <v>4.547473508864641e-13</v>
      </c>
      <c r="O227" s="58" t="n">
        <v>2.273736754432321e-13</v>
      </c>
      <c r="P227" s="58">
        <f>SUM(D227:O227)</f>
        <v/>
      </c>
    </row>
    <row r="228">
      <c r="A228" s="51" t="inlineStr">
        <is>
          <t>Durum</t>
        </is>
      </c>
      <c r="B228" s="52" t="inlineStr">
        <is>
          <t>Planted Area</t>
        </is>
      </c>
      <c r="C228" s="51" t="inlineStr">
        <is>
          <t>2017-18</t>
        </is>
      </c>
      <c r="P228" s="53">
        <f>SUM(D228:O228)</f>
        <v/>
      </c>
    </row>
    <row r="229">
      <c r="A229" s="51" t="inlineStr">
        <is>
          <t>Durum</t>
        </is>
      </c>
      <c r="B229" s="52" t="inlineStr">
        <is>
          <t>Harvested Area</t>
        </is>
      </c>
      <c r="C229" s="51" t="inlineStr">
        <is>
          <t>2017-18</t>
        </is>
      </c>
      <c r="P229" s="53">
        <f>SUM(D229:O229)</f>
        <v/>
      </c>
    </row>
    <row r="230">
      <c r="A230" s="51" t="inlineStr">
        <is>
          <t>Durum</t>
        </is>
      </c>
      <c r="B230" s="52" t="inlineStr">
        <is>
          <t>Proportion Harvested</t>
        </is>
      </c>
      <c r="C230" s="51" t="inlineStr">
        <is>
          <t>2017-18</t>
        </is>
      </c>
      <c r="P230" s="54">
        <f>SUM(D230:O230)</f>
        <v/>
      </c>
    </row>
    <row r="231">
      <c r="A231" s="51" t="inlineStr">
        <is>
          <t>Durum</t>
        </is>
      </c>
      <c r="B231" s="52" t="inlineStr">
        <is>
          <t>Yield</t>
        </is>
      </c>
      <c r="C231" s="51" t="inlineStr">
        <is>
          <t>2017-18</t>
        </is>
      </c>
      <c r="P231" s="55">
        <f>SUM(D231:O231)</f>
        <v/>
      </c>
    </row>
    <row r="232">
      <c r="A232" s="51" t="inlineStr">
        <is>
          <t>Durum</t>
        </is>
      </c>
      <c r="B232" s="56" t="inlineStr">
        <is>
          <t>Beginning Stocks</t>
        </is>
      </c>
      <c r="C232" s="51" t="inlineStr">
        <is>
          <t>2017-18</t>
        </is>
      </c>
      <c r="H232" s="57" t="n">
        <v>1828</v>
      </c>
      <c r="K232" s="57" t="n">
        <v>4781.3</v>
      </c>
      <c r="O232" s="57" t="n">
        <v>3363.7</v>
      </c>
      <c r="P232" s="58">
        <f>SUM(D232:O232)</f>
        <v/>
      </c>
    </row>
    <row r="233">
      <c r="A233" s="51" t="inlineStr">
        <is>
          <t>Durum</t>
        </is>
      </c>
      <c r="B233" s="56" t="inlineStr">
        <is>
          <t>Imports</t>
        </is>
      </c>
      <c r="C233" s="51" t="inlineStr">
        <is>
          <t>2017-18</t>
        </is>
      </c>
      <c r="H233" s="57" t="n">
        <v>0.6</v>
      </c>
      <c r="K233" s="57" t="n">
        <v>3.4</v>
      </c>
      <c r="O233" s="57" t="n">
        <v>7.3</v>
      </c>
      <c r="P233" s="58">
        <f>SUM(D233:O233)</f>
        <v/>
      </c>
    </row>
    <row r="234">
      <c r="A234" s="51" t="inlineStr">
        <is>
          <t>Durum</t>
        </is>
      </c>
      <c r="B234" s="56" t="inlineStr">
        <is>
          <t>Production</t>
        </is>
      </c>
      <c r="C234" s="51" t="inlineStr">
        <is>
          <t>2017-18</t>
        </is>
      </c>
      <c r="H234" s="57" t="n">
        <v>4962.2</v>
      </c>
      <c r="K234" s="57" t="n">
        <v>4962.2</v>
      </c>
      <c r="O234" s="57" t="n">
        <v>4962.2</v>
      </c>
      <c r="P234" s="58">
        <f>SUM(D234:O234)</f>
        <v/>
      </c>
    </row>
    <row r="235">
      <c r="A235" s="51" t="inlineStr">
        <is>
          <t>Durum</t>
        </is>
      </c>
      <c r="B235" s="56" t="inlineStr">
        <is>
          <t>Food</t>
        </is>
      </c>
      <c r="C235" s="51" t="inlineStr">
        <is>
          <t>2017-18</t>
        </is>
      </c>
      <c r="H235" s="57" t="n">
        <v>16.68</v>
      </c>
      <c r="K235" s="57" t="n">
        <v>16.86666666666666</v>
      </c>
      <c r="O235" s="57" t="n">
        <v>16.825</v>
      </c>
      <c r="P235" s="58">
        <f>SUM(D235:O235)</f>
        <v/>
      </c>
    </row>
    <row r="236">
      <c r="A236" s="51" t="inlineStr">
        <is>
          <t>Durum</t>
        </is>
      </c>
      <c r="B236" s="56" t="inlineStr">
        <is>
          <t>Industrial</t>
        </is>
      </c>
      <c r="C236" s="51" t="inlineStr">
        <is>
          <t>2017-18</t>
        </is>
      </c>
      <c r="H236" s="57" t="n">
        <v>0</v>
      </c>
      <c r="K236" s="57" t="n">
        <v>0</v>
      </c>
      <c r="O236" s="57" t="n">
        <v>0</v>
      </c>
      <c r="P236" s="58">
        <f>SUM(D236:O236)</f>
        <v/>
      </c>
    </row>
    <row r="237">
      <c r="A237" s="51" t="inlineStr">
        <is>
          <t>Durum</t>
        </is>
      </c>
      <c r="B237" s="56" t="inlineStr">
        <is>
          <t>FSR</t>
        </is>
      </c>
      <c r="C237" s="51" t="inlineStr">
        <is>
          <t>2017-18</t>
        </is>
      </c>
      <c r="H237" s="57" t="n">
        <v>1649.82</v>
      </c>
      <c r="K237" s="57" t="n">
        <v>5957.966666666666</v>
      </c>
      <c r="O237" s="57" t="n">
        <v>6489.749999999998</v>
      </c>
      <c r="P237" s="58">
        <f>SUM(D237:O237)</f>
        <v/>
      </c>
    </row>
    <row r="238">
      <c r="A238" s="51" t="inlineStr">
        <is>
          <t>Durum</t>
        </is>
      </c>
      <c r="B238" s="56" t="inlineStr">
        <is>
          <t>Exports</t>
        </is>
      </c>
      <c r="C238" s="51" t="inlineStr">
        <is>
          <t>2017-18</t>
        </is>
      </c>
      <c r="H238" s="57" t="n">
        <v>343</v>
      </c>
      <c r="K238" s="57" t="n">
        <v>408.3666666666666</v>
      </c>
      <c r="O238" s="57" t="n">
        <v>350.525</v>
      </c>
      <c r="P238" s="58">
        <f>SUM(D238:O238)</f>
        <v/>
      </c>
    </row>
    <row r="239">
      <c r="A239" s="51" t="inlineStr">
        <is>
          <t>Durum</t>
        </is>
      </c>
      <c r="B239" s="56" t="inlineStr">
        <is>
          <t>Ending Stocks</t>
        </is>
      </c>
      <c r="C239" s="51" t="inlineStr">
        <is>
          <t>2017-18</t>
        </is>
      </c>
      <c r="H239" s="57" t="n">
        <v>4781.3</v>
      </c>
      <c r="K239" s="57" t="n">
        <v>3363.7</v>
      </c>
      <c r="O239" s="57" t="n">
        <v>1476.1</v>
      </c>
      <c r="P239" s="58">
        <f>SUM(D239:O239)</f>
        <v/>
      </c>
    </row>
    <row r="240">
      <c r="A240" s="51" t="inlineStr">
        <is>
          <t>Durum</t>
        </is>
      </c>
      <c r="B240" s="52" t="inlineStr">
        <is>
          <t>Stocks-to-Use</t>
        </is>
      </c>
      <c r="C240" s="51" t="inlineStr">
        <is>
          <t>2017-18</t>
        </is>
      </c>
      <c r="P240" s="54">
        <f>SUM(D240:O240)</f>
        <v/>
      </c>
    </row>
    <row r="241">
      <c r="A241" s="51" t="inlineStr">
        <is>
          <t>Durum</t>
        </is>
      </c>
      <c r="B241" s="52" t="inlineStr">
        <is>
          <t>STU Days</t>
        </is>
      </c>
      <c r="C241" s="51" t="inlineStr">
        <is>
          <t>2017-18</t>
        </is>
      </c>
      <c r="P241" s="58">
        <f>SUM(D241:O241)</f>
        <v/>
      </c>
    </row>
    <row r="242">
      <c r="A242" s="51" t="inlineStr">
        <is>
          <t>Durum</t>
        </is>
      </c>
      <c r="B242" s="52" t="inlineStr">
        <is>
          <t>CHECK</t>
        </is>
      </c>
      <c r="C242" s="51" t="inlineStr">
        <is>
          <t>2017-18</t>
        </is>
      </c>
      <c r="H242" s="58" t="n">
        <v>0</v>
      </c>
      <c r="K242" s="58" t="n">
        <v>0</v>
      </c>
      <c r="O242" s="58" t="n">
        <v>0</v>
      </c>
      <c r="P242" s="58">
        <f>SUM(D242:O242)</f>
        <v/>
      </c>
    </row>
    <row r="243">
      <c r="A243" s="51" t="inlineStr">
        <is>
          <t>Durum</t>
        </is>
      </c>
      <c r="B243" s="52" t="inlineStr">
        <is>
          <t>Planted Area</t>
        </is>
      </c>
      <c r="C243" s="51" t="inlineStr">
        <is>
          <t>2018-19</t>
        </is>
      </c>
      <c r="P243" s="53">
        <f>SUM(D243:O243)</f>
        <v/>
      </c>
    </row>
    <row r="244">
      <c r="A244" s="51" t="inlineStr">
        <is>
          <t>Durum</t>
        </is>
      </c>
      <c r="B244" s="52" t="inlineStr">
        <is>
          <t>Harvested Area</t>
        </is>
      </c>
      <c r="C244" s="51" t="inlineStr">
        <is>
          <t>2018-19</t>
        </is>
      </c>
      <c r="P244" s="53">
        <f>SUM(D244:O244)</f>
        <v/>
      </c>
    </row>
    <row r="245">
      <c r="A245" s="51" t="inlineStr">
        <is>
          <t>Durum</t>
        </is>
      </c>
      <c r="B245" s="52" t="inlineStr">
        <is>
          <t>Proportion Harvested</t>
        </is>
      </c>
      <c r="C245" s="51" t="inlineStr">
        <is>
          <t>2018-19</t>
        </is>
      </c>
      <c r="P245" s="54">
        <f>SUM(D245:O245)</f>
        <v/>
      </c>
    </row>
    <row r="246">
      <c r="A246" s="51" t="inlineStr">
        <is>
          <t>Durum</t>
        </is>
      </c>
      <c r="B246" s="52" t="inlineStr">
        <is>
          <t>Yield</t>
        </is>
      </c>
      <c r="C246" s="51" t="inlineStr">
        <is>
          <t>2018-19</t>
        </is>
      </c>
      <c r="P246" s="55">
        <f>SUM(D246:O246)</f>
        <v/>
      </c>
    </row>
    <row r="247">
      <c r="A247" s="51" t="inlineStr">
        <is>
          <t>Durum</t>
        </is>
      </c>
      <c r="B247" s="56" t="inlineStr">
        <is>
          <t>Beginning Stocks</t>
        </is>
      </c>
      <c r="C247" s="51" t="inlineStr">
        <is>
          <t>2018-19</t>
        </is>
      </c>
      <c r="H247" s="57" t="n">
        <v>1476.1</v>
      </c>
      <c r="K247" s="57" t="n">
        <v>5518.4</v>
      </c>
      <c r="O247" s="57" t="n">
        <v>4158.3</v>
      </c>
      <c r="P247" s="58">
        <f>SUM(D247:O247)</f>
        <v/>
      </c>
    </row>
    <row r="248">
      <c r="A248" s="51" t="inlineStr">
        <is>
          <t>Durum</t>
        </is>
      </c>
      <c r="B248" s="56" t="inlineStr">
        <is>
          <t>Imports</t>
        </is>
      </c>
      <c r="C248" s="51" t="inlineStr">
        <is>
          <t>2018-19</t>
        </is>
      </c>
      <c r="H248" s="57" t="n">
        <v>6.8</v>
      </c>
      <c r="K248" s="57" t="n">
        <v>10.9</v>
      </c>
      <c r="O248" s="57" t="n">
        <v>23.8</v>
      </c>
      <c r="P248" s="58">
        <f>SUM(D248:O248)</f>
        <v/>
      </c>
    </row>
    <row r="249">
      <c r="A249" s="51" t="inlineStr">
        <is>
          <t>Durum</t>
        </is>
      </c>
      <c r="B249" s="56" t="inlineStr">
        <is>
          <t>Production</t>
        </is>
      </c>
      <c r="C249" s="51" t="inlineStr">
        <is>
          <t>2018-19</t>
        </is>
      </c>
      <c r="H249" s="57" t="n">
        <v>5784.8</v>
      </c>
      <c r="K249" s="57" t="n">
        <v>5784.8</v>
      </c>
      <c r="O249" s="57" t="n">
        <v>5784.8</v>
      </c>
      <c r="P249" s="58">
        <f>SUM(D249:O249)</f>
        <v/>
      </c>
    </row>
    <row r="250">
      <c r="A250" s="51" t="inlineStr">
        <is>
          <t>Durum</t>
        </is>
      </c>
      <c r="B250" s="56" t="inlineStr">
        <is>
          <t>Food</t>
        </is>
      </c>
      <c r="C250" s="51" t="inlineStr">
        <is>
          <t>2018-19</t>
        </is>
      </c>
      <c r="H250" s="57" t="n">
        <v>16.9</v>
      </c>
      <c r="K250" s="57" t="n">
        <v>17.23333333333333</v>
      </c>
      <c r="O250" s="57" t="n">
        <v>16.975</v>
      </c>
      <c r="P250" s="58">
        <f>SUM(D250:O250)</f>
        <v/>
      </c>
    </row>
    <row r="251">
      <c r="A251" s="51" t="inlineStr">
        <is>
          <t>Durum</t>
        </is>
      </c>
      <c r="B251" s="56" t="inlineStr">
        <is>
          <t>Industrial</t>
        </is>
      </c>
      <c r="C251" s="51" t="inlineStr">
        <is>
          <t>2018-19</t>
        </is>
      </c>
      <c r="H251" s="57" t="n">
        <v>0</v>
      </c>
      <c r="K251" s="57" t="n">
        <v>0</v>
      </c>
      <c r="O251" s="57" t="n">
        <v>0</v>
      </c>
      <c r="P251" s="58">
        <f>SUM(D251:O251)</f>
        <v/>
      </c>
    </row>
    <row r="252">
      <c r="A252" s="51" t="inlineStr">
        <is>
          <t>Durum</t>
        </is>
      </c>
      <c r="B252" s="56" t="inlineStr">
        <is>
          <t>FSR</t>
        </is>
      </c>
      <c r="C252" s="51" t="inlineStr">
        <is>
          <t>2018-19</t>
        </is>
      </c>
      <c r="H252" s="57" t="n">
        <v>1419.12</v>
      </c>
      <c r="K252" s="57" t="n">
        <v>6805.166666666667</v>
      </c>
      <c r="O252" s="57" t="n">
        <v>7627.95</v>
      </c>
      <c r="P252" s="58">
        <f>SUM(D252:O252)</f>
        <v/>
      </c>
    </row>
    <row r="253">
      <c r="A253" s="51" t="inlineStr">
        <is>
          <t>Durum</t>
        </is>
      </c>
      <c r="B253" s="56" t="inlineStr">
        <is>
          <t>Exports</t>
        </is>
      </c>
      <c r="C253" s="51" t="inlineStr">
        <is>
          <t>2018-19</t>
        </is>
      </c>
      <c r="H253" s="57" t="n">
        <v>313.28</v>
      </c>
      <c r="K253" s="57" t="n">
        <v>333.3999999999999</v>
      </c>
      <c r="O253" s="57" t="n">
        <v>489.6750000000001</v>
      </c>
      <c r="P253" s="58">
        <f>SUM(D253:O253)</f>
        <v/>
      </c>
    </row>
    <row r="254">
      <c r="A254" s="51" t="inlineStr">
        <is>
          <t>Durum</t>
        </is>
      </c>
      <c r="B254" s="56" t="inlineStr">
        <is>
          <t>Ending Stocks</t>
        </is>
      </c>
      <c r="C254" s="51" t="inlineStr">
        <is>
          <t>2018-19</t>
        </is>
      </c>
      <c r="H254" s="57" t="n">
        <v>5518.4</v>
      </c>
      <c r="K254" s="57" t="n">
        <v>4158.3</v>
      </c>
      <c r="O254" s="57" t="n">
        <v>1832.3</v>
      </c>
      <c r="P254" s="58">
        <f>SUM(D254:O254)</f>
        <v/>
      </c>
    </row>
    <row r="255">
      <c r="A255" s="51" t="inlineStr">
        <is>
          <t>Durum</t>
        </is>
      </c>
      <c r="B255" s="52" t="inlineStr">
        <is>
          <t>Stocks-to-Use</t>
        </is>
      </c>
      <c r="C255" s="51" t="inlineStr">
        <is>
          <t>2018-19</t>
        </is>
      </c>
      <c r="P255" s="54">
        <f>SUM(D255:O255)</f>
        <v/>
      </c>
    </row>
    <row r="256">
      <c r="A256" s="51" t="inlineStr">
        <is>
          <t>Durum</t>
        </is>
      </c>
      <c r="B256" s="52" t="inlineStr">
        <is>
          <t>STU Days</t>
        </is>
      </c>
      <c r="C256" s="51" t="inlineStr">
        <is>
          <t>2018-19</t>
        </is>
      </c>
      <c r="P256" s="58">
        <f>SUM(D256:O256)</f>
        <v/>
      </c>
    </row>
    <row r="257">
      <c r="A257" s="51" t="inlineStr">
        <is>
          <t>Durum</t>
        </is>
      </c>
      <c r="B257" s="52" t="inlineStr">
        <is>
          <t>CHECK</t>
        </is>
      </c>
      <c r="C257" s="51" t="inlineStr">
        <is>
          <t>2018-19</t>
        </is>
      </c>
      <c r="H257" s="58" t="n">
        <v>9.094947017729282e-13</v>
      </c>
      <c r="K257" s="58" t="n">
        <v>0</v>
      </c>
      <c r="O257" s="58" t="n">
        <v>-6.821210263296962e-13</v>
      </c>
      <c r="P257" s="58">
        <f>SUM(D257:O257)</f>
        <v/>
      </c>
    </row>
    <row r="258">
      <c r="A258" s="51" t="inlineStr">
        <is>
          <t>Durum</t>
        </is>
      </c>
      <c r="B258" s="52" t="inlineStr">
        <is>
          <t>Planted Area</t>
        </is>
      </c>
      <c r="C258" s="51" t="inlineStr">
        <is>
          <t>2019-20</t>
        </is>
      </c>
      <c r="P258" s="53">
        <f>SUM(D258:O258)</f>
        <v/>
      </c>
    </row>
    <row r="259">
      <c r="A259" s="51" t="inlineStr">
        <is>
          <t>Durum</t>
        </is>
      </c>
      <c r="B259" s="52" t="inlineStr">
        <is>
          <t>Harvested Area</t>
        </is>
      </c>
      <c r="C259" s="51" t="inlineStr">
        <is>
          <t>2019-20</t>
        </is>
      </c>
      <c r="P259" s="53">
        <f>SUM(D259:O259)</f>
        <v/>
      </c>
    </row>
    <row r="260">
      <c r="A260" s="51" t="inlineStr">
        <is>
          <t>Durum</t>
        </is>
      </c>
      <c r="B260" s="52" t="inlineStr">
        <is>
          <t>Proportion Harvested</t>
        </is>
      </c>
      <c r="C260" s="51" t="inlineStr">
        <is>
          <t>2019-20</t>
        </is>
      </c>
      <c r="P260" s="54">
        <f>SUM(D260:O260)</f>
        <v/>
      </c>
    </row>
    <row r="261">
      <c r="A261" s="51" t="inlineStr">
        <is>
          <t>Durum</t>
        </is>
      </c>
      <c r="B261" s="52" t="inlineStr">
        <is>
          <t>Yield</t>
        </is>
      </c>
      <c r="C261" s="51" t="inlineStr">
        <is>
          <t>2019-20</t>
        </is>
      </c>
      <c r="P261" s="55">
        <f>SUM(D261:O261)</f>
        <v/>
      </c>
    </row>
    <row r="262">
      <c r="A262" s="51" t="inlineStr">
        <is>
          <t>Durum</t>
        </is>
      </c>
      <c r="B262" s="56" t="inlineStr">
        <is>
          <t>Beginning Stocks</t>
        </is>
      </c>
      <c r="C262" s="51" t="inlineStr">
        <is>
          <t>2019-20</t>
        </is>
      </c>
      <c r="H262" s="57" t="n">
        <v>1832.3</v>
      </c>
      <c r="K262" s="57" t="n">
        <v>4661.2</v>
      </c>
      <c r="O262" s="57" t="n">
        <v>3305</v>
      </c>
      <c r="P262" s="58">
        <f>SUM(D262:O262)</f>
        <v/>
      </c>
    </row>
    <row r="263">
      <c r="A263" s="51" t="inlineStr">
        <is>
          <t>Durum</t>
        </is>
      </c>
      <c r="B263" s="56" t="inlineStr">
        <is>
          <t>Imports</t>
        </is>
      </c>
      <c r="C263" s="51" t="inlineStr">
        <is>
          <t>2019-20</t>
        </is>
      </c>
      <c r="H263" s="57" t="n">
        <v>55.2</v>
      </c>
      <c r="K263" s="57" t="n">
        <v>84.8</v>
      </c>
      <c r="O263" s="57" t="n">
        <v>96.5</v>
      </c>
      <c r="P263" s="58">
        <f>SUM(D263:O263)</f>
        <v/>
      </c>
    </row>
    <row r="264">
      <c r="A264" s="51" t="inlineStr">
        <is>
          <t>Durum</t>
        </is>
      </c>
      <c r="B264" s="56" t="inlineStr">
        <is>
          <t>Production</t>
        </is>
      </c>
      <c r="C264" s="51" t="inlineStr">
        <is>
          <t>2019-20</t>
        </is>
      </c>
      <c r="H264" s="57" t="n">
        <v>5017</v>
      </c>
      <c r="K264" s="57" t="n">
        <v>5017</v>
      </c>
      <c r="O264" s="57" t="n">
        <v>5017</v>
      </c>
      <c r="P264" s="58">
        <f>SUM(D264:O264)</f>
        <v/>
      </c>
    </row>
    <row r="265">
      <c r="A265" s="51" t="inlineStr">
        <is>
          <t>Durum</t>
        </is>
      </c>
      <c r="B265" s="56" t="inlineStr">
        <is>
          <t>Food</t>
        </is>
      </c>
      <c r="C265" s="51" t="inlineStr">
        <is>
          <t>2019-20</t>
        </is>
      </c>
      <c r="H265" s="57" t="n">
        <v>17.3</v>
      </c>
      <c r="K265" s="57" t="n">
        <v>18.66666666666667</v>
      </c>
      <c r="O265" s="57" t="n">
        <v>18.2</v>
      </c>
      <c r="P265" s="58">
        <f>SUM(D265:O265)</f>
        <v/>
      </c>
    </row>
    <row r="266">
      <c r="A266" s="51" t="inlineStr">
        <is>
          <t>Durum</t>
        </is>
      </c>
      <c r="B266" s="56" t="inlineStr">
        <is>
          <t>Industrial</t>
        </is>
      </c>
      <c r="C266" s="51" t="inlineStr">
        <is>
          <t>2019-20</t>
        </is>
      </c>
      <c r="H266" s="57" t="n">
        <v>0</v>
      </c>
      <c r="K266" s="57" t="n">
        <v>0</v>
      </c>
      <c r="O266" s="57" t="n">
        <v>0</v>
      </c>
      <c r="P266" s="58">
        <f>SUM(D266:O266)</f>
        <v/>
      </c>
    </row>
    <row r="267">
      <c r="A267" s="51" t="inlineStr">
        <is>
          <t>Durum</t>
        </is>
      </c>
      <c r="B267" s="56" t="inlineStr">
        <is>
          <t>FSR</t>
        </is>
      </c>
      <c r="C267" s="51" t="inlineStr">
        <is>
          <t>2019-20</t>
        </is>
      </c>
      <c r="H267" s="57" t="n">
        <v>1848.820000000001</v>
      </c>
      <c r="K267" s="57" t="n">
        <v>6035.333333333334</v>
      </c>
      <c r="O267" s="57" t="n">
        <v>7121.125</v>
      </c>
      <c r="P267" s="58">
        <f>SUM(D267:O267)</f>
        <v/>
      </c>
    </row>
    <row r="268">
      <c r="A268" s="51" t="inlineStr">
        <is>
          <t>Durum</t>
        </is>
      </c>
      <c r="B268" s="56" t="inlineStr">
        <is>
          <t>Exports</t>
        </is>
      </c>
      <c r="C268" s="51" t="inlineStr">
        <is>
          <t>2019-20</t>
        </is>
      </c>
      <c r="H268" s="57" t="n">
        <v>377.18</v>
      </c>
      <c r="K268" s="57" t="n">
        <v>404</v>
      </c>
      <c r="O268" s="57" t="n">
        <v>542.5749999999999</v>
      </c>
      <c r="P268" s="58">
        <f>SUM(D268:O268)</f>
        <v/>
      </c>
    </row>
    <row r="269">
      <c r="A269" s="51" t="inlineStr">
        <is>
          <t>Durum</t>
        </is>
      </c>
      <c r="B269" s="56" t="inlineStr">
        <is>
          <t>Ending Stocks</t>
        </is>
      </c>
      <c r="C269" s="51" t="inlineStr">
        <is>
          <t>2019-20</t>
        </is>
      </c>
      <c r="H269" s="57" t="n">
        <v>4661.2</v>
      </c>
      <c r="K269" s="57" t="n">
        <v>3305</v>
      </c>
      <c r="O269" s="57" t="n">
        <v>736.6</v>
      </c>
      <c r="P269" s="58">
        <f>SUM(D269:O269)</f>
        <v/>
      </c>
    </row>
    <row r="270">
      <c r="A270" s="51" t="inlineStr">
        <is>
          <t>Durum</t>
        </is>
      </c>
      <c r="B270" s="52" t="inlineStr">
        <is>
          <t>Stocks-to-Use</t>
        </is>
      </c>
      <c r="C270" s="51" t="inlineStr">
        <is>
          <t>2019-20</t>
        </is>
      </c>
      <c r="P270" s="54">
        <f>SUM(D270:O270)</f>
        <v/>
      </c>
    </row>
    <row r="271">
      <c r="A271" s="51" t="inlineStr">
        <is>
          <t>Durum</t>
        </is>
      </c>
      <c r="B271" s="52" t="inlineStr">
        <is>
          <t>STU Days</t>
        </is>
      </c>
      <c r="C271" s="51" t="inlineStr">
        <is>
          <t>2019-20</t>
        </is>
      </c>
      <c r="P271" s="58">
        <f>SUM(D271:O271)</f>
        <v/>
      </c>
    </row>
    <row r="272">
      <c r="A272" s="51" t="inlineStr">
        <is>
          <t>Durum</t>
        </is>
      </c>
      <c r="B272" s="52" t="inlineStr">
        <is>
          <t>CHECK</t>
        </is>
      </c>
      <c r="C272" s="51" t="inlineStr">
        <is>
          <t>2019-20</t>
        </is>
      </c>
      <c r="H272" s="58" t="n">
        <v>-9.094947017729282e-13</v>
      </c>
      <c r="K272" s="58" t="n">
        <v>0</v>
      </c>
      <c r="O272" s="58" t="n">
        <v>-6.821210263296962e-13</v>
      </c>
      <c r="P272" s="58">
        <f>SUM(D272:O272)</f>
        <v/>
      </c>
    </row>
    <row r="273">
      <c r="A273" s="51" t="inlineStr">
        <is>
          <t>Durum</t>
        </is>
      </c>
      <c r="B273" s="52" t="inlineStr">
        <is>
          <t>Planted Area</t>
        </is>
      </c>
      <c r="C273" s="51" t="inlineStr">
        <is>
          <t>2020-21</t>
        </is>
      </c>
      <c r="P273" s="53">
        <f>SUM(D273:O273)</f>
        <v/>
      </c>
    </row>
    <row r="274">
      <c r="A274" s="51" t="inlineStr">
        <is>
          <t>Durum</t>
        </is>
      </c>
      <c r="B274" s="52" t="inlineStr">
        <is>
          <t>Harvested Area</t>
        </is>
      </c>
      <c r="C274" s="51" t="inlineStr">
        <is>
          <t>2020-21</t>
        </is>
      </c>
      <c r="P274" s="53">
        <f>SUM(D274:O274)</f>
        <v/>
      </c>
    </row>
    <row r="275">
      <c r="A275" s="51" t="inlineStr">
        <is>
          <t>Durum</t>
        </is>
      </c>
      <c r="B275" s="52" t="inlineStr">
        <is>
          <t>Proportion Harvested</t>
        </is>
      </c>
      <c r="C275" s="51" t="inlineStr">
        <is>
          <t>2020-21</t>
        </is>
      </c>
      <c r="P275" s="54">
        <f>SUM(D275:O275)</f>
        <v/>
      </c>
    </row>
    <row r="276">
      <c r="A276" s="51" t="inlineStr">
        <is>
          <t>Durum</t>
        </is>
      </c>
      <c r="B276" s="52" t="inlineStr">
        <is>
          <t>Yield</t>
        </is>
      </c>
      <c r="C276" s="51" t="inlineStr">
        <is>
          <t>2020-21</t>
        </is>
      </c>
      <c r="P276" s="55">
        <f>SUM(D276:O276)</f>
        <v/>
      </c>
    </row>
    <row r="277">
      <c r="A277" s="51" t="inlineStr">
        <is>
          <t>Durum</t>
        </is>
      </c>
      <c r="B277" s="56" t="inlineStr">
        <is>
          <t>Beginning Stocks</t>
        </is>
      </c>
      <c r="C277" s="51" t="inlineStr">
        <is>
          <t>2020-21</t>
        </is>
      </c>
      <c r="H277" s="57" t="n">
        <v>736.6</v>
      </c>
      <c r="K277" s="57" t="n">
        <v>4861.2</v>
      </c>
      <c r="O277" s="57" t="n">
        <v>2948.7</v>
      </c>
      <c r="P277" s="58">
        <f>SUM(D277:O277)</f>
        <v/>
      </c>
    </row>
    <row r="278">
      <c r="A278" s="51" t="inlineStr">
        <is>
          <t>Durum</t>
        </is>
      </c>
      <c r="B278" s="56" t="inlineStr">
        <is>
          <t>Imports</t>
        </is>
      </c>
      <c r="C278" s="51" t="inlineStr">
        <is>
          <t>2020-21</t>
        </is>
      </c>
      <c r="H278" s="57" t="n">
        <v>8.699999999999999</v>
      </c>
      <c r="K278" s="57" t="n">
        <v>10.8</v>
      </c>
      <c r="O278" s="57" t="n">
        <v>13.1</v>
      </c>
      <c r="P278" s="58">
        <f>SUM(D278:O278)</f>
        <v/>
      </c>
    </row>
    <row r="279">
      <c r="A279" s="51" t="inlineStr">
        <is>
          <t>Durum</t>
        </is>
      </c>
      <c r="B279" s="56" t="inlineStr">
        <is>
          <t>Production</t>
        </is>
      </c>
      <c r="C279" s="51" t="inlineStr">
        <is>
          <t>2020-21</t>
        </is>
      </c>
      <c r="H279" s="57" t="n">
        <v>6571.2</v>
      </c>
      <c r="K279" s="57" t="n">
        <v>6571.2</v>
      </c>
      <c r="O279" s="57" t="n">
        <v>6571.2</v>
      </c>
      <c r="P279" s="58">
        <f>SUM(D279:O279)</f>
        <v/>
      </c>
    </row>
    <row r="280">
      <c r="A280" s="51" t="inlineStr">
        <is>
          <t>Durum</t>
        </is>
      </c>
      <c r="B280" s="56" t="inlineStr">
        <is>
          <t>Food</t>
        </is>
      </c>
      <c r="C280" s="51" t="inlineStr">
        <is>
          <t>2020-21</t>
        </is>
      </c>
      <c r="H280" s="57" t="n">
        <v>17.42</v>
      </c>
      <c r="K280" s="57" t="n">
        <v>17.5</v>
      </c>
      <c r="O280" s="57" t="n">
        <v>14.675</v>
      </c>
      <c r="P280" s="58">
        <f>SUM(D280:O280)</f>
        <v/>
      </c>
    </row>
    <row r="281">
      <c r="A281" s="51" t="inlineStr">
        <is>
          <t>Durum</t>
        </is>
      </c>
      <c r="B281" s="56" t="inlineStr">
        <is>
          <t>Industrial</t>
        </is>
      </c>
      <c r="C281" s="51" t="inlineStr">
        <is>
          <t>2020-21</t>
        </is>
      </c>
      <c r="H281" s="57" t="n">
        <v>0</v>
      </c>
      <c r="K281" s="57" t="n">
        <v>0</v>
      </c>
      <c r="O281" s="57" t="n">
        <v>0</v>
      </c>
      <c r="P281" s="58">
        <f>SUM(D281:O281)</f>
        <v/>
      </c>
    </row>
    <row r="282">
      <c r="A282" s="51" t="inlineStr">
        <is>
          <t>Durum</t>
        </is>
      </c>
      <c r="B282" s="56" t="inlineStr">
        <is>
          <t>FSR</t>
        </is>
      </c>
      <c r="C282" s="51" t="inlineStr">
        <is>
          <t>2020-21</t>
        </is>
      </c>
      <c r="H282" s="57" t="n">
        <v>1980.72</v>
      </c>
      <c r="K282" s="57" t="n">
        <v>7933.733333333333</v>
      </c>
      <c r="O282" s="57" t="n">
        <v>8242.85</v>
      </c>
      <c r="P282" s="58">
        <f>SUM(D282:O282)</f>
        <v/>
      </c>
    </row>
    <row r="283">
      <c r="A283" s="51" t="inlineStr">
        <is>
          <t>Durum</t>
        </is>
      </c>
      <c r="B283" s="56" t="inlineStr">
        <is>
          <t>Exports</t>
        </is>
      </c>
      <c r="C283" s="51" t="inlineStr">
        <is>
          <t>2020-21</t>
        </is>
      </c>
      <c r="H283" s="57" t="n">
        <v>457.16</v>
      </c>
      <c r="K283" s="57" t="n">
        <v>543.2666666666665</v>
      </c>
      <c r="O283" s="57" t="n">
        <v>462.475</v>
      </c>
      <c r="P283" s="58">
        <f>SUM(D283:O283)</f>
        <v/>
      </c>
    </row>
    <row r="284">
      <c r="A284" s="51" t="inlineStr">
        <is>
          <t>Durum</t>
        </is>
      </c>
      <c r="B284" s="56" t="inlineStr">
        <is>
          <t>Ending Stocks</t>
        </is>
      </c>
      <c r="C284" s="51" t="inlineStr">
        <is>
          <t>2020-21</t>
        </is>
      </c>
      <c r="H284" s="57" t="n">
        <v>4861.2</v>
      </c>
      <c r="K284" s="57" t="n">
        <v>2948.7</v>
      </c>
      <c r="O284" s="57" t="n">
        <v>813</v>
      </c>
      <c r="P284" s="58">
        <f>SUM(D284:O284)</f>
        <v/>
      </c>
    </row>
    <row r="285">
      <c r="A285" s="51" t="inlineStr">
        <is>
          <t>Durum</t>
        </is>
      </c>
      <c r="B285" s="52" t="inlineStr">
        <is>
          <t>Stocks-to-Use</t>
        </is>
      </c>
      <c r="C285" s="51" t="inlineStr">
        <is>
          <t>2020-21</t>
        </is>
      </c>
      <c r="P285" s="54">
        <f>SUM(D285:O285)</f>
        <v/>
      </c>
    </row>
    <row r="286">
      <c r="A286" s="51" t="inlineStr">
        <is>
          <t>Durum</t>
        </is>
      </c>
      <c r="B286" s="52" t="inlineStr">
        <is>
          <t>STU Days</t>
        </is>
      </c>
      <c r="C286" s="51" t="inlineStr">
        <is>
          <t>2020-21</t>
        </is>
      </c>
      <c r="P286" s="58">
        <f>SUM(D286:O286)</f>
        <v/>
      </c>
    </row>
    <row r="287">
      <c r="A287" s="51" t="inlineStr">
        <is>
          <t>Durum</t>
        </is>
      </c>
      <c r="B287" s="52" t="inlineStr">
        <is>
          <t>CHECK</t>
        </is>
      </c>
      <c r="C287" s="51" t="inlineStr">
        <is>
          <t>2020-21</t>
        </is>
      </c>
      <c r="H287" s="58" t="n">
        <v>0</v>
      </c>
      <c r="K287" s="58" t="n">
        <v>0</v>
      </c>
      <c r="O287" s="58" t="n">
        <v>3.410605131648481e-13</v>
      </c>
      <c r="P287" s="58">
        <f>SUM(D287:O287)</f>
        <v/>
      </c>
    </row>
    <row r="288">
      <c r="A288" s="51" t="inlineStr">
        <is>
          <t>Durum</t>
        </is>
      </c>
      <c r="B288" s="52" t="inlineStr">
        <is>
          <t>Planted Area</t>
        </is>
      </c>
      <c r="C288" s="51" t="inlineStr">
        <is>
          <t>2021-22</t>
        </is>
      </c>
      <c r="P288" s="53">
        <f>SUM(D288:O288)</f>
        <v/>
      </c>
    </row>
    <row r="289">
      <c r="A289" s="51" t="inlineStr">
        <is>
          <t>Durum</t>
        </is>
      </c>
      <c r="B289" s="52" t="inlineStr">
        <is>
          <t>Harvested Area</t>
        </is>
      </c>
      <c r="C289" s="51" t="inlineStr">
        <is>
          <t>2021-22</t>
        </is>
      </c>
      <c r="P289" s="53">
        <f>SUM(D289:O289)</f>
        <v/>
      </c>
    </row>
    <row r="290">
      <c r="A290" s="51" t="inlineStr">
        <is>
          <t>Durum</t>
        </is>
      </c>
      <c r="B290" s="52" t="inlineStr">
        <is>
          <t>Proportion Harvested</t>
        </is>
      </c>
      <c r="C290" s="51" t="inlineStr">
        <is>
          <t>2021-22</t>
        </is>
      </c>
      <c r="P290" s="54">
        <f>SUM(D290:O290)</f>
        <v/>
      </c>
    </row>
    <row r="291">
      <c r="A291" s="51" t="inlineStr">
        <is>
          <t>Durum</t>
        </is>
      </c>
      <c r="B291" s="52" t="inlineStr">
        <is>
          <t>Yield</t>
        </is>
      </c>
      <c r="C291" s="51" t="inlineStr">
        <is>
          <t>2021-22</t>
        </is>
      </c>
      <c r="P291" s="55">
        <f>SUM(D291:O291)</f>
        <v/>
      </c>
    </row>
    <row r="292">
      <c r="A292" s="51" t="inlineStr">
        <is>
          <t>Durum</t>
        </is>
      </c>
      <c r="B292" s="56" t="inlineStr">
        <is>
          <t>Beginning Stocks</t>
        </is>
      </c>
      <c r="C292" s="51" t="inlineStr">
        <is>
          <t>2021-22</t>
        </is>
      </c>
      <c r="H292" s="57" t="n">
        <v>813</v>
      </c>
      <c r="K292" s="57" t="n">
        <v>2532.7</v>
      </c>
      <c r="O292" s="57" t="n">
        <v>1904.4</v>
      </c>
      <c r="P292" s="58">
        <f>SUM(D292:O292)</f>
        <v/>
      </c>
    </row>
    <row r="293">
      <c r="A293" s="51" t="inlineStr">
        <is>
          <t>Durum</t>
        </is>
      </c>
      <c r="B293" s="56" t="inlineStr">
        <is>
          <t>Imports</t>
        </is>
      </c>
      <c r="C293" s="51" t="inlineStr">
        <is>
          <t>2021-22</t>
        </is>
      </c>
      <c r="H293" s="57" t="n">
        <v>6.8</v>
      </c>
      <c r="K293" s="57" t="n">
        <v>7.4</v>
      </c>
      <c r="O293" s="57" t="n">
        <v>7.9</v>
      </c>
      <c r="P293" s="58">
        <f>SUM(D293:O293)</f>
        <v/>
      </c>
    </row>
    <row r="294">
      <c r="A294" s="51" t="inlineStr">
        <is>
          <t>Durum</t>
        </is>
      </c>
      <c r="B294" s="56" t="inlineStr">
        <is>
          <t>Production</t>
        </is>
      </c>
      <c r="C294" s="51" t="inlineStr">
        <is>
          <t>2021-22</t>
        </is>
      </c>
      <c r="H294" s="57" t="n">
        <v>3032.5</v>
      </c>
      <c r="K294" s="57" t="n">
        <v>3032.5</v>
      </c>
      <c r="O294" s="57" t="n">
        <v>3032.5</v>
      </c>
      <c r="P294" s="58">
        <f>SUM(D294:O294)</f>
        <v/>
      </c>
    </row>
    <row r="295">
      <c r="A295" s="51" t="inlineStr">
        <is>
          <t>Durum</t>
        </is>
      </c>
      <c r="B295" s="56" t="inlineStr">
        <is>
          <t>Food</t>
        </is>
      </c>
      <c r="C295" s="51" t="inlineStr">
        <is>
          <t>2021-22</t>
        </is>
      </c>
      <c r="H295" s="57" t="n">
        <v>17.26</v>
      </c>
      <c r="K295" s="57" t="n">
        <v>18.1</v>
      </c>
      <c r="O295" s="57" t="n">
        <v>17.375</v>
      </c>
      <c r="P295" s="58">
        <f>SUM(D295:O295)</f>
        <v/>
      </c>
    </row>
    <row r="296">
      <c r="A296" s="51" t="inlineStr">
        <is>
          <t>Durum</t>
        </is>
      </c>
      <c r="B296" s="56" t="inlineStr">
        <is>
          <t>Industrial</t>
        </is>
      </c>
      <c r="C296" s="51" t="inlineStr">
        <is>
          <t>2021-22</t>
        </is>
      </c>
      <c r="H296" s="57" t="n">
        <v>0</v>
      </c>
      <c r="K296" s="57" t="n">
        <v>0</v>
      </c>
      <c r="O296" s="57" t="n">
        <v>0</v>
      </c>
      <c r="P296" s="58">
        <f>SUM(D296:O296)</f>
        <v/>
      </c>
    </row>
    <row r="297">
      <c r="A297" s="51" t="inlineStr">
        <is>
          <t>Durum</t>
        </is>
      </c>
      <c r="B297" s="56" t="inlineStr">
        <is>
          <t>FSR</t>
        </is>
      </c>
      <c r="C297" s="51" t="inlineStr">
        <is>
          <t>2021-22</t>
        </is>
      </c>
      <c r="H297" s="57" t="n">
        <v>1056.84</v>
      </c>
      <c r="K297" s="57" t="n">
        <v>3489.599999999999</v>
      </c>
      <c r="O297" s="57" t="n">
        <v>4089.275</v>
      </c>
      <c r="P297" s="58">
        <f>SUM(D297:O297)</f>
        <v/>
      </c>
    </row>
    <row r="298">
      <c r="A298" s="51" t="inlineStr">
        <is>
          <t>Durum</t>
        </is>
      </c>
      <c r="B298" s="56" t="inlineStr">
        <is>
          <t>Exports</t>
        </is>
      </c>
      <c r="C298" s="51" t="inlineStr">
        <is>
          <t>2021-22</t>
        </is>
      </c>
      <c r="H298" s="57" t="n">
        <v>245.5</v>
      </c>
      <c r="K298" s="57" t="n">
        <v>160.5</v>
      </c>
      <c r="O298" s="57" t="n">
        <v>251.65</v>
      </c>
      <c r="P298" s="58">
        <f>SUM(D298:O298)</f>
        <v/>
      </c>
    </row>
    <row r="299">
      <c r="A299" s="51" t="inlineStr">
        <is>
          <t>Durum</t>
        </is>
      </c>
      <c r="B299" s="56" t="inlineStr">
        <is>
          <t>Ending Stocks</t>
        </is>
      </c>
      <c r="C299" s="51" t="inlineStr">
        <is>
          <t>2021-22</t>
        </is>
      </c>
      <c r="H299" s="57" t="n">
        <v>2532.7</v>
      </c>
      <c r="K299" s="57" t="n">
        <v>1904.4</v>
      </c>
      <c r="O299" s="57" t="n">
        <v>586.5</v>
      </c>
      <c r="P299" s="58">
        <f>SUM(D299:O299)</f>
        <v/>
      </c>
    </row>
    <row r="300">
      <c r="A300" s="51" t="inlineStr">
        <is>
          <t>Durum</t>
        </is>
      </c>
      <c r="B300" s="52" t="inlineStr">
        <is>
          <t>Stocks-to-Use</t>
        </is>
      </c>
      <c r="C300" s="51" t="inlineStr">
        <is>
          <t>2021-22</t>
        </is>
      </c>
      <c r="P300" s="54">
        <f>SUM(D300:O300)</f>
        <v/>
      </c>
    </row>
    <row r="301">
      <c r="A301" s="51" t="inlineStr">
        <is>
          <t>Durum</t>
        </is>
      </c>
      <c r="B301" s="52" t="inlineStr">
        <is>
          <t>STU Days</t>
        </is>
      </c>
      <c r="C301" s="51" t="inlineStr">
        <is>
          <t>2021-22</t>
        </is>
      </c>
      <c r="P301" s="58">
        <f>SUM(D301:O301)</f>
        <v/>
      </c>
    </row>
    <row r="302">
      <c r="A302" s="51" t="inlineStr">
        <is>
          <t>Durum</t>
        </is>
      </c>
      <c r="B302" s="52" t="inlineStr">
        <is>
          <t>CHECK</t>
        </is>
      </c>
      <c r="C302" s="51" t="inlineStr">
        <is>
          <t>2021-22</t>
        </is>
      </c>
      <c r="H302" s="58" t="n">
        <v>0</v>
      </c>
      <c r="K302" s="58" t="n">
        <v>0</v>
      </c>
      <c r="O302" s="58" t="n">
        <v>-3.410605131648481e-13</v>
      </c>
      <c r="P302" s="58">
        <f>SUM(D302:O302)</f>
        <v/>
      </c>
    </row>
    <row r="303">
      <c r="A303" s="51" t="inlineStr">
        <is>
          <t>Durum</t>
        </is>
      </c>
      <c r="B303" s="52" t="inlineStr">
        <is>
          <t>Planted Area</t>
        </is>
      </c>
      <c r="C303" s="51" t="inlineStr">
        <is>
          <t>2022-23</t>
        </is>
      </c>
      <c r="P303" s="53">
        <f>SUM(D303:O303)</f>
        <v/>
      </c>
    </row>
    <row r="304">
      <c r="A304" s="51" t="inlineStr">
        <is>
          <t>Durum</t>
        </is>
      </c>
      <c r="B304" s="52" t="inlineStr">
        <is>
          <t>Harvested Area</t>
        </is>
      </c>
      <c r="C304" s="51" t="inlineStr">
        <is>
          <t>2022-23</t>
        </is>
      </c>
      <c r="P304" s="53">
        <f>SUM(D304:O304)</f>
        <v/>
      </c>
    </row>
    <row r="305">
      <c r="A305" s="51" t="inlineStr">
        <is>
          <t>Durum</t>
        </is>
      </c>
      <c r="B305" s="52" t="inlineStr">
        <is>
          <t>Proportion Harvested</t>
        </is>
      </c>
      <c r="C305" s="51" t="inlineStr">
        <is>
          <t>2022-23</t>
        </is>
      </c>
      <c r="P305" s="54">
        <f>SUM(D305:O305)</f>
        <v/>
      </c>
    </row>
    <row r="306">
      <c r="A306" s="51" t="inlineStr">
        <is>
          <t>Durum</t>
        </is>
      </c>
      <c r="B306" s="52" t="inlineStr">
        <is>
          <t>Yield</t>
        </is>
      </c>
      <c r="C306" s="51" t="inlineStr">
        <is>
          <t>2022-23</t>
        </is>
      </c>
      <c r="P306" s="55">
        <f>SUM(D306:O306)</f>
        <v/>
      </c>
    </row>
    <row r="307">
      <c r="A307" s="51" t="inlineStr">
        <is>
          <t>Durum</t>
        </is>
      </c>
      <c r="B307" s="56" t="inlineStr">
        <is>
          <t>Beginning Stocks</t>
        </is>
      </c>
      <c r="C307" s="51" t="inlineStr">
        <is>
          <t>2022-23</t>
        </is>
      </c>
      <c r="H307" s="57" t="n">
        <v>586.5</v>
      </c>
      <c r="K307" s="57" t="n">
        <v>4129.1</v>
      </c>
      <c r="O307" s="57" t="n">
        <v>2269.7</v>
      </c>
      <c r="P307" s="58">
        <f>SUM(D307:O307)</f>
        <v/>
      </c>
    </row>
    <row r="308">
      <c r="A308" s="51" t="inlineStr">
        <is>
          <t>Durum</t>
        </is>
      </c>
      <c r="B308" s="56" t="inlineStr">
        <is>
          <t>Imports</t>
        </is>
      </c>
      <c r="C308" s="51" t="inlineStr">
        <is>
          <t>2022-23</t>
        </is>
      </c>
      <c r="H308" s="57" t="n">
        <v>0.5</v>
      </c>
      <c r="K308" s="57" t="n">
        <v>0.6</v>
      </c>
      <c r="O308" s="57" t="n">
        <v>1.5</v>
      </c>
      <c r="P308" s="58">
        <f>SUM(D308:O308)</f>
        <v/>
      </c>
    </row>
    <row r="309">
      <c r="A309" s="51" t="inlineStr">
        <is>
          <t>Durum</t>
        </is>
      </c>
      <c r="B309" s="56" t="inlineStr">
        <is>
          <t>Production</t>
        </is>
      </c>
      <c r="C309" s="51" t="inlineStr">
        <is>
          <t>2022-23</t>
        </is>
      </c>
      <c r="H309" s="57" t="n">
        <v>5790.4</v>
      </c>
      <c r="K309" s="57" t="n">
        <v>5790.4</v>
      </c>
      <c r="O309" s="57" t="n">
        <v>5790.4</v>
      </c>
      <c r="P309" s="58">
        <f>SUM(D309:O309)</f>
        <v/>
      </c>
    </row>
    <row r="310">
      <c r="A310" s="51" t="inlineStr">
        <is>
          <t>Durum</t>
        </is>
      </c>
      <c r="B310" s="56" t="inlineStr">
        <is>
          <t>Food</t>
        </is>
      </c>
      <c r="C310" s="51" t="inlineStr">
        <is>
          <t>2022-23</t>
        </is>
      </c>
      <c r="H310" s="57" t="n">
        <v>15.38</v>
      </c>
      <c r="K310" s="57" t="n">
        <v>18.66666666666667</v>
      </c>
      <c r="O310" s="57" t="n">
        <v>15.325</v>
      </c>
      <c r="P310" s="58">
        <f>SUM(D310:O310)</f>
        <v/>
      </c>
    </row>
    <row r="311">
      <c r="A311" s="51" t="inlineStr">
        <is>
          <t>Durum</t>
        </is>
      </c>
      <c r="B311" s="56" t="inlineStr">
        <is>
          <t>Industrial</t>
        </is>
      </c>
      <c r="C311" s="51" t="inlineStr">
        <is>
          <t>2022-23</t>
        </is>
      </c>
      <c r="H311" s="57" t="n">
        <v>0</v>
      </c>
      <c r="K311" s="57" t="n">
        <v>0</v>
      </c>
      <c r="O311" s="57" t="n">
        <v>0</v>
      </c>
      <c r="P311" s="58">
        <f>SUM(D311:O311)</f>
        <v/>
      </c>
    </row>
    <row r="312">
      <c r="A312" s="51" t="inlineStr">
        <is>
          <t>Durum</t>
        </is>
      </c>
      <c r="B312" s="56" t="inlineStr">
        <is>
          <t>FSR</t>
        </is>
      </c>
      <c r="C312" s="51" t="inlineStr">
        <is>
          <t>2022-23</t>
        </is>
      </c>
      <c r="H312" s="57" t="n">
        <v>1845.159999999999</v>
      </c>
      <c r="K312" s="57" t="n">
        <v>7055.600000000001</v>
      </c>
      <c r="O312" s="57" t="n">
        <v>7122.875</v>
      </c>
      <c r="P312" s="58">
        <f>SUM(D312:O312)</f>
        <v/>
      </c>
    </row>
    <row r="313">
      <c r="A313" s="51" t="inlineStr">
        <is>
          <t>Durum</t>
        </is>
      </c>
      <c r="B313" s="56" t="inlineStr">
        <is>
          <t>Exports</t>
        </is>
      </c>
      <c r="C313" s="51" t="inlineStr">
        <is>
          <t>2022-23</t>
        </is>
      </c>
      <c r="H313" s="57" t="n">
        <v>387.76</v>
      </c>
      <c r="K313" s="57" t="n">
        <v>576.1333333333333</v>
      </c>
      <c r="O313" s="57" t="n">
        <v>351.2</v>
      </c>
      <c r="P313" s="58">
        <f>SUM(D313:O313)</f>
        <v/>
      </c>
    </row>
    <row r="314">
      <c r="A314" s="51" t="inlineStr">
        <is>
          <t>Durum</t>
        </is>
      </c>
      <c r="B314" s="56" t="inlineStr">
        <is>
          <t>Ending Stocks</t>
        </is>
      </c>
      <c r="C314" s="51" t="inlineStr">
        <is>
          <t>2022-23</t>
        </is>
      </c>
      <c r="H314" s="57" t="n">
        <v>4129.1</v>
      </c>
      <c r="K314" s="57" t="n">
        <v>2269.7</v>
      </c>
      <c r="O314" s="57" t="n">
        <v>572.2</v>
      </c>
      <c r="P314" s="58">
        <f>SUM(D314:O314)</f>
        <v/>
      </c>
    </row>
    <row r="315">
      <c r="A315" s="51" t="inlineStr">
        <is>
          <t>Durum</t>
        </is>
      </c>
      <c r="B315" s="52" t="inlineStr">
        <is>
          <t>Stocks-to-Use</t>
        </is>
      </c>
      <c r="C315" s="51" t="inlineStr">
        <is>
          <t>2022-23</t>
        </is>
      </c>
      <c r="P315" s="54">
        <f>SUM(D315:O315)</f>
        <v/>
      </c>
    </row>
    <row r="316">
      <c r="A316" s="51" t="inlineStr">
        <is>
          <t>Durum</t>
        </is>
      </c>
      <c r="B316" s="52" t="inlineStr">
        <is>
          <t>STU Days</t>
        </is>
      </c>
      <c r="C316" s="51" t="inlineStr">
        <is>
          <t>2022-23</t>
        </is>
      </c>
      <c r="P316" s="58">
        <f>SUM(D316:O316)</f>
        <v/>
      </c>
    </row>
    <row r="317">
      <c r="A317" s="51" t="inlineStr">
        <is>
          <t>Durum</t>
        </is>
      </c>
      <c r="B317" s="52" t="inlineStr">
        <is>
          <t>CHECK</t>
        </is>
      </c>
      <c r="C317" s="51" t="inlineStr">
        <is>
          <t>2022-23</t>
        </is>
      </c>
      <c r="H317" s="58" t="n">
        <v>0</v>
      </c>
      <c r="K317" s="58" t="n">
        <v>0</v>
      </c>
      <c r="O317" s="58" t="n">
        <v>-4.547473508864641e-13</v>
      </c>
      <c r="P317" s="58">
        <f>SUM(D317:O317)</f>
        <v/>
      </c>
    </row>
    <row r="318">
      <c r="A318" s="51" t="inlineStr">
        <is>
          <t>Durum</t>
        </is>
      </c>
      <c r="B318" s="52" t="inlineStr">
        <is>
          <t>Planted Area</t>
        </is>
      </c>
      <c r="C318" s="51" t="inlineStr">
        <is>
          <t>2023-24</t>
        </is>
      </c>
      <c r="P318" s="53">
        <f>SUM(D318:O318)</f>
        <v/>
      </c>
    </row>
    <row r="319">
      <c r="A319" s="51" t="inlineStr">
        <is>
          <t>Durum</t>
        </is>
      </c>
      <c r="B319" s="52" t="inlineStr">
        <is>
          <t>Harvested Area</t>
        </is>
      </c>
      <c r="C319" s="51" t="inlineStr">
        <is>
          <t>2023-24</t>
        </is>
      </c>
      <c r="P319" s="53">
        <f>SUM(D319:O319)</f>
        <v/>
      </c>
    </row>
    <row r="320">
      <c r="A320" s="51" t="inlineStr">
        <is>
          <t>Durum</t>
        </is>
      </c>
      <c r="B320" s="52" t="inlineStr">
        <is>
          <t>Proportion Harvested</t>
        </is>
      </c>
      <c r="C320" s="51" t="inlineStr">
        <is>
          <t>2023-24</t>
        </is>
      </c>
      <c r="P320" s="54">
        <f>SUM(D320:O320)</f>
        <v/>
      </c>
    </row>
    <row r="321">
      <c r="A321" s="51" t="inlineStr">
        <is>
          <t>Durum</t>
        </is>
      </c>
      <c r="B321" s="52" t="inlineStr">
        <is>
          <t>Yield</t>
        </is>
      </c>
      <c r="C321" s="51" t="inlineStr">
        <is>
          <t>2023-24</t>
        </is>
      </c>
      <c r="P321" s="55">
        <f>SUM(D321:O321)</f>
        <v/>
      </c>
    </row>
    <row r="322">
      <c r="A322" s="51" t="inlineStr">
        <is>
          <t>Durum</t>
        </is>
      </c>
      <c r="B322" s="56" t="inlineStr">
        <is>
          <t>Beginning Stocks</t>
        </is>
      </c>
      <c r="C322" s="51" t="inlineStr">
        <is>
          <t>2023-24</t>
        </is>
      </c>
      <c r="H322" s="57" t="n">
        <v>572.2</v>
      </c>
      <c r="K322" s="57" t="n">
        <v>3353.5</v>
      </c>
      <c r="O322" s="57" t="n">
        <v>2123.1</v>
      </c>
      <c r="P322" s="58">
        <f>SUM(D322:O322)</f>
        <v/>
      </c>
    </row>
    <row r="323">
      <c r="A323" s="51" t="inlineStr">
        <is>
          <t>Durum</t>
        </is>
      </c>
      <c r="B323" s="56" t="inlineStr">
        <is>
          <t>Imports</t>
        </is>
      </c>
      <c r="C323" s="51" t="inlineStr">
        <is>
          <t>2023-24</t>
        </is>
      </c>
      <c r="H323" s="57" t="n">
        <v>2.7</v>
      </c>
      <c r="K323" s="57" t="n">
        <v>2.9</v>
      </c>
      <c r="O323" s="57" t="n">
        <v>4.7</v>
      </c>
      <c r="P323" s="58">
        <f>SUM(D323:O323)</f>
        <v/>
      </c>
    </row>
    <row r="324">
      <c r="A324" s="51" t="inlineStr">
        <is>
          <t>Durum</t>
        </is>
      </c>
      <c r="B324" s="56" t="inlineStr">
        <is>
          <t>Production</t>
        </is>
      </c>
      <c r="C324" s="51" t="inlineStr">
        <is>
          <t>2023-24</t>
        </is>
      </c>
      <c r="H324" s="57" t="n">
        <v>4246.9</v>
      </c>
      <c r="K324" s="57" t="n">
        <v>4246.9</v>
      </c>
      <c r="O324" s="57" t="n">
        <v>4246.9</v>
      </c>
      <c r="P324" s="58">
        <f>SUM(D324:O324)</f>
        <v/>
      </c>
    </row>
    <row r="325">
      <c r="A325" s="51" t="inlineStr">
        <is>
          <t>Durum</t>
        </is>
      </c>
      <c r="B325" s="56" t="inlineStr">
        <is>
          <t>Food</t>
        </is>
      </c>
      <c r="C325" s="51" t="inlineStr">
        <is>
          <t>2023-24</t>
        </is>
      </c>
      <c r="H325" s="57" t="n">
        <v>15.86</v>
      </c>
      <c r="K325" s="57" t="n">
        <v>16.93333333333333</v>
      </c>
      <c r="O325" s="57" t="n">
        <v>15.25</v>
      </c>
      <c r="P325" s="58">
        <f>SUM(D325:O325)</f>
        <v/>
      </c>
    </row>
    <row r="326">
      <c r="A326" s="51" t="inlineStr">
        <is>
          <t>Durum</t>
        </is>
      </c>
      <c r="B326" s="56" t="inlineStr">
        <is>
          <t>Industrial</t>
        </is>
      </c>
      <c r="C326" s="51" t="inlineStr">
        <is>
          <t>2023-24</t>
        </is>
      </c>
      <c r="H326" s="57" t="n">
        <v>0</v>
      </c>
      <c r="K326" s="57" t="n">
        <v>0</v>
      </c>
      <c r="O326" s="57" t="n">
        <v>0</v>
      </c>
      <c r="P326" s="58">
        <f>SUM(D326:O326)</f>
        <v/>
      </c>
    </row>
    <row r="327">
      <c r="A327" s="51" t="inlineStr">
        <is>
          <t>Durum</t>
        </is>
      </c>
      <c r="B327" s="56" t="inlineStr">
        <is>
          <t>FSR</t>
        </is>
      </c>
      <c r="C327" s="51" t="inlineStr">
        <is>
          <t>2023-24</t>
        </is>
      </c>
      <c r="H327" s="57" t="n">
        <v>1194.839999999999</v>
      </c>
      <c r="K327" s="57" t="n">
        <v>5093.133333333333</v>
      </c>
      <c r="O327" s="57" t="n">
        <v>5402.825</v>
      </c>
      <c r="P327" s="58">
        <f>SUM(D327:O327)</f>
        <v/>
      </c>
    </row>
    <row r="328">
      <c r="A328" s="51" t="inlineStr">
        <is>
          <t>Durum</t>
        </is>
      </c>
      <c r="B328" s="56" t="inlineStr">
        <is>
          <t>Exports</t>
        </is>
      </c>
      <c r="C328" s="51" t="inlineStr">
        <is>
          <t>2023-24</t>
        </is>
      </c>
      <c r="H328" s="57" t="n">
        <v>257.6</v>
      </c>
      <c r="K328" s="57" t="n">
        <v>370.1333333333334</v>
      </c>
      <c r="O328" s="57" t="n">
        <v>287.725</v>
      </c>
      <c r="P328" s="58">
        <f>SUM(D328:O328)</f>
        <v/>
      </c>
    </row>
    <row r="329">
      <c r="A329" s="51" t="inlineStr">
        <is>
          <t>Durum</t>
        </is>
      </c>
      <c r="B329" s="56" t="inlineStr">
        <is>
          <t>Ending Stocks</t>
        </is>
      </c>
      <c r="C329" s="51" t="inlineStr">
        <is>
          <t>2023-24</t>
        </is>
      </c>
      <c r="H329" s="57" t="n">
        <v>3353.5</v>
      </c>
      <c r="K329" s="57" t="n">
        <v>2123.1</v>
      </c>
      <c r="O329" s="57" t="n">
        <v>668.9</v>
      </c>
      <c r="P329" s="58">
        <f>SUM(D329:O329)</f>
        <v/>
      </c>
    </row>
    <row r="330">
      <c r="A330" s="51" t="inlineStr">
        <is>
          <t>Durum</t>
        </is>
      </c>
      <c r="B330" s="52" t="inlineStr">
        <is>
          <t>Stocks-to-Use</t>
        </is>
      </c>
      <c r="C330" s="51" t="inlineStr">
        <is>
          <t>2023-24</t>
        </is>
      </c>
      <c r="P330" s="54">
        <f>SUM(D330:O330)</f>
        <v/>
      </c>
    </row>
    <row r="331">
      <c r="A331" s="51" t="inlineStr">
        <is>
          <t>Durum</t>
        </is>
      </c>
      <c r="B331" s="52" t="inlineStr">
        <is>
          <t>STU Days</t>
        </is>
      </c>
      <c r="C331" s="51" t="inlineStr">
        <is>
          <t>2023-24</t>
        </is>
      </c>
      <c r="P331" s="58">
        <f>SUM(D331:O331)</f>
        <v/>
      </c>
    </row>
    <row r="332">
      <c r="A332" s="51" t="inlineStr">
        <is>
          <t>Durum</t>
        </is>
      </c>
      <c r="B332" s="52" t="inlineStr">
        <is>
          <t>CHECK</t>
        </is>
      </c>
      <c r="C332" s="51" t="inlineStr">
        <is>
          <t>2023-24</t>
        </is>
      </c>
      <c r="H332" s="58" t="n">
        <v>4.547473508864641e-13</v>
      </c>
      <c r="K332" s="58" t="n">
        <v>-4.547473508864641e-13</v>
      </c>
      <c r="O332" s="58" t="n">
        <v>0</v>
      </c>
      <c r="P332" s="58">
        <f>SUM(D332:O332)</f>
        <v/>
      </c>
    </row>
    <row r="333">
      <c r="A333" s="51" t="inlineStr">
        <is>
          <t>Durum</t>
        </is>
      </c>
      <c r="B333" s="52" t="inlineStr">
        <is>
          <t>Planted Area</t>
        </is>
      </c>
      <c r="C333" s="51" t="inlineStr">
        <is>
          <t>2024-25</t>
        </is>
      </c>
      <c r="P333" s="53">
        <f>SUM(D333:O333)</f>
        <v/>
      </c>
    </row>
    <row r="334">
      <c r="A334" s="51" t="inlineStr">
        <is>
          <t>Durum</t>
        </is>
      </c>
      <c r="B334" s="52" t="inlineStr">
        <is>
          <t>Harvested Area</t>
        </is>
      </c>
      <c r="C334" s="51" t="inlineStr">
        <is>
          <t>2024-25</t>
        </is>
      </c>
      <c r="P334" s="53">
        <f>SUM(D334:O334)</f>
        <v/>
      </c>
    </row>
    <row r="335">
      <c r="A335" s="51" t="inlineStr">
        <is>
          <t>Durum</t>
        </is>
      </c>
      <c r="B335" s="52" t="inlineStr">
        <is>
          <t>Proportion Harvested</t>
        </is>
      </c>
      <c r="C335" s="51" t="inlineStr">
        <is>
          <t>2024-25</t>
        </is>
      </c>
      <c r="P335" s="54">
        <f>SUM(D335:O335)</f>
        <v/>
      </c>
    </row>
    <row r="336">
      <c r="A336" s="51" t="inlineStr">
        <is>
          <t>Durum</t>
        </is>
      </c>
      <c r="B336" s="52" t="inlineStr">
        <is>
          <t>Yield</t>
        </is>
      </c>
      <c r="C336" s="51" t="inlineStr">
        <is>
          <t>2024-25</t>
        </is>
      </c>
      <c r="P336" s="55">
        <f>SUM(D336:O336)</f>
        <v/>
      </c>
    </row>
    <row r="337">
      <c r="A337" s="51" t="inlineStr">
        <is>
          <t>Durum</t>
        </is>
      </c>
      <c r="B337" s="56" t="inlineStr">
        <is>
          <t>Beginning Stocks</t>
        </is>
      </c>
      <c r="C337" s="51" t="inlineStr">
        <is>
          <t>2024-25</t>
        </is>
      </c>
      <c r="H337" s="57" t="n">
        <v>668.9</v>
      </c>
      <c r="K337" s="57" t="n">
        <v>4515.3</v>
      </c>
      <c r="O337" s="57" t="n">
        <v>2869.2</v>
      </c>
      <c r="P337" s="58">
        <f>SUM(D337:O337)</f>
        <v/>
      </c>
    </row>
    <row r="338">
      <c r="A338" s="51" t="inlineStr">
        <is>
          <t>Durum</t>
        </is>
      </c>
      <c r="B338" s="56" t="inlineStr">
        <is>
          <t>Imports</t>
        </is>
      </c>
      <c r="C338" s="51" t="inlineStr">
        <is>
          <t>2024-25</t>
        </is>
      </c>
      <c r="H338" s="57" t="n">
        <v>0.5</v>
      </c>
      <c r="K338" s="57" t="n">
        <v>1.5</v>
      </c>
      <c r="O338" s="57" t="n">
        <v>5.1</v>
      </c>
      <c r="P338" s="58">
        <f>SUM(D338:O338)</f>
        <v/>
      </c>
    </row>
    <row r="339">
      <c r="A339" s="51" t="inlineStr">
        <is>
          <t>Durum</t>
        </is>
      </c>
      <c r="B339" s="56" t="inlineStr">
        <is>
          <t>Production</t>
        </is>
      </c>
      <c r="C339" s="51" t="inlineStr">
        <is>
          <t>2024-25</t>
        </is>
      </c>
      <c r="H339" s="57" t="n">
        <v>6380.3</v>
      </c>
      <c r="K339" s="57" t="n">
        <v>6380.3</v>
      </c>
      <c r="O339" s="57" t="n">
        <v>6380.3</v>
      </c>
      <c r="P339" s="58">
        <f>SUM(D339:O339)</f>
        <v/>
      </c>
    </row>
    <row r="340">
      <c r="A340" s="51" t="inlineStr">
        <is>
          <t>Durum</t>
        </is>
      </c>
      <c r="B340" s="56" t="inlineStr">
        <is>
          <t>Food</t>
        </is>
      </c>
      <c r="C340" s="51" t="inlineStr">
        <is>
          <t>2024-25</t>
        </is>
      </c>
      <c r="H340" s="57" t="n">
        <v>16.94</v>
      </c>
      <c r="K340" s="57" t="n">
        <v>26.53333333333333</v>
      </c>
      <c r="O340" s="57" t="n">
        <v>7.149999999999999</v>
      </c>
      <c r="P340" s="58">
        <f>SUM(D340:O340)</f>
        <v/>
      </c>
    </row>
    <row r="341">
      <c r="A341" s="51" t="inlineStr">
        <is>
          <t>Durum</t>
        </is>
      </c>
      <c r="B341" s="56" t="inlineStr">
        <is>
          <t>Industrial</t>
        </is>
      </c>
      <c r="C341" s="51" t="inlineStr">
        <is>
          <t>2024-25</t>
        </is>
      </c>
      <c r="H341" s="57" t="n">
        <v>0</v>
      </c>
      <c r="K341" s="57" t="n">
        <v>0</v>
      </c>
      <c r="O341" s="57" t="n">
        <v>0</v>
      </c>
      <c r="P341" s="58">
        <f>SUM(D341:O341)</f>
        <v/>
      </c>
    </row>
    <row r="342">
      <c r="A342" s="51" t="inlineStr">
        <is>
          <t>Durum</t>
        </is>
      </c>
      <c r="B342" s="56" t="inlineStr">
        <is>
          <t>FSR</t>
        </is>
      </c>
      <c r="C342" s="51" t="inlineStr">
        <is>
          <t>2024-25</t>
        </is>
      </c>
      <c r="H342" s="57" t="n">
        <v>2069.42</v>
      </c>
      <c r="K342" s="57" t="n">
        <v>7499.866666666668</v>
      </c>
      <c r="O342" s="57" t="n">
        <v>8216.225</v>
      </c>
      <c r="P342" s="58">
        <f>SUM(D342:O342)</f>
        <v/>
      </c>
    </row>
    <row r="343">
      <c r="A343" s="51" t="inlineStr">
        <is>
          <t>Durum</t>
        </is>
      </c>
      <c r="B343" s="56" t="inlineStr">
        <is>
          <t>Exports</t>
        </is>
      </c>
      <c r="C343" s="51" t="inlineStr">
        <is>
          <t>2024-25</t>
        </is>
      </c>
      <c r="H343" s="57" t="n">
        <v>448.04</v>
      </c>
      <c r="K343" s="57" t="n">
        <v>501.5</v>
      </c>
      <c r="O343" s="57" t="n">
        <v>519.325</v>
      </c>
      <c r="P343" s="58">
        <f>SUM(D343:O343)</f>
        <v/>
      </c>
    </row>
    <row r="344">
      <c r="A344" s="51" t="inlineStr">
        <is>
          <t>Durum</t>
        </is>
      </c>
      <c r="B344" s="56" t="inlineStr">
        <is>
          <t>Ending Stocks</t>
        </is>
      </c>
      <c r="C344" s="51" t="inlineStr">
        <is>
          <t>2024-25</t>
        </is>
      </c>
      <c r="H344" s="57" t="n">
        <v>4515.3</v>
      </c>
      <c r="K344" s="57" t="n">
        <v>2869.2</v>
      </c>
      <c r="O344" s="57" t="n">
        <v>511.9</v>
      </c>
      <c r="P344" s="58">
        <f>SUM(D344:O344)</f>
        <v/>
      </c>
    </row>
    <row r="345">
      <c r="A345" s="51" t="inlineStr">
        <is>
          <t>Durum</t>
        </is>
      </c>
      <c r="B345" s="52" t="inlineStr">
        <is>
          <t>Stocks-to-Use</t>
        </is>
      </c>
      <c r="C345" s="51" t="inlineStr">
        <is>
          <t>2024-25</t>
        </is>
      </c>
      <c r="P345" s="54">
        <f>SUM(D345:O345)</f>
        <v/>
      </c>
    </row>
    <row r="346">
      <c r="A346" s="51" t="inlineStr">
        <is>
          <t>Durum</t>
        </is>
      </c>
      <c r="B346" s="52" t="inlineStr">
        <is>
          <t>STU Days</t>
        </is>
      </c>
      <c r="C346" s="51" t="inlineStr">
        <is>
          <t>2024-25</t>
        </is>
      </c>
      <c r="P346" s="58">
        <f>SUM(D346:O346)</f>
        <v/>
      </c>
    </row>
    <row r="347">
      <c r="A347" s="51" t="inlineStr">
        <is>
          <t>Durum</t>
        </is>
      </c>
      <c r="B347" s="52" t="inlineStr">
        <is>
          <t>CHECK</t>
        </is>
      </c>
      <c r="C347" s="51" t="inlineStr">
        <is>
          <t>2024-25</t>
        </is>
      </c>
      <c r="H347" s="58" t="n">
        <v>0</v>
      </c>
      <c r="K347" s="58" t="n">
        <v>0</v>
      </c>
      <c r="O347" s="58" t="n">
        <v>3.410605131648481e-13</v>
      </c>
      <c r="P347" s="58">
        <f>SUM(D347:O347)</f>
        <v/>
      </c>
    </row>
    <row r="348">
      <c r="A348" s="51" t="inlineStr">
        <is>
          <t>Durum</t>
        </is>
      </c>
      <c r="B348" s="59" t="inlineStr">
        <is>
          <t>CHECK</t>
        </is>
      </c>
      <c r="C348" s="60" t="inlineStr">
        <is>
          <t>KMT</t>
        </is>
      </c>
      <c r="D348" s="57" t="n">
        <v>0</v>
      </c>
      <c r="E348" s="57" t="n">
        <v>0</v>
      </c>
      <c r="F348" s="57" t="n">
        <v>0</v>
      </c>
      <c r="G348" s="57" t="n">
        <v>0</v>
      </c>
      <c r="H348" s="57" t="n">
        <v>0</v>
      </c>
      <c r="I348" s="57" t="n">
        <v>0</v>
      </c>
      <c r="J348" s="57" t="n">
        <v>0</v>
      </c>
      <c r="K348" s="57" t="n">
        <v>0</v>
      </c>
      <c r="L348" s="57" t="n">
        <v>0</v>
      </c>
      <c r="M348" s="57" t="n">
        <v>0</v>
      </c>
      <c r="N348" s="57" t="n">
        <v>0</v>
      </c>
      <c r="O348" s="57" t="n">
        <v>0</v>
      </c>
      <c r="P348" s="61" t="n">
        <v>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2026-09-18T23:40:09Z</dcterms:created>
  <dcterms:modified xmlns:dcterms="http://purl.org/dc/terms/" xmlns:xsi="http://www.w3.org/2001/XMLSchema-instance" xsi:type="dcterms:W3CDTF">2026-09-23T20:21:52Z</dcterms:modified>
  <cp:lastModifiedBy>Ahmed Chilmeran</cp:lastModifiedBy>
</cp:coreProperties>
</file>