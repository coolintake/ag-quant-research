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7a23f9ef4c865e93/Desktop/Python/CanSD_Analyzer/CMFT_Engine/"/>
    </mc:Choice>
  </mc:AlternateContent>
  <xr:revisionPtr revIDLastSave="1" documentId="11_68FC9E0DC3037B976283A1DCF7236B19C1E0BC1E" xr6:coauthVersionLast="47" xr6:coauthVersionMax="47" xr10:uidLastSave="{298B64AC-65F7-43CF-8603-33BBCD196F76}"/>
  <bookViews>
    <workbookView xWindow="3036" yWindow="3036" windowWidth="22980" windowHeight="12120" firstSheet="9" activeTab="15" xr2:uid="{00000000-000D-0000-FFFF-FFFF00000000}"/>
  </bookViews>
  <sheets>
    <sheet name="Wheat_Mo" sheetId="1" r:id="rId1"/>
    <sheet name="Wheat_Yr" sheetId="2" r:id="rId2"/>
    <sheet name="Durum_Yr" sheetId="3" r:id="rId3"/>
    <sheet name="Canola_Yr" sheetId="4" r:id="rId4"/>
    <sheet name="Barley_Yr" sheetId="5" r:id="rId5"/>
    <sheet name="Oats_Yr" sheetId="6" r:id="rId6"/>
    <sheet name="Soybeans_Mo" sheetId="7" r:id="rId7"/>
    <sheet name="Soybeans_Yr" sheetId="8" r:id="rId8"/>
    <sheet name="Dry peas_Yr" sheetId="9" r:id="rId9"/>
    <sheet name="Lentils_Yr" sheetId="10" r:id="rId10"/>
    <sheet name="Canola_Mo" sheetId="11" r:id="rId11"/>
    <sheet name="Barley_Mo" sheetId="12" r:id="rId12"/>
    <sheet name="Oats_Mo" sheetId="13" r:id="rId13"/>
    <sheet name="Dry peas_Mo" sheetId="14" r:id="rId14"/>
    <sheet name="Lentils_Mo" sheetId="15" r:id="rId15"/>
    <sheet name="Durum_Mo" sheetId="16" r:id="rId16"/>
    <sheet name="Sheet1" sheetId="17" r:id="rId17"/>
  </sheets>
  <definedNames>
    <definedName name="_xlnm._FilterDatabase" localSheetId="0" hidden="1">Wheat_Mo!$A$1:$P$277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47" i="16" l="1"/>
  <c r="P346" i="16"/>
  <c r="P345" i="16"/>
  <c r="P344" i="16"/>
  <c r="P343" i="16"/>
  <c r="P342" i="16"/>
  <c r="P341" i="16"/>
  <c r="P340" i="16"/>
  <c r="P339" i="16"/>
  <c r="P338" i="16"/>
  <c r="P337" i="16"/>
  <c r="P336" i="16"/>
  <c r="P335" i="16"/>
  <c r="P334" i="16"/>
  <c r="P333" i="16"/>
  <c r="P332" i="16"/>
  <c r="P331" i="16"/>
  <c r="P330" i="16"/>
  <c r="P329" i="16"/>
  <c r="P328" i="16"/>
  <c r="P327" i="16"/>
  <c r="P326" i="16"/>
  <c r="P325" i="16"/>
  <c r="P324" i="16"/>
  <c r="P323" i="16"/>
  <c r="P322" i="16"/>
  <c r="P321" i="16"/>
  <c r="P320" i="16"/>
  <c r="P319" i="16"/>
  <c r="P318" i="16"/>
  <c r="P317" i="16"/>
  <c r="P316" i="16"/>
  <c r="P315" i="16"/>
  <c r="P314" i="16"/>
  <c r="P313" i="16"/>
  <c r="P312" i="16"/>
  <c r="P311" i="16"/>
  <c r="P310" i="16"/>
  <c r="P309" i="16"/>
  <c r="P308" i="16"/>
  <c r="P307" i="16"/>
  <c r="P306" i="16"/>
  <c r="P305" i="16"/>
  <c r="P304" i="16"/>
  <c r="P303" i="16"/>
  <c r="P302" i="16"/>
  <c r="P301" i="16"/>
  <c r="P300" i="16"/>
  <c r="P299" i="16"/>
  <c r="P298" i="16"/>
  <c r="P297" i="16"/>
  <c r="P296" i="16"/>
  <c r="P295" i="16"/>
  <c r="P294" i="16"/>
  <c r="P293" i="16"/>
  <c r="P292" i="16"/>
  <c r="P291" i="16"/>
  <c r="P290" i="16"/>
  <c r="P289" i="16"/>
  <c r="P288" i="16"/>
  <c r="P287" i="16"/>
  <c r="P286" i="16"/>
  <c r="P285" i="16"/>
  <c r="P284" i="16"/>
  <c r="P283" i="16"/>
  <c r="P282" i="16"/>
  <c r="P281" i="16"/>
  <c r="P280" i="16"/>
  <c r="P279" i="16"/>
  <c r="P278" i="16"/>
  <c r="P277" i="16"/>
  <c r="P276" i="16"/>
  <c r="P275" i="16"/>
  <c r="P274" i="16"/>
  <c r="P273" i="16"/>
  <c r="P272" i="16"/>
  <c r="P271" i="16"/>
  <c r="P270" i="16"/>
  <c r="P269" i="16"/>
  <c r="P268" i="16"/>
  <c r="P267" i="16"/>
  <c r="P266" i="16"/>
  <c r="P265" i="16"/>
  <c r="P264" i="16"/>
  <c r="P263" i="16"/>
  <c r="P262" i="16"/>
  <c r="P261" i="16"/>
  <c r="P260" i="16"/>
  <c r="P259" i="16"/>
  <c r="P258" i="16"/>
  <c r="P257" i="16"/>
  <c r="P256" i="16"/>
  <c r="P255" i="16"/>
  <c r="P254" i="16"/>
  <c r="P253" i="16"/>
  <c r="P252" i="16"/>
  <c r="P251" i="16"/>
  <c r="P250" i="16"/>
  <c r="P249" i="16"/>
  <c r="P248" i="16"/>
  <c r="P247" i="16"/>
  <c r="P246" i="16"/>
  <c r="P245" i="16"/>
  <c r="P244" i="16"/>
  <c r="P243" i="16"/>
  <c r="P242" i="16"/>
  <c r="P241" i="16"/>
  <c r="P240" i="16"/>
  <c r="P239" i="16"/>
  <c r="P238" i="16"/>
  <c r="P237" i="16"/>
  <c r="P236" i="16"/>
  <c r="P235" i="16"/>
  <c r="P234" i="16"/>
  <c r="P233" i="16"/>
  <c r="P232" i="16"/>
  <c r="P231" i="16"/>
  <c r="P230" i="16"/>
  <c r="P229" i="16"/>
  <c r="P228" i="16"/>
  <c r="P227" i="16"/>
  <c r="P226" i="16"/>
  <c r="P225" i="16"/>
  <c r="P224" i="16"/>
  <c r="P223" i="16"/>
  <c r="P222" i="16"/>
  <c r="P221" i="16"/>
  <c r="P220" i="16"/>
  <c r="P219" i="16"/>
  <c r="P218" i="16"/>
  <c r="P217" i="16"/>
  <c r="P216" i="16"/>
  <c r="P215" i="16"/>
  <c r="P214" i="16"/>
  <c r="P213" i="16"/>
  <c r="P212" i="16"/>
  <c r="P211" i="16"/>
  <c r="P210" i="16"/>
  <c r="P209" i="16"/>
  <c r="P208" i="16"/>
  <c r="P207" i="16"/>
  <c r="P206" i="16"/>
  <c r="P205" i="16"/>
  <c r="P204" i="16"/>
  <c r="P203" i="16"/>
  <c r="P202" i="16"/>
  <c r="P201" i="16"/>
  <c r="P200" i="16"/>
  <c r="P199" i="16"/>
  <c r="P198" i="16"/>
  <c r="P197" i="16"/>
  <c r="P196" i="16"/>
  <c r="P195" i="16"/>
  <c r="P194" i="16"/>
  <c r="P193" i="16"/>
  <c r="P192" i="16"/>
  <c r="P191" i="16"/>
  <c r="P190" i="16"/>
  <c r="P189" i="16"/>
  <c r="P188" i="16"/>
  <c r="P187" i="16"/>
  <c r="P186" i="16"/>
  <c r="P185" i="16"/>
  <c r="P184" i="16"/>
  <c r="P183" i="16"/>
  <c r="P182" i="16"/>
  <c r="P181" i="16"/>
  <c r="P180" i="16"/>
  <c r="P179" i="16"/>
  <c r="P178" i="16"/>
  <c r="P177" i="16"/>
  <c r="P176" i="16"/>
  <c r="P175" i="16"/>
  <c r="P174" i="16"/>
  <c r="P173" i="16"/>
  <c r="P172" i="16"/>
  <c r="P171" i="16"/>
  <c r="P170" i="16"/>
  <c r="P169" i="16"/>
  <c r="P168" i="16"/>
  <c r="P167" i="16"/>
  <c r="P166" i="16"/>
  <c r="P165" i="16"/>
  <c r="P164" i="16"/>
  <c r="P163" i="16"/>
  <c r="P162" i="16"/>
  <c r="P161" i="16"/>
  <c r="P160" i="16"/>
  <c r="P159" i="16"/>
  <c r="P158" i="16"/>
  <c r="P157" i="16"/>
  <c r="P156" i="16"/>
  <c r="P155" i="16"/>
  <c r="P154" i="16"/>
  <c r="P153" i="16"/>
  <c r="P152" i="16"/>
  <c r="P151" i="16"/>
  <c r="P150" i="16"/>
  <c r="P149" i="16"/>
  <c r="P148" i="16"/>
  <c r="P147" i="16"/>
  <c r="P146" i="16"/>
  <c r="P145" i="16"/>
  <c r="P144" i="16"/>
  <c r="P143" i="16"/>
  <c r="P142" i="16"/>
  <c r="P141" i="16"/>
  <c r="P140" i="16"/>
  <c r="P139" i="16"/>
  <c r="P138" i="16"/>
  <c r="P137" i="16"/>
  <c r="P136" i="16"/>
  <c r="P135" i="16"/>
  <c r="P134" i="16"/>
  <c r="P133" i="16"/>
  <c r="P132" i="16"/>
  <c r="P131" i="16"/>
  <c r="P130" i="16"/>
  <c r="P129" i="16"/>
  <c r="P128" i="16"/>
  <c r="P127" i="16"/>
  <c r="P126" i="16"/>
  <c r="P125" i="16"/>
  <c r="P124" i="16"/>
  <c r="P123" i="16"/>
  <c r="P122" i="16"/>
  <c r="P121" i="16"/>
  <c r="P120" i="16"/>
  <c r="P119" i="16"/>
  <c r="P118" i="16"/>
  <c r="P117" i="16"/>
  <c r="P116" i="16"/>
  <c r="P115" i="16"/>
  <c r="P114" i="16"/>
  <c r="P113" i="16"/>
  <c r="P112" i="16"/>
  <c r="P111" i="16"/>
  <c r="P110" i="16"/>
  <c r="P109" i="16"/>
  <c r="P108" i="16"/>
  <c r="P107" i="16"/>
  <c r="P106" i="16"/>
  <c r="P105" i="16"/>
  <c r="P104" i="16"/>
  <c r="P103" i="16"/>
  <c r="P102" i="16"/>
  <c r="P101" i="16"/>
  <c r="P100" i="16"/>
  <c r="P99" i="16"/>
  <c r="P98" i="16"/>
  <c r="P97" i="16"/>
  <c r="P96" i="16"/>
  <c r="P95" i="16"/>
  <c r="P94" i="16"/>
  <c r="P93" i="16"/>
  <c r="P92" i="16"/>
  <c r="P91" i="16"/>
  <c r="P90" i="16"/>
  <c r="P89" i="16"/>
  <c r="P88" i="16"/>
  <c r="P87" i="16"/>
  <c r="P86" i="16"/>
  <c r="P85" i="16"/>
  <c r="P84" i="16"/>
  <c r="P83" i="16"/>
  <c r="P82" i="16"/>
  <c r="P81" i="16"/>
  <c r="P80" i="16"/>
  <c r="P79" i="16"/>
  <c r="P78" i="16"/>
  <c r="P77" i="16"/>
  <c r="P76" i="16"/>
  <c r="P75" i="16"/>
  <c r="P74" i="16"/>
  <c r="P73" i="16"/>
  <c r="P72" i="16"/>
  <c r="P71" i="16"/>
  <c r="P70" i="16"/>
  <c r="P69" i="16"/>
  <c r="P68" i="16"/>
  <c r="P67" i="16"/>
  <c r="P66" i="16"/>
  <c r="P65" i="16"/>
  <c r="P64" i="16"/>
  <c r="P63" i="16"/>
  <c r="P62" i="16"/>
  <c r="P61" i="16"/>
  <c r="P60" i="16"/>
  <c r="P59" i="16"/>
  <c r="P58" i="16"/>
  <c r="P57" i="16"/>
  <c r="P56" i="16"/>
  <c r="P55" i="16"/>
  <c r="P54" i="16"/>
  <c r="P53" i="16"/>
  <c r="P52" i="16"/>
  <c r="P51" i="16"/>
  <c r="P50" i="16"/>
  <c r="P49" i="16"/>
  <c r="P48" i="16"/>
  <c r="P47" i="16"/>
  <c r="P46" i="16"/>
  <c r="P45" i="16"/>
  <c r="P44" i="16"/>
  <c r="P43" i="16"/>
  <c r="P42" i="16"/>
  <c r="P41" i="16"/>
  <c r="P40" i="16"/>
  <c r="P39" i="16"/>
  <c r="P38" i="16"/>
  <c r="P37" i="16"/>
  <c r="P36" i="16"/>
  <c r="P35" i="16"/>
  <c r="P34" i="16"/>
  <c r="P33" i="16"/>
  <c r="P32" i="16"/>
  <c r="P31" i="16"/>
  <c r="P30" i="16"/>
  <c r="P29" i="16"/>
  <c r="P28" i="16"/>
  <c r="P27" i="16"/>
  <c r="P26" i="16"/>
  <c r="P25" i="16"/>
  <c r="P24" i="16"/>
  <c r="P23" i="16"/>
  <c r="P22" i="16"/>
  <c r="P21" i="16"/>
  <c r="P20" i="16"/>
  <c r="P19" i="16"/>
  <c r="P18" i="16"/>
  <c r="P17" i="16"/>
  <c r="P16" i="16"/>
  <c r="P15" i="16"/>
  <c r="P14" i="16"/>
  <c r="P13" i="16"/>
  <c r="P12" i="16"/>
  <c r="P11" i="16"/>
  <c r="P10" i="16"/>
  <c r="P9" i="16"/>
  <c r="P8" i="16"/>
  <c r="P7" i="16"/>
  <c r="P6" i="16"/>
  <c r="P5" i="16"/>
  <c r="P4" i="16"/>
  <c r="P3" i="16"/>
  <c r="P301" i="15"/>
  <c r="Z15" i="10" s="1"/>
  <c r="P300" i="15"/>
  <c r="P299" i="15"/>
  <c r="P298" i="15"/>
  <c r="P297" i="15"/>
  <c r="P296" i="15"/>
  <c r="P295" i="15"/>
  <c r="P294" i="15"/>
  <c r="P293" i="15"/>
  <c r="P292" i="15"/>
  <c r="P291" i="15"/>
  <c r="P290" i="15"/>
  <c r="P289" i="15"/>
  <c r="P288" i="15"/>
  <c r="Y15" i="10" s="1"/>
  <c r="P287" i="15"/>
  <c r="P286" i="15"/>
  <c r="P285" i="15"/>
  <c r="P284" i="15"/>
  <c r="P283" i="15"/>
  <c r="P282" i="15"/>
  <c r="Y9" i="10" s="1"/>
  <c r="P281" i="15"/>
  <c r="P280" i="15"/>
  <c r="P279" i="15"/>
  <c r="P278" i="15"/>
  <c r="P277" i="15"/>
  <c r="P276" i="15"/>
  <c r="P275" i="15"/>
  <c r="P274" i="15"/>
  <c r="P273" i="15"/>
  <c r="P272" i="15"/>
  <c r="X12" i="10" s="1"/>
  <c r="P271" i="15"/>
  <c r="P270" i="15"/>
  <c r="X10" i="10" s="1"/>
  <c r="P269" i="15"/>
  <c r="P268" i="15"/>
  <c r="P267" i="15"/>
  <c r="P266" i="15"/>
  <c r="P265" i="15"/>
  <c r="P264" i="15"/>
  <c r="P263" i="15"/>
  <c r="P262" i="15"/>
  <c r="P261" i="15"/>
  <c r="P260" i="15"/>
  <c r="P259" i="15"/>
  <c r="P258" i="15"/>
  <c r="P257" i="15"/>
  <c r="P256" i="15"/>
  <c r="P255" i="15"/>
  <c r="P254" i="15"/>
  <c r="P253" i="15"/>
  <c r="P252" i="15"/>
  <c r="P251" i="15"/>
  <c r="P250" i="15"/>
  <c r="P249" i="15"/>
  <c r="P248" i="15"/>
  <c r="P247" i="15"/>
  <c r="P246" i="15"/>
  <c r="V12" i="10" s="1"/>
  <c r="P245" i="15"/>
  <c r="P244" i="15"/>
  <c r="P243" i="15"/>
  <c r="P242" i="15"/>
  <c r="P241" i="15"/>
  <c r="P240" i="15"/>
  <c r="P239" i="15"/>
  <c r="P238" i="15"/>
  <c r="P237" i="15"/>
  <c r="P236" i="15"/>
  <c r="P235" i="15"/>
  <c r="P234" i="15"/>
  <c r="P233" i="15"/>
  <c r="P232" i="15"/>
  <c r="P231" i="15"/>
  <c r="P230" i="15"/>
  <c r="P229" i="15"/>
  <c r="P228" i="15"/>
  <c r="P227" i="15"/>
  <c r="P226" i="15"/>
  <c r="P225" i="15"/>
  <c r="P224" i="15"/>
  <c r="P223" i="15"/>
  <c r="P222" i="15"/>
  <c r="P221" i="15"/>
  <c r="P220" i="15"/>
  <c r="P219" i="15"/>
  <c r="P218" i="15"/>
  <c r="P217" i="15"/>
  <c r="T9" i="10" s="1"/>
  <c r="P216" i="15"/>
  <c r="T8" i="10" s="1"/>
  <c r="P215" i="15"/>
  <c r="P214" i="15"/>
  <c r="P213" i="15"/>
  <c r="P212" i="15"/>
  <c r="P211" i="15"/>
  <c r="P210" i="15"/>
  <c r="S15" i="10" s="1"/>
  <c r="P209" i="15"/>
  <c r="P208" i="15"/>
  <c r="P207" i="15"/>
  <c r="P206" i="15"/>
  <c r="P205" i="15"/>
  <c r="S10" i="10" s="1"/>
  <c r="P204" i="15"/>
  <c r="S9" i="10" s="1"/>
  <c r="P203" i="15"/>
  <c r="P202" i="15"/>
  <c r="P201" i="15"/>
  <c r="P200" i="15"/>
  <c r="P199" i="15"/>
  <c r="P198" i="15"/>
  <c r="P197" i="15"/>
  <c r="P196" i="15"/>
  <c r="P195" i="15"/>
  <c r="P194" i="15"/>
  <c r="P193" i="15"/>
  <c r="P192" i="15"/>
  <c r="R10" i="10" s="1"/>
  <c r="P191" i="15"/>
  <c r="P190" i="15"/>
  <c r="P189" i="15"/>
  <c r="P188" i="15"/>
  <c r="P187" i="15"/>
  <c r="P186" i="15"/>
  <c r="P185" i="15"/>
  <c r="P184" i="15"/>
  <c r="P183" i="15"/>
  <c r="P182" i="15"/>
  <c r="P181" i="15"/>
  <c r="Q12" i="10" s="1"/>
  <c r="P180" i="15"/>
  <c r="P179" i="15"/>
  <c r="P178" i="15"/>
  <c r="P177" i="15"/>
  <c r="P176" i="15"/>
  <c r="P175" i="15"/>
  <c r="P174" i="15"/>
  <c r="P173" i="15"/>
  <c r="P172" i="15"/>
  <c r="P171" i="15"/>
  <c r="P170" i="15"/>
  <c r="P169" i="15"/>
  <c r="P168" i="15"/>
  <c r="P167" i="15"/>
  <c r="P166" i="15"/>
  <c r="P165" i="15"/>
  <c r="P164" i="15"/>
  <c r="P163" i="15"/>
  <c r="P162" i="15"/>
  <c r="P161" i="15"/>
  <c r="P160" i="15"/>
  <c r="P159" i="15"/>
  <c r="P158" i="15"/>
  <c r="P157" i="15"/>
  <c r="P156" i="15"/>
  <c r="P155" i="15"/>
  <c r="P154" i="15"/>
  <c r="P153" i="15"/>
  <c r="P152" i="15"/>
  <c r="P151" i="15"/>
  <c r="P150" i="15"/>
  <c r="P149" i="15"/>
  <c r="P148" i="15"/>
  <c r="P147" i="15"/>
  <c r="P146" i="15"/>
  <c r="P145" i="15"/>
  <c r="N15" i="10" s="1"/>
  <c r="P144" i="15"/>
  <c r="P143" i="15"/>
  <c r="P142" i="15"/>
  <c r="P141" i="15"/>
  <c r="P140" i="15"/>
  <c r="P139" i="15"/>
  <c r="P138" i="15"/>
  <c r="P137" i="15"/>
  <c r="P136" i="15"/>
  <c r="P135" i="15"/>
  <c r="P134" i="15"/>
  <c r="P133" i="15"/>
  <c r="P132" i="15"/>
  <c r="M15" i="10" s="1"/>
  <c r="P131" i="15"/>
  <c r="P130" i="15"/>
  <c r="P129" i="15"/>
  <c r="P128" i="15"/>
  <c r="P127" i="15"/>
  <c r="P126" i="15"/>
  <c r="M9" i="10" s="1"/>
  <c r="P125" i="15"/>
  <c r="P124" i="15"/>
  <c r="P123" i="15"/>
  <c r="P122" i="15"/>
  <c r="P121" i="15"/>
  <c r="P120" i="15"/>
  <c r="P119" i="15"/>
  <c r="P118" i="15"/>
  <c r="P117" i="15"/>
  <c r="P116" i="15"/>
  <c r="L12" i="10" s="1"/>
  <c r="P115" i="15"/>
  <c r="P114" i="15"/>
  <c r="L10" i="10" s="1"/>
  <c r="P113" i="15"/>
  <c r="P112" i="15"/>
  <c r="P111" i="15"/>
  <c r="P110" i="15"/>
  <c r="P109" i="15"/>
  <c r="P108" i="15"/>
  <c r="P107" i="15"/>
  <c r="P106" i="15"/>
  <c r="P105" i="15"/>
  <c r="P104" i="15"/>
  <c r="P103" i="15"/>
  <c r="P102" i="15"/>
  <c r="P101" i="15"/>
  <c r="P100" i="15"/>
  <c r="P99" i="15"/>
  <c r="P98" i="15"/>
  <c r="P97" i="15"/>
  <c r="P96" i="15"/>
  <c r="P95" i="15"/>
  <c r="P94" i="15"/>
  <c r="P93" i="15"/>
  <c r="P92" i="15"/>
  <c r="P91" i="15"/>
  <c r="P90" i="15"/>
  <c r="J12" i="10" s="1"/>
  <c r="P89" i="15"/>
  <c r="P88" i="15"/>
  <c r="P87" i="15"/>
  <c r="P86" i="15"/>
  <c r="P85" i="15"/>
  <c r="P84" i="15"/>
  <c r="P83" i="15"/>
  <c r="P82" i="15"/>
  <c r="P81" i="15"/>
  <c r="P80" i="15"/>
  <c r="P79" i="15"/>
  <c r="P78" i="15"/>
  <c r="P77" i="15"/>
  <c r="P76" i="15"/>
  <c r="P75" i="15"/>
  <c r="P74" i="15"/>
  <c r="P73" i="15"/>
  <c r="P72" i="15"/>
  <c r="P71" i="15"/>
  <c r="P70" i="15"/>
  <c r="P69" i="15"/>
  <c r="P68" i="15"/>
  <c r="P67" i="15"/>
  <c r="P66" i="15"/>
  <c r="P65" i="15"/>
  <c r="P64" i="15"/>
  <c r="P63" i="15"/>
  <c r="P62" i="15"/>
  <c r="P61" i="15"/>
  <c r="H9" i="10" s="1"/>
  <c r="P60" i="15"/>
  <c r="H8" i="10" s="1"/>
  <c r="P59" i="15"/>
  <c r="P58" i="15"/>
  <c r="P57" i="15"/>
  <c r="P56" i="15"/>
  <c r="P55" i="15"/>
  <c r="P54" i="15"/>
  <c r="G15" i="10" s="1"/>
  <c r="P53" i="15"/>
  <c r="P52" i="15"/>
  <c r="P51" i="15"/>
  <c r="P50" i="15"/>
  <c r="P49" i="15"/>
  <c r="G10" i="10" s="1"/>
  <c r="P48" i="15"/>
  <c r="G9" i="10" s="1"/>
  <c r="P47" i="15"/>
  <c r="P46" i="15"/>
  <c r="P45" i="15"/>
  <c r="P44" i="15"/>
  <c r="P43" i="15"/>
  <c r="P42" i="15"/>
  <c r="P41" i="15"/>
  <c r="P40" i="15"/>
  <c r="P39" i="15"/>
  <c r="P38" i="15"/>
  <c r="P37" i="15"/>
  <c r="P36" i="15"/>
  <c r="F10" i="10" s="1"/>
  <c r="P35" i="15"/>
  <c r="P34" i="15"/>
  <c r="P33" i="15"/>
  <c r="P32" i="15"/>
  <c r="P31" i="15"/>
  <c r="P30" i="15"/>
  <c r="P29" i="15"/>
  <c r="P28" i="15"/>
  <c r="P27" i="15"/>
  <c r="P26" i="15"/>
  <c r="P25" i="15"/>
  <c r="E12" i="10" s="1"/>
  <c r="P24" i="15"/>
  <c r="P23" i="15"/>
  <c r="P22" i="15"/>
  <c r="P21" i="15"/>
  <c r="P20" i="15"/>
  <c r="P19" i="15"/>
  <c r="P18" i="15"/>
  <c r="P17" i="15"/>
  <c r="P16" i="15"/>
  <c r="P15" i="15"/>
  <c r="P14" i="15"/>
  <c r="P13" i="15"/>
  <c r="P12" i="15"/>
  <c r="P11" i="15"/>
  <c r="P10" i="15"/>
  <c r="P9" i="15"/>
  <c r="P8" i="15"/>
  <c r="P7" i="15"/>
  <c r="P6" i="15"/>
  <c r="P5" i="15"/>
  <c r="P4" i="15"/>
  <c r="P3" i="15"/>
  <c r="P301" i="14"/>
  <c r="P300" i="14"/>
  <c r="P299" i="14"/>
  <c r="P298" i="14"/>
  <c r="P297" i="14"/>
  <c r="P296" i="14"/>
  <c r="P295" i="14"/>
  <c r="P294" i="14"/>
  <c r="P293" i="14"/>
  <c r="P292" i="14"/>
  <c r="P291" i="14"/>
  <c r="P290" i="14"/>
  <c r="P289" i="14"/>
  <c r="P288" i="14"/>
  <c r="P287" i="14"/>
  <c r="P286" i="14"/>
  <c r="P285" i="14"/>
  <c r="P284" i="14"/>
  <c r="P283" i="14"/>
  <c r="P282" i="14"/>
  <c r="P281" i="14"/>
  <c r="P280" i="14"/>
  <c r="P279" i="14"/>
  <c r="P278" i="14"/>
  <c r="P277" i="14"/>
  <c r="P276" i="14"/>
  <c r="P275" i="14"/>
  <c r="P274" i="14"/>
  <c r="P273" i="14"/>
  <c r="P272" i="14"/>
  <c r="P271" i="14"/>
  <c r="P270" i="14"/>
  <c r="P269" i="14"/>
  <c r="P268" i="14"/>
  <c r="P267" i="14"/>
  <c r="P266" i="14"/>
  <c r="P265" i="14"/>
  <c r="P264" i="14"/>
  <c r="P263" i="14"/>
  <c r="P262" i="14"/>
  <c r="P261" i="14"/>
  <c r="P260" i="14"/>
  <c r="P259" i="14"/>
  <c r="P258" i="14"/>
  <c r="P257" i="14"/>
  <c r="P256" i="14"/>
  <c r="P255" i="14"/>
  <c r="P254" i="14"/>
  <c r="P253" i="14"/>
  <c r="P252" i="14"/>
  <c r="P251" i="14"/>
  <c r="P250" i="14"/>
  <c r="P249" i="14"/>
  <c r="P248" i="14"/>
  <c r="P247" i="14"/>
  <c r="P246" i="14"/>
  <c r="P245" i="14"/>
  <c r="P244" i="14"/>
  <c r="P243" i="14"/>
  <c r="P242" i="14"/>
  <c r="P241" i="14"/>
  <c r="P240" i="14"/>
  <c r="P239" i="14"/>
  <c r="P238" i="14"/>
  <c r="P237" i="14"/>
  <c r="P236" i="14"/>
  <c r="P235" i="14"/>
  <c r="P234" i="14"/>
  <c r="P233" i="14"/>
  <c r="P232" i="14"/>
  <c r="P231" i="14"/>
  <c r="P230" i="14"/>
  <c r="P229" i="14"/>
  <c r="P228" i="14"/>
  <c r="P227" i="14"/>
  <c r="P226" i="14"/>
  <c r="P225" i="14"/>
  <c r="P224" i="14"/>
  <c r="P223" i="14"/>
  <c r="P222" i="14"/>
  <c r="P221" i="14"/>
  <c r="P220" i="14"/>
  <c r="P219" i="14"/>
  <c r="P218" i="14"/>
  <c r="P217" i="14"/>
  <c r="P216" i="14"/>
  <c r="P215" i="14"/>
  <c r="P214" i="14"/>
  <c r="P213" i="14"/>
  <c r="P212" i="14"/>
  <c r="P211" i="14"/>
  <c r="P210" i="14"/>
  <c r="P209" i="14"/>
  <c r="P208" i="14"/>
  <c r="P207" i="14"/>
  <c r="P206" i="14"/>
  <c r="P205" i="14"/>
  <c r="P204" i="14"/>
  <c r="P203" i="14"/>
  <c r="P202" i="14"/>
  <c r="P201" i="14"/>
  <c r="P200" i="14"/>
  <c r="P199" i="14"/>
  <c r="P198" i="14"/>
  <c r="P197" i="14"/>
  <c r="P196" i="14"/>
  <c r="P195" i="14"/>
  <c r="P194" i="14"/>
  <c r="P193" i="14"/>
  <c r="P192" i="14"/>
  <c r="P191" i="14"/>
  <c r="P190" i="14"/>
  <c r="P189" i="14"/>
  <c r="P188" i="14"/>
  <c r="P187" i="14"/>
  <c r="P186" i="14"/>
  <c r="P185" i="14"/>
  <c r="P184" i="14"/>
  <c r="P183" i="14"/>
  <c r="P182" i="14"/>
  <c r="P181" i="14"/>
  <c r="P180" i="14"/>
  <c r="P179" i="14"/>
  <c r="P178" i="14"/>
  <c r="P177" i="14"/>
  <c r="P176" i="14"/>
  <c r="P175" i="14"/>
  <c r="P174" i="14"/>
  <c r="P173" i="14"/>
  <c r="P172" i="14"/>
  <c r="P171" i="14"/>
  <c r="P170" i="14"/>
  <c r="P169" i="14"/>
  <c r="P168" i="14"/>
  <c r="P167" i="14"/>
  <c r="P166" i="14"/>
  <c r="P165" i="14"/>
  <c r="P164" i="14"/>
  <c r="P163" i="14"/>
  <c r="P162" i="14"/>
  <c r="P161" i="14"/>
  <c r="P160" i="14"/>
  <c r="P159" i="14"/>
  <c r="P158" i="14"/>
  <c r="P157" i="14"/>
  <c r="P156" i="14"/>
  <c r="P155" i="14"/>
  <c r="P154" i="14"/>
  <c r="P153" i="14"/>
  <c r="P152" i="14"/>
  <c r="P151" i="14"/>
  <c r="P150" i="14"/>
  <c r="P149" i="14"/>
  <c r="P148" i="14"/>
  <c r="P147" i="14"/>
  <c r="P146" i="14"/>
  <c r="P145" i="14"/>
  <c r="P144" i="14"/>
  <c r="P143" i="14"/>
  <c r="P142" i="14"/>
  <c r="P141" i="14"/>
  <c r="P140" i="14"/>
  <c r="P139" i="14"/>
  <c r="P138" i="14"/>
  <c r="P137" i="14"/>
  <c r="P136" i="14"/>
  <c r="P135" i="14"/>
  <c r="P134" i="14"/>
  <c r="P133" i="14"/>
  <c r="P132" i="14"/>
  <c r="P131" i="14"/>
  <c r="P130" i="14"/>
  <c r="P129" i="14"/>
  <c r="P128" i="14"/>
  <c r="P127" i="14"/>
  <c r="P126" i="14"/>
  <c r="P125" i="14"/>
  <c r="P124" i="14"/>
  <c r="P123" i="14"/>
  <c r="P122" i="14"/>
  <c r="P121" i="14"/>
  <c r="P120" i="14"/>
  <c r="P119" i="14"/>
  <c r="P118" i="14"/>
  <c r="P117" i="14"/>
  <c r="P116" i="14"/>
  <c r="P115" i="14"/>
  <c r="P114" i="14"/>
  <c r="P113" i="14"/>
  <c r="P112" i="14"/>
  <c r="P111" i="14"/>
  <c r="P110" i="14"/>
  <c r="P109" i="14"/>
  <c r="P108" i="14"/>
  <c r="P107" i="14"/>
  <c r="P106" i="14"/>
  <c r="P105" i="14"/>
  <c r="P104" i="14"/>
  <c r="P103" i="14"/>
  <c r="P102" i="14"/>
  <c r="P101" i="14"/>
  <c r="P100" i="14"/>
  <c r="P99" i="14"/>
  <c r="P98" i="14"/>
  <c r="P97" i="14"/>
  <c r="P96" i="14"/>
  <c r="P95" i="14"/>
  <c r="P94" i="14"/>
  <c r="P93" i="14"/>
  <c r="P92" i="14"/>
  <c r="P91" i="14"/>
  <c r="P90" i="14"/>
  <c r="P89" i="14"/>
  <c r="P88" i="14"/>
  <c r="P87" i="14"/>
  <c r="P86" i="14"/>
  <c r="P85" i="14"/>
  <c r="P84" i="14"/>
  <c r="P83" i="14"/>
  <c r="P82" i="14"/>
  <c r="P81" i="14"/>
  <c r="P80" i="14"/>
  <c r="P79" i="14"/>
  <c r="P78" i="14"/>
  <c r="P77" i="14"/>
  <c r="P76" i="14"/>
  <c r="P75" i="14"/>
  <c r="P74" i="14"/>
  <c r="P73" i="14"/>
  <c r="P72" i="14"/>
  <c r="P71" i="14"/>
  <c r="P70" i="14"/>
  <c r="P69" i="14"/>
  <c r="P68" i="14"/>
  <c r="P67" i="14"/>
  <c r="P66" i="14"/>
  <c r="P65" i="14"/>
  <c r="P64" i="14"/>
  <c r="P63" i="14"/>
  <c r="P62" i="14"/>
  <c r="P61" i="14"/>
  <c r="P60" i="14"/>
  <c r="P59" i="14"/>
  <c r="P58" i="14"/>
  <c r="P57" i="14"/>
  <c r="P56" i="14"/>
  <c r="P55" i="14"/>
  <c r="P54" i="14"/>
  <c r="P53" i="14"/>
  <c r="P52" i="14"/>
  <c r="P51" i="14"/>
  <c r="P50" i="14"/>
  <c r="P49" i="14"/>
  <c r="P48" i="14"/>
  <c r="P47" i="14"/>
  <c r="P46" i="14"/>
  <c r="P45" i="14"/>
  <c r="P44" i="14"/>
  <c r="P43" i="14"/>
  <c r="P42" i="14"/>
  <c r="P41" i="14"/>
  <c r="P40" i="14"/>
  <c r="P39" i="14"/>
  <c r="P38" i="14"/>
  <c r="P37" i="14"/>
  <c r="P36" i="14"/>
  <c r="P35" i="14"/>
  <c r="P34" i="14"/>
  <c r="P33" i="14"/>
  <c r="P32" i="14"/>
  <c r="P31" i="14"/>
  <c r="P30" i="14"/>
  <c r="P29" i="14"/>
  <c r="P28" i="14"/>
  <c r="P27" i="14"/>
  <c r="P26" i="14"/>
  <c r="P25" i="14"/>
  <c r="P24" i="14"/>
  <c r="P23" i="14"/>
  <c r="P22" i="14"/>
  <c r="P21" i="14"/>
  <c r="P20" i="14"/>
  <c r="P19" i="14"/>
  <c r="P18" i="14"/>
  <c r="P17" i="14"/>
  <c r="P16" i="14"/>
  <c r="P15" i="14"/>
  <c r="P14" i="14"/>
  <c r="P13" i="14"/>
  <c r="P12" i="14"/>
  <c r="P11" i="14"/>
  <c r="P10" i="14"/>
  <c r="P9" i="14"/>
  <c r="P8" i="14"/>
  <c r="P7" i="14"/>
  <c r="P6" i="14"/>
  <c r="P5" i="14"/>
  <c r="P4" i="14"/>
  <c r="P3" i="14"/>
  <c r="P347" i="13"/>
  <c r="P346" i="13"/>
  <c r="P345" i="13"/>
  <c r="P344" i="13"/>
  <c r="P343" i="13"/>
  <c r="P342" i="13"/>
  <c r="P341" i="13"/>
  <c r="P340" i="13"/>
  <c r="P339" i="13"/>
  <c r="P338" i="13"/>
  <c r="P337" i="13"/>
  <c r="P336" i="13"/>
  <c r="P335" i="13"/>
  <c r="P334" i="13"/>
  <c r="P333" i="13"/>
  <c r="P332" i="13"/>
  <c r="P331" i="13"/>
  <c r="P330" i="13"/>
  <c r="P329" i="13"/>
  <c r="P328" i="13"/>
  <c r="P327" i="13"/>
  <c r="P326" i="13"/>
  <c r="P325" i="13"/>
  <c r="P324" i="13"/>
  <c r="P323" i="13"/>
  <c r="P322" i="13"/>
  <c r="P321" i="13"/>
  <c r="P320" i="13"/>
  <c r="P319" i="13"/>
  <c r="P318" i="13"/>
  <c r="P317" i="13"/>
  <c r="P316" i="13"/>
  <c r="P315" i="13"/>
  <c r="P314" i="13"/>
  <c r="P313" i="13"/>
  <c r="P312" i="13"/>
  <c r="P311" i="13"/>
  <c r="P310" i="13"/>
  <c r="P309" i="13"/>
  <c r="P308" i="13"/>
  <c r="P307" i="13"/>
  <c r="P306" i="13"/>
  <c r="P305" i="13"/>
  <c r="P304" i="13"/>
  <c r="P303" i="13"/>
  <c r="P302" i="13"/>
  <c r="P301" i="13"/>
  <c r="P300" i="13"/>
  <c r="P299" i="13"/>
  <c r="P298" i="13"/>
  <c r="P297" i="13"/>
  <c r="P296" i="13"/>
  <c r="P295" i="13"/>
  <c r="P294" i="13"/>
  <c r="P293" i="13"/>
  <c r="P292" i="13"/>
  <c r="P291" i="13"/>
  <c r="P290" i="13"/>
  <c r="P289" i="13"/>
  <c r="P288" i="13"/>
  <c r="P287" i="13"/>
  <c r="P286" i="13"/>
  <c r="P285" i="13"/>
  <c r="P284" i="13"/>
  <c r="P283" i="13"/>
  <c r="P282" i="13"/>
  <c r="P281" i="13"/>
  <c r="P280" i="13"/>
  <c r="P279" i="13"/>
  <c r="P278" i="13"/>
  <c r="P277" i="13"/>
  <c r="P276" i="13"/>
  <c r="P275" i="13"/>
  <c r="P274" i="13"/>
  <c r="P273" i="13"/>
  <c r="P272" i="13"/>
  <c r="P271" i="13"/>
  <c r="P270" i="13"/>
  <c r="P269" i="13"/>
  <c r="P268" i="13"/>
  <c r="P267" i="13"/>
  <c r="P266" i="13"/>
  <c r="P265" i="13"/>
  <c r="P264" i="13"/>
  <c r="P263" i="13"/>
  <c r="P262" i="13"/>
  <c r="P261" i="13"/>
  <c r="P260" i="13"/>
  <c r="P259" i="13"/>
  <c r="P258" i="13"/>
  <c r="P257" i="13"/>
  <c r="P256" i="13"/>
  <c r="P255" i="13"/>
  <c r="P254" i="13"/>
  <c r="P253" i="13"/>
  <c r="P252" i="13"/>
  <c r="P251" i="13"/>
  <c r="P250" i="13"/>
  <c r="P249" i="13"/>
  <c r="P248" i="13"/>
  <c r="P247" i="13"/>
  <c r="P246" i="13"/>
  <c r="P245" i="13"/>
  <c r="P244" i="13"/>
  <c r="P243" i="13"/>
  <c r="P242" i="13"/>
  <c r="P241" i="13"/>
  <c r="P240" i="13"/>
  <c r="P239" i="13"/>
  <c r="P238" i="13"/>
  <c r="P237" i="13"/>
  <c r="P236" i="13"/>
  <c r="P235" i="13"/>
  <c r="P234" i="13"/>
  <c r="P233" i="13"/>
  <c r="P232" i="13"/>
  <c r="P231" i="13"/>
  <c r="P230" i="13"/>
  <c r="P229" i="13"/>
  <c r="P228" i="13"/>
  <c r="P227" i="13"/>
  <c r="P226" i="13"/>
  <c r="P225" i="13"/>
  <c r="P224" i="13"/>
  <c r="P223" i="13"/>
  <c r="P222" i="13"/>
  <c r="P221" i="13"/>
  <c r="P220" i="13"/>
  <c r="P219" i="13"/>
  <c r="P218" i="13"/>
  <c r="P217" i="13"/>
  <c r="P216" i="13"/>
  <c r="P215" i="13"/>
  <c r="P214" i="13"/>
  <c r="P213" i="13"/>
  <c r="P212" i="13"/>
  <c r="P211" i="13"/>
  <c r="P210" i="13"/>
  <c r="P209" i="13"/>
  <c r="P208" i="13"/>
  <c r="P207" i="13"/>
  <c r="P206" i="13"/>
  <c r="P205" i="13"/>
  <c r="P204" i="13"/>
  <c r="P203" i="13"/>
  <c r="P202" i="13"/>
  <c r="P201" i="13"/>
  <c r="P200" i="13"/>
  <c r="P199" i="13"/>
  <c r="P198" i="13"/>
  <c r="P197" i="13"/>
  <c r="P196" i="13"/>
  <c r="P195" i="13"/>
  <c r="P194" i="13"/>
  <c r="P193" i="13"/>
  <c r="P192" i="13"/>
  <c r="P191" i="13"/>
  <c r="P190" i="13"/>
  <c r="P189" i="13"/>
  <c r="P188" i="13"/>
  <c r="P187" i="13"/>
  <c r="P186" i="13"/>
  <c r="P185" i="13"/>
  <c r="P184" i="13"/>
  <c r="P183" i="13"/>
  <c r="P182" i="13"/>
  <c r="P181" i="13"/>
  <c r="P180" i="13"/>
  <c r="P179" i="13"/>
  <c r="P178" i="13"/>
  <c r="P177" i="13"/>
  <c r="P176" i="13"/>
  <c r="P175" i="13"/>
  <c r="P174" i="13"/>
  <c r="P173" i="13"/>
  <c r="P172" i="13"/>
  <c r="P171" i="13"/>
  <c r="P170" i="13"/>
  <c r="P169" i="13"/>
  <c r="P168" i="13"/>
  <c r="P167" i="13"/>
  <c r="P166" i="13"/>
  <c r="P165" i="13"/>
  <c r="P164" i="13"/>
  <c r="P163" i="13"/>
  <c r="P162" i="13"/>
  <c r="P161" i="13"/>
  <c r="P160" i="13"/>
  <c r="P159" i="13"/>
  <c r="P158" i="13"/>
  <c r="P157" i="13"/>
  <c r="P156" i="13"/>
  <c r="P155" i="13"/>
  <c r="P154" i="13"/>
  <c r="P153" i="13"/>
  <c r="P152" i="13"/>
  <c r="P151" i="13"/>
  <c r="P150" i="13"/>
  <c r="P149" i="13"/>
  <c r="P148" i="13"/>
  <c r="P147" i="13"/>
  <c r="P146" i="13"/>
  <c r="P145" i="13"/>
  <c r="P144" i="13"/>
  <c r="P143" i="13"/>
  <c r="P142" i="13"/>
  <c r="P141" i="13"/>
  <c r="P140" i="13"/>
  <c r="P139" i="13"/>
  <c r="P138" i="13"/>
  <c r="P137" i="13"/>
  <c r="P136" i="13"/>
  <c r="P135" i="13"/>
  <c r="P134" i="13"/>
  <c r="P133" i="13"/>
  <c r="P132" i="13"/>
  <c r="P131" i="13"/>
  <c r="P130" i="13"/>
  <c r="P129" i="13"/>
  <c r="P128" i="13"/>
  <c r="P127" i="13"/>
  <c r="P126" i="13"/>
  <c r="P125" i="13"/>
  <c r="P124" i="13"/>
  <c r="P123" i="13"/>
  <c r="P122" i="13"/>
  <c r="P121" i="13"/>
  <c r="P120" i="13"/>
  <c r="P119" i="13"/>
  <c r="P118" i="13"/>
  <c r="P117" i="13"/>
  <c r="P116" i="13"/>
  <c r="P115" i="13"/>
  <c r="P114" i="13"/>
  <c r="P113" i="13"/>
  <c r="P112" i="13"/>
  <c r="P111" i="13"/>
  <c r="P110" i="13"/>
  <c r="P109" i="13"/>
  <c r="P108" i="13"/>
  <c r="P107" i="13"/>
  <c r="P106" i="13"/>
  <c r="P105" i="13"/>
  <c r="P104" i="13"/>
  <c r="P103" i="13"/>
  <c r="P102" i="13"/>
  <c r="P101" i="13"/>
  <c r="P100" i="13"/>
  <c r="P99" i="13"/>
  <c r="P98" i="13"/>
  <c r="P97" i="13"/>
  <c r="P96" i="13"/>
  <c r="P95" i="13"/>
  <c r="P94" i="13"/>
  <c r="P93" i="13"/>
  <c r="P92" i="13"/>
  <c r="P91" i="13"/>
  <c r="P90" i="13"/>
  <c r="P89" i="13"/>
  <c r="P88" i="13"/>
  <c r="P87" i="13"/>
  <c r="P86" i="13"/>
  <c r="P85" i="13"/>
  <c r="P84" i="13"/>
  <c r="P83" i="13"/>
  <c r="P82" i="13"/>
  <c r="P81" i="13"/>
  <c r="P80" i="13"/>
  <c r="P79" i="13"/>
  <c r="P78" i="13"/>
  <c r="P77" i="13"/>
  <c r="P76" i="13"/>
  <c r="P75" i="13"/>
  <c r="P74" i="13"/>
  <c r="P73" i="13"/>
  <c r="P72" i="13"/>
  <c r="P71" i="13"/>
  <c r="P70" i="13"/>
  <c r="P69" i="13"/>
  <c r="P68" i="13"/>
  <c r="P67" i="13"/>
  <c r="P66" i="13"/>
  <c r="P65" i="13"/>
  <c r="P64" i="13"/>
  <c r="P63" i="13"/>
  <c r="P62" i="13"/>
  <c r="P61" i="13"/>
  <c r="P60" i="13"/>
  <c r="P59" i="13"/>
  <c r="P58" i="13"/>
  <c r="P57" i="13"/>
  <c r="P56" i="13"/>
  <c r="P55" i="13"/>
  <c r="P54" i="13"/>
  <c r="P53" i="13"/>
  <c r="P52" i="13"/>
  <c r="P51" i="13"/>
  <c r="P50" i="13"/>
  <c r="P49" i="13"/>
  <c r="P48" i="13"/>
  <c r="P47" i="13"/>
  <c r="P46" i="13"/>
  <c r="P45" i="13"/>
  <c r="P44" i="13"/>
  <c r="P43" i="13"/>
  <c r="P42" i="13"/>
  <c r="P41" i="13"/>
  <c r="P40" i="13"/>
  <c r="P39" i="13"/>
  <c r="P38" i="13"/>
  <c r="P37" i="13"/>
  <c r="P36" i="13"/>
  <c r="P35" i="13"/>
  <c r="P34" i="13"/>
  <c r="P33" i="13"/>
  <c r="P32" i="13"/>
  <c r="P31" i="13"/>
  <c r="P30" i="13"/>
  <c r="P29" i="13"/>
  <c r="P28" i="13"/>
  <c r="P27" i="13"/>
  <c r="P26" i="13"/>
  <c r="P25" i="13"/>
  <c r="P24" i="13"/>
  <c r="P23" i="13"/>
  <c r="P22" i="13"/>
  <c r="P21" i="13"/>
  <c r="P20" i="13"/>
  <c r="P19" i="13"/>
  <c r="P18" i="13"/>
  <c r="P17" i="13"/>
  <c r="P16" i="13"/>
  <c r="P15" i="13"/>
  <c r="P14" i="13"/>
  <c r="P13" i="13"/>
  <c r="P12" i="13"/>
  <c r="P11" i="13"/>
  <c r="P10" i="13"/>
  <c r="P9" i="13"/>
  <c r="P8" i="13"/>
  <c r="P7" i="13"/>
  <c r="P6" i="13"/>
  <c r="P5" i="13"/>
  <c r="P4" i="13"/>
  <c r="P3" i="13"/>
  <c r="P347" i="12"/>
  <c r="P346" i="12"/>
  <c r="P345" i="12"/>
  <c r="P344" i="12"/>
  <c r="P343" i="12"/>
  <c r="P342" i="12"/>
  <c r="P341" i="12"/>
  <c r="P340" i="12"/>
  <c r="P339" i="12"/>
  <c r="P338" i="12"/>
  <c r="P337" i="12"/>
  <c r="P336" i="12"/>
  <c r="P335" i="12"/>
  <c r="P334" i="12"/>
  <c r="P333" i="12"/>
  <c r="P332" i="12"/>
  <c r="P331" i="12"/>
  <c r="P330" i="12"/>
  <c r="P329" i="12"/>
  <c r="P328" i="12"/>
  <c r="P327" i="12"/>
  <c r="P326" i="12"/>
  <c r="P325" i="12"/>
  <c r="P324" i="12"/>
  <c r="P323" i="12"/>
  <c r="P322" i="12"/>
  <c r="P321" i="12"/>
  <c r="P320" i="12"/>
  <c r="P319" i="12"/>
  <c r="P318" i="12"/>
  <c r="P317" i="12"/>
  <c r="P316" i="12"/>
  <c r="P315" i="12"/>
  <c r="P314" i="12"/>
  <c r="P313" i="12"/>
  <c r="P312" i="12"/>
  <c r="P311" i="12"/>
  <c r="P310" i="12"/>
  <c r="P309" i="12"/>
  <c r="P308" i="12"/>
  <c r="P307" i="12"/>
  <c r="P306" i="12"/>
  <c r="P305" i="12"/>
  <c r="P304" i="12"/>
  <c r="P303" i="12"/>
  <c r="P302" i="12"/>
  <c r="P301" i="12"/>
  <c r="P300" i="12"/>
  <c r="P299" i="12"/>
  <c r="P298" i="12"/>
  <c r="P297" i="12"/>
  <c r="P296" i="12"/>
  <c r="P295" i="12"/>
  <c r="P294" i="12"/>
  <c r="P293" i="12"/>
  <c r="P292" i="12"/>
  <c r="P291" i="12"/>
  <c r="P290" i="12"/>
  <c r="P289" i="12"/>
  <c r="P288" i="12"/>
  <c r="P287" i="12"/>
  <c r="P286" i="12"/>
  <c r="P285" i="12"/>
  <c r="P284" i="12"/>
  <c r="P283" i="12"/>
  <c r="P282" i="12"/>
  <c r="P281" i="12"/>
  <c r="P280" i="12"/>
  <c r="P279" i="12"/>
  <c r="P278" i="12"/>
  <c r="P277" i="12"/>
  <c r="P276" i="12"/>
  <c r="P275" i="12"/>
  <c r="P274" i="12"/>
  <c r="P273" i="12"/>
  <c r="P272" i="12"/>
  <c r="P271" i="12"/>
  <c r="P270" i="12"/>
  <c r="P269" i="12"/>
  <c r="P268" i="12"/>
  <c r="P267" i="12"/>
  <c r="P266" i="12"/>
  <c r="P265" i="12"/>
  <c r="P264" i="12"/>
  <c r="P263" i="12"/>
  <c r="P262" i="12"/>
  <c r="P261" i="12"/>
  <c r="P260" i="12"/>
  <c r="P259" i="12"/>
  <c r="P258" i="12"/>
  <c r="P257" i="12"/>
  <c r="P256" i="12"/>
  <c r="P255" i="12"/>
  <c r="P254" i="12"/>
  <c r="P253" i="12"/>
  <c r="P252" i="12"/>
  <c r="P251" i="12"/>
  <c r="P250" i="12"/>
  <c r="P249" i="12"/>
  <c r="P248" i="12"/>
  <c r="P247" i="12"/>
  <c r="P246" i="12"/>
  <c r="P245" i="12"/>
  <c r="P244" i="12"/>
  <c r="P243" i="12"/>
  <c r="P242" i="12"/>
  <c r="P241" i="12"/>
  <c r="P240" i="12"/>
  <c r="P239" i="12"/>
  <c r="P238" i="12"/>
  <c r="P237" i="12"/>
  <c r="P236" i="12"/>
  <c r="P235" i="12"/>
  <c r="P234" i="12"/>
  <c r="P233" i="12"/>
  <c r="P232" i="12"/>
  <c r="P231" i="12"/>
  <c r="P230" i="12"/>
  <c r="P229" i="12"/>
  <c r="P228" i="12"/>
  <c r="P227" i="12"/>
  <c r="P226" i="12"/>
  <c r="P225" i="12"/>
  <c r="P224" i="12"/>
  <c r="P223" i="12"/>
  <c r="P222" i="12"/>
  <c r="P221" i="12"/>
  <c r="P220" i="12"/>
  <c r="P219" i="12"/>
  <c r="P218" i="12"/>
  <c r="P217" i="12"/>
  <c r="P216" i="12"/>
  <c r="P215" i="12"/>
  <c r="P214" i="12"/>
  <c r="P213" i="12"/>
  <c r="P212" i="12"/>
  <c r="P211" i="12"/>
  <c r="P210" i="12"/>
  <c r="P209" i="12"/>
  <c r="P208" i="12"/>
  <c r="P207" i="12"/>
  <c r="P206" i="12"/>
  <c r="P205" i="12"/>
  <c r="P204" i="12"/>
  <c r="P203" i="12"/>
  <c r="P202" i="12"/>
  <c r="P201" i="12"/>
  <c r="P200" i="12"/>
  <c r="P199" i="12"/>
  <c r="P198" i="12"/>
  <c r="P197" i="12"/>
  <c r="P196" i="12"/>
  <c r="P195" i="12"/>
  <c r="P194" i="12"/>
  <c r="P193" i="12"/>
  <c r="P192" i="12"/>
  <c r="P191" i="12"/>
  <c r="P190" i="12"/>
  <c r="P189" i="12"/>
  <c r="P188" i="12"/>
  <c r="P187" i="12"/>
  <c r="P186" i="12"/>
  <c r="P185" i="12"/>
  <c r="P184" i="12"/>
  <c r="P183" i="12"/>
  <c r="P182" i="12"/>
  <c r="P181" i="12"/>
  <c r="P180" i="12"/>
  <c r="P179" i="12"/>
  <c r="P178" i="12"/>
  <c r="P177" i="12"/>
  <c r="P176" i="12"/>
  <c r="P175" i="12"/>
  <c r="P174" i="12"/>
  <c r="P173" i="12"/>
  <c r="P172" i="12"/>
  <c r="P171" i="12"/>
  <c r="P170" i="12"/>
  <c r="P169" i="12"/>
  <c r="P168" i="12"/>
  <c r="P167" i="12"/>
  <c r="P166" i="12"/>
  <c r="P165" i="12"/>
  <c r="P164" i="12"/>
  <c r="P163" i="12"/>
  <c r="P162" i="12"/>
  <c r="P161" i="12"/>
  <c r="P160" i="12"/>
  <c r="P159" i="12"/>
  <c r="P158" i="12"/>
  <c r="P157" i="12"/>
  <c r="P156" i="12"/>
  <c r="P155" i="12"/>
  <c r="P154" i="12"/>
  <c r="P153" i="12"/>
  <c r="P152" i="12"/>
  <c r="P151" i="12"/>
  <c r="P150" i="12"/>
  <c r="P149" i="12"/>
  <c r="P148" i="12"/>
  <c r="P147" i="12"/>
  <c r="P146" i="12"/>
  <c r="P145" i="12"/>
  <c r="P144" i="12"/>
  <c r="P143" i="12"/>
  <c r="P142" i="12"/>
  <c r="P141" i="12"/>
  <c r="P140" i="12"/>
  <c r="P139" i="12"/>
  <c r="P138" i="12"/>
  <c r="P137" i="12"/>
  <c r="P136" i="12"/>
  <c r="P135" i="12"/>
  <c r="P134" i="12"/>
  <c r="P133" i="12"/>
  <c r="P132" i="12"/>
  <c r="P131" i="12"/>
  <c r="P130" i="12"/>
  <c r="P129" i="12"/>
  <c r="P128" i="12"/>
  <c r="P127" i="12"/>
  <c r="P126" i="12"/>
  <c r="P125" i="12"/>
  <c r="P124" i="12"/>
  <c r="P123" i="12"/>
  <c r="P122" i="12"/>
  <c r="P121" i="12"/>
  <c r="P120" i="12"/>
  <c r="P119" i="12"/>
  <c r="P118" i="12"/>
  <c r="P117" i="12"/>
  <c r="P116" i="12"/>
  <c r="P115" i="12"/>
  <c r="P114" i="12"/>
  <c r="P113" i="12"/>
  <c r="P112" i="12"/>
  <c r="P111" i="12"/>
  <c r="P110" i="12"/>
  <c r="P109" i="12"/>
  <c r="P108" i="12"/>
  <c r="P107" i="12"/>
  <c r="P106" i="12"/>
  <c r="P105" i="12"/>
  <c r="P104" i="12"/>
  <c r="P103" i="12"/>
  <c r="P102" i="12"/>
  <c r="P101" i="12"/>
  <c r="P100" i="12"/>
  <c r="P99" i="12"/>
  <c r="P98" i="12"/>
  <c r="P97" i="12"/>
  <c r="P96" i="12"/>
  <c r="P95" i="12"/>
  <c r="P94" i="12"/>
  <c r="P93" i="12"/>
  <c r="P92" i="12"/>
  <c r="P91" i="12"/>
  <c r="P90" i="12"/>
  <c r="P89" i="12"/>
  <c r="P88" i="12"/>
  <c r="P87" i="12"/>
  <c r="P86" i="12"/>
  <c r="P85" i="12"/>
  <c r="P84" i="12"/>
  <c r="P83" i="12"/>
  <c r="P82" i="12"/>
  <c r="P81" i="12"/>
  <c r="P80" i="12"/>
  <c r="P79" i="12"/>
  <c r="P78" i="12"/>
  <c r="P77" i="12"/>
  <c r="P76" i="12"/>
  <c r="P75" i="12"/>
  <c r="P74" i="12"/>
  <c r="P73" i="12"/>
  <c r="P72" i="12"/>
  <c r="P71" i="12"/>
  <c r="P70" i="12"/>
  <c r="P69" i="12"/>
  <c r="P68" i="12"/>
  <c r="P67" i="12"/>
  <c r="P66" i="12"/>
  <c r="P65" i="12"/>
  <c r="P64" i="12"/>
  <c r="P63" i="12"/>
  <c r="P62" i="12"/>
  <c r="P61" i="12"/>
  <c r="P60" i="12"/>
  <c r="P59" i="12"/>
  <c r="P58" i="12"/>
  <c r="P57" i="12"/>
  <c r="P56" i="12"/>
  <c r="P55" i="12"/>
  <c r="P54" i="12"/>
  <c r="P53" i="12"/>
  <c r="P52" i="12"/>
  <c r="P51" i="12"/>
  <c r="P50" i="12"/>
  <c r="P49" i="12"/>
  <c r="P48" i="12"/>
  <c r="P47" i="12"/>
  <c r="P46" i="12"/>
  <c r="P45" i="12"/>
  <c r="P44" i="12"/>
  <c r="P43" i="12"/>
  <c r="P42" i="12"/>
  <c r="P41" i="12"/>
  <c r="P40" i="12"/>
  <c r="P39" i="12"/>
  <c r="P38" i="12"/>
  <c r="P37" i="12"/>
  <c r="P36" i="12"/>
  <c r="P35" i="12"/>
  <c r="P34" i="12"/>
  <c r="P33" i="12"/>
  <c r="P32" i="12"/>
  <c r="P31" i="12"/>
  <c r="P30" i="12"/>
  <c r="P29" i="12"/>
  <c r="P28" i="12"/>
  <c r="P27" i="12"/>
  <c r="P26" i="12"/>
  <c r="P25" i="12"/>
  <c r="P24" i="12"/>
  <c r="P23" i="12"/>
  <c r="P22" i="12"/>
  <c r="P21" i="12"/>
  <c r="P20" i="12"/>
  <c r="P19" i="12"/>
  <c r="P18" i="12"/>
  <c r="P17" i="12"/>
  <c r="P16" i="12"/>
  <c r="P15" i="12"/>
  <c r="P14" i="12"/>
  <c r="P13" i="12"/>
  <c r="P12" i="12"/>
  <c r="P11" i="12"/>
  <c r="P10" i="12"/>
  <c r="P9" i="12"/>
  <c r="P8" i="12"/>
  <c r="P7" i="12"/>
  <c r="P6" i="12"/>
  <c r="P5" i="12"/>
  <c r="P4" i="12"/>
  <c r="P3" i="12"/>
  <c r="P347" i="11"/>
  <c r="P346" i="11"/>
  <c r="P345" i="11"/>
  <c r="P344" i="11"/>
  <c r="P343" i="11"/>
  <c r="P342" i="11"/>
  <c r="P341" i="11"/>
  <c r="P340" i="11"/>
  <c r="P339" i="11"/>
  <c r="P338" i="11"/>
  <c r="P337" i="11"/>
  <c r="P336" i="11"/>
  <c r="P335" i="11"/>
  <c r="P334" i="11"/>
  <c r="P333" i="11"/>
  <c r="P332" i="11"/>
  <c r="P331" i="11"/>
  <c r="P330" i="11"/>
  <c r="P329" i="11"/>
  <c r="P328" i="11"/>
  <c r="P327" i="11"/>
  <c r="P326" i="11"/>
  <c r="P325" i="11"/>
  <c r="P324" i="11"/>
  <c r="P323" i="11"/>
  <c r="P322" i="11"/>
  <c r="P321" i="11"/>
  <c r="P320" i="11"/>
  <c r="P319" i="11"/>
  <c r="P318" i="11"/>
  <c r="P317" i="11"/>
  <c r="P316" i="11"/>
  <c r="P315" i="11"/>
  <c r="P314" i="11"/>
  <c r="P313" i="11"/>
  <c r="P312" i="11"/>
  <c r="P311" i="11"/>
  <c r="P310" i="11"/>
  <c r="P309" i="11"/>
  <c r="P308" i="11"/>
  <c r="P307" i="11"/>
  <c r="P306" i="11"/>
  <c r="P305" i="11"/>
  <c r="P304" i="11"/>
  <c r="P303" i="11"/>
  <c r="P302" i="11"/>
  <c r="P301" i="11"/>
  <c r="P300" i="11"/>
  <c r="P299" i="11"/>
  <c r="P298" i="11"/>
  <c r="P297" i="11"/>
  <c r="P296" i="11"/>
  <c r="P295" i="11"/>
  <c r="P294" i="11"/>
  <c r="P293" i="11"/>
  <c r="P292" i="11"/>
  <c r="P291" i="11"/>
  <c r="P290" i="11"/>
  <c r="P289" i="11"/>
  <c r="P288" i="11"/>
  <c r="P287" i="11"/>
  <c r="P286" i="11"/>
  <c r="P285" i="11"/>
  <c r="P284" i="11"/>
  <c r="P283" i="11"/>
  <c r="P282" i="11"/>
  <c r="P281" i="11"/>
  <c r="P280" i="11"/>
  <c r="P279" i="11"/>
  <c r="P278" i="11"/>
  <c r="P277" i="11"/>
  <c r="P276" i="11"/>
  <c r="P275" i="11"/>
  <c r="P274" i="11"/>
  <c r="P273" i="11"/>
  <c r="P272" i="11"/>
  <c r="P271" i="11"/>
  <c r="P270" i="11"/>
  <c r="P269" i="11"/>
  <c r="P268" i="11"/>
  <c r="P267" i="11"/>
  <c r="P266" i="11"/>
  <c r="P265" i="11"/>
  <c r="P264" i="11"/>
  <c r="P263" i="11"/>
  <c r="P262" i="11"/>
  <c r="P261" i="11"/>
  <c r="P260" i="11"/>
  <c r="P259" i="11"/>
  <c r="P258" i="11"/>
  <c r="P257" i="11"/>
  <c r="P256" i="11"/>
  <c r="P255" i="11"/>
  <c r="P254" i="11"/>
  <c r="P253" i="11"/>
  <c r="P252" i="11"/>
  <c r="P251" i="11"/>
  <c r="P250" i="11"/>
  <c r="P249" i="11"/>
  <c r="P248" i="11"/>
  <c r="P247" i="11"/>
  <c r="P246" i="11"/>
  <c r="P245" i="11"/>
  <c r="P244" i="11"/>
  <c r="P243" i="11"/>
  <c r="P242" i="11"/>
  <c r="P241" i="11"/>
  <c r="P240" i="11"/>
  <c r="P239" i="11"/>
  <c r="P238" i="11"/>
  <c r="P237" i="11"/>
  <c r="P236" i="11"/>
  <c r="P235" i="11"/>
  <c r="P234" i="11"/>
  <c r="P233" i="11"/>
  <c r="P232" i="11"/>
  <c r="P231" i="11"/>
  <c r="P230" i="11"/>
  <c r="P229" i="11"/>
  <c r="P228" i="11"/>
  <c r="P227" i="11"/>
  <c r="P226" i="11"/>
  <c r="P225" i="11"/>
  <c r="P224" i="11"/>
  <c r="P223" i="11"/>
  <c r="P222" i="11"/>
  <c r="P221" i="11"/>
  <c r="P220" i="11"/>
  <c r="P219" i="11"/>
  <c r="P218" i="11"/>
  <c r="P217" i="11"/>
  <c r="P216" i="11"/>
  <c r="P215" i="11"/>
  <c r="P214" i="11"/>
  <c r="P213" i="11"/>
  <c r="P212" i="11"/>
  <c r="P211" i="11"/>
  <c r="P210" i="11"/>
  <c r="P209" i="11"/>
  <c r="P208" i="11"/>
  <c r="P207" i="11"/>
  <c r="P206" i="11"/>
  <c r="P205" i="11"/>
  <c r="P204" i="11"/>
  <c r="P203" i="11"/>
  <c r="P202" i="11"/>
  <c r="P201" i="11"/>
  <c r="P200" i="11"/>
  <c r="P199" i="11"/>
  <c r="P198" i="11"/>
  <c r="P197" i="11"/>
  <c r="P196" i="11"/>
  <c r="P195" i="11"/>
  <c r="P194" i="11"/>
  <c r="P193" i="11"/>
  <c r="P192" i="11"/>
  <c r="P191" i="11"/>
  <c r="P190" i="11"/>
  <c r="P189" i="11"/>
  <c r="P188" i="11"/>
  <c r="P187" i="11"/>
  <c r="P186" i="11"/>
  <c r="P185" i="11"/>
  <c r="P184" i="11"/>
  <c r="P183" i="11"/>
  <c r="P182" i="11"/>
  <c r="P181" i="11"/>
  <c r="P180" i="11"/>
  <c r="P179" i="11"/>
  <c r="P178" i="11"/>
  <c r="P177" i="11"/>
  <c r="P176" i="11"/>
  <c r="P175" i="11"/>
  <c r="P174" i="11"/>
  <c r="P173" i="11"/>
  <c r="P172" i="11"/>
  <c r="P171" i="11"/>
  <c r="P170" i="11"/>
  <c r="P169" i="11"/>
  <c r="P168" i="11"/>
  <c r="P167" i="11"/>
  <c r="P166" i="11"/>
  <c r="P165" i="11"/>
  <c r="P164" i="11"/>
  <c r="P163" i="11"/>
  <c r="P162" i="11"/>
  <c r="P161" i="11"/>
  <c r="P160" i="11"/>
  <c r="P159" i="11"/>
  <c r="P158" i="11"/>
  <c r="P157" i="11"/>
  <c r="P156" i="11"/>
  <c r="P155" i="11"/>
  <c r="P154" i="11"/>
  <c r="P153" i="11"/>
  <c r="P152" i="11"/>
  <c r="P151" i="11"/>
  <c r="P150" i="11"/>
  <c r="P149" i="11"/>
  <c r="P148" i="11"/>
  <c r="P147" i="11"/>
  <c r="P146" i="11"/>
  <c r="P145" i="11"/>
  <c r="P144" i="11"/>
  <c r="P143" i="11"/>
  <c r="P142" i="11"/>
  <c r="P141" i="11"/>
  <c r="P140" i="11"/>
  <c r="P139" i="11"/>
  <c r="P138" i="11"/>
  <c r="P137" i="11"/>
  <c r="P136" i="11"/>
  <c r="P135" i="11"/>
  <c r="P134" i="11"/>
  <c r="P133" i="11"/>
  <c r="P132" i="11"/>
  <c r="P131" i="11"/>
  <c r="P130" i="11"/>
  <c r="P129" i="11"/>
  <c r="P128" i="11"/>
  <c r="P127" i="11"/>
  <c r="P126" i="11"/>
  <c r="P125" i="11"/>
  <c r="P124" i="11"/>
  <c r="P123" i="11"/>
  <c r="P122" i="11"/>
  <c r="P121" i="11"/>
  <c r="P120" i="11"/>
  <c r="P119" i="11"/>
  <c r="P118" i="11"/>
  <c r="P117" i="11"/>
  <c r="P116" i="11"/>
  <c r="P115" i="11"/>
  <c r="P114" i="11"/>
  <c r="P113" i="11"/>
  <c r="P112" i="11"/>
  <c r="P111" i="11"/>
  <c r="P110" i="11"/>
  <c r="P109" i="11"/>
  <c r="P108" i="11"/>
  <c r="P107" i="11"/>
  <c r="P106" i="11"/>
  <c r="P105" i="11"/>
  <c r="P104" i="11"/>
  <c r="P103" i="11"/>
  <c r="P102" i="11"/>
  <c r="P101" i="11"/>
  <c r="P100" i="11"/>
  <c r="P99" i="11"/>
  <c r="P98" i="11"/>
  <c r="P97" i="11"/>
  <c r="P96" i="11"/>
  <c r="P95" i="11"/>
  <c r="P94" i="11"/>
  <c r="P93" i="11"/>
  <c r="P92" i="11"/>
  <c r="P91" i="11"/>
  <c r="P90" i="11"/>
  <c r="P89" i="11"/>
  <c r="P88" i="11"/>
  <c r="P87" i="11"/>
  <c r="P86" i="11"/>
  <c r="P85" i="11"/>
  <c r="P84" i="11"/>
  <c r="P83" i="11"/>
  <c r="P82" i="11"/>
  <c r="P81" i="11"/>
  <c r="P80" i="11"/>
  <c r="P79" i="11"/>
  <c r="P78" i="11"/>
  <c r="P77" i="11"/>
  <c r="P76" i="11"/>
  <c r="P75" i="11"/>
  <c r="P74" i="11"/>
  <c r="P73" i="11"/>
  <c r="P72" i="11"/>
  <c r="P71" i="11"/>
  <c r="P70" i="11"/>
  <c r="P69" i="11"/>
  <c r="P68" i="11"/>
  <c r="P67" i="11"/>
  <c r="P66" i="11"/>
  <c r="P65" i="11"/>
  <c r="P64" i="11"/>
  <c r="P63" i="11"/>
  <c r="P62" i="11"/>
  <c r="P61" i="11"/>
  <c r="P60" i="11"/>
  <c r="P59" i="11"/>
  <c r="P58" i="11"/>
  <c r="P57" i="11"/>
  <c r="P56" i="11"/>
  <c r="P55" i="11"/>
  <c r="P54" i="11"/>
  <c r="P53" i="11"/>
  <c r="P52" i="11"/>
  <c r="P51" i="11"/>
  <c r="P50" i="11"/>
  <c r="P49" i="11"/>
  <c r="P48" i="11"/>
  <c r="P47" i="11"/>
  <c r="P46" i="11"/>
  <c r="P45" i="11"/>
  <c r="P44" i="11"/>
  <c r="P43" i="11"/>
  <c r="P42" i="11"/>
  <c r="P41" i="11"/>
  <c r="P40" i="11"/>
  <c r="P39" i="11"/>
  <c r="P38" i="11"/>
  <c r="P37" i="11"/>
  <c r="P36" i="11"/>
  <c r="P35" i="11"/>
  <c r="P34" i="11"/>
  <c r="P33" i="11"/>
  <c r="P32" i="11"/>
  <c r="P31" i="11"/>
  <c r="P30" i="11"/>
  <c r="P29" i="11"/>
  <c r="P28" i="11"/>
  <c r="P27" i="11"/>
  <c r="P26" i="11"/>
  <c r="P25" i="11"/>
  <c r="P24" i="11"/>
  <c r="P23" i="11"/>
  <c r="P22" i="11"/>
  <c r="P21" i="11"/>
  <c r="P20" i="11"/>
  <c r="P19" i="11"/>
  <c r="P18" i="11"/>
  <c r="P17" i="11"/>
  <c r="P16" i="11"/>
  <c r="P15" i="11"/>
  <c r="P14" i="11"/>
  <c r="P13" i="11"/>
  <c r="P12" i="11"/>
  <c r="P11" i="11"/>
  <c r="P10" i="11"/>
  <c r="P9" i="11"/>
  <c r="P8" i="11"/>
  <c r="P7" i="11"/>
  <c r="P6" i="11"/>
  <c r="P5" i="11"/>
  <c r="P4" i="11"/>
  <c r="P3" i="11"/>
  <c r="AA15" i="10"/>
  <c r="X15" i="10"/>
  <c r="W15" i="10"/>
  <c r="V15" i="10"/>
  <c r="U15" i="10"/>
  <c r="T15" i="10"/>
  <c r="R15" i="10"/>
  <c r="Q15" i="10"/>
  <c r="P15" i="10"/>
  <c r="O15" i="10"/>
  <c r="L15" i="10"/>
  <c r="K15" i="10"/>
  <c r="J15" i="10"/>
  <c r="I15" i="10"/>
  <c r="H15" i="10"/>
  <c r="F15" i="10"/>
  <c r="E15" i="10"/>
  <c r="D15" i="10"/>
  <c r="AA13" i="10"/>
  <c r="Z13" i="10"/>
  <c r="Y13" i="10"/>
  <c r="X13" i="10"/>
  <c r="W13" i="10"/>
  <c r="V13" i="10"/>
  <c r="U13" i="10"/>
  <c r="T13" i="10"/>
  <c r="S13" i="10"/>
  <c r="R13" i="10"/>
  <c r="Q13" i="10"/>
  <c r="P13" i="10"/>
  <c r="O13" i="10"/>
  <c r="N13" i="10"/>
  <c r="M13" i="10"/>
  <c r="L13" i="10"/>
  <c r="K13" i="10"/>
  <c r="J13" i="10"/>
  <c r="I13" i="10"/>
  <c r="H13" i="10"/>
  <c r="G13" i="10"/>
  <c r="F13" i="10"/>
  <c r="E13" i="10"/>
  <c r="D13" i="10"/>
  <c r="AA12" i="10"/>
  <c r="Z12" i="10"/>
  <c r="Y12" i="10"/>
  <c r="W12" i="10"/>
  <c r="U12" i="10"/>
  <c r="T12" i="10"/>
  <c r="S12" i="10"/>
  <c r="R12" i="10"/>
  <c r="P12" i="10"/>
  <c r="O12" i="10"/>
  <c r="N12" i="10"/>
  <c r="M12" i="10"/>
  <c r="K12" i="10"/>
  <c r="I12" i="10"/>
  <c r="H12" i="10"/>
  <c r="G12" i="10"/>
  <c r="F12" i="10"/>
  <c r="D12" i="10"/>
  <c r="AA10" i="10"/>
  <c r="Z10" i="10"/>
  <c r="Y10" i="10"/>
  <c r="W10" i="10"/>
  <c r="V10" i="10"/>
  <c r="U10" i="10"/>
  <c r="T10" i="10"/>
  <c r="Q10" i="10"/>
  <c r="P10" i="10"/>
  <c r="O10" i="10"/>
  <c r="N10" i="10"/>
  <c r="M10" i="10"/>
  <c r="K10" i="10"/>
  <c r="J10" i="10"/>
  <c r="I10" i="10"/>
  <c r="H10" i="10"/>
  <c r="E10" i="10"/>
  <c r="D10" i="10"/>
  <c r="AA9" i="10"/>
  <c r="Z9" i="10"/>
  <c r="X9" i="10"/>
  <c r="W9" i="10"/>
  <c r="V9" i="10"/>
  <c r="U9" i="10"/>
  <c r="R9" i="10"/>
  <c r="Q9" i="10"/>
  <c r="P9" i="10"/>
  <c r="O9" i="10"/>
  <c r="N9" i="10"/>
  <c r="L9" i="10"/>
  <c r="K9" i="10"/>
  <c r="J9" i="10"/>
  <c r="I9" i="10"/>
  <c r="F9" i="10"/>
  <c r="E9" i="10"/>
  <c r="D9" i="10"/>
  <c r="AA8" i="10"/>
  <c r="Z8" i="10"/>
  <c r="Y8" i="10"/>
  <c r="X8" i="10"/>
  <c r="W8" i="10"/>
  <c r="V8" i="10"/>
  <c r="U8" i="10"/>
  <c r="S8" i="10"/>
  <c r="R8" i="10"/>
  <c r="Q8" i="10"/>
  <c r="P8" i="10"/>
  <c r="O8" i="10"/>
  <c r="N8" i="10"/>
  <c r="M8" i="10"/>
  <c r="L8" i="10"/>
  <c r="K8" i="10"/>
  <c r="J8" i="10"/>
  <c r="I8" i="10"/>
  <c r="G8" i="10"/>
  <c r="F8" i="10"/>
  <c r="E8" i="10"/>
  <c r="D8" i="10"/>
  <c r="AA6" i="10"/>
  <c r="Z6" i="10"/>
  <c r="Y6" i="10"/>
  <c r="X6" i="10"/>
  <c r="W6" i="10"/>
  <c r="V6" i="10"/>
  <c r="U6" i="10"/>
  <c r="T6" i="10"/>
  <c r="S6" i="10"/>
  <c r="R6" i="10"/>
  <c r="Q6" i="10"/>
  <c r="P6" i="10"/>
  <c r="O6" i="10"/>
  <c r="N6" i="10"/>
  <c r="M6" i="10"/>
  <c r="L6" i="10"/>
  <c r="K6" i="10"/>
  <c r="J6" i="10"/>
  <c r="I6" i="10"/>
  <c r="H6" i="10"/>
  <c r="G6" i="10"/>
  <c r="F6" i="10"/>
  <c r="E6" i="10"/>
  <c r="D6" i="10"/>
  <c r="Z5" i="10"/>
  <c r="E5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E4" i="10"/>
  <c r="D4" i="10"/>
  <c r="AA3" i="10"/>
  <c r="AA5" i="10" s="1"/>
  <c r="Z3" i="10"/>
  <c r="Y3" i="10"/>
  <c r="Y5" i="10" s="1"/>
  <c r="X3" i="10"/>
  <c r="X5" i="10" s="1"/>
  <c r="W3" i="10"/>
  <c r="W5" i="10" s="1"/>
  <c r="V3" i="10"/>
  <c r="V5" i="10" s="1"/>
  <c r="U3" i="10"/>
  <c r="U5" i="10" s="1"/>
  <c r="T3" i="10"/>
  <c r="T5" i="10" s="1"/>
  <c r="S3" i="10"/>
  <c r="S5" i="10" s="1"/>
  <c r="R3" i="10"/>
  <c r="R5" i="10" s="1"/>
  <c r="Q3" i="10"/>
  <c r="Q5" i="10" s="1"/>
  <c r="P3" i="10"/>
  <c r="P5" i="10" s="1"/>
  <c r="O3" i="10"/>
  <c r="O5" i="10" s="1"/>
  <c r="N3" i="10"/>
  <c r="N5" i="10" s="1"/>
  <c r="M3" i="10"/>
  <c r="M5" i="10" s="1"/>
  <c r="L3" i="10"/>
  <c r="L5" i="10" s="1"/>
  <c r="K3" i="10"/>
  <c r="K5" i="10" s="1"/>
  <c r="J3" i="10"/>
  <c r="J5" i="10" s="1"/>
  <c r="I3" i="10"/>
  <c r="I5" i="10" s="1"/>
  <c r="H3" i="10"/>
  <c r="H5" i="10" s="1"/>
  <c r="G3" i="10"/>
  <c r="G5" i="10" s="1"/>
  <c r="F3" i="10"/>
  <c r="F5" i="10" s="1"/>
  <c r="E3" i="10"/>
  <c r="D3" i="10"/>
  <c r="D5" i="10" s="1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AA13" i="9"/>
  <c r="Z13" i="9"/>
  <c r="Y13" i="9"/>
  <c r="X13" i="9"/>
  <c r="W13" i="9"/>
  <c r="V13" i="9"/>
  <c r="U13" i="9"/>
  <c r="T13" i="9"/>
  <c r="S13" i="9"/>
  <c r="R13" i="9"/>
  <c r="Q13" i="9"/>
  <c r="P13" i="9"/>
  <c r="O13" i="9"/>
  <c r="N13" i="9"/>
  <c r="M13" i="9"/>
  <c r="L13" i="9"/>
  <c r="K13" i="9"/>
  <c r="J13" i="9"/>
  <c r="I13" i="9"/>
  <c r="H13" i="9"/>
  <c r="G13" i="9"/>
  <c r="F13" i="9"/>
  <c r="E13" i="9"/>
  <c r="D13" i="9"/>
  <c r="AA12" i="9"/>
  <c r="Z12" i="9"/>
  <c r="Y12" i="9"/>
  <c r="X12" i="9"/>
  <c r="W12" i="9"/>
  <c r="V12" i="9"/>
  <c r="U12" i="9"/>
  <c r="T12" i="9"/>
  <c r="S12" i="9"/>
  <c r="R12" i="9"/>
  <c r="Q12" i="9"/>
  <c r="P12" i="9"/>
  <c r="O12" i="9"/>
  <c r="N12" i="9"/>
  <c r="M12" i="9"/>
  <c r="L12" i="9"/>
  <c r="K12" i="9"/>
  <c r="J12" i="9"/>
  <c r="I12" i="9"/>
  <c r="H12" i="9"/>
  <c r="G12" i="9"/>
  <c r="F12" i="9"/>
  <c r="E12" i="9"/>
  <c r="D12" i="9"/>
  <c r="AA10" i="9"/>
  <c r="Z10" i="9"/>
  <c r="Y10" i="9"/>
  <c r="X10" i="9"/>
  <c r="W10" i="9"/>
  <c r="V10" i="9"/>
  <c r="U10" i="9"/>
  <c r="T10" i="9"/>
  <c r="S10" i="9"/>
  <c r="R10" i="9"/>
  <c r="Q10" i="9"/>
  <c r="P10" i="9"/>
  <c r="O10" i="9"/>
  <c r="N10" i="9"/>
  <c r="M10" i="9"/>
  <c r="L10" i="9"/>
  <c r="K10" i="9"/>
  <c r="J10" i="9"/>
  <c r="I10" i="9"/>
  <c r="H10" i="9"/>
  <c r="G10" i="9"/>
  <c r="F10" i="9"/>
  <c r="E10" i="9"/>
  <c r="D10" i="9"/>
  <c r="AA9" i="9"/>
  <c r="Z9" i="9"/>
  <c r="Y9" i="9"/>
  <c r="X9" i="9"/>
  <c r="W9" i="9"/>
  <c r="V9" i="9"/>
  <c r="U9" i="9"/>
  <c r="T9" i="9"/>
  <c r="S9" i="9"/>
  <c r="R9" i="9"/>
  <c r="Q9" i="9"/>
  <c r="P9" i="9"/>
  <c r="O9" i="9"/>
  <c r="N9" i="9"/>
  <c r="M9" i="9"/>
  <c r="L9" i="9"/>
  <c r="K9" i="9"/>
  <c r="J9" i="9"/>
  <c r="I9" i="9"/>
  <c r="H9" i="9"/>
  <c r="G9" i="9"/>
  <c r="F9" i="9"/>
  <c r="E9" i="9"/>
  <c r="D9" i="9"/>
  <c r="AA8" i="9"/>
  <c r="Z8" i="9"/>
  <c r="Y8" i="9"/>
  <c r="X8" i="9"/>
  <c r="W8" i="9"/>
  <c r="V8" i="9"/>
  <c r="U8" i="9"/>
  <c r="T8" i="9"/>
  <c r="S8" i="9"/>
  <c r="R8" i="9"/>
  <c r="Q8" i="9"/>
  <c r="P8" i="9"/>
  <c r="O8" i="9"/>
  <c r="N8" i="9"/>
  <c r="M8" i="9"/>
  <c r="L8" i="9"/>
  <c r="K8" i="9"/>
  <c r="J8" i="9"/>
  <c r="I8" i="9"/>
  <c r="H8" i="9"/>
  <c r="G8" i="9"/>
  <c r="F8" i="9"/>
  <c r="E8" i="9"/>
  <c r="D8" i="9"/>
  <c r="AA6" i="9"/>
  <c r="Z6" i="9"/>
  <c r="Y6" i="9"/>
  <c r="X6" i="9"/>
  <c r="W6" i="9"/>
  <c r="V6" i="9"/>
  <c r="U6" i="9"/>
  <c r="T6" i="9"/>
  <c r="S6" i="9"/>
  <c r="R6" i="9"/>
  <c r="Q6" i="9"/>
  <c r="P6" i="9"/>
  <c r="O6" i="9"/>
  <c r="N6" i="9"/>
  <c r="M6" i="9"/>
  <c r="L6" i="9"/>
  <c r="K6" i="9"/>
  <c r="J6" i="9"/>
  <c r="I6" i="9"/>
  <c r="H6" i="9"/>
  <c r="G6" i="9"/>
  <c r="F6" i="9"/>
  <c r="E6" i="9"/>
  <c r="D6" i="9"/>
  <c r="AA4" i="9"/>
  <c r="Z4" i="9"/>
  <c r="Y4" i="9"/>
  <c r="X4" i="9"/>
  <c r="W4" i="9"/>
  <c r="V4" i="9"/>
  <c r="U4" i="9"/>
  <c r="T4" i="9"/>
  <c r="S4" i="9"/>
  <c r="R4" i="9"/>
  <c r="Q4" i="9"/>
  <c r="P4" i="9"/>
  <c r="O4" i="9"/>
  <c r="N4" i="9"/>
  <c r="M4" i="9"/>
  <c r="L4" i="9"/>
  <c r="K4" i="9"/>
  <c r="J4" i="9"/>
  <c r="I4" i="9"/>
  <c r="H4" i="9"/>
  <c r="G4" i="9"/>
  <c r="F4" i="9"/>
  <c r="E4" i="9"/>
  <c r="D4" i="9"/>
  <c r="AA3" i="9"/>
  <c r="AA5" i="9" s="1"/>
  <c r="Z3" i="9"/>
  <c r="Z5" i="9" s="1"/>
  <c r="Y3" i="9"/>
  <c r="Y5" i="9" s="1"/>
  <c r="X3" i="9"/>
  <c r="X5" i="9" s="1"/>
  <c r="W3" i="9"/>
  <c r="W5" i="9" s="1"/>
  <c r="V3" i="9"/>
  <c r="V5" i="9" s="1"/>
  <c r="U3" i="9"/>
  <c r="U5" i="9" s="1"/>
  <c r="T3" i="9"/>
  <c r="T5" i="9" s="1"/>
  <c r="S3" i="9"/>
  <c r="S5" i="9" s="1"/>
  <c r="R3" i="9"/>
  <c r="R5" i="9" s="1"/>
  <c r="Q3" i="9"/>
  <c r="Q5" i="9" s="1"/>
  <c r="P3" i="9"/>
  <c r="P5" i="9" s="1"/>
  <c r="O3" i="9"/>
  <c r="O5" i="9" s="1"/>
  <c r="N3" i="9"/>
  <c r="N5" i="9" s="1"/>
  <c r="M3" i="9"/>
  <c r="M5" i="9" s="1"/>
  <c r="L3" i="9"/>
  <c r="L5" i="9" s="1"/>
  <c r="K3" i="9"/>
  <c r="K5" i="9" s="1"/>
  <c r="J3" i="9"/>
  <c r="J5" i="9" s="1"/>
  <c r="I3" i="9"/>
  <c r="I5" i="9" s="1"/>
  <c r="H3" i="9"/>
  <c r="H5" i="9" s="1"/>
  <c r="G3" i="9"/>
  <c r="G5" i="9" s="1"/>
  <c r="F3" i="9"/>
  <c r="F5" i="9" s="1"/>
  <c r="E3" i="9"/>
  <c r="E5" i="9" s="1"/>
  <c r="D3" i="9"/>
  <c r="D5" i="9" s="1"/>
  <c r="Z17" i="8"/>
  <c r="Y17" i="8"/>
  <c r="X17" i="8"/>
  <c r="V17" i="8"/>
  <c r="S17" i="8"/>
  <c r="R17" i="8"/>
  <c r="Q17" i="8"/>
  <c r="P17" i="8"/>
  <c r="O17" i="8"/>
  <c r="N17" i="8"/>
  <c r="M17" i="8"/>
  <c r="L17" i="8"/>
  <c r="F17" i="8"/>
  <c r="E17" i="8"/>
  <c r="V15" i="8"/>
  <c r="S15" i="8"/>
  <c r="R15" i="8"/>
  <c r="Q15" i="8"/>
  <c r="P15" i="8"/>
  <c r="M15" i="8"/>
  <c r="G15" i="8"/>
  <c r="F15" i="8"/>
  <c r="E15" i="8"/>
  <c r="AA14" i="8"/>
  <c r="Z14" i="8"/>
  <c r="Y14" i="8"/>
  <c r="W14" i="8"/>
  <c r="S14" i="8"/>
  <c r="R14" i="8"/>
  <c r="Q14" i="8"/>
  <c r="K14" i="8"/>
  <c r="J14" i="8"/>
  <c r="G14" i="8"/>
  <c r="F14" i="8"/>
  <c r="E14" i="8"/>
  <c r="AA13" i="8"/>
  <c r="Z13" i="8"/>
  <c r="Y13" i="8"/>
  <c r="X13" i="8"/>
  <c r="V13" i="8"/>
  <c r="U13" i="8"/>
  <c r="S13" i="8"/>
  <c r="R13" i="8"/>
  <c r="Q13" i="8"/>
  <c r="O13" i="8"/>
  <c r="L13" i="8"/>
  <c r="J13" i="8"/>
  <c r="I13" i="8"/>
  <c r="F13" i="8"/>
  <c r="E13" i="8"/>
  <c r="AA12" i="8"/>
  <c r="Z12" i="8"/>
  <c r="Y12" i="8"/>
  <c r="W12" i="8"/>
  <c r="V12" i="8"/>
  <c r="R12" i="8"/>
  <c r="Q12" i="8"/>
  <c r="N12" i="8"/>
  <c r="M12" i="8"/>
  <c r="F12" i="8"/>
  <c r="E12" i="8"/>
  <c r="AA10" i="8"/>
  <c r="Z10" i="8"/>
  <c r="Y10" i="8"/>
  <c r="X10" i="8"/>
  <c r="W10" i="8"/>
  <c r="T10" i="8"/>
  <c r="Q10" i="8"/>
  <c r="N10" i="8"/>
  <c r="M10" i="8"/>
  <c r="K10" i="8"/>
  <c r="H10" i="8"/>
  <c r="G10" i="8"/>
  <c r="F10" i="8"/>
  <c r="E10" i="8"/>
  <c r="AA9" i="8"/>
  <c r="Z9" i="8"/>
  <c r="Y9" i="8"/>
  <c r="S9" i="8"/>
  <c r="R9" i="8"/>
  <c r="Q9" i="8"/>
  <c r="J9" i="8"/>
  <c r="G9" i="8"/>
  <c r="F9" i="8"/>
  <c r="E9" i="8"/>
  <c r="D9" i="8"/>
  <c r="AA8" i="8"/>
  <c r="U8" i="8"/>
  <c r="S8" i="8"/>
  <c r="R8" i="8"/>
  <c r="Q8" i="8"/>
  <c r="O8" i="8"/>
  <c r="M8" i="8"/>
  <c r="J8" i="8"/>
  <c r="I8" i="8"/>
  <c r="G8" i="8"/>
  <c r="F8" i="8"/>
  <c r="E8" i="8"/>
  <c r="D8" i="8"/>
  <c r="AA6" i="8"/>
  <c r="Z6" i="8"/>
  <c r="Y6" i="8"/>
  <c r="X6" i="8"/>
  <c r="W6" i="8"/>
  <c r="V6" i="8"/>
  <c r="U6" i="8"/>
  <c r="T6" i="8"/>
  <c r="S6" i="8"/>
  <c r="R6" i="8"/>
  <c r="Q6" i="8"/>
  <c r="P6" i="8"/>
  <c r="O6" i="8"/>
  <c r="N6" i="8"/>
  <c r="M6" i="8"/>
  <c r="L6" i="8"/>
  <c r="K6" i="8"/>
  <c r="J6" i="8"/>
  <c r="I6" i="8"/>
  <c r="H6" i="8"/>
  <c r="G6" i="8"/>
  <c r="F6" i="8"/>
  <c r="E6" i="8"/>
  <c r="D6" i="8"/>
  <c r="AA4" i="8"/>
  <c r="Z4" i="8"/>
  <c r="Y4" i="8"/>
  <c r="X4" i="8"/>
  <c r="U4" i="8"/>
  <c r="S4" i="8"/>
  <c r="R4" i="8"/>
  <c r="Q4" i="8"/>
  <c r="O4" i="8"/>
  <c r="N4" i="8"/>
  <c r="M4" i="8"/>
  <c r="L4" i="8"/>
  <c r="K4" i="8"/>
  <c r="J4" i="8"/>
  <c r="I4" i="8"/>
  <c r="F4" i="8"/>
  <c r="AA3" i="8"/>
  <c r="AA5" i="8" s="1"/>
  <c r="Z3" i="8"/>
  <c r="Z5" i="8" s="1"/>
  <c r="Y3" i="8"/>
  <c r="Y5" i="8" s="1"/>
  <c r="S3" i="8"/>
  <c r="S5" i="8" s="1"/>
  <c r="R3" i="8"/>
  <c r="R5" i="8" s="1"/>
  <c r="Q3" i="8"/>
  <c r="Q5" i="8" s="1"/>
  <c r="N3" i="8"/>
  <c r="N5" i="8" s="1"/>
  <c r="M3" i="8"/>
  <c r="M5" i="8" s="1"/>
  <c r="L3" i="8"/>
  <c r="L5" i="8" s="1"/>
  <c r="E3" i="8"/>
  <c r="P434" i="7"/>
  <c r="P433" i="7"/>
  <c r="P432" i="7"/>
  <c r="P431" i="7"/>
  <c r="P429" i="7"/>
  <c r="P428" i="7"/>
  <c r="P427" i="7"/>
  <c r="P426" i="7"/>
  <c r="P424" i="7"/>
  <c r="P423" i="7"/>
  <c r="P422" i="7"/>
  <c r="P420" i="7"/>
  <c r="P419" i="7"/>
  <c r="P418" i="7"/>
  <c r="P417" i="7"/>
  <c r="P416" i="7"/>
  <c r="P415" i="7"/>
  <c r="P414" i="7"/>
  <c r="P413" i="7"/>
  <c r="P411" i="7"/>
  <c r="P410" i="7"/>
  <c r="P409" i="7"/>
  <c r="P408" i="7"/>
  <c r="P406" i="7"/>
  <c r="P405" i="7"/>
  <c r="P404" i="7"/>
  <c r="P402" i="7"/>
  <c r="P401" i="7"/>
  <c r="P400" i="7"/>
  <c r="P399" i="7"/>
  <c r="P398" i="7"/>
  <c r="P397" i="7"/>
  <c r="P396" i="7"/>
  <c r="P395" i="7"/>
  <c r="P393" i="7"/>
  <c r="P392" i="7"/>
  <c r="P391" i="7"/>
  <c r="P390" i="7"/>
  <c r="P388" i="7"/>
  <c r="P387" i="7"/>
  <c r="P386" i="7"/>
  <c r="P384" i="7"/>
  <c r="P383" i="7"/>
  <c r="P382" i="7"/>
  <c r="P381" i="7"/>
  <c r="P380" i="7"/>
  <c r="P379" i="7"/>
  <c r="P378" i="7"/>
  <c r="P377" i="7"/>
  <c r="P375" i="7"/>
  <c r="P374" i="7"/>
  <c r="P373" i="7"/>
  <c r="P372" i="7"/>
  <c r="P370" i="7"/>
  <c r="P369" i="7"/>
  <c r="P368" i="7"/>
  <c r="P366" i="7"/>
  <c r="P365" i="7"/>
  <c r="P364" i="7"/>
  <c r="P363" i="7"/>
  <c r="P362" i="7"/>
  <c r="AA17" i="8" s="1"/>
  <c r="P361" i="7"/>
  <c r="P360" i="7"/>
  <c r="AA15" i="8" s="1"/>
  <c r="P359" i="7"/>
  <c r="P357" i="7"/>
  <c r="P356" i="7"/>
  <c r="P355" i="7"/>
  <c r="P354" i="7"/>
  <c r="P352" i="7"/>
  <c r="P351" i="7"/>
  <c r="P350" i="7"/>
  <c r="P348" i="7"/>
  <c r="P347" i="7"/>
  <c r="P346" i="7"/>
  <c r="P345" i="7"/>
  <c r="Z15" i="8" s="1"/>
  <c r="P344" i="7"/>
  <c r="P343" i="7"/>
  <c r="P342" i="7"/>
  <c r="P341" i="7"/>
  <c r="P339" i="7"/>
  <c r="P338" i="7"/>
  <c r="Z8" i="8" s="1"/>
  <c r="P337" i="7"/>
  <c r="P336" i="7"/>
  <c r="P334" i="7"/>
  <c r="P333" i="7"/>
  <c r="P332" i="7"/>
  <c r="P330" i="7"/>
  <c r="Y15" i="8" s="1"/>
  <c r="P329" i="7"/>
  <c r="P328" i="7"/>
  <c r="P327" i="7"/>
  <c r="P326" i="7"/>
  <c r="P325" i="7"/>
  <c r="P324" i="7"/>
  <c r="P323" i="7"/>
  <c r="Y8" i="8" s="1"/>
  <c r="P321" i="7"/>
  <c r="P320" i="7"/>
  <c r="P319" i="7"/>
  <c r="P318" i="7"/>
  <c r="P316" i="7"/>
  <c r="P315" i="7"/>
  <c r="X15" i="8" s="1"/>
  <c r="P314" i="7"/>
  <c r="X14" i="8" s="1"/>
  <c r="P312" i="7"/>
  <c r="X12" i="8" s="1"/>
  <c r="P311" i="7"/>
  <c r="P310" i="7"/>
  <c r="P309" i="7"/>
  <c r="X9" i="8" s="1"/>
  <c r="P308" i="7"/>
  <c r="X8" i="8" s="1"/>
  <c r="P307" i="7"/>
  <c r="P306" i="7"/>
  <c r="P305" i="7"/>
  <c r="P303" i="7"/>
  <c r="X3" i="8" s="1"/>
  <c r="X5" i="8" s="1"/>
  <c r="P302" i="7"/>
  <c r="W17" i="8" s="1"/>
  <c r="P301" i="7"/>
  <c r="P300" i="7"/>
  <c r="W15" i="8" s="1"/>
  <c r="P298" i="7"/>
  <c r="W13" i="8" s="1"/>
  <c r="P297" i="7"/>
  <c r="P296" i="7"/>
  <c r="P294" i="7"/>
  <c r="W9" i="8" s="1"/>
  <c r="P293" i="7"/>
  <c r="W8" i="8" s="1"/>
  <c r="P292" i="7"/>
  <c r="P291" i="7"/>
  <c r="P290" i="7"/>
  <c r="P289" i="7"/>
  <c r="W4" i="8" s="1"/>
  <c r="P288" i="7"/>
  <c r="W3" i="8" s="1"/>
  <c r="W5" i="8" s="1"/>
  <c r="P287" i="7"/>
  <c r="P285" i="7"/>
  <c r="P284" i="7"/>
  <c r="V14" i="8" s="1"/>
  <c r="P283" i="7"/>
  <c r="P282" i="7"/>
  <c r="P280" i="7"/>
  <c r="V10" i="8" s="1"/>
  <c r="P279" i="7"/>
  <c r="V9" i="8" s="1"/>
  <c r="P278" i="7"/>
  <c r="V8" i="8" s="1"/>
  <c r="P276" i="7"/>
  <c r="P275" i="7"/>
  <c r="P274" i="7"/>
  <c r="V4" i="8" s="1"/>
  <c r="P273" i="7"/>
  <c r="V3" i="8" s="1"/>
  <c r="V5" i="8" s="1"/>
  <c r="P272" i="7"/>
  <c r="U17" i="8" s="1"/>
  <c r="P271" i="7"/>
  <c r="P270" i="7"/>
  <c r="U15" i="8" s="1"/>
  <c r="P269" i="7"/>
  <c r="U14" i="8" s="1"/>
  <c r="P267" i="7"/>
  <c r="U12" i="8" s="1"/>
  <c r="P266" i="7"/>
  <c r="P265" i="7"/>
  <c r="U10" i="8" s="1"/>
  <c r="P264" i="7"/>
  <c r="U9" i="8" s="1"/>
  <c r="P262" i="7"/>
  <c r="P261" i="7"/>
  <c r="P260" i="7"/>
  <c r="P258" i="7"/>
  <c r="U3" i="8" s="1"/>
  <c r="U5" i="8" s="1"/>
  <c r="P257" i="7"/>
  <c r="T17" i="8" s="1"/>
  <c r="P256" i="7"/>
  <c r="P255" i="7"/>
  <c r="T15" i="8" s="1"/>
  <c r="P254" i="7"/>
  <c r="T14" i="8" s="1"/>
  <c r="P253" i="7"/>
  <c r="T13" i="8" s="1"/>
  <c r="P252" i="7"/>
  <c r="T12" i="8" s="1"/>
  <c r="P251" i="7"/>
  <c r="P249" i="7"/>
  <c r="T9" i="8" s="1"/>
  <c r="P248" i="7"/>
  <c r="T8" i="8" s="1"/>
  <c r="P247" i="7"/>
  <c r="P246" i="7"/>
  <c r="P244" i="7"/>
  <c r="T4" i="8" s="1"/>
  <c r="P243" i="7"/>
  <c r="T3" i="8" s="1"/>
  <c r="P242" i="7"/>
  <c r="P240" i="7"/>
  <c r="P239" i="7"/>
  <c r="P238" i="7"/>
  <c r="P237" i="7"/>
  <c r="S12" i="8" s="1"/>
  <c r="P236" i="7"/>
  <c r="P235" i="7"/>
  <c r="S10" i="8" s="1"/>
  <c r="P234" i="7"/>
  <c r="P233" i="7"/>
  <c r="P231" i="7"/>
  <c r="P230" i="7"/>
  <c r="P229" i="7"/>
  <c r="P228" i="7"/>
  <c r="P226" i="7"/>
  <c r="P225" i="7"/>
  <c r="P224" i="7"/>
  <c r="P222" i="7"/>
  <c r="P221" i="7"/>
  <c r="P220" i="7"/>
  <c r="R10" i="8" s="1"/>
  <c r="P219" i="7"/>
  <c r="P218" i="7"/>
  <c r="P217" i="7"/>
  <c r="P216" i="7"/>
  <c r="P215" i="7"/>
  <c r="P213" i="7"/>
  <c r="P212" i="7"/>
  <c r="P211" i="7"/>
  <c r="P210" i="7"/>
  <c r="P208" i="7"/>
  <c r="P207" i="7"/>
  <c r="P206" i="7"/>
  <c r="P204" i="7"/>
  <c r="P203" i="7"/>
  <c r="P202" i="7"/>
  <c r="P201" i="7"/>
  <c r="P200" i="7"/>
  <c r="P199" i="7"/>
  <c r="P198" i="7"/>
  <c r="P197" i="7"/>
  <c r="P195" i="7"/>
  <c r="P194" i="7"/>
  <c r="P14" i="8" s="1"/>
  <c r="P193" i="7"/>
  <c r="P13" i="8" s="1"/>
  <c r="P192" i="7"/>
  <c r="P12" i="8" s="1"/>
  <c r="P190" i="7"/>
  <c r="P10" i="8" s="1"/>
  <c r="P189" i="7"/>
  <c r="P9" i="8" s="1"/>
  <c r="P188" i="7"/>
  <c r="P8" i="8" s="1"/>
  <c r="P186" i="7"/>
  <c r="P185" i="7"/>
  <c r="P184" i="7"/>
  <c r="P4" i="8" s="1"/>
  <c r="P183" i="7"/>
  <c r="P3" i="8" s="1"/>
  <c r="P5" i="8" s="1"/>
  <c r="P182" i="7"/>
  <c r="P181" i="7"/>
  <c r="P180" i="7"/>
  <c r="O15" i="8" s="1"/>
  <c r="P179" i="7"/>
  <c r="O14" i="8" s="1"/>
  <c r="P177" i="7"/>
  <c r="O12" i="8" s="1"/>
  <c r="P176" i="7"/>
  <c r="P175" i="7"/>
  <c r="O10" i="8" s="1"/>
  <c r="P174" i="7"/>
  <c r="O9" i="8" s="1"/>
  <c r="P172" i="7"/>
  <c r="P171" i="7"/>
  <c r="P170" i="7"/>
  <c r="P168" i="7"/>
  <c r="O3" i="8" s="1"/>
  <c r="O5" i="8" s="1"/>
  <c r="P167" i="7"/>
  <c r="P166" i="7"/>
  <c r="P165" i="7"/>
  <c r="N15" i="8" s="1"/>
  <c r="P164" i="7"/>
  <c r="N14" i="8" s="1"/>
  <c r="P163" i="7"/>
  <c r="N13" i="8" s="1"/>
  <c r="P162" i="7"/>
  <c r="P161" i="7"/>
  <c r="P159" i="7"/>
  <c r="N9" i="8" s="1"/>
  <c r="P158" i="7"/>
  <c r="N8" i="8" s="1"/>
  <c r="P157" i="7"/>
  <c r="P156" i="7"/>
  <c r="P154" i="7"/>
  <c r="P153" i="7"/>
  <c r="P152" i="7"/>
  <c r="P150" i="7"/>
  <c r="P149" i="7"/>
  <c r="M14" i="8" s="1"/>
  <c r="P148" i="7"/>
  <c r="M13" i="8" s="1"/>
  <c r="P147" i="7"/>
  <c r="P146" i="7"/>
  <c r="P145" i="7"/>
  <c r="P144" i="7"/>
  <c r="M9" i="8" s="1"/>
  <c r="P143" i="7"/>
  <c r="P141" i="7"/>
  <c r="P140" i="7"/>
  <c r="P139" i="7"/>
  <c r="P138" i="7"/>
  <c r="P136" i="7"/>
  <c r="P135" i="7"/>
  <c r="L15" i="8" s="1"/>
  <c r="P134" i="7"/>
  <c r="L14" i="8" s="1"/>
  <c r="P132" i="7"/>
  <c r="L12" i="8" s="1"/>
  <c r="P131" i="7"/>
  <c r="P130" i="7"/>
  <c r="L10" i="8" s="1"/>
  <c r="P129" i="7"/>
  <c r="L9" i="8" s="1"/>
  <c r="P128" i="7"/>
  <c r="L8" i="8" s="1"/>
  <c r="P127" i="7"/>
  <c r="P126" i="7"/>
  <c r="P125" i="7"/>
  <c r="P123" i="7"/>
  <c r="P122" i="7"/>
  <c r="K17" i="8" s="1"/>
  <c r="P121" i="7"/>
  <c r="P120" i="7"/>
  <c r="K15" i="8" s="1"/>
  <c r="P118" i="7"/>
  <c r="K13" i="8" s="1"/>
  <c r="P117" i="7"/>
  <c r="K12" i="8" s="1"/>
  <c r="P116" i="7"/>
  <c r="P114" i="7"/>
  <c r="K9" i="8" s="1"/>
  <c r="P113" i="7"/>
  <c r="K8" i="8" s="1"/>
  <c r="P112" i="7"/>
  <c r="P111" i="7"/>
  <c r="P110" i="7"/>
  <c r="P109" i="7"/>
  <c r="P108" i="7"/>
  <c r="K3" i="8" s="1"/>
  <c r="K5" i="8" s="1"/>
  <c r="P107" i="7"/>
  <c r="J17" i="8" s="1"/>
  <c r="P105" i="7"/>
  <c r="J15" i="8" s="1"/>
  <c r="P104" i="7"/>
  <c r="P103" i="7"/>
  <c r="P102" i="7"/>
  <c r="J12" i="8" s="1"/>
  <c r="P100" i="7"/>
  <c r="J10" i="8" s="1"/>
  <c r="P99" i="7"/>
  <c r="P98" i="7"/>
  <c r="P96" i="7"/>
  <c r="P95" i="7"/>
  <c r="P94" i="7"/>
  <c r="P93" i="7"/>
  <c r="J3" i="8" s="1"/>
  <c r="J5" i="8" s="1"/>
  <c r="P92" i="7"/>
  <c r="I17" i="8" s="1"/>
  <c r="P91" i="7"/>
  <c r="P90" i="7"/>
  <c r="I15" i="8" s="1"/>
  <c r="P89" i="7"/>
  <c r="I14" i="8" s="1"/>
  <c r="P87" i="7"/>
  <c r="I12" i="8" s="1"/>
  <c r="P86" i="7"/>
  <c r="P85" i="7"/>
  <c r="I10" i="8" s="1"/>
  <c r="P84" i="7"/>
  <c r="I9" i="8" s="1"/>
  <c r="P82" i="7"/>
  <c r="P81" i="7"/>
  <c r="P80" i="7"/>
  <c r="P78" i="7"/>
  <c r="I3" i="8" s="1"/>
  <c r="I5" i="8" s="1"/>
  <c r="P77" i="7"/>
  <c r="H17" i="8" s="1"/>
  <c r="P76" i="7"/>
  <c r="P75" i="7"/>
  <c r="H15" i="8" s="1"/>
  <c r="P74" i="7"/>
  <c r="H14" i="8" s="1"/>
  <c r="P73" i="7"/>
  <c r="H13" i="8" s="1"/>
  <c r="P72" i="7"/>
  <c r="H12" i="8" s="1"/>
  <c r="P71" i="7"/>
  <c r="P69" i="7"/>
  <c r="H9" i="8" s="1"/>
  <c r="P68" i="7"/>
  <c r="H8" i="8" s="1"/>
  <c r="P67" i="7"/>
  <c r="P66" i="7"/>
  <c r="P64" i="7"/>
  <c r="H4" i="8" s="1"/>
  <c r="P63" i="7"/>
  <c r="H3" i="8" s="1"/>
  <c r="P62" i="7"/>
  <c r="G17" i="8" s="1"/>
  <c r="P60" i="7"/>
  <c r="P59" i="7"/>
  <c r="P58" i="7"/>
  <c r="G13" i="8" s="1"/>
  <c r="P57" i="7"/>
  <c r="G12" i="8" s="1"/>
  <c r="P56" i="7"/>
  <c r="P55" i="7"/>
  <c r="P54" i="7"/>
  <c r="P53" i="7"/>
  <c r="P51" i="7"/>
  <c r="P50" i="7"/>
  <c r="P49" i="7"/>
  <c r="G4" i="8" s="1"/>
  <c r="P48" i="7"/>
  <c r="G3" i="8" s="1"/>
  <c r="G5" i="8" s="1"/>
  <c r="P46" i="7"/>
  <c r="P45" i="7"/>
  <c r="P44" i="7"/>
  <c r="P42" i="7"/>
  <c r="P41" i="7"/>
  <c r="P40" i="7"/>
  <c r="P39" i="7"/>
  <c r="P38" i="7"/>
  <c r="P37" i="7"/>
  <c r="P36" i="7"/>
  <c r="P35" i="7"/>
  <c r="P33" i="7"/>
  <c r="F3" i="8" s="1"/>
  <c r="F5" i="8" s="1"/>
  <c r="P32" i="7"/>
  <c r="P31" i="7"/>
  <c r="P30" i="7"/>
  <c r="P28" i="7"/>
  <c r="P27" i="7"/>
  <c r="P26" i="7"/>
  <c r="P24" i="7"/>
  <c r="P23" i="7"/>
  <c r="P22" i="7"/>
  <c r="P21" i="7"/>
  <c r="P20" i="7"/>
  <c r="P19" i="7"/>
  <c r="E4" i="8" s="1"/>
  <c r="P18" i="7"/>
  <c r="P17" i="7"/>
  <c r="D17" i="8" s="1"/>
  <c r="P15" i="7"/>
  <c r="D15" i="8" s="1"/>
  <c r="P14" i="7"/>
  <c r="D14" i="8" s="1"/>
  <c r="P13" i="7"/>
  <c r="D13" i="8" s="1"/>
  <c r="P12" i="7"/>
  <c r="D12" i="8" s="1"/>
  <c r="P10" i="7"/>
  <c r="D10" i="8" s="1"/>
  <c r="P9" i="7"/>
  <c r="P8" i="7"/>
  <c r="P6" i="7"/>
  <c r="P5" i="7"/>
  <c r="P4" i="7"/>
  <c r="D4" i="8" s="1"/>
  <c r="P3" i="7"/>
  <c r="D3" i="8" s="1"/>
  <c r="D5" i="8" s="1"/>
  <c r="AA17" i="6"/>
  <c r="Z17" i="6"/>
  <c r="Y17" i="6"/>
  <c r="X17" i="6"/>
  <c r="W17" i="6"/>
  <c r="V17" i="6"/>
  <c r="U17" i="6"/>
  <c r="T17" i="6"/>
  <c r="S17" i="6"/>
  <c r="R17" i="6"/>
  <c r="Q17" i="6"/>
  <c r="P17" i="6"/>
  <c r="O17" i="6"/>
  <c r="N17" i="6"/>
  <c r="M17" i="6"/>
  <c r="L17" i="6"/>
  <c r="K17" i="6"/>
  <c r="J17" i="6"/>
  <c r="I17" i="6"/>
  <c r="H17" i="6"/>
  <c r="G17" i="6"/>
  <c r="F17" i="6"/>
  <c r="E17" i="6"/>
  <c r="D17" i="6"/>
  <c r="AA15" i="6"/>
  <c r="Z15" i="6"/>
  <c r="Y15" i="6"/>
  <c r="X15" i="6"/>
  <c r="W15" i="6"/>
  <c r="V15" i="6"/>
  <c r="U15" i="6"/>
  <c r="T15" i="6"/>
  <c r="S15" i="6"/>
  <c r="R15" i="6"/>
  <c r="Q15" i="6"/>
  <c r="P15" i="6"/>
  <c r="O15" i="6"/>
  <c r="N15" i="6"/>
  <c r="M15" i="6"/>
  <c r="L15" i="6"/>
  <c r="K15" i="6"/>
  <c r="J15" i="6"/>
  <c r="I15" i="6"/>
  <c r="H15" i="6"/>
  <c r="G15" i="6"/>
  <c r="F15" i="6"/>
  <c r="E15" i="6"/>
  <c r="D15" i="6"/>
  <c r="AA14" i="6"/>
  <c r="Z14" i="6"/>
  <c r="Y14" i="6"/>
  <c r="X14" i="6"/>
  <c r="W14" i="6"/>
  <c r="V14" i="6"/>
  <c r="U14" i="6"/>
  <c r="T14" i="6"/>
  <c r="S14" i="6"/>
  <c r="R14" i="6"/>
  <c r="Q14" i="6"/>
  <c r="P14" i="6"/>
  <c r="O14" i="6"/>
  <c r="N14" i="6"/>
  <c r="M14" i="6"/>
  <c r="L14" i="6"/>
  <c r="K14" i="6"/>
  <c r="J14" i="6"/>
  <c r="I14" i="6"/>
  <c r="H14" i="6"/>
  <c r="G14" i="6"/>
  <c r="F14" i="6"/>
  <c r="E14" i="6"/>
  <c r="D14" i="6"/>
  <c r="AA13" i="6"/>
  <c r="Z13" i="6"/>
  <c r="Y13" i="6"/>
  <c r="X13" i="6"/>
  <c r="W13" i="6"/>
  <c r="V13" i="6"/>
  <c r="U13" i="6"/>
  <c r="T13" i="6"/>
  <c r="S13" i="6"/>
  <c r="R13" i="6"/>
  <c r="Q13" i="6"/>
  <c r="P13" i="6"/>
  <c r="O13" i="6"/>
  <c r="N13" i="6"/>
  <c r="M13" i="6"/>
  <c r="L13" i="6"/>
  <c r="K13" i="6"/>
  <c r="J13" i="6"/>
  <c r="I13" i="6"/>
  <c r="H13" i="6"/>
  <c r="G13" i="6"/>
  <c r="F13" i="6"/>
  <c r="E13" i="6"/>
  <c r="D13" i="6"/>
  <c r="AA12" i="6"/>
  <c r="Z12" i="6"/>
  <c r="Y12" i="6"/>
  <c r="X12" i="6"/>
  <c r="W12" i="6"/>
  <c r="V12" i="6"/>
  <c r="U12" i="6"/>
  <c r="T12" i="6"/>
  <c r="S12" i="6"/>
  <c r="R12" i="6"/>
  <c r="Q12" i="6"/>
  <c r="P12" i="6"/>
  <c r="O12" i="6"/>
  <c r="N12" i="6"/>
  <c r="M12" i="6"/>
  <c r="L12" i="6"/>
  <c r="K12" i="6"/>
  <c r="J12" i="6"/>
  <c r="I12" i="6"/>
  <c r="H12" i="6"/>
  <c r="G12" i="6"/>
  <c r="F12" i="6"/>
  <c r="E12" i="6"/>
  <c r="D12" i="6"/>
  <c r="AA10" i="6"/>
  <c r="Z10" i="6"/>
  <c r="Y10" i="6"/>
  <c r="X10" i="6"/>
  <c r="W10" i="6"/>
  <c r="V10" i="6"/>
  <c r="U10" i="6"/>
  <c r="T10" i="6"/>
  <c r="S10" i="6"/>
  <c r="R10" i="6"/>
  <c r="Q10" i="6"/>
  <c r="P10" i="6"/>
  <c r="O10" i="6"/>
  <c r="N10" i="6"/>
  <c r="M10" i="6"/>
  <c r="L10" i="6"/>
  <c r="K10" i="6"/>
  <c r="J10" i="6"/>
  <c r="I10" i="6"/>
  <c r="H10" i="6"/>
  <c r="G10" i="6"/>
  <c r="F10" i="6"/>
  <c r="E10" i="6"/>
  <c r="D10" i="6"/>
  <c r="AA9" i="6"/>
  <c r="Z9" i="6"/>
  <c r="Y9" i="6"/>
  <c r="X9" i="6"/>
  <c r="W9" i="6"/>
  <c r="V9" i="6"/>
  <c r="U9" i="6"/>
  <c r="T9" i="6"/>
  <c r="S9" i="6"/>
  <c r="R9" i="6"/>
  <c r="Q9" i="6"/>
  <c r="P9" i="6"/>
  <c r="O9" i="6"/>
  <c r="N9" i="6"/>
  <c r="M9" i="6"/>
  <c r="L9" i="6"/>
  <c r="K9" i="6"/>
  <c r="J9" i="6"/>
  <c r="I9" i="6"/>
  <c r="H9" i="6"/>
  <c r="G9" i="6"/>
  <c r="F9" i="6"/>
  <c r="E9" i="6"/>
  <c r="D9" i="6"/>
  <c r="AA8" i="6"/>
  <c r="AA20" i="6" s="1"/>
  <c r="Z8" i="6"/>
  <c r="Z20" i="6" s="1"/>
  <c r="Y8" i="6"/>
  <c r="Y20" i="6" s="1"/>
  <c r="X8" i="6"/>
  <c r="X20" i="6" s="1"/>
  <c r="W8" i="6"/>
  <c r="W20" i="6" s="1"/>
  <c r="V8" i="6"/>
  <c r="V20" i="6" s="1"/>
  <c r="U8" i="6"/>
  <c r="U20" i="6" s="1"/>
  <c r="T8" i="6"/>
  <c r="T20" i="6" s="1"/>
  <c r="S8" i="6"/>
  <c r="S20" i="6" s="1"/>
  <c r="R8" i="6"/>
  <c r="R20" i="6" s="1"/>
  <c r="Q8" i="6"/>
  <c r="Q20" i="6" s="1"/>
  <c r="P8" i="6"/>
  <c r="P20" i="6" s="1"/>
  <c r="O8" i="6"/>
  <c r="O20" i="6" s="1"/>
  <c r="N8" i="6"/>
  <c r="N20" i="6" s="1"/>
  <c r="M8" i="6"/>
  <c r="M20" i="6" s="1"/>
  <c r="L8" i="6"/>
  <c r="L20" i="6" s="1"/>
  <c r="K8" i="6"/>
  <c r="K20" i="6" s="1"/>
  <c r="J8" i="6"/>
  <c r="J20" i="6" s="1"/>
  <c r="I8" i="6"/>
  <c r="I20" i="6" s="1"/>
  <c r="H8" i="6"/>
  <c r="H20" i="6" s="1"/>
  <c r="G8" i="6"/>
  <c r="G20" i="6" s="1"/>
  <c r="F8" i="6"/>
  <c r="F20" i="6" s="1"/>
  <c r="E8" i="6"/>
  <c r="E20" i="6" s="1"/>
  <c r="D8" i="6"/>
  <c r="D20" i="6" s="1"/>
  <c r="AA6" i="6"/>
  <c r="Z6" i="6"/>
  <c r="Y6" i="6"/>
  <c r="X6" i="6"/>
  <c r="W6" i="6"/>
  <c r="V6" i="6"/>
  <c r="U6" i="6"/>
  <c r="T6" i="6"/>
  <c r="S6" i="6"/>
  <c r="R6" i="6"/>
  <c r="Q6" i="6"/>
  <c r="P6" i="6"/>
  <c r="O6" i="6"/>
  <c r="N6" i="6"/>
  <c r="M6" i="6"/>
  <c r="L6" i="6"/>
  <c r="K6" i="6"/>
  <c r="J6" i="6"/>
  <c r="I6" i="6"/>
  <c r="H6" i="6"/>
  <c r="G6" i="6"/>
  <c r="F6" i="6"/>
  <c r="E6" i="6"/>
  <c r="D6" i="6"/>
  <c r="AA4" i="6"/>
  <c r="Z4" i="6"/>
  <c r="Y4" i="6"/>
  <c r="X4" i="6"/>
  <c r="W4" i="6"/>
  <c r="V4" i="6"/>
  <c r="U4" i="6"/>
  <c r="T4" i="6"/>
  <c r="S4" i="6"/>
  <c r="R4" i="6"/>
  <c r="Q4" i="6"/>
  <c r="P4" i="6"/>
  <c r="O4" i="6"/>
  <c r="N4" i="6"/>
  <c r="M4" i="6"/>
  <c r="L4" i="6"/>
  <c r="K4" i="6"/>
  <c r="J4" i="6"/>
  <c r="I4" i="6"/>
  <c r="H4" i="6"/>
  <c r="G4" i="6"/>
  <c r="F4" i="6"/>
  <c r="E4" i="6"/>
  <c r="D4" i="6"/>
  <c r="AA3" i="6"/>
  <c r="AA5" i="6" s="1"/>
  <c r="Z3" i="6"/>
  <c r="Z5" i="6" s="1"/>
  <c r="Y3" i="6"/>
  <c r="Y5" i="6" s="1"/>
  <c r="X3" i="6"/>
  <c r="X5" i="6" s="1"/>
  <c r="W3" i="6"/>
  <c r="W5" i="6" s="1"/>
  <c r="V3" i="6"/>
  <c r="V5" i="6" s="1"/>
  <c r="U3" i="6"/>
  <c r="U5" i="6" s="1"/>
  <c r="T3" i="6"/>
  <c r="T5" i="6" s="1"/>
  <c r="S3" i="6"/>
  <c r="S5" i="6" s="1"/>
  <c r="R3" i="6"/>
  <c r="R5" i="6" s="1"/>
  <c r="Q3" i="6"/>
  <c r="Q5" i="6" s="1"/>
  <c r="P3" i="6"/>
  <c r="P5" i="6" s="1"/>
  <c r="O3" i="6"/>
  <c r="O5" i="6" s="1"/>
  <c r="N3" i="6"/>
  <c r="N5" i="6" s="1"/>
  <c r="M3" i="6"/>
  <c r="M5" i="6" s="1"/>
  <c r="L3" i="6"/>
  <c r="L5" i="6" s="1"/>
  <c r="K3" i="6"/>
  <c r="K5" i="6" s="1"/>
  <c r="J3" i="6"/>
  <c r="J5" i="6" s="1"/>
  <c r="I3" i="6"/>
  <c r="I5" i="6" s="1"/>
  <c r="H3" i="6"/>
  <c r="H5" i="6" s="1"/>
  <c r="G3" i="6"/>
  <c r="G5" i="6" s="1"/>
  <c r="F3" i="6"/>
  <c r="F5" i="6" s="1"/>
  <c r="E3" i="6"/>
  <c r="E5" i="6" s="1"/>
  <c r="D3" i="6"/>
  <c r="D5" i="6" s="1"/>
  <c r="AA17" i="5"/>
  <c r="Z17" i="5"/>
  <c r="Y17" i="5"/>
  <c r="X17" i="5"/>
  <c r="W17" i="5"/>
  <c r="V17" i="5"/>
  <c r="U17" i="5"/>
  <c r="T17" i="5"/>
  <c r="S17" i="5"/>
  <c r="R17" i="5"/>
  <c r="Q17" i="5"/>
  <c r="P17" i="5"/>
  <c r="O17" i="5"/>
  <c r="N17" i="5"/>
  <c r="M17" i="5"/>
  <c r="L17" i="5"/>
  <c r="K17" i="5"/>
  <c r="J17" i="5"/>
  <c r="I17" i="5"/>
  <c r="H17" i="5"/>
  <c r="G17" i="5"/>
  <c r="F17" i="5"/>
  <c r="E17" i="5"/>
  <c r="D17" i="5"/>
  <c r="AA15" i="5"/>
  <c r="Z15" i="5"/>
  <c r="Y15" i="5"/>
  <c r="X15" i="5"/>
  <c r="W15" i="5"/>
  <c r="V15" i="5"/>
  <c r="U15" i="5"/>
  <c r="T15" i="5"/>
  <c r="S15" i="5"/>
  <c r="R15" i="5"/>
  <c r="Q15" i="5"/>
  <c r="P15" i="5"/>
  <c r="O15" i="5"/>
  <c r="N15" i="5"/>
  <c r="M15" i="5"/>
  <c r="L15" i="5"/>
  <c r="K15" i="5"/>
  <c r="J15" i="5"/>
  <c r="I15" i="5"/>
  <c r="H15" i="5"/>
  <c r="G15" i="5"/>
  <c r="F15" i="5"/>
  <c r="E15" i="5"/>
  <c r="D15" i="5"/>
  <c r="AA14" i="5"/>
  <c r="Z14" i="5"/>
  <c r="Y14" i="5"/>
  <c r="X14" i="5"/>
  <c r="W14" i="5"/>
  <c r="V14" i="5"/>
  <c r="U14" i="5"/>
  <c r="T14" i="5"/>
  <c r="S14" i="5"/>
  <c r="R14" i="5"/>
  <c r="Q14" i="5"/>
  <c r="P14" i="5"/>
  <c r="O14" i="5"/>
  <c r="N14" i="5"/>
  <c r="M14" i="5"/>
  <c r="L14" i="5"/>
  <c r="K14" i="5"/>
  <c r="J14" i="5"/>
  <c r="I14" i="5"/>
  <c r="H14" i="5"/>
  <c r="G14" i="5"/>
  <c r="F14" i="5"/>
  <c r="E14" i="5"/>
  <c r="D14" i="5"/>
  <c r="AA13" i="5"/>
  <c r="Z13" i="5"/>
  <c r="Y13" i="5"/>
  <c r="X13" i="5"/>
  <c r="W13" i="5"/>
  <c r="V13" i="5"/>
  <c r="U13" i="5"/>
  <c r="T13" i="5"/>
  <c r="S13" i="5"/>
  <c r="R13" i="5"/>
  <c r="Q13" i="5"/>
  <c r="P13" i="5"/>
  <c r="O13" i="5"/>
  <c r="N13" i="5"/>
  <c r="M13" i="5"/>
  <c r="L13" i="5"/>
  <c r="K13" i="5"/>
  <c r="J13" i="5"/>
  <c r="I13" i="5"/>
  <c r="H13" i="5"/>
  <c r="G13" i="5"/>
  <c r="F13" i="5"/>
  <c r="E13" i="5"/>
  <c r="D13" i="5"/>
  <c r="AA12" i="5"/>
  <c r="Z12" i="5"/>
  <c r="Y12" i="5"/>
  <c r="X12" i="5"/>
  <c r="W12" i="5"/>
  <c r="V12" i="5"/>
  <c r="U12" i="5"/>
  <c r="T12" i="5"/>
  <c r="S12" i="5"/>
  <c r="R12" i="5"/>
  <c r="Q12" i="5"/>
  <c r="P12" i="5"/>
  <c r="O12" i="5"/>
  <c r="N12" i="5"/>
  <c r="M12" i="5"/>
  <c r="L12" i="5"/>
  <c r="K12" i="5"/>
  <c r="J12" i="5"/>
  <c r="I12" i="5"/>
  <c r="H12" i="5"/>
  <c r="G12" i="5"/>
  <c r="F12" i="5"/>
  <c r="E12" i="5"/>
  <c r="D12" i="5"/>
  <c r="AA10" i="5"/>
  <c r="Z10" i="5"/>
  <c r="Y10" i="5"/>
  <c r="X10" i="5"/>
  <c r="W10" i="5"/>
  <c r="V10" i="5"/>
  <c r="U10" i="5"/>
  <c r="T10" i="5"/>
  <c r="S10" i="5"/>
  <c r="R10" i="5"/>
  <c r="Q10" i="5"/>
  <c r="P10" i="5"/>
  <c r="O10" i="5"/>
  <c r="N10" i="5"/>
  <c r="M10" i="5"/>
  <c r="L10" i="5"/>
  <c r="K10" i="5"/>
  <c r="J10" i="5"/>
  <c r="I10" i="5"/>
  <c r="H10" i="5"/>
  <c r="G10" i="5"/>
  <c r="F10" i="5"/>
  <c r="E10" i="5"/>
  <c r="D10" i="5"/>
  <c r="AA9" i="5"/>
  <c r="Z9" i="5"/>
  <c r="Y9" i="5"/>
  <c r="X9" i="5"/>
  <c r="W9" i="5"/>
  <c r="V9" i="5"/>
  <c r="U9" i="5"/>
  <c r="T9" i="5"/>
  <c r="S9" i="5"/>
  <c r="R9" i="5"/>
  <c r="Q9" i="5"/>
  <c r="P9" i="5"/>
  <c r="O9" i="5"/>
  <c r="N9" i="5"/>
  <c r="M9" i="5"/>
  <c r="L9" i="5"/>
  <c r="K9" i="5"/>
  <c r="J9" i="5"/>
  <c r="I9" i="5"/>
  <c r="H9" i="5"/>
  <c r="G9" i="5"/>
  <c r="F9" i="5"/>
  <c r="E9" i="5"/>
  <c r="D9" i="5"/>
  <c r="AA8" i="5"/>
  <c r="AA20" i="5" s="1"/>
  <c r="Z8" i="5"/>
  <c r="Z20" i="5" s="1"/>
  <c r="Y8" i="5"/>
  <c r="Y20" i="5" s="1"/>
  <c r="X8" i="5"/>
  <c r="X20" i="5" s="1"/>
  <c r="W8" i="5"/>
  <c r="W20" i="5" s="1"/>
  <c r="V8" i="5"/>
  <c r="V20" i="5" s="1"/>
  <c r="U8" i="5"/>
  <c r="U20" i="5" s="1"/>
  <c r="T8" i="5"/>
  <c r="T20" i="5" s="1"/>
  <c r="S8" i="5"/>
  <c r="S20" i="5" s="1"/>
  <c r="R8" i="5"/>
  <c r="R20" i="5" s="1"/>
  <c r="Q8" i="5"/>
  <c r="Q20" i="5" s="1"/>
  <c r="P8" i="5"/>
  <c r="P20" i="5" s="1"/>
  <c r="O8" i="5"/>
  <c r="O20" i="5" s="1"/>
  <c r="N8" i="5"/>
  <c r="N20" i="5" s="1"/>
  <c r="M8" i="5"/>
  <c r="M20" i="5" s="1"/>
  <c r="L8" i="5"/>
  <c r="L20" i="5" s="1"/>
  <c r="K8" i="5"/>
  <c r="K20" i="5" s="1"/>
  <c r="J8" i="5"/>
  <c r="J20" i="5" s="1"/>
  <c r="I8" i="5"/>
  <c r="I20" i="5" s="1"/>
  <c r="H8" i="5"/>
  <c r="H20" i="5" s="1"/>
  <c r="G8" i="5"/>
  <c r="G20" i="5" s="1"/>
  <c r="F8" i="5"/>
  <c r="F20" i="5" s="1"/>
  <c r="E8" i="5"/>
  <c r="E20" i="5" s="1"/>
  <c r="D8" i="5"/>
  <c r="D20" i="5" s="1"/>
  <c r="AA6" i="5"/>
  <c r="Z6" i="5"/>
  <c r="Y6" i="5"/>
  <c r="X6" i="5"/>
  <c r="W6" i="5"/>
  <c r="V6" i="5"/>
  <c r="U6" i="5"/>
  <c r="T6" i="5"/>
  <c r="S6" i="5"/>
  <c r="R6" i="5"/>
  <c r="Q6" i="5"/>
  <c r="P6" i="5"/>
  <c r="O6" i="5"/>
  <c r="N6" i="5"/>
  <c r="M6" i="5"/>
  <c r="L6" i="5"/>
  <c r="K6" i="5"/>
  <c r="J6" i="5"/>
  <c r="I6" i="5"/>
  <c r="H6" i="5"/>
  <c r="G6" i="5"/>
  <c r="F6" i="5"/>
  <c r="E6" i="5"/>
  <c r="D6" i="5"/>
  <c r="S5" i="5"/>
  <c r="AA4" i="5"/>
  <c r="Z4" i="5"/>
  <c r="Y4" i="5"/>
  <c r="X4" i="5"/>
  <c r="W4" i="5"/>
  <c r="V4" i="5"/>
  <c r="U4" i="5"/>
  <c r="T4" i="5"/>
  <c r="S4" i="5"/>
  <c r="R4" i="5"/>
  <c r="Q4" i="5"/>
  <c r="P4" i="5"/>
  <c r="O4" i="5"/>
  <c r="N4" i="5"/>
  <c r="M4" i="5"/>
  <c r="L4" i="5"/>
  <c r="K4" i="5"/>
  <c r="J4" i="5"/>
  <c r="I4" i="5"/>
  <c r="H4" i="5"/>
  <c r="G4" i="5"/>
  <c r="F4" i="5"/>
  <c r="E4" i="5"/>
  <c r="D4" i="5"/>
  <c r="AA3" i="5"/>
  <c r="AA5" i="5" s="1"/>
  <c r="Z3" i="5"/>
  <c r="Z5" i="5" s="1"/>
  <c r="Y3" i="5"/>
  <c r="Y5" i="5" s="1"/>
  <c r="X3" i="5"/>
  <c r="X5" i="5" s="1"/>
  <c r="W3" i="5"/>
  <c r="W5" i="5" s="1"/>
  <c r="V3" i="5"/>
  <c r="V5" i="5" s="1"/>
  <c r="U3" i="5"/>
  <c r="U5" i="5" s="1"/>
  <c r="T3" i="5"/>
  <c r="T5" i="5" s="1"/>
  <c r="S3" i="5"/>
  <c r="R3" i="5"/>
  <c r="R5" i="5" s="1"/>
  <c r="Q3" i="5"/>
  <c r="Q5" i="5" s="1"/>
  <c r="P3" i="5"/>
  <c r="P5" i="5" s="1"/>
  <c r="O3" i="5"/>
  <c r="O5" i="5" s="1"/>
  <c r="N3" i="5"/>
  <c r="N5" i="5" s="1"/>
  <c r="M3" i="5"/>
  <c r="M5" i="5" s="1"/>
  <c r="L3" i="5"/>
  <c r="L5" i="5" s="1"/>
  <c r="K3" i="5"/>
  <c r="K5" i="5" s="1"/>
  <c r="J3" i="5"/>
  <c r="J5" i="5" s="1"/>
  <c r="I3" i="5"/>
  <c r="I5" i="5" s="1"/>
  <c r="H3" i="5"/>
  <c r="H5" i="5" s="1"/>
  <c r="G3" i="5"/>
  <c r="G5" i="5" s="1"/>
  <c r="F3" i="5"/>
  <c r="F5" i="5" s="1"/>
  <c r="E3" i="5"/>
  <c r="E5" i="5" s="1"/>
  <c r="D3" i="5"/>
  <c r="D5" i="5" s="1"/>
  <c r="AA17" i="4"/>
  <c r="Z17" i="4"/>
  <c r="Y17" i="4"/>
  <c r="X17" i="4"/>
  <c r="W17" i="4"/>
  <c r="V17" i="4"/>
  <c r="U17" i="4"/>
  <c r="T17" i="4"/>
  <c r="S17" i="4"/>
  <c r="R17" i="4"/>
  <c r="Q17" i="4"/>
  <c r="P17" i="4"/>
  <c r="O17" i="4"/>
  <c r="N17" i="4"/>
  <c r="M17" i="4"/>
  <c r="L17" i="4"/>
  <c r="K17" i="4"/>
  <c r="J17" i="4"/>
  <c r="I17" i="4"/>
  <c r="H17" i="4"/>
  <c r="G17" i="4"/>
  <c r="F17" i="4"/>
  <c r="E17" i="4"/>
  <c r="D17" i="4"/>
  <c r="AA15" i="4"/>
  <c r="Z15" i="4"/>
  <c r="Y15" i="4"/>
  <c r="X15" i="4"/>
  <c r="W15" i="4"/>
  <c r="V15" i="4"/>
  <c r="U15" i="4"/>
  <c r="T15" i="4"/>
  <c r="S15" i="4"/>
  <c r="R15" i="4"/>
  <c r="Q15" i="4"/>
  <c r="P15" i="4"/>
  <c r="O15" i="4"/>
  <c r="N15" i="4"/>
  <c r="M15" i="4"/>
  <c r="L15" i="4"/>
  <c r="K15" i="4"/>
  <c r="J15" i="4"/>
  <c r="I15" i="4"/>
  <c r="H15" i="4"/>
  <c r="G15" i="4"/>
  <c r="F15" i="4"/>
  <c r="E15" i="4"/>
  <c r="D15" i="4"/>
  <c r="AA14" i="4"/>
  <c r="Z14" i="4"/>
  <c r="Y14" i="4"/>
  <c r="X14" i="4"/>
  <c r="W14" i="4"/>
  <c r="V14" i="4"/>
  <c r="U14" i="4"/>
  <c r="T14" i="4"/>
  <c r="S14" i="4"/>
  <c r="R14" i="4"/>
  <c r="Q14" i="4"/>
  <c r="P14" i="4"/>
  <c r="O14" i="4"/>
  <c r="N14" i="4"/>
  <c r="M14" i="4"/>
  <c r="L14" i="4"/>
  <c r="K14" i="4"/>
  <c r="J14" i="4"/>
  <c r="I14" i="4"/>
  <c r="H14" i="4"/>
  <c r="G14" i="4"/>
  <c r="F14" i="4"/>
  <c r="E14" i="4"/>
  <c r="D14" i="4"/>
  <c r="AA13" i="4"/>
  <c r="Z13" i="4"/>
  <c r="Y13" i="4"/>
  <c r="X13" i="4"/>
  <c r="W13" i="4"/>
  <c r="V13" i="4"/>
  <c r="U13" i="4"/>
  <c r="T13" i="4"/>
  <c r="S13" i="4"/>
  <c r="R13" i="4"/>
  <c r="Q13" i="4"/>
  <c r="P13" i="4"/>
  <c r="O13" i="4"/>
  <c r="N13" i="4"/>
  <c r="M13" i="4"/>
  <c r="L13" i="4"/>
  <c r="K13" i="4"/>
  <c r="J13" i="4"/>
  <c r="I13" i="4"/>
  <c r="H13" i="4"/>
  <c r="G13" i="4"/>
  <c r="F13" i="4"/>
  <c r="E13" i="4"/>
  <c r="D13" i="4"/>
  <c r="AA12" i="4"/>
  <c r="Z12" i="4"/>
  <c r="Y12" i="4"/>
  <c r="X12" i="4"/>
  <c r="W12" i="4"/>
  <c r="V12" i="4"/>
  <c r="U12" i="4"/>
  <c r="T12" i="4"/>
  <c r="S12" i="4"/>
  <c r="R12" i="4"/>
  <c r="Q12" i="4"/>
  <c r="P12" i="4"/>
  <c r="O12" i="4"/>
  <c r="N12" i="4"/>
  <c r="M12" i="4"/>
  <c r="L12" i="4"/>
  <c r="K12" i="4"/>
  <c r="J12" i="4"/>
  <c r="I12" i="4"/>
  <c r="H12" i="4"/>
  <c r="G12" i="4"/>
  <c r="F12" i="4"/>
  <c r="E12" i="4"/>
  <c r="D12" i="4"/>
  <c r="AA10" i="4"/>
  <c r="Z10" i="4"/>
  <c r="Y10" i="4"/>
  <c r="X10" i="4"/>
  <c r="W10" i="4"/>
  <c r="V10" i="4"/>
  <c r="U10" i="4"/>
  <c r="T10" i="4"/>
  <c r="S10" i="4"/>
  <c r="R10" i="4"/>
  <c r="Q10" i="4"/>
  <c r="P10" i="4"/>
  <c r="O10" i="4"/>
  <c r="N10" i="4"/>
  <c r="M10" i="4"/>
  <c r="L10" i="4"/>
  <c r="K10" i="4"/>
  <c r="J10" i="4"/>
  <c r="I10" i="4"/>
  <c r="H10" i="4"/>
  <c r="G10" i="4"/>
  <c r="F10" i="4"/>
  <c r="E10" i="4"/>
  <c r="D10" i="4"/>
  <c r="AA9" i="4"/>
  <c r="Z9" i="4"/>
  <c r="Y9" i="4"/>
  <c r="X9" i="4"/>
  <c r="W9" i="4"/>
  <c r="V9" i="4"/>
  <c r="U9" i="4"/>
  <c r="T9" i="4"/>
  <c r="S9" i="4"/>
  <c r="R9" i="4"/>
  <c r="Q9" i="4"/>
  <c r="P9" i="4"/>
  <c r="O9" i="4"/>
  <c r="N9" i="4"/>
  <c r="M9" i="4"/>
  <c r="L9" i="4"/>
  <c r="K9" i="4"/>
  <c r="J9" i="4"/>
  <c r="I9" i="4"/>
  <c r="H9" i="4"/>
  <c r="G9" i="4"/>
  <c r="F9" i="4"/>
  <c r="E9" i="4"/>
  <c r="D9" i="4"/>
  <c r="AA8" i="4"/>
  <c r="Z8" i="4"/>
  <c r="Y8" i="4"/>
  <c r="X8" i="4"/>
  <c r="W8" i="4"/>
  <c r="V8" i="4"/>
  <c r="U8" i="4"/>
  <c r="T8" i="4"/>
  <c r="S8" i="4"/>
  <c r="R8" i="4"/>
  <c r="Q8" i="4"/>
  <c r="P8" i="4"/>
  <c r="O8" i="4"/>
  <c r="N8" i="4"/>
  <c r="M8" i="4"/>
  <c r="L8" i="4"/>
  <c r="K8" i="4"/>
  <c r="J8" i="4"/>
  <c r="I8" i="4"/>
  <c r="H8" i="4"/>
  <c r="G8" i="4"/>
  <c r="F8" i="4"/>
  <c r="E8" i="4"/>
  <c r="D8" i="4"/>
  <c r="AA6" i="4"/>
  <c r="Z6" i="4"/>
  <c r="Y6" i="4"/>
  <c r="X6" i="4"/>
  <c r="W6" i="4"/>
  <c r="V6" i="4"/>
  <c r="U6" i="4"/>
  <c r="T6" i="4"/>
  <c r="S6" i="4"/>
  <c r="R6" i="4"/>
  <c r="Q6" i="4"/>
  <c r="P6" i="4"/>
  <c r="O6" i="4"/>
  <c r="N6" i="4"/>
  <c r="M6" i="4"/>
  <c r="L6" i="4"/>
  <c r="K6" i="4"/>
  <c r="J6" i="4"/>
  <c r="I6" i="4"/>
  <c r="H6" i="4"/>
  <c r="G6" i="4"/>
  <c r="F6" i="4"/>
  <c r="E6" i="4"/>
  <c r="D6" i="4"/>
  <c r="AA4" i="4"/>
  <c r="Z4" i="4"/>
  <c r="Y4" i="4"/>
  <c r="X4" i="4"/>
  <c r="W4" i="4"/>
  <c r="V4" i="4"/>
  <c r="U4" i="4"/>
  <c r="T4" i="4"/>
  <c r="S4" i="4"/>
  <c r="R4" i="4"/>
  <c r="Q4" i="4"/>
  <c r="P4" i="4"/>
  <c r="O4" i="4"/>
  <c r="N4" i="4"/>
  <c r="M4" i="4"/>
  <c r="L4" i="4"/>
  <c r="K4" i="4"/>
  <c r="J4" i="4"/>
  <c r="I4" i="4"/>
  <c r="H4" i="4"/>
  <c r="G4" i="4"/>
  <c r="F4" i="4"/>
  <c r="E4" i="4"/>
  <c r="D4" i="4"/>
  <c r="AA3" i="4"/>
  <c r="AA5" i="4" s="1"/>
  <c r="Z3" i="4"/>
  <c r="Z5" i="4" s="1"/>
  <c r="Y3" i="4"/>
  <c r="Y5" i="4" s="1"/>
  <c r="X3" i="4"/>
  <c r="X5" i="4" s="1"/>
  <c r="W3" i="4"/>
  <c r="W5" i="4" s="1"/>
  <c r="V3" i="4"/>
  <c r="V5" i="4" s="1"/>
  <c r="U3" i="4"/>
  <c r="U5" i="4" s="1"/>
  <c r="T3" i="4"/>
  <c r="T5" i="4" s="1"/>
  <c r="S3" i="4"/>
  <c r="S5" i="4" s="1"/>
  <c r="R3" i="4"/>
  <c r="R5" i="4" s="1"/>
  <c r="Q3" i="4"/>
  <c r="Q5" i="4" s="1"/>
  <c r="P3" i="4"/>
  <c r="P5" i="4" s="1"/>
  <c r="O3" i="4"/>
  <c r="O5" i="4" s="1"/>
  <c r="N3" i="4"/>
  <c r="N5" i="4" s="1"/>
  <c r="M3" i="4"/>
  <c r="M5" i="4" s="1"/>
  <c r="L3" i="4"/>
  <c r="L5" i="4" s="1"/>
  <c r="K3" i="4"/>
  <c r="K5" i="4" s="1"/>
  <c r="J3" i="4"/>
  <c r="J5" i="4" s="1"/>
  <c r="I3" i="4"/>
  <c r="I5" i="4" s="1"/>
  <c r="H3" i="4"/>
  <c r="H5" i="4" s="1"/>
  <c r="G3" i="4"/>
  <c r="G5" i="4" s="1"/>
  <c r="F3" i="4"/>
  <c r="F5" i="4" s="1"/>
  <c r="E3" i="4"/>
  <c r="E5" i="4" s="1"/>
  <c r="D3" i="4"/>
  <c r="D5" i="4" s="1"/>
  <c r="AA17" i="3"/>
  <c r="Z17" i="3"/>
  <c r="Y17" i="3"/>
  <c r="X17" i="3"/>
  <c r="W17" i="3"/>
  <c r="V17" i="3"/>
  <c r="U17" i="3"/>
  <c r="T17" i="3"/>
  <c r="S17" i="3"/>
  <c r="R17" i="3"/>
  <c r="Q17" i="3"/>
  <c r="P17" i="3"/>
  <c r="O17" i="3"/>
  <c r="N17" i="3"/>
  <c r="M17" i="3"/>
  <c r="L17" i="3"/>
  <c r="K17" i="3"/>
  <c r="J17" i="3"/>
  <c r="I17" i="3"/>
  <c r="H17" i="3"/>
  <c r="G17" i="3"/>
  <c r="F17" i="3"/>
  <c r="E17" i="3"/>
  <c r="D17" i="3"/>
  <c r="AA15" i="3"/>
  <c r="Z15" i="3"/>
  <c r="Y15" i="3"/>
  <c r="X15" i="3"/>
  <c r="W15" i="3"/>
  <c r="V15" i="3"/>
  <c r="U15" i="3"/>
  <c r="T15" i="3"/>
  <c r="S15" i="3"/>
  <c r="R15" i="3"/>
  <c r="Q15" i="3"/>
  <c r="P15" i="3"/>
  <c r="O15" i="3"/>
  <c r="N15" i="3"/>
  <c r="M15" i="3"/>
  <c r="L15" i="3"/>
  <c r="K15" i="3"/>
  <c r="J15" i="3"/>
  <c r="I15" i="3"/>
  <c r="H15" i="3"/>
  <c r="G15" i="3"/>
  <c r="F15" i="3"/>
  <c r="E15" i="3"/>
  <c r="D15" i="3"/>
  <c r="AA14" i="3"/>
  <c r="Z14" i="3"/>
  <c r="Y14" i="3"/>
  <c r="X14" i="3"/>
  <c r="W14" i="3"/>
  <c r="V14" i="3"/>
  <c r="U14" i="3"/>
  <c r="T14" i="3"/>
  <c r="S14" i="3"/>
  <c r="R14" i="3"/>
  <c r="Q14" i="3"/>
  <c r="P14" i="3"/>
  <c r="O14" i="3"/>
  <c r="N14" i="3"/>
  <c r="M14" i="3"/>
  <c r="L14" i="3"/>
  <c r="K14" i="3"/>
  <c r="J14" i="3"/>
  <c r="I14" i="3"/>
  <c r="H14" i="3"/>
  <c r="G14" i="3"/>
  <c r="F14" i="3"/>
  <c r="E14" i="3"/>
  <c r="D14" i="3"/>
  <c r="AA13" i="3"/>
  <c r="Z13" i="3"/>
  <c r="Y13" i="3"/>
  <c r="X13" i="3"/>
  <c r="W13" i="3"/>
  <c r="V13" i="3"/>
  <c r="U13" i="3"/>
  <c r="T13" i="3"/>
  <c r="S13" i="3"/>
  <c r="R13" i="3"/>
  <c r="Q13" i="3"/>
  <c r="P13" i="3"/>
  <c r="O13" i="3"/>
  <c r="N13" i="3"/>
  <c r="M13" i="3"/>
  <c r="L13" i="3"/>
  <c r="K13" i="3"/>
  <c r="J13" i="3"/>
  <c r="I13" i="3"/>
  <c r="H13" i="3"/>
  <c r="G13" i="3"/>
  <c r="F13" i="3"/>
  <c r="E13" i="3"/>
  <c r="D13" i="3"/>
  <c r="AA12" i="3"/>
  <c r="Z12" i="3"/>
  <c r="Y12" i="3"/>
  <c r="X12" i="3"/>
  <c r="W12" i="3"/>
  <c r="V12" i="3"/>
  <c r="U12" i="3"/>
  <c r="T12" i="3"/>
  <c r="S12" i="3"/>
  <c r="R12" i="3"/>
  <c r="Q12" i="3"/>
  <c r="P12" i="3"/>
  <c r="O12" i="3"/>
  <c r="N12" i="3"/>
  <c r="M12" i="3"/>
  <c r="L12" i="3"/>
  <c r="K12" i="3"/>
  <c r="J12" i="3"/>
  <c r="I12" i="3"/>
  <c r="H12" i="3"/>
  <c r="G12" i="3"/>
  <c r="F12" i="3"/>
  <c r="E12" i="3"/>
  <c r="D12" i="3"/>
  <c r="AA10" i="3"/>
  <c r="Z10" i="3"/>
  <c r="Y10" i="3"/>
  <c r="X10" i="3"/>
  <c r="W10" i="3"/>
  <c r="V10" i="3"/>
  <c r="U10" i="3"/>
  <c r="T10" i="3"/>
  <c r="S10" i="3"/>
  <c r="R10" i="3"/>
  <c r="Q10" i="3"/>
  <c r="P10" i="3"/>
  <c r="O10" i="3"/>
  <c r="N10" i="3"/>
  <c r="M10" i="3"/>
  <c r="L10" i="3"/>
  <c r="K10" i="3"/>
  <c r="J10" i="3"/>
  <c r="I10" i="3"/>
  <c r="H10" i="3"/>
  <c r="G10" i="3"/>
  <c r="F10" i="3"/>
  <c r="E10" i="3"/>
  <c r="D10" i="3"/>
  <c r="AA9" i="3"/>
  <c r="Z9" i="3"/>
  <c r="Y9" i="3"/>
  <c r="X9" i="3"/>
  <c r="W9" i="3"/>
  <c r="V9" i="3"/>
  <c r="U9" i="3"/>
  <c r="T9" i="3"/>
  <c r="S9" i="3"/>
  <c r="R9" i="3"/>
  <c r="Q9" i="3"/>
  <c r="P9" i="3"/>
  <c r="O9" i="3"/>
  <c r="N9" i="3"/>
  <c r="M9" i="3"/>
  <c r="L9" i="3"/>
  <c r="K9" i="3"/>
  <c r="J9" i="3"/>
  <c r="I9" i="3"/>
  <c r="H9" i="3"/>
  <c r="G9" i="3"/>
  <c r="F9" i="3"/>
  <c r="E9" i="3"/>
  <c r="D9" i="3"/>
  <c r="AA8" i="3"/>
  <c r="AA20" i="3" s="1"/>
  <c r="Z8" i="3"/>
  <c r="Z20" i="3" s="1"/>
  <c r="Y8" i="3"/>
  <c r="Y20" i="3" s="1"/>
  <c r="X8" i="3"/>
  <c r="X20" i="3" s="1"/>
  <c r="W8" i="3"/>
  <c r="W20" i="3" s="1"/>
  <c r="V8" i="3"/>
  <c r="V20" i="3" s="1"/>
  <c r="U8" i="3"/>
  <c r="U20" i="3" s="1"/>
  <c r="T8" i="3"/>
  <c r="T20" i="3" s="1"/>
  <c r="S8" i="3"/>
  <c r="S20" i="3" s="1"/>
  <c r="R8" i="3"/>
  <c r="R20" i="3" s="1"/>
  <c r="Q8" i="3"/>
  <c r="Q20" i="3" s="1"/>
  <c r="P8" i="3"/>
  <c r="P20" i="3" s="1"/>
  <c r="O8" i="3"/>
  <c r="O20" i="3" s="1"/>
  <c r="N8" i="3"/>
  <c r="N20" i="3" s="1"/>
  <c r="M8" i="3"/>
  <c r="M20" i="3" s="1"/>
  <c r="L8" i="3"/>
  <c r="L20" i="3" s="1"/>
  <c r="K8" i="3"/>
  <c r="K20" i="3" s="1"/>
  <c r="J8" i="3"/>
  <c r="J20" i="3" s="1"/>
  <c r="I8" i="3"/>
  <c r="I20" i="3" s="1"/>
  <c r="H8" i="3"/>
  <c r="H20" i="3" s="1"/>
  <c r="G8" i="3"/>
  <c r="G20" i="3" s="1"/>
  <c r="F8" i="3"/>
  <c r="F20" i="3" s="1"/>
  <c r="E8" i="3"/>
  <c r="E20" i="3" s="1"/>
  <c r="D8" i="3"/>
  <c r="D20" i="3" s="1"/>
  <c r="AA6" i="3"/>
  <c r="Z6" i="3"/>
  <c r="Y6" i="3"/>
  <c r="X6" i="3"/>
  <c r="W6" i="3"/>
  <c r="V6" i="3"/>
  <c r="U6" i="3"/>
  <c r="T6" i="3"/>
  <c r="S6" i="3"/>
  <c r="R6" i="3"/>
  <c r="Q6" i="3"/>
  <c r="P6" i="3"/>
  <c r="O6" i="3"/>
  <c r="N6" i="3"/>
  <c r="M6" i="3"/>
  <c r="L6" i="3"/>
  <c r="K6" i="3"/>
  <c r="J6" i="3"/>
  <c r="I6" i="3"/>
  <c r="H6" i="3"/>
  <c r="G6" i="3"/>
  <c r="F6" i="3"/>
  <c r="E6" i="3"/>
  <c r="D6" i="3"/>
  <c r="AA4" i="3"/>
  <c r="Z4" i="3"/>
  <c r="Y4" i="3"/>
  <c r="X4" i="3"/>
  <c r="W4" i="3"/>
  <c r="V4" i="3"/>
  <c r="U4" i="3"/>
  <c r="T4" i="3"/>
  <c r="S4" i="3"/>
  <c r="R4" i="3"/>
  <c r="Q4" i="3"/>
  <c r="P4" i="3"/>
  <c r="O4" i="3"/>
  <c r="N4" i="3"/>
  <c r="M4" i="3"/>
  <c r="L4" i="3"/>
  <c r="K4" i="3"/>
  <c r="J4" i="3"/>
  <c r="I4" i="3"/>
  <c r="H4" i="3"/>
  <c r="G4" i="3"/>
  <c r="F4" i="3"/>
  <c r="E4" i="3"/>
  <c r="D4" i="3"/>
  <c r="AA3" i="3"/>
  <c r="AA5" i="3" s="1"/>
  <c r="Z3" i="3"/>
  <c r="Z5" i="3" s="1"/>
  <c r="Y3" i="3"/>
  <c r="Y5" i="3" s="1"/>
  <c r="X3" i="3"/>
  <c r="X5" i="3" s="1"/>
  <c r="W3" i="3"/>
  <c r="W5" i="3" s="1"/>
  <c r="V3" i="3"/>
  <c r="V5" i="3" s="1"/>
  <c r="U3" i="3"/>
  <c r="U5" i="3" s="1"/>
  <c r="T3" i="3"/>
  <c r="T5" i="3" s="1"/>
  <c r="S3" i="3"/>
  <c r="S5" i="3" s="1"/>
  <c r="R3" i="3"/>
  <c r="R5" i="3" s="1"/>
  <c r="Q3" i="3"/>
  <c r="Q5" i="3" s="1"/>
  <c r="P3" i="3"/>
  <c r="P5" i="3" s="1"/>
  <c r="O3" i="3"/>
  <c r="O5" i="3" s="1"/>
  <c r="N3" i="3"/>
  <c r="N5" i="3" s="1"/>
  <c r="M3" i="3"/>
  <c r="M5" i="3" s="1"/>
  <c r="L3" i="3"/>
  <c r="L5" i="3" s="1"/>
  <c r="K3" i="3"/>
  <c r="K5" i="3" s="1"/>
  <c r="J3" i="3"/>
  <c r="J5" i="3" s="1"/>
  <c r="I3" i="3"/>
  <c r="I5" i="3" s="1"/>
  <c r="H3" i="3"/>
  <c r="H5" i="3" s="1"/>
  <c r="G3" i="3"/>
  <c r="G5" i="3" s="1"/>
  <c r="F3" i="3"/>
  <c r="F5" i="3" s="1"/>
  <c r="E3" i="3"/>
  <c r="E5" i="3" s="1"/>
  <c r="D3" i="3"/>
  <c r="D5" i="3" s="1"/>
  <c r="P277" i="1"/>
  <c r="P276" i="1"/>
  <c r="P275" i="1"/>
  <c r="P274" i="1"/>
  <c r="P273" i="1"/>
  <c r="P272" i="1"/>
  <c r="U17" i="2" s="1"/>
  <c r="P271" i="1"/>
  <c r="P270" i="1"/>
  <c r="P269" i="1"/>
  <c r="U14" i="2" s="1"/>
  <c r="P268" i="1"/>
  <c r="U13" i="2" s="1"/>
  <c r="P267" i="1"/>
  <c r="U12" i="2" s="1"/>
  <c r="P266" i="1"/>
  <c r="P265" i="1"/>
  <c r="P264" i="1"/>
  <c r="U9" i="2" s="1"/>
  <c r="P263" i="1"/>
  <c r="U8" i="2" s="1"/>
  <c r="U20" i="2" s="1"/>
  <c r="P262" i="1"/>
  <c r="P261" i="1"/>
  <c r="P260" i="1"/>
  <c r="P259" i="1"/>
  <c r="P258" i="1"/>
  <c r="P257" i="1"/>
  <c r="T17" i="2" s="1"/>
  <c r="P256" i="1"/>
  <c r="P255" i="1"/>
  <c r="T15" i="2" s="1"/>
  <c r="P254" i="1"/>
  <c r="P253" i="1"/>
  <c r="P252" i="1"/>
  <c r="T12" i="2" s="1"/>
  <c r="P251" i="1"/>
  <c r="P250" i="1"/>
  <c r="P249" i="1"/>
  <c r="T9" i="2" s="1"/>
  <c r="P248" i="1"/>
  <c r="T8" i="2" s="1"/>
  <c r="P247" i="1"/>
  <c r="P246" i="1"/>
  <c r="P245" i="1"/>
  <c r="P244" i="1"/>
  <c r="T4" i="2" s="1"/>
  <c r="P243" i="1"/>
  <c r="T3" i="2" s="1"/>
  <c r="T5" i="2" s="1"/>
  <c r="P242" i="1"/>
  <c r="P241" i="1"/>
  <c r="P240" i="1"/>
  <c r="S15" i="2" s="1"/>
  <c r="P239" i="1"/>
  <c r="S14" i="2" s="1"/>
  <c r="P238" i="1"/>
  <c r="P237" i="1"/>
  <c r="P236" i="1"/>
  <c r="P235" i="1"/>
  <c r="P234" i="1"/>
  <c r="P233" i="1"/>
  <c r="S8" i="2" s="1"/>
  <c r="P232" i="1"/>
  <c r="P231" i="1"/>
  <c r="P230" i="1"/>
  <c r="P229" i="1"/>
  <c r="P228" i="1"/>
  <c r="S3" i="2" s="1"/>
  <c r="S5" i="2" s="1"/>
  <c r="P227" i="1"/>
  <c r="P226" i="1"/>
  <c r="P225" i="1"/>
  <c r="P224" i="1"/>
  <c r="P223" i="1"/>
  <c r="P222" i="1"/>
  <c r="P221" i="1"/>
  <c r="P220" i="1"/>
  <c r="P219" i="1"/>
  <c r="R9" i="2" s="1"/>
  <c r="P218" i="1"/>
  <c r="P217" i="1"/>
  <c r="P216" i="1"/>
  <c r="P215" i="1"/>
  <c r="P214" i="1"/>
  <c r="P213" i="1"/>
  <c r="P212" i="1"/>
  <c r="P211" i="1"/>
  <c r="P210" i="1"/>
  <c r="P209" i="1"/>
  <c r="P208" i="1"/>
  <c r="P207" i="1"/>
  <c r="Q12" i="2" s="1"/>
  <c r="P206" i="1"/>
  <c r="P205" i="1"/>
  <c r="P204" i="1"/>
  <c r="P203" i="1"/>
  <c r="P202" i="1"/>
  <c r="P201" i="1"/>
  <c r="P200" i="1"/>
  <c r="P199" i="1"/>
  <c r="P198" i="1"/>
  <c r="P197" i="1"/>
  <c r="P17" i="2" s="1"/>
  <c r="P196" i="1"/>
  <c r="P195" i="1"/>
  <c r="P15" i="2" s="1"/>
  <c r="P194" i="1"/>
  <c r="P193" i="1"/>
  <c r="P192" i="1"/>
  <c r="P12" i="2" s="1"/>
  <c r="P191" i="1"/>
  <c r="P190" i="1"/>
  <c r="P189" i="1"/>
  <c r="P9" i="2" s="1"/>
  <c r="P188" i="1"/>
  <c r="P187" i="1"/>
  <c r="P186" i="1"/>
  <c r="P185" i="1"/>
  <c r="P184" i="1"/>
  <c r="P183" i="1"/>
  <c r="P3" i="2" s="1"/>
  <c r="P5" i="2" s="1"/>
  <c r="P182" i="1"/>
  <c r="P181" i="1"/>
  <c r="P180" i="1"/>
  <c r="O15" i="2" s="1"/>
  <c r="P179" i="1"/>
  <c r="O14" i="2" s="1"/>
  <c r="P178" i="1"/>
  <c r="P177" i="1"/>
  <c r="O12" i="2" s="1"/>
  <c r="P176" i="1"/>
  <c r="P175" i="1"/>
  <c r="P174" i="1"/>
  <c r="P173" i="1"/>
  <c r="O8" i="2" s="1"/>
  <c r="P172" i="1"/>
  <c r="P171" i="1"/>
  <c r="P170" i="1"/>
  <c r="P169" i="1"/>
  <c r="P168" i="1"/>
  <c r="O3" i="2" s="1"/>
  <c r="O5" i="2" s="1"/>
  <c r="P167" i="1"/>
  <c r="N17" i="2" s="1"/>
  <c r="P166" i="1"/>
  <c r="P165" i="1"/>
  <c r="P164" i="1"/>
  <c r="P163" i="1"/>
  <c r="P162" i="1"/>
  <c r="P161" i="1"/>
  <c r="P160" i="1"/>
  <c r="N10" i="2" s="1"/>
  <c r="P159" i="1"/>
  <c r="N9" i="2" s="1"/>
  <c r="P158" i="1"/>
  <c r="P157" i="1"/>
  <c r="P156" i="1"/>
  <c r="P155" i="1"/>
  <c r="P154" i="1"/>
  <c r="P153" i="1"/>
  <c r="N3" i="2" s="1"/>
  <c r="N5" i="2" s="1"/>
  <c r="P152" i="1"/>
  <c r="P151" i="1"/>
  <c r="P150" i="1"/>
  <c r="P149" i="1"/>
  <c r="P148" i="1"/>
  <c r="M13" i="2" s="1"/>
  <c r="P147" i="1"/>
  <c r="M12" i="2" s="1"/>
  <c r="P146" i="1"/>
  <c r="P145" i="1"/>
  <c r="P144" i="1"/>
  <c r="P143" i="1"/>
  <c r="M8" i="2" s="1"/>
  <c r="M20" i="2" s="1"/>
  <c r="P142" i="1"/>
  <c r="P141" i="1"/>
  <c r="P140" i="1"/>
  <c r="P139" i="1"/>
  <c r="P138" i="1"/>
  <c r="P137" i="1"/>
  <c r="L17" i="2" s="1"/>
  <c r="P136" i="1"/>
  <c r="P135" i="1"/>
  <c r="L15" i="2" s="1"/>
  <c r="P134" i="1"/>
  <c r="P133" i="1"/>
  <c r="P132" i="1"/>
  <c r="L12" i="2" s="1"/>
  <c r="P131" i="1"/>
  <c r="P130" i="1"/>
  <c r="P129" i="1"/>
  <c r="L9" i="2" s="1"/>
  <c r="P128" i="1"/>
  <c r="P127" i="1"/>
  <c r="P126" i="1"/>
  <c r="P125" i="1"/>
  <c r="P124" i="1"/>
  <c r="L4" i="2" s="1"/>
  <c r="P123" i="1"/>
  <c r="L3" i="2" s="1"/>
  <c r="L5" i="2" s="1"/>
  <c r="P122" i="1"/>
  <c r="P121" i="1"/>
  <c r="P120" i="1"/>
  <c r="K15" i="2" s="1"/>
  <c r="P119" i="1"/>
  <c r="K14" i="2" s="1"/>
  <c r="P118" i="1"/>
  <c r="P117" i="1"/>
  <c r="P116" i="1"/>
  <c r="P115" i="1"/>
  <c r="P114" i="1"/>
  <c r="P113" i="1"/>
  <c r="K8" i="2" s="1"/>
  <c r="P112" i="1"/>
  <c r="P111" i="1"/>
  <c r="P110" i="1"/>
  <c r="P109" i="1"/>
  <c r="P108" i="1"/>
  <c r="K3" i="2" s="1"/>
  <c r="K5" i="2" s="1"/>
  <c r="P107" i="1"/>
  <c r="J17" i="2" s="1"/>
  <c r="P106" i="1"/>
  <c r="P105" i="1"/>
  <c r="P104" i="1"/>
  <c r="P103" i="1"/>
  <c r="P102" i="1"/>
  <c r="P101" i="1"/>
  <c r="P100" i="1"/>
  <c r="J10" i="2" s="1"/>
  <c r="P99" i="1"/>
  <c r="J9" i="2" s="1"/>
  <c r="P98" i="1"/>
  <c r="P97" i="1"/>
  <c r="P96" i="1"/>
  <c r="P95" i="1"/>
  <c r="P94" i="1"/>
  <c r="P93" i="1"/>
  <c r="P92" i="1"/>
  <c r="I17" i="2" s="1"/>
  <c r="P91" i="1"/>
  <c r="P90" i="1"/>
  <c r="P89" i="1"/>
  <c r="I14" i="2" s="1"/>
  <c r="P88" i="1"/>
  <c r="I13" i="2" s="1"/>
  <c r="P87" i="1"/>
  <c r="I12" i="2" s="1"/>
  <c r="P86" i="1"/>
  <c r="P85" i="1"/>
  <c r="P84" i="1"/>
  <c r="I9" i="2" s="1"/>
  <c r="P83" i="1"/>
  <c r="I8" i="2" s="1"/>
  <c r="I20" i="2" s="1"/>
  <c r="P82" i="1"/>
  <c r="P81" i="1"/>
  <c r="P80" i="1"/>
  <c r="P79" i="1"/>
  <c r="P78" i="1"/>
  <c r="P77" i="1"/>
  <c r="H17" i="2" s="1"/>
  <c r="P76" i="1"/>
  <c r="P75" i="1"/>
  <c r="H15" i="2" s="1"/>
  <c r="P74" i="1"/>
  <c r="P73" i="1"/>
  <c r="P72" i="1"/>
  <c r="H12" i="2" s="1"/>
  <c r="P71" i="1"/>
  <c r="P70" i="1"/>
  <c r="P69" i="1"/>
  <c r="H9" i="2" s="1"/>
  <c r="P68" i="1"/>
  <c r="H8" i="2" s="1"/>
  <c r="P67" i="1"/>
  <c r="P66" i="1"/>
  <c r="P65" i="1"/>
  <c r="P64" i="1"/>
  <c r="H4" i="2" s="1"/>
  <c r="P63" i="1"/>
  <c r="H3" i="2" s="1"/>
  <c r="H5" i="2" s="1"/>
  <c r="P62" i="1"/>
  <c r="P61" i="1"/>
  <c r="P60" i="1"/>
  <c r="G15" i="2" s="1"/>
  <c r="P59" i="1"/>
  <c r="G14" i="2" s="1"/>
  <c r="P58" i="1"/>
  <c r="P57" i="1"/>
  <c r="P56" i="1"/>
  <c r="P55" i="1"/>
  <c r="P54" i="1"/>
  <c r="P53" i="1"/>
  <c r="G8" i="2" s="1"/>
  <c r="P52" i="1"/>
  <c r="P51" i="1"/>
  <c r="P50" i="1"/>
  <c r="P49" i="1"/>
  <c r="P48" i="1"/>
  <c r="G3" i="2" s="1"/>
  <c r="G5" i="2" s="1"/>
  <c r="P47" i="1"/>
  <c r="P46" i="1"/>
  <c r="P45" i="1"/>
  <c r="P44" i="1"/>
  <c r="P43" i="1"/>
  <c r="P42" i="1"/>
  <c r="P41" i="1"/>
  <c r="P40" i="1"/>
  <c r="P39" i="1"/>
  <c r="F9" i="2" s="1"/>
  <c r="P38" i="1"/>
  <c r="P37" i="1"/>
  <c r="P36" i="1"/>
  <c r="P35" i="1"/>
  <c r="P34" i="1"/>
  <c r="P33" i="1"/>
  <c r="P32" i="1"/>
  <c r="P31" i="1"/>
  <c r="P30" i="1"/>
  <c r="P29" i="1"/>
  <c r="P28" i="1"/>
  <c r="P27" i="1"/>
  <c r="P26" i="1"/>
  <c r="P25" i="1"/>
  <c r="P24" i="1"/>
  <c r="P23" i="1"/>
  <c r="P22" i="1"/>
  <c r="P21" i="1"/>
  <c r="P20" i="1"/>
  <c r="P19" i="1"/>
  <c r="P18" i="1"/>
  <c r="P17" i="1"/>
  <c r="D17" i="2" s="1"/>
  <c r="P16" i="1"/>
  <c r="P15" i="1"/>
  <c r="D15" i="2" s="1"/>
  <c r="P14" i="1"/>
  <c r="P13" i="1"/>
  <c r="P12" i="1"/>
  <c r="D12" i="2" s="1"/>
  <c r="P11" i="1"/>
  <c r="P10" i="1"/>
  <c r="P9" i="1"/>
  <c r="D9" i="2" s="1"/>
  <c r="P8" i="1"/>
  <c r="P7" i="1"/>
  <c r="P6" i="1"/>
  <c r="P5" i="1"/>
  <c r="P4" i="1"/>
  <c r="P3" i="1"/>
  <c r="D3" i="2" s="1"/>
  <c r="D5" i="2" s="1"/>
  <c r="P2" i="1"/>
  <c r="AA17" i="2"/>
  <c r="Z17" i="2"/>
  <c r="Y17" i="2"/>
  <c r="X17" i="2"/>
  <c r="W17" i="2"/>
  <c r="V17" i="2"/>
  <c r="S17" i="2"/>
  <c r="R17" i="2"/>
  <c r="Q17" i="2"/>
  <c r="O17" i="2"/>
  <c r="M17" i="2"/>
  <c r="K17" i="2"/>
  <c r="G17" i="2"/>
  <c r="F17" i="2"/>
  <c r="E17" i="2"/>
  <c r="AA15" i="2"/>
  <c r="Z15" i="2"/>
  <c r="Y15" i="2"/>
  <c r="X15" i="2"/>
  <c r="W15" i="2"/>
  <c r="V15" i="2"/>
  <c r="U15" i="2"/>
  <c r="R15" i="2"/>
  <c r="Q15" i="2"/>
  <c r="N15" i="2"/>
  <c r="M15" i="2"/>
  <c r="J15" i="2"/>
  <c r="I15" i="2"/>
  <c r="F15" i="2"/>
  <c r="E15" i="2"/>
  <c r="AA14" i="2"/>
  <c r="Z14" i="2"/>
  <c r="Y14" i="2"/>
  <c r="X14" i="2"/>
  <c r="W14" i="2"/>
  <c r="V14" i="2"/>
  <c r="T14" i="2"/>
  <c r="R14" i="2"/>
  <c r="Q14" i="2"/>
  <c r="P14" i="2"/>
  <c r="N14" i="2"/>
  <c r="M14" i="2"/>
  <c r="L14" i="2"/>
  <c r="J14" i="2"/>
  <c r="H14" i="2"/>
  <c r="F14" i="2"/>
  <c r="E14" i="2"/>
  <c r="D14" i="2"/>
  <c r="AA13" i="2"/>
  <c r="Z13" i="2"/>
  <c r="Y13" i="2"/>
  <c r="X13" i="2"/>
  <c r="W13" i="2"/>
  <c r="V13" i="2"/>
  <c r="T13" i="2"/>
  <c r="S13" i="2"/>
  <c r="R13" i="2"/>
  <c r="Q13" i="2"/>
  <c r="P13" i="2"/>
  <c r="O13" i="2"/>
  <c r="N13" i="2"/>
  <c r="L13" i="2"/>
  <c r="K13" i="2"/>
  <c r="J13" i="2"/>
  <c r="H13" i="2"/>
  <c r="G13" i="2"/>
  <c r="F13" i="2"/>
  <c r="E13" i="2"/>
  <c r="D13" i="2"/>
  <c r="AA12" i="2"/>
  <c r="Z12" i="2"/>
  <c r="Y12" i="2"/>
  <c r="X12" i="2"/>
  <c r="W12" i="2"/>
  <c r="V12" i="2"/>
  <c r="S12" i="2"/>
  <c r="R12" i="2"/>
  <c r="N12" i="2"/>
  <c r="K12" i="2"/>
  <c r="J12" i="2"/>
  <c r="G12" i="2"/>
  <c r="F12" i="2"/>
  <c r="E12" i="2"/>
  <c r="AA10" i="2"/>
  <c r="Z10" i="2"/>
  <c r="Y10" i="2"/>
  <c r="X10" i="2"/>
  <c r="W10" i="2"/>
  <c r="W20" i="2" s="1"/>
  <c r="V10" i="2"/>
  <c r="U10" i="2"/>
  <c r="T10" i="2"/>
  <c r="S10" i="2"/>
  <c r="R10" i="2"/>
  <c r="Q10" i="2"/>
  <c r="Q20" i="2" s="1"/>
  <c r="P10" i="2"/>
  <c r="O10" i="2"/>
  <c r="M10" i="2"/>
  <c r="L10" i="2"/>
  <c r="K10" i="2"/>
  <c r="I10" i="2"/>
  <c r="H10" i="2"/>
  <c r="G10" i="2"/>
  <c r="F10" i="2"/>
  <c r="E10" i="2"/>
  <c r="E20" i="2" s="1"/>
  <c r="D10" i="2"/>
  <c r="AA9" i="2"/>
  <c r="Z9" i="2"/>
  <c r="Y9" i="2"/>
  <c r="X9" i="2"/>
  <c r="W9" i="2"/>
  <c r="V9" i="2"/>
  <c r="S9" i="2"/>
  <c r="Q9" i="2"/>
  <c r="O9" i="2"/>
  <c r="M9" i="2"/>
  <c r="K9" i="2"/>
  <c r="G9" i="2"/>
  <c r="E9" i="2"/>
  <c r="AA8" i="2"/>
  <c r="AA20" i="2" s="1"/>
  <c r="Z8" i="2"/>
  <c r="Z20" i="2" s="1"/>
  <c r="Y8" i="2"/>
  <c r="Y20" i="2" s="1"/>
  <c r="X8" i="2"/>
  <c r="X20" i="2" s="1"/>
  <c r="V8" i="2"/>
  <c r="V20" i="2" s="1"/>
  <c r="R8" i="2"/>
  <c r="Q8" i="2"/>
  <c r="P8" i="2"/>
  <c r="N8" i="2"/>
  <c r="L8" i="2"/>
  <c r="L20" i="2" s="1"/>
  <c r="J8" i="2"/>
  <c r="F8" i="2"/>
  <c r="E8" i="2"/>
  <c r="D8" i="2"/>
  <c r="D20" i="2" s="1"/>
  <c r="AA6" i="2"/>
  <c r="Z6" i="2"/>
  <c r="Y6" i="2"/>
  <c r="X6" i="2"/>
  <c r="W6" i="2"/>
  <c r="V6" i="2"/>
  <c r="U6" i="2"/>
  <c r="T6" i="2"/>
  <c r="S6" i="2"/>
  <c r="R6" i="2"/>
  <c r="Q6" i="2"/>
  <c r="P6" i="2"/>
  <c r="O6" i="2"/>
  <c r="N6" i="2"/>
  <c r="M6" i="2"/>
  <c r="L6" i="2"/>
  <c r="K6" i="2"/>
  <c r="J6" i="2"/>
  <c r="I6" i="2"/>
  <c r="H6" i="2"/>
  <c r="G6" i="2"/>
  <c r="F6" i="2"/>
  <c r="E6" i="2"/>
  <c r="D6" i="2"/>
  <c r="AA4" i="2"/>
  <c r="Z4" i="2"/>
  <c r="Y4" i="2"/>
  <c r="X4" i="2"/>
  <c r="W4" i="2"/>
  <c r="V4" i="2"/>
  <c r="U4" i="2"/>
  <c r="S4" i="2"/>
  <c r="R4" i="2"/>
  <c r="Q4" i="2"/>
  <c r="P4" i="2"/>
  <c r="O4" i="2"/>
  <c r="N4" i="2"/>
  <c r="M4" i="2"/>
  <c r="K4" i="2"/>
  <c r="J4" i="2"/>
  <c r="I4" i="2"/>
  <c r="G4" i="2"/>
  <c r="F4" i="2"/>
  <c r="E4" i="2"/>
  <c r="D4" i="2"/>
  <c r="AA3" i="2"/>
  <c r="AA5" i="2" s="1"/>
  <c r="Z3" i="2"/>
  <c r="Z5" i="2" s="1"/>
  <c r="Y3" i="2"/>
  <c r="Y5" i="2" s="1"/>
  <c r="X3" i="2"/>
  <c r="X5" i="2" s="1"/>
  <c r="W3" i="2"/>
  <c r="W5" i="2" s="1"/>
  <c r="V3" i="2"/>
  <c r="V5" i="2" s="1"/>
  <c r="U3" i="2"/>
  <c r="U5" i="2" s="1"/>
  <c r="R3" i="2"/>
  <c r="R5" i="2" s="1"/>
  <c r="Q3" i="2"/>
  <c r="Q5" i="2" s="1"/>
  <c r="M3" i="2"/>
  <c r="M5" i="2" s="1"/>
  <c r="J3" i="2"/>
  <c r="J5" i="2" s="1"/>
  <c r="I3" i="2"/>
  <c r="I5" i="2" s="1"/>
  <c r="F3" i="2"/>
  <c r="F5" i="2" s="1"/>
  <c r="E3" i="2"/>
  <c r="E5" i="2" s="1"/>
  <c r="P20" i="2" l="1"/>
  <c r="K20" i="2"/>
  <c r="O20" i="2"/>
  <c r="H20" i="2"/>
  <c r="T20" i="2"/>
  <c r="T5" i="8"/>
  <c r="J20" i="2"/>
  <c r="R20" i="2"/>
  <c r="F20" i="2"/>
  <c r="N20" i="2"/>
  <c r="E5" i="8"/>
  <c r="G20" i="2"/>
  <c r="S20" i="2"/>
  <c r="H5" i="8"/>
</calcChain>
</file>

<file path=xl/sharedStrings.xml><?xml version="1.0" encoding="utf-8"?>
<sst xmlns="http://schemas.openxmlformats.org/spreadsheetml/2006/main" count="8735" uniqueCount="110">
  <si>
    <t>Wheat</t>
  </si>
  <si>
    <t>Commodity</t>
  </si>
  <si>
    <t>Metric</t>
  </si>
  <si>
    <t>Unit</t>
  </si>
  <si>
    <t>2002-03</t>
  </si>
  <si>
    <t>2003-04</t>
  </si>
  <si>
    <t>2004-05</t>
  </si>
  <si>
    <t>2005-06</t>
  </si>
  <si>
    <t>2006-07</t>
  </si>
  <si>
    <t>2007-08</t>
  </si>
  <si>
    <t>2008-09</t>
  </si>
  <si>
    <t>2009-10</t>
  </si>
  <si>
    <t>2010-11</t>
  </si>
  <si>
    <t>2011-12</t>
  </si>
  <si>
    <t>2012-13</t>
  </si>
  <si>
    <t>2013-14</t>
  </si>
  <si>
    <t>2014-15</t>
  </si>
  <si>
    <t>2015-16</t>
  </si>
  <si>
    <t>2016-17</t>
  </si>
  <si>
    <t>2017-18</t>
  </si>
  <si>
    <t>2018-19</t>
  </si>
  <si>
    <t>2019-20</t>
  </si>
  <si>
    <t>2020-21</t>
  </si>
  <si>
    <t>2021-22</t>
  </si>
  <si>
    <t>2022-23</t>
  </si>
  <si>
    <t>2023-24</t>
  </si>
  <si>
    <t>2024-25</t>
  </si>
  <si>
    <t>2025-26</t>
  </si>
  <si>
    <t>Planted Area</t>
  </si>
  <si>
    <t>MLN AC</t>
  </si>
  <si>
    <t>Harvested Area</t>
  </si>
  <si>
    <t>Proportion Harvested</t>
  </si>
  <si>
    <t>%</t>
  </si>
  <si>
    <t>Yield</t>
  </si>
  <si>
    <t>BU/AC</t>
  </si>
  <si>
    <t>Beginning Stocks</t>
  </si>
  <si>
    <t>KMT</t>
  </si>
  <si>
    <t>Imports</t>
  </si>
  <si>
    <t>Production</t>
  </si>
  <si>
    <t>Food</t>
  </si>
  <si>
    <t>Industrial</t>
  </si>
  <si>
    <t>FSR</t>
  </si>
  <si>
    <t>Exports</t>
  </si>
  <si>
    <t>Ending Stocks</t>
  </si>
  <si>
    <t>Stocks-to-Use</t>
  </si>
  <si>
    <t>STU Days</t>
  </si>
  <si>
    <t>Days</t>
  </si>
  <si>
    <t>CHECK</t>
  </si>
  <si>
    <t>Crop Year</t>
  </si>
  <si>
    <t>AUG</t>
  </si>
  <si>
    <t>SEP</t>
  </si>
  <si>
    <t>OCT</t>
  </si>
  <si>
    <t>NOV</t>
  </si>
  <si>
    <t>DEC</t>
  </si>
  <si>
    <t>JAN</t>
  </si>
  <si>
    <t>FEB</t>
  </si>
  <si>
    <t>MAR</t>
  </si>
  <si>
    <t>APR</t>
  </si>
  <si>
    <t>MAY</t>
  </si>
  <si>
    <t>JUN</t>
  </si>
  <si>
    <t>JUL</t>
  </si>
  <si>
    <t>AUG/JUL</t>
  </si>
  <si>
    <t>Wheat, excluding durum</t>
  </si>
  <si>
    <t>02-03</t>
  </si>
  <si>
    <t>03-04</t>
  </si>
  <si>
    <t>04-05</t>
  </si>
  <si>
    <t>05-06</t>
  </si>
  <si>
    <t>06-07</t>
  </si>
  <si>
    <t>07-08</t>
  </si>
  <si>
    <t>08-09</t>
  </si>
  <si>
    <t>09-10</t>
  </si>
  <si>
    <t>10-11</t>
  </si>
  <si>
    <t>11-12</t>
  </si>
  <si>
    <t>12-13</t>
  </si>
  <si>
    <t>13-14</t>
  </si>
  <si>
    <t>14-15</t>
  </si>
  <si>
    <t>15-16</t>
  </si>
  <si>
    <t>16-17</t>
  </si>
  <si>
    <t>17-18</t>
  </si>
  <si>
    <t>18-19</t>
  </si>
  <si>
    <t>19-20</t>
  </si>
  <si>
    <t>20-21</t>
  </si>
  <si>
    <t>21-22</t>
  </si>
  <si>
    <t>22-23</t>
  </si>
  <si>
    <t>23-24</t>
  </si>
  <si>
    <t>24-25</t>
  </si>
  <si>
    <t>Seed</t>
  </si>
  <si>
    <t>Food &amp; Processing</t>
  </si>
  <si>
    <t>STOCKS</t>
  </si>
  <si>
    <t>Durum</t>
  </si>
  <si>
    <t>Canola</t>
  </si>
  <si>
    <t>Crush</t>
  </si>
  <si>
    <t>Barley</t>
  </si>
  <si>
    <t>Oats</t>
  </si>
  <si>
    <t>Soybeans</t>
  </si>
  <si>
    <t>09</t>
  </si>
  <si>
    <t>10</t>
  </si>
  <si>
    <t>11</t>
  </si>
  <si>
    <t>12</t>
  </si>
  <si>
    <t>01</t>
  </si>
  <si>
    <t>02</t>
  </si>
  <si>
    <t>03</t>
  </si>
  <si>
    <t>04</t>
  </si>
  <si>
    <t>05</t>
  </si>
  <si>
    <t>06</t>
  </si>
  <si>
    <t>07</t>
  </si>
  <si>
    <t>08</t>
  </si>
  <si>
    <t>Total</t>
  </si>
  <si>
    <t>Dry peas</t>
  </si>
  <si>
    <t>Lentils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</si>
</sst>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4" formatCode="0.000"/>
    <numFmt numFmtId="165" formatCode="0.0%"/>
    <numFmt numFmtId="166" formatCode="0.0"/>
    <numFmt numFmtId="167" formatCode="_-* #,##0_-;\-* #,##0_-;_-* &quot;-&quot;??_-;_-@_-"/>
    <numFmt numFmtId="168" formatCode="#,##0.000"/>
    <numFmt numFmtId="169" formatCode="#,##0.0"/>
  </numFmts>
  <fonts count="17" x14ac:knownFonts="1">
    <font>
      <sz val="11"/>
      <color theme="1"/>
      <name val="Calibri"/>
      <family val="2"/>
      <scheme val="minor"/>
    </font>
    <font>
      <b/>
      <sz val="12"/>
      <color rgb="FF000000"/>
      <name val="Arial"/>
    </font>
    <font>
      <b/>
      <sz val="10"/>
      <color rgb="FFFFFFFF"/>
      <name val="Arial"/>
    </font>
    <font>
      <b/>
      <sz val="10"/>
      <color rgb="FF000000"/>
      <name val="Arial"/>
    </font>
    <font>
      <sz val="10"/>
      <color rgb="FF000000"/>
      <name val="Arial"/>
    </font>
    <font>
      <sz val="11"/>
      <color theme="1"/>
      <name val="Calibri"/>
      <family val="2"/>
      <scheme val="minor"/>
    </font>
    <font>
      <sz val="11"/>
      <name val="Calibri"/>
    </font>
    <font>
      <b/>
      <sz val="11"/>
      <name val="Calibri"/>
    </font>
    <font>
      <b/>
      <sz val="11"/>
      <color rgb="FFFFFFFF"/>
      <name val="Calibri"/>
    </font>
    <font>
      <b/>
      <sz val="12"/>
      <color rgb="FF000000"/>
      <name val="Arial"/>
    </font>
    <font>
      <b/>
      <sz val="10"/>
      <color rgb="FFFFFFFF"/>
      <name val="Arial"/>
    </font>
    <font>
      <sz val="10"/>
      <color rgb="FF000000"/>
      <name val="Arial"/>
    </font>
    <font>
      <b/>
      <sz val="10"/>
      <color rgb="FF000000"/>
      <name val="Arial"/>
    </font>
    <font>
      <b/>
      <sz val="12"/>
      <color rgb="FF000000"/>
      <name val="Arial"/>
    </font>
    <font>
      <b/>
      <sz val="10"/>
      <color rgb="FFFFFFFF"/>
      <name val="Arial"/>
    </font>
    <font>
      <sz val="10"/>
      <color rgb="FF000000"/>
      <name val="Arial"/>
    </font>
    <font>
      <b/>
      <sz val="10"/>
      <color rgb="FF000000"/>
      <name val="Arial"/>
    </font>
  </fonts>
  <fills count="12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E2EFDA"/>
        <bgColor rgb="FFE2EFDA"/>
      </patternFill>
    </fill>
    <fill>
      <patternFill patternType="solid">
        <fgColor rgb="FFFFFFFF"/>
        <bgColor rgb="FFFFFFFF"/>
      </patternFill>
    </fill>
    <fill>
      <patternFill patternType="solid">
        <fgColor rgb="FF4472C4"/>
        <bgColor rgb="FF4472C4"/>
      </patternFill>
    </fill>
    <fill>
      <patternFill patternType="solid">
        <fgColor rgb="FF4472C4"/>
        <bgColor rgb="FF4472C4"/>
      </patternFill>
    </fill>
    <fill>
      <patternFill patternType="solid">
        <fgColor rgb="FFFFFFFF"/>
        <bgColor rgb="FFFFFFFF"/>
      </patternFill>
    </fill>
    <fill>
      <patternFill patternType="solid">
        <fgColor rgb="FFE2EFDA"/>
        <bgColor rgb="FFE2EFDA"/>
      </patternFill>
    </fill>
    <fill>
      <patternFill patternType="solid">
        <fgColor rgb="FF4472C4"/>
        <bgColor rgb="FF4472C4"/>
      </patternFill>
    </fill>
    <fill>
      <patternFill patternType="solid">
        <fgColor rgb="FFFFFFFF"/>
        <bgColor rgb="FFFFFFFF"/>
      </patternFill>
    </fill>
    <fill>
      <patternFill patternType="solid">
        <fgColor rgb="FFE2EFDA"/>
        <bgColor rgb="FFE2EFDA"/>
      </patternFill>
    </fill>
  </fills>
  <borders count="6">
    <border>
      <left/>
      <right/>
      <top/>
      <bottom/>
      <diagonal/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</borders>
  <cellStyleXfs count="2">
    <xf numFmtId="0" fontId="0" fillId="0" borderId="2"/>
    <xf numFmtId="43" fontId="5" fillId="0" borderId="2"/>
  </cellStyleXfs>
  <cellXfs count="61">
    <xf numFmtId="0" fontId="0" fillId="0" borderId="0" xfId="0" applyBorder="1"/>
    <xf numFmtId="0" fontId="2" fillId="2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 indent="1"/>
    </xf>
    <xf numFmtId="164" fontId="3" fillId="3" borderId="1" xfId="0" applyNumberFormat="1" applyFont="1" applyFill="1" applyBorder="1" applyAlignment="1">
      <alignment horizontal="right" vertical="center" wrapText="1"/>
    </xf>
    <xf numFmtId="165" fontId="3" fillId="3" borderId="1" xfId="0" applyNumberFormat="1" applyFont="1" applyFill="1" applyBorder="1" applyAlignment="1">
      <alignment horizontal="right" vertical="center" wrapText="1"/>
    </xf>
    <xf numFmtId="166" fontId="3" fillId="3" borderId="1" xfId="0" applyNumberFormat="1" applyFont="1" applyFill="1" applyBorder="1" applyAlignment="1">
      <alignment horizontal="right" vertical="center" wrapText="1"/>
    </xf>
    <xf numFmtId="0" fontId="4" fillId="4" borderId="2" xfId="0" applyFont="1" applyFill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indent="1"/>
    </xf>
    <xf numFmtId="3" fontId="4" fillId="4" borderId="1" xfId="0" applyNumberFormat="1" applyFont="1" applyFill="1" applyBorder="1" applyAlignment="1">
      <alignment horizontal="right" vertical="center" wrapText="1"/>
    </xf>
    <xf numFmtId="3" fontId="3" fillId="3" borderId="1" xfId="0" applyNumberFormat="1" applyFont="1" applyFill="1" applyBorder="1" applyAlignment="1">
      <alignment horizontal="right" vertical="center" wrapText="1"/>
    </xf>
    <xf numFmtId="0" fontId="3" fillId="4" borderId="1" xfId="0" applyFont="1" applyFill="1" applyBorder="1" applyAlignment="1">
      <alignment horizontal="left" vertical="center" indent="1"/>
    </xf>
    <xf numFmtId="0" fontId="3" fillId="3" borderId="1" xfId="0" applyFont="1" applyFill="1" applyBorder="1" applyAlignment="1">
      <alignment horizontal="center" vertical="center" wrapText="1"/>
    </xf>
    <xf numFmtId="165" fontId="4" fillId="4" borderId="1" xfId="0" applyNumberFormat="1" applyFont="1" applyFill="1" applyBorder="1" applyAlignment="1">
      <alignment horizontal="right" vertical="center" wrapText="1"/>
    </xf>
    <xf numFmtId="166" fontId="4" fillId="4" borderId="1" xfId="0" applyNumberFormat="1" applyFont="1" applyFill="1" applyBorder="1" applyAlignment="1">
      <alignment horizontal="right" vertical="center" wrapText="1"/>
    </xf>
    <xf numFmtId="0" fontId="3" fillId="4" borderId="1" xfId="0" applyFont="1" applyFill="1" applyBorder="1" applyAlignment="1">
      <alignment horizontal="center" vertical="center" wrapText="1"/>
    </xf>
    <xf numFmtId="3" fontId="3" fillId="4" borderId="1" xfId="0" applyNumberFormat="1" applyFont="1" applyFill="1" applyBorder="1" applyAlignment="1">
      <alignment horizontal="right" vertical="center" wrapText="1"/>
    </xf>
    <xf numFmtId="167" fontId="0" fillId="0" borderId="0" xfId="1" applyNumberFormat="1" applyFont="1" applyBorder="1"/>
    <xf numFmtId="167" fontId="2" fillId="2" borderId="1" xfId="1" applyNumberFormat="1" applyFont="1" applyFill="1" applyBorder="1" applyAlignment="1">
      <alignment horizontal="center" vertical="center" wrapText="1"/>
    </xf>
    <xf numFmtId="167" fontId="4" fillId="4" borderId="1" xfId="1" applyNumberFormat="1" applyFont="1" applyFill="1" applyBorder="1" applyAlignment="1">
      <alignment horizontal="right" vertical="center" wrapText="1"/>
    </xf>
    <xf numFmtId="167" fontId="4" fillId="4" borderId="2" xfId="1" applyNumberFormat="1" applyFont="1" applyFill="1" applyAlignment="1">
      <alignment horizontal="center" vertical="center" wrapText="1"/>
    </xf>
    <xf numFmtId="167" fontId="3" fillId="3" borderId="1" xfId="1" applyNumberFormat="1" applyFont="1" applyFill="1" applyBorder="1" applyAlignment="1">
      <alignment horizontal="right" vertical="center" wrapText="1"/>
    </xf>
    <xf numFmtId="167" fontId="3" fillId="4" borderId="1" xfId="1" applyNumberFormat="1" applyFont="1" applyFill="1" applyBorder="1" applyAlignment="1">
      <alignment horizontal="right" vertical="center" wrapText="1"/>
    </xf>
    <xf numFmtId="0" fontId="8" fillId="5" borderId="3" xfId="0" applyFont="1" applyFill="1" applyBorder="1" applyAlignment="1">
      <alignment horizontal="center" vertical="center"/>
    </xf>
    <xf numFmtId="0" fontId="6" fillId="0" borderId="3" xfId="0" applyFont="1" applyBorder="1" applyAlignment="1">
      <alignment horizontal="left" vertical="center"/>
    </xf>
    <xf numFmtId="0" fontId="7" fillId="0" borderId="3" xfId="0" applyFont="1" applyBorder="1" applyAlignment="1">
      <alignment horizontal="left" vertical="center"/>
    </xf>
    <xf numFmtId="0" fontId="6" fillId="0" borderId="3" xfId="0" applyFont="1" applyBorder="1" applyAlignment="1">
      <alignment horizontal="center" vertical="center"/>
    </xf>
    <xf numFmtId="168" fontId="6" fillId="0" borderId="3" xfId="0" applyNumberFormat="1" applyFont="1" applyBorder="1" applyAlignment="1">
      <alignment horizontal="right" vertical="center"/>
    </xf>
    <xf numFmtId="168" fontId="7" fillId="0" borderId="3" xfId="0" applyNumberFormat="1" applyFont="1" applyBorder="1" applyAlignment="1">
      <alignment horizontal="right" vertical="center"/>
    </xf>
    <xf numFmtId="169" fontId="6" fillId="0" borderId="3" xfId="0" applyNumberFormat="1" applyFont="1" applyBorder="1" applyAlignment="1">
      <alignment horizontal="right" vertical="center"/>
    </xf>
    <xf numFmtId="169" fontId="7" fillId="0" borderId="3" xfId="0" applyNumberFormat="1" applyFont="1" applyBorder="1" applyAlignment="1">
      <alignment horizontal="right" vertical="center"/>
    </xf>
    <xf numFmtId="3" fontId="6" fillId="0" borderId="3" xfId="0" applyNumberFormat="1" applyFont="1" applyBorder="1" applyAlignment="1">
      <alignment horizontal="right" vertical="center"/>
    </xf>
    <xf numFmtId="3" fontId="7" fillId="0" borderId="3" xfId="0" applyNumberFormat="1" applyFont="1" applyBorder="1" applyAlignment="1">
      <alignment horizontal="right" vertical="center"/>
    </xf>
    <xf numFmtId="0" fontId="10" fillId="6" borderId="4" xfId="0" applyFont="1" applyFill="1" applyBorder="1" applyAlignment="1">
      <alignment horizontal="center" vertical="center" wrapText="1"/>
    </xf>
    <xf numFmtId="0" fontId="11" fillId="7" borderId="4" xfId="0" applyFont="1" applyFill="1" applyBorder="1" applyAlignment="1">
      <alignment horizontal="center" vertical="center" wrapText="1"/>
    </xf>
    <xf numFmtId="0" fontId="12" fillId="8" borderId="4" xfId="0" applyFont="1" applyFill="1" applyBorder="1" applyAlignment="1">
      <alignment horizontal="left" vertical="center" indent="1"/>
    </xf>
    <xf numFmtId="164" fontId="12" fillId="8" borderId="4" xfId="0" applyNumberFormat="1" applyFont="1" applyFill="1" applyBorder="1" applyAlignment="1">
      <alignment horizontal="right" vertical="center" wrapText="1"/>
    </xf>
    <xf numFmtId="165" fontId="12" fillId="8" borderId="4" xfId="0" applyNumberFormat="1" applyFont="1" applyFill="1" applyBorder="1" applyAlignment="1">
      <alignment horizontal="right" vertical="center" wrapText="1"/>
    </xf>
    <xf numFmtId="166" fontId="12" fillId="8" borderId="4" xfId="0" applyNumberFormat="1" applyFont="1" applyFill="1" applyBorder="1" applyAlignment="1">
      <alignment horizontal="right" vertical="center" wrapText="1"/>
    </xf>
    <xf numFmtId="0" fontId="11" fillId="7" borderId="4" xfId="0" applyFont="1" applyFill="1" applyBorder="1" applyAlignment="1">
      <alignment horizontal="left" vertical="center" indent="1"/>
    </xf>
    <xf numFmtId="3" fontId="11" fillId="7" borderId="4" xfId="0" applyNumberFormat="1" applyFont="1" applyFill="1" applyBorder="1" applyAlignment="1">
      <alignment horizontal="right" vertical="center" wrapText="1"/>
    </xf>
    <xf numFmtId="3" fontId="12" fillId="8" borderId="4" xfId="0" applyNumberFormat="1" applyFont="1" applyFill="1" applyBorder="1" applyAlignment="1">
      <alignment horizontal="right" vertical="center" wrapText="1"/>
    </xf>
    <xf numFmtId="0" fontId="12" fillId="7" borderId="4" xfId="0" applyFont="1" applyFill="1" applyBorder="1" applyAlignment="1">
      <alignment horizontal="left" vertical="center" indent="1"/>
    </xf>
    <xf numFmtId="0" fontId="12" fillId="7" borderId="4" xfId="0" applyFont="1" applyFill="1" applyBorder="1" applyAlignment="1">
      <alignment horizontal="center" vertical="center" wrapText="1"/>
    </xf>
    <xf numFmtId="3" fontId="12" fillId="7" borderId="4" xfId="0" applyNumberFormat="1" applyFont="1" applyFill="1" applyBorder="1" applyAlignment="1">
      <alignment horizontal="right" vertical="center" wrapText="1"/>
    </xf>
    <xf numFmtId="0" fontId="14" fillId="9" borderId="5" xfId="0" applyFont="1" applyFill="1" applyBorder="1" applyAlignment="1">
      <alignment horizontal="center" vertical="center" wrapText="1"/>
    </xf>
    <xf numFmtId="0" fontId="15" fillId="10" borderId="5" xfId="0" applyFont="1" applyFill="1" applyBorder="1" applyAlignment="1">
      <alignment horizontal="center" vertical="center" wrapText="1"/>
    </xf>
    <xf numFmtId="0" fontId="16" fillId="11" borderId="5" xfId="0" applyFont="1" applyFill="1" applyBorder="1" applyAlignment="1">
      <alignment horizontal="left" vertical="center" indent="1"/>
    </xf>
    <xf numFmtId="164" fontId="16" fillId="11" borderId="5" xfId="0" applyNumberFormat="1" applyFont="1" applyFill="1" applyBorder="1" applyAlignment="1">
      <alignment horizontal="right" vertical="center" wrapText="1"/>
    </xf>
    <xf numFmtId="165" fontId="16" fillId="11" borderId="5" xfId="0" applyNumberFormat="1" applyFont="1" applyFill="1" applyBorder="1" applyAlignment="1">
      <alignment horizontal="right" vertical="center" wrapText="1"/>
    </xf>
    <xf numFmtId="166" fontId="16" fillId="11" borderId="5" xfId="0" applyNumberFormat="1" applyFont="1" applyFill="1" applyBorder="1" applyAlignment="1">
      <alignment horizontal="right" vertical="center" wrapText="1"/>
    </xf>
    <xf numFmtId="0" fontId="15" fillId="10" borderId="5" xfId="0" applyFont="1" applyFill="1" applyBorder="1" applyAlignment="1">
      <alignment horizontal="left" vertical="center" indent="1"/>
    </xf>
    <xf numFmtId="3" fontId="15" fillId="10" borderId="5" xfId="0" applyNumberFormat="1" applyFont="1" applyFill="1" applyBorder="1" applyAlignment="1">
      <alignment horizontal="right" vertical="center" wrapText="1"/>
    </xf>
    <xf numFmtId="3" fontId="16" fillId="11" borderId="5" xfId="0" applyNumberFormat="1" applyFont="1" applyFill="1" applyBorder="1" applyAlignment="1">
      <alignment horizontal="right" vertical="center" wrapText="1"/>
    </xf>
    <xf numFmtId="0" fontId="16" fillId="10" borderId="5" xfId="0" applyFont="1" applyFill="1" applyBorder="1" applyAlignment="1">
      <alignment horizontal="left" vertical="center" indent="1"/>
    </xf>
    <xf numFmtId="0" fontId="16" fillId="10" borderId="5" xfId="0" applyFont="1" applyFill="1" applyBorder="1" applyAlignment="1">
      <alignment horizontal="center" vertical="center" wrapText="1"/>
    </xf>
    <xf numFmtId="3" fontId="16" fillId="10" borderId="5" xfId="0" applyNumberFormat="1" applyFont="1" applyFill="1" applyBorder="1" applyAlignment="1">
      <alignment horizontal="right" vertical="center" wrapText="1"/>
    </xf>
    <xf numFmtId="0" fontId="1" fillId="0" borderId="2" xfId="0" applyFont="1"/>
    <xf numFmtId="0" fontId="0" fillId="0" borderId="0" xfId="0" applyBorder="1"/>
    <xf numFmtId="0" fontId="9" fillId="0" borderId="2" xfId="0" applyFont="1"/>
    <xf numFmtId="0" fontId="13" fillId="0" borderId="0" xfId="0" applyFont="1" applyBorder="1"/>
  </cellXfs>
  <cellStyles count="2">
    <cellStyle name="Comma" xfId="1" builtinId="3"/>
    <cellStyle name="Normal" xfId="0" builtinId="0"/>
  </cellStyles>
  <dxfs count="112">
    <dxf>
      <font>
        <b/>
        <sz val="10"/>
        <color rgb="FF9C0006"/>
        <name val="Arial"/>
      </font>
      <fill>
        <patternFill patternType="solid">
          <fgColor rgb="FFFFC7CE"/>
          <bgColor rgb="FFFFC7CE"/>
        </patternFill>
      </fill>
    </dxf>
    <dxf>
      <font>
        <sz val="10"/>
        <color rgb="FF006100"/>
        <name val="Arial"/>
      </font>
      <fill>
        <patternFill patternType="solid">
          <fgColor rgb="FFC6EFCE"/>
          <bgColor rgb="FFC6EFCE"/>
        </patternFill>
      </fill>
    </dxf>
    <dxf>
      <font>
        <b/>
        <sz val="10"/>
        <color rgb="FF9C0006"/>
        <name val="Arial"/>
      </font>
      <fill>
        <patternFill patternType="solid">
          <fgColor rgb="FFFFC7CE"/>
          <bgColor rgb="FFFFC7CE"/>
        </patternFill>
      </fill>
    </dxf>
    <dxf>
      <font>
        <sz val="10"/>
        <color rgb="FF006100"/>
        <name val="Arial"/>
      </font>
      <fill>
        <patternFill patternType="solid">
          <fgColor rgb="FFC6EFCE"/>
          <bgColor rgb="FFC6EFCE"/>
        </patternFill>
      </fill>
    </dxf>
    <dxf>
      <font>
        <b/>
        <sz val="10"/>
        <color rgb="FF9C0006"/>
        <name val="Arial"/>
      </font>
      <fill>
        <patternFill patternType="solid">
          <fgColor rgb="FFFFC7CE"/>
          <bgColor rgb="FFFFC7CE"/>
        </patternFill>
      </fill>
    </dxf>
    <dxf>
      <font>
        <sz val="10"/>
        <color rgb="FF006100"/>
        <name val="Arial"/>
      </font>
      <fill>
        <patternFill patternType="solid">
          <fgColor rgb="FFC6EFCE"/>
          <bgColor rgb="FFC6EFCE"/>
        </patternFill>
      </fill>
    </dxf>
    <dxf>
      <font>
        <b/>
        <sz val="10"/>
        <color rgb="FF9C0006"/>
        <name val="Arial"/>
      </font>
      <fill>
        <patternFill patternType="solid">
          <fgColor rgb="FFFFC7CE"/>
          <bgColor rgb="FFFFC7CE"/>
        </patternFill>
      </fill>
    </dxf>
    <dxf>
      <font>
        <sz val="10"/>
        <color rgb="FF006100"/>
        <name val="Arial"/>
      </font>
      <fill>
        <patternFill patternType="solid">
          <fgColor rgb="FFC6EFCE"/>
          <bgColor rgb="FFC6EFCE"/>
        </patternFill>
      </fill>
    </dxf>
    <dxf>
      <font>
        <b/>
        <sz val="10"/>
        <color rgb="FF9C0006"/>
        <name val="Arial"/>
      </font>
      <fill>
        <patternFill patternType="solid">
          <fgColor rgb="FFFFC7CE"/>
          <bgColor rgb="FFFFC7CE"/>
        </patternFill>
      </fill>
    </dxf>
    <dxf>
      <font>
        <sz val="10"/>
        <color rgb="FF006100"/>
        <name val="Arial"/>
      </font>
      <fill>
        <patternFill patternType="solid">
          <fgColor rgb="FFC6EFCE"/>
          <bgColor rgb="FFC6EFCE"/>
        </patternFill>
      </fill>
    </dxf>
    <dxf>
      <font>
        <b/>
        <sz val="10"/>
        <color rgb="FF9C0006"/>
        <name val="Arial"/>
      </font>
      <fill>
        <patternFill patternType="solid">
          <fgColor rgb="FFFFC7CE"/>
          <bgColor rgb="FFFFC7CE"/>
        </patternFill>
      </fill>
    </dxf>
    <dxf>
      <font>
        <sz val="10"/>
        <color rgb="FF006100"/>
        <name val="Arial"/>
      </font>
      <fill>
        <patternFill patternType="solid">
          <fgColor rgb="FFC6EFCE"/>
          <bgColor rgb="FFC6EFCE"/>
        </patternFill>
      </fill>
    </dxf>
    <dxf>
      <font>
        <b/>
        <sz val="10"/>
        <color rgb="FF9C0006"/>
        <name val="Arial"/>
      </font>
      <fill>
        <patternFill patternType="solid">
          <fgColor rgb="FFFFC7CE"/>
          <bgColor rgb="FFFFC7CE"/>
        </patternFill>
      </fill>
    </dxf>
    <dxf>
      <font>
        <sz val="10"/>
        <color rgb="FF006100"/>
        <name val="Arial"/>
      </font>
      <fill>
        <patternFill patternType="solid">
          <fgColor rgb="FFC6EFCE"/>
          <bgColor rgb="FFC6EFCE"/>
        </patternFill>
      </fill>
    </dxf>
    <dxf>
      <font>
        <b/>
        <sz val="10"/>
        <color rgb="FF9C0006"/>
        <name val="Arial"/>
      </font>
      <fill>
        <patternFill patternType="solid">
          <fgColor rgb="FFFFC7CE"/>
          <bgColor rgb="FFFFC7CE"/>
        </patternFill>
      </fill>
    </dxf>
    <dxf>
      <font>
        <sz val="10"/>
        <color rgb="FF006100"/>
        <name val="Arial"/>
      </font>
      <fill>
        <patternFill patternType="solid">
          <fgColor rgb="FFC6EFCE"/>
          <bgColor rgb="FFC6EFCE"/>
        </patternFill>
      </fill>
    </dxf>
    <dxf>
      <font>
        <b/>
        <sz val="10"/>
        <color rgb="FF9C0006"/>
        <name val="Arial"/>
      </font>
      <fill>
        <patternFill patternType="solid">
          <fgColor rgb="FFFFC7CE"/>
          <bgColor rgb="FFFFC7CE"/>
        </patternFill>
      </fill>
    </dxf>
    <dxf>
      <font>
        <sz val="10"/>
        <color rgb="FF006100"/>
        <name val="Arial"/>
      </font>
      <fill>
        <patternFill patternType="solid">
          <fgColor rgb="FFC6EFCE"/>
          <bgColor rgb="FFC6EFCE"/>
        </patternFill>
      </fill>
    </dxf>
    <dxf>
      <font>
        <b/>
        <sz val="10"/>
        <color rgb="FF9C0006"/>
        <name val="Arial"/>
      </font>
      <fill>
        <patternFill patternType="solid">
          <fgColor rgb="FFFFC7CE"/>
          <bgColor rgb="FFFFC7CE"/>
        </patternFill>
      </fill>
    </dxf>
    <dxf>
      <font>
        <sz val="10"/>
        <color rgb="FF006100"/>
        <name val="Arial"/>
      </font>
      <fill>
        <patternFill patternType="solid">
          <fgColor rgb="FFC6EFCE"/>
          <bgColor rgb="FFC6EFCE"/>
        </patternFill>
      </fill>
    </dxf>
    <dxf>
      <font>
        <b/>
        <sz val="10"/>
        <color rgb="FF9C0006"/>
        <name val="Arial"/>
      </font>
      <fill>
        <patternFill patternType="solid">
          <fgColor rgb="FFFFC7CE"/>
          <bgColor rgb="FFFFC7CE"/>
        </patternFill>
      </fill>
    </dxf>
    <dxf>
      <font>
        <sz val="10"/>
        <color rgb="FF006100"/>
        <name val="Arial"/>
      </font>
      <fill>
        <patternFill patternType="solid">
          <fgColor rgb="FFC6EFCE"/>
          <bgColor rgb="FFC6EFCE"/>
        </patternFill>
      </fill>
    </dxf>
    <dxf>
      <font>
        <b/>
        <sz val="10"/>
        <color rgb="FF9C0006"/>
        <name val="Arial"/>
      </font>
      <fill>
        <patternFill patternType="solid">
          <fgColor rgb="FFFFC7CE"/>
          <bgColor rgb="FFFFC7CE"/>
        </patternFill>
      </fill>
    </dxf>
    <dxf>
      <font>
        <sz val="10"/>
        <color rgb="FF006100"/>
        <name val="Arial"/>
      </font>
      <fill>
        <patternFill patternType="solid">
          <fgColor rgb="FFC6EFCE"/>
          <bgColor rgb="FFC6EFCE"/>
        </patternFill>
      </fill>
    </dxf>
    <dxf>
      <font>
        <b/>
        <sz val="10"/>
        <color rgb="FF9C0006"/>
        <name val="Arial"/>
      </font>
      <fill>
        <patternFill patternType="solid">
          <fgColor rgb="FFFFC7CE"/>
          <bgColor rgb="FFFFC7CE"/>
        </patternFill>
      </fill>
    </dxf>
    <dxf>
      <font>
        <sz val="10"/>
        <color rgb="FF006100"/>
        <name val="Arial"/>
      </font>
      <fill>
        <patternFill patternType="solid">
          <fgColor rgb="FFC6EFCE"/>
          <bgColor rgb="FFC6EFCE"/>
        </patternFill>
      </fill>
    </dxf>
    <dxf>
      <font>
        <b/>
        <sz val="10"/>
        <color rgb="FF9C0006"/>
        <name val="Arial"/>
      </font>
      <fill>
        <patternFill patternType="solid">
          <fgColor rgb="FFFFC7CE"/>
          <bgColor rgb="FFFFC7CE"/>
        </patternFill>
      </fill>
    </dxf>
    <dxf>
      <font>
        <sz val="10"/>
        <color rgb="FF006100"/>
        <name val="Arial"/>
      </font>
      <fill>
        <patternFill patternType="solid">
          <fgColor rgb="FFC6EFCE"/>
          <bgColor rgb="FFC6EFCE"/>
        </patternFill>
      </fill>
    </dxf>
    <dxf>
      <font>
        <b/>
        <sz val="10"/>
        <color rgb="FF9C0006"/>
        <name val="Arial"/>
      </font>
      <fill>
        <patternFill patternType="solid">
          <fgColor rgb="FFFFC7CE"/>
          <bgColor rgb="FFFFC7CE"/>
        </patternFill>
      </fill>
    </dxf>
    <dxf>
      <font>
        <sz val="10"/>
        <color rgb="FF006100"/>
        <name val="Arial"/>
      </font>
      <fill>
        <patternFill patternType="solid">
          <fgColor rgb="FFC6EFCE"/>
          <bgColor rgb="FFC6EFCE"/>
        </patternFill>
      </fill>
    </dxf>
    <dxf>
      <font>
        <b/>
        <sz val="10"/>
        <color rgb="FF9C0006"/>
        <name val="Arial"/>
      </font>
      <fill>
        <patternFill patternType="solid">
          <fgColor rgb="FFFFC7CE"/>
          <bgColor rgb="FFFFC7CE"/>
        </patternFill>
      </fill>
    </dxf>
    <dxf>
      <font>
        <sz val="10"/>
        <color rgb="FF006100"/>
        <name val="Arial"/>
      </font>
      <fill>
        <patternFill patternType="solid">
          <fgColor rgb="FFC6EFCE"/>
          <bgColor rgb="FFC6EFCE"/>
        </patternFill>
      </fill>
    </dxf>
    <dxf>
      <font>
        <b/>
        <sz val="10"/>
        <color rgb="FF9C0006"/>
        <name val="Arial"/>
      </font>
      <fill>
        <patternFill patternType="solid">
          <fgColor rgb="FFFFC7CE"/>
          <bgColor rgb="FFFFC7CE"/>
        </patternFill>
      </fill>
    </dxf>
    <dxf>
      <font>
        <sz val="10"/>
        <color rgb="FF006100"/>
        <name val="Arial"/>
      </font>
      <fill>
        <patternFill patternType="solid">
          <fgColor rgb="FFC6EFCE"/>
          <bgColor rgb="FFC6EFCE"/>
        </patternFill>
      </fill>
    </dxf>
    <dxf>
      <font>
        <b/>
        <sz val="10"/>
        <color rgb="FF9C0006"/>
        <name val="Arial"/>
      </font>
      <fill>
        <patternFill patternType="solid">
          <fgColor rgb="FFFFC7CE"/>
          <bgColor rgb="FFFFC7CE"/>
        </patternFill>
      </fill>
    </dxf>
    <dxf>
      <font>
        <sz val="10"/>
        <color rgb="FF006100"/>
        <name val="Arial"/>
      </font>
      <fill>
        <patternFill patternType="solid">
          <fgColor rgb="FFC6EFCE"/>
          <bgColor rgb="FFC6EFCE"/>
        </patternFill>
      </fill>
    </dxf>
    <dxf>
      <font>
        <b/>
        <sz val="10"/>
        <color rgb="FF9C0006"/>
        <name val="Arial"/>
      </font>
      <fill>
        <patternFill patternType="solid">
          <fgColor rgb="FFFFC7CE"/>
          <bgColor rgb="FFFFC7CE"/>
        </patternFill>
      </fill>
    </dxf>
    <dxf>
      <font>
        <sz val="10"/>
        <color rgb="FF006100"/>
        <name val="Arial"/>
      </font>
      <fill>
        <patternFill patternType="solid">
          <fgColor rgb="FFC6EFCE"/>
          <bgColor rgb="FFC6EFCE"/>
        </patternFill>
      </fill>
    </dxf>
    <dxf>
      <font>
        <b/>
        <sz val="10"/>
        <color rgb="FF9C0006"/>
        <name val="Arial"/>
      </font>
      <fill>
        <patternFill patternType="solid">
          <fgColor rgb="FFFFC7CE"/>
          <bgColor rgb="FFFFC7CE"/>
        </patternFill>
      </fill>
    </dxf>
    <dxf>
      <font>
        <sz val="10"/>
        <color rgb="FF006100"/>
        <name val="Arial"/>
      </font>
      <fill>
        <patternFill patternType="solid">
          <fgColor rgb="FFC6EFCE"/>
          <bgColor rgb="FFC6EFCE"/>
        </patternFill>
      </fill>
    </dxf>
    <dxf>
      <font>
        <b/>
        <sz val="10"/>
        <color rgb="FF9C0006"/>
        <name val="Arial"/>
      </font>
      <fill>
        <patternFill patternType="solid">
          <fgColor rgb="FFFFC7CE"/>
          <bgColor rgb="FFFFC7CE"/>
        </patternFill>
      </fill>
    </dxf>
    <dxf>
      <font>
        <sz val="10"/>
        <color rgb="FF006100"/>
        <name val="Arial"/>
      </font>
      <fill>
        <patternFill patternType="solid">
          <fgColor rgb="FFC6EFCE"/>
          <bgColor rgb="FFC6EFCE"/>
        </patternFill>
      </fill>
    </dxf>
    <dxf>
      <font>
        <b/>
        <sz val="10"/>
        <color rgb="FF9C0006"/>
        <name val="Arial"/>
      </font>
      <fill>
        <patternFill patternType="solid">
          <fgColor rgb="FFFFC7CE"/>
          <bgColor rgb="FFFFC7CE"/>
        </patternFill>
      </fill>
    </dxf>
    <dxf>
      <font>
        <sz val="10"/>
        <color rgb="FF006100"/>
        <name val="Arial"/>
      </font>
      <fill>
        <patternFill patternType="solid">
          <fgColor rgb="FFC6EFCE"/>
          <bgColor rgb="FFC6EFCE"/>
        </patternFill>
      </fill>
    </dxf>
    <dxf>
      <font>
        <b/>
        <sz val="10"/>
        <color rgb="FF9C0006"/>
        <name val="Arial"/>
      </font>
      <fill>
        <patternFill patternType="solid">
          <fgColor rgb="FFFFC7CE"/>
          <bgColor rgb="FFFFC7CE"/>
        </patternFill>
      </fill>
    </dxf>
    <dxf>
      <font>
        <sz val="10"/>
        <color rgb="FF006100"/>
        <name val="Arial"/>
      </font>
      <fill>
        <patternFill patternType="solid">
          <fgColor rgb="FFC6EFCE"/>
          <bgColor rgb="FFC6EFCE"/>
        </patternFill>
      </fill>
    </dxf>
    <dxf>
      <font>
        <b/>
        <sz val="10"/>
        <color rgb="FF9C0006"/>
        <name val="Arial"/>
      </font>
      <fill>
        <patternFill patternType="solid">
          <fgColor rgb="FFFFC7CE"/>
          <bgColor rgb="FFFFC7CE"/>
        </patternFill>
      </fill>
    </dxf>
    <dxf>
      <font>
        <sz val="10"/>
        <color rgb="FF006100"/>
        <name val="Arial"/>
      </font>
      <fill>
        <patternFill patternType="solid">
          <fgColor rgb="FFC6EFCE"/>
          <bgColor rgb="FFC6EFCE"/>
        </patternFill>
      </fill>
    </dxf>
    <dxf>
      <font>
        <b/>
        <sz val="10"/>
        <color rgb="FF9C0006"/>
        <name val="Arial"/>
      </font>
      <fill>
        <patternFill patternType="solid">
          <fgColor rgb="FFFFC7CE"/>
          <bgColor rgb="FFFFC7CE"/>
        </patternFill>
      </fill>
    </dxf>
    <dxf>
      <font>
        <sz val="10"/>
        <color rgb="FF006100"/>
        <name val="Arial"/>
      </font>
      <fill>
        <patternFill patternType="solid">
          <fgColor rgb="FFC6EFCE"/>
          <bgColor rgb="FFC6EFCE"/>
        </patternFill>
      </fill>
    </dxf>
    <dxf>
      <font>
        <b/>
        <sz val="10"/>
        <color rgb="FF9C0006"/>
        <name val="Arial"/>
      </font>
      <fill>
        <patternFill patternType="solid">
          <fgColor rgb="FFFFC7CE"/>
          <bgColor rgb="FFFFC7CE"/>
        </patternFill>
      </fill>
    </dxf>
    <dxf>
      <font>
        <sz val="10"/>
        <color rgb="FF006100"/>
        <name val="Arial"/>
      </font>
      <fill>
        <patternFill patternType="solid">
          <fgColor rgb="FFC6EFCE"/>
          <bgColor rgb="FFC6EFCE"/>
        </patternFill>
      </fill>
    </dxf>
    <dxf>
      <font>
        <b/>
        <sz val="10"/>
        <color rgb="FF9C0006"/>
        <name val="Arial"/>
      </font>
      <fill>
        <patternFill patternType="solid">
          <fgColor rgb="FFFFC7CE"/>
          <bgColor rgb="FFFFC7CE"/>
        </patternFill>
      </fill>
    </dxf>
    <dxf>
      <font>
        <sz val="10"/>
        <color rgb="FF006100"/>
        <name val="Arial"/>
      </font>
      <fill>
        <patternFill patternType="solid">
          <fgColor rgb="FFC6EFCE"/>
          <bgColor rgb="FFC6EFCE"/>
        </patternFill>
      </fill>
    </dxf>
    <dxf>
      <font>
        <b/>
        <sz val="10"/>
        <color rgb="FF9C0006"/>
        <name val="Arial"/>
      </font>
      <fill>
        <patternFill patternType="solid">
          <fgColor rgb="FFFFC7CE"/>
          <bgColor rgb="FFFFC7CE"/>
        </patternFill>
      </fill>
    </dxf>
    <dxf>
      <font>
        <sz val="10"/>
        <color rgb="FF006100"/>
        <name val="Arial"/>
      </font>
      <fill>
        <patternFill patternType="solid">
          <fgColor rgb="FFC6EFCE"/>
          <bgColor rgb="FFC6EFCE"/>
        </patternFill>
      </fill>
    </dxf>
    <dxf>
      <font>
        <b/>
        <sz val="10"/>
        <color rgb="FF9C0006"/>
        <name val="Arial"/>
      </font>
      <fill>
        <patternFill patternType="solid">
          <fgColor rgb="FFFFC7CE"/>
          <bgColor rgb="FFFFC7CE"/>
        </patternFill>
      </fill>
    </dxf>
    <dxf>
      <font>
        <sz val="10"/>
        <color rgb="FF006100"/>
        <name val="Arial"/>
      </font>
      <fill>
        <patternFill patternType="solid">
          <fgColor rgb="FFC6EFCE"/>
          <bgColor rgb="FFC6EFCE"/>
        </patternFill>
      </fill>
    </dxf>
    <dxf>
      <font>
        <b/>
        <sz val="10"/>
        <color rgb="FF9C0006"/>
        <name val="Arial"/>
      </font>
      <fill>
        <patternFill patternType="solid">
          <fgColor rgb="FFFFC7CE"/>
          <bgColor rgb="FFFFC7CE"/>
        </patternFill>
      </fill>
    </dxf>
    <dxf>
      <font>
        <sz val="10"/>
        <color rgb="FF006100"/>
        <name val="Arial"/>
      </font>
      <fill>
        <patternFill patternType="solid">
          <fgColor rgb="FFC6EFCE"/>
          <bgColor rgb="FFC6EFCE"/>
        </patternFill>
      </fill>
    </dxf>
    <dxf>
      <font>
        <b/>
        <sz val="10"/>
        <color rgb="FF9C0006"/>
        <name val="Arial"/>
      </font>
      <fill>
        <patternFill patternType="solid">
          <fgColor rgb="FFFFC7CE"/>
          <bgColor rgb="FFFFC7CE"/>
        </patternFill>
      </fill>
    </dxf>
    <dxf>
      <font>
        <sz val="10"/>
        <color rgb="FF006100"/>
        <name val="Arial"/>
      </font>
      <fill>
        <patternFill patternType="solid">
          <fgColor rgb="FFC6EFCE"/>
          <bgColor rgb="FFC6EFCE"/>
        </patternFill>
      </fill>
    </dxf>
    <dxf>
      <font>
        <b/>
        <sz val="10"/>
        <color rgb="FF9C0006"/>
        <name val="Arial"/>
      </font>
      <fill>
        <patternFill patternType="solid">
          <fgColor rgb="FFFFC7CE"/>
          <bgColor rgb="FFFFC7CE"/>
        </patternFill>
      </fill>
    </dxf>
    <dxf>
      <font>
        <sz val="10"/>
        <color rgb="FF006100"/>
        <name val="Arial"/>
      </font>
      <fill>
        <patternFill patternType="solid">
          <fgColor rgb="FFC6EFCE"/>
          <bgColor rgb="FFC6EFCE"/>
        </patternFill>
      </fill>
    </dxf>
    <dxf>
      <font>
        <b/>
        <sz val="10"/>
        <color rgb="FF9C0006"/>
        <name val="Arial"/>
      </font>
      <fill>
        <patternFill patternType="solid">
          <fgColor rgb="FFFFC7CE"/>
          <bgColor rgb="FFFFC7CE"/>
        </patternFill>
      </fill>
    </dxf>
    <dxf>
      <font>
        <sz val="10"/>
        <color rgb="FF006100"/>
        <name val="Arial"/>
      </font>
      <fill>
        <patternFill patternType="solid">
          <fgColor rgb="FFC6EFCE"/>
          <bgColor rgb="FFC6EFCE"/>
        </patternFill>
      </fill>
    </dxf>
    <dxf>
      <font>
        <b/>
        <sz val="10"/>
        <color rgb="FF9C0006"/>
        <name val="Arial"/>
      </font>
      <fill>
        <patternFill patternType="solid">
          <fgColor rgb="FFFFC7CE"/>
          <bgColor rgb="FFFFC7CE"/>
        </patternFill>
      </fill>
    </dxf>
    <dxf>
      <font>
        <sz val="10"/>
        <color rgb="FF006100"/>
        <name val="Arial"/>
      </font>
      <fill>
        <patternFill patternType="solid">
          <fgColor rgb="FFC6EFCE"/>
          <bgColor rgb="FFC6EFCE"/>
        </patternFill>
      </fill>
    </dxf>
    <dxf>
      <font>
        <b/>
        <sz val="10"/>
        <color rgb="FF9C0006"/>
        <name val="Arial"/>
      </font>
      <fill>
        <patternFill patternType="solid">
          <fgColor rgb="FFFFC7CE"/>
          <bgColor rgb="FFFFC7CE"/>
        </patternFill>
      </fill>
    </dxf>
    <dxf>
      <font>
        <sz val="10"/>
        <color rgb="FF006100"/>
        <name val="Arial"/>
      </font>
      <fill>
        <patternFill patternType="solid">
          <fgColor rgb="FFC6EFCE"/>
          <bgColor rgb="FFC6EFCE"/>
        </patternFill>
      </fill>
    </dxf>
    <dxf>
      <font>
        <b/>
        <sz val="10"/>
        <color rgb="FF9C0006"/>
        <name val="Arial"/>
      </font>
      <fill>
        <patternFill patternType="solid">
          <fgColor rgb="FFFFC7CE"/>
          <bgColor rgb="FFFFC7CE"/>
        </patternFill>
      </fill>
    </dxf>
    <dxf>
      <font>
        <sz val="10"/>
        <color rgb="FF006100"/>
        <name val="Arial"/>
      </font>
      <fill>
        <patternFill patternType="solid">
          <fgColor rgb="FFC6EFCE"/>
          <bgColor rgb="FFC6EFCE"/>
        </patternFill>
      </fill>
    </dxf>
    <dxf>
      <font>
        <b/>
        <sz val="10"/>
        <color rgb="FF9C0006"/>
        <name val="Arial"/>
      </font>
      <fill>
        <patternFill patternType="solid">
          <fgColor rgb="FFFFC7CE"/>
          <bgColor rgb="FFFFC7CE"/>
        </patternFill>
      </fill>
    </dxf>
    <dxf>
      <font>
        <sz val="10"/>
        <color rgb="FF006100"/>
        <name val="Arial"/>
      </font>
      <fill>
        <patternFill patternType="solid">
          <fgColor rgb="FFC6EFCE"/>
          <bgColor rgb="FFC6EFCE"/>
        </patternFill>
      </fill>
    </dxf>
    <dxf>
      <font>
        <b/>
        <sz val="10"/>
        <color rgb="FF9C0006"/>
        <name val="Arial"/>
      </font>
      <fill>
        <patternFill patternType="solid">
          <fgColor rgb="FFFFC7CE"/>
          <bgColor rgb="FFFFC7CE"/>
        </patternFill>
      </fill>
    </dxf>
    <dxf>
      <font>
        <sz val="10"/>
        <color rgb="FF006100"/>
        <name val="Arial"/>
      </font>
      <fill>
        <patternFill patternType="solid">
          <fgColor rgb="FFC6EFCE"/>
          <bgColor rgb="FFC6EFCE"/>
        </patternFill>
      </fill>
    </dxf>
    <dxf>
      <font>
        <b/>
        <sz val="10"/>
        <color rgb="FF9C0006"/>
        <name val="Arial"/>
      </font>
      <fill>
        <patternFill patternType="solid">
          <fgColor rgb="FFFFC7CE"/>
          <bgColor rgb="FFFFC7CE"/>
        </patternFill>
      </fill>
    </dxf>
    <dxf>
      <font>
        <sz val="10"/>
        <color rgb="FF006100"/>
        <name val="Arial"/>
      </font>
      <fill>
        <patternFill patternType="solid">
          <fgColor rgb="FFC6EFCE"/>
          <bgColor rgb="FFC6EFCE"/>
        </patternFill>
      </fill>
    </dxf>
    <dxf>
      <font>
        <b/>
        <sz val="10"/>
        <color rgb="FF9C0006"/>
        <name val="Arial"/>
      </font>
      <fill>
        <patternFill patternType="solid">
          <fgColor rgb="FFFFC7CE"/>
          <bgColor rgb="FFFFC7CE"/>
        </patternFill>
      </fill>
    </dxf>
    <dxf>
      <font>
        <sz val="10"/>
        <color rgb="FF006100"/>
        <name val="Arial"/>
      </font>
      <fill>
        <patternFill patternType="solid">
          <fgColor rgb="FFC6EFCE"/>
          <bgColor rgb="FFC6EFCE"/>
        </patternFill>
      </fill>
    </dxf>
    <dxf>
      <font>
        <b/>
        <sz val="10"/>
        <color rgb="FF9C0006"/>
        <name val="Arial"/>
      </font>
      <fill>
        <patternFill patternType="solid">
          <fgColor rgb="FFFFC7CE"/>
          <bgColor rgb="FFFFC7CE"/>
        </patternFill>
      </fill>
    </dxf>
    <dxf>
      <font>
        <sz val="10"/>
        <color rgb="FF006100"/>
        <name val="Arial"/>
      </font>
      <fill>
        <patternFill patternType="solid">
          <fgColor rgb="FFC6EFCE"/>
          <bgColor rgb="FFC6EFCE"/>
        </patternFill>
      </fill>
    </dxf>
    <dxf>
      <font>
        <b/>
        <sz val="10"/>
        <color rgb="FF9C0006"/>
        <name val="Arial"/>
      </font>
      <fill>
        <patternFill patternType="solid">
          <fgColor rgb="FFFFC7CE"/>
          <bgColor rgb="FFFFC7CE"/>
        </patternFill>
      </fill>
    </dxf>
    <dxf>
      <font>
        <sz val="10"/>
        <color rgb="FF006100"/>
        <name val="Arial"/>
      </font>
      <fill>
        <patternFill patternType="solid">
          <fgColor rgb="FFC6EFCE"/>
          <bgColor rgb="FFC6EFCE"/>
        </patternFill>
      </fill>
    </dxf>
    <dxf>
      <font>
        <b/>
        <sz val="10"/>
        <color rgb="FF9C0006"/>
        <name val="Arial"/>
      </font>
      <fill>
        <patternFill patternType="solid">
          <fgColor rgb="FFFFC7CE"/>
          <bgColor rgb="FFFFC7CE"/>
        </patternFill>
      </fill>
    </dxf>
    <dxf>
      <font>
        <sz val="10"/>
        <color rgb="FF006100"/>
        <name val="Arial"/>
      </font>
      <fill>
        <patternFill patternType="solid">
          <fgColor rgb="FFC6EFCE"/>
          <bgColor rgb="FFC6EFCE"/>
        </patternFill>
      </fill>
    </dxf>
    <dxf>
      <font>
        <b/>
        <sz val="10"/>
        <color rgb="FF9C0006"/>
        <name val="Arial"/>
      </font>
      <fill>
        <patternFill patternType="solid">
          <fgColor rgb="FFFFC7CE"/>
          <bgColor rgb="FFFFC7CE"/>
        </patternFill>
      </fill>
    </dxf>
    <dxf>
      <font>
        <sz val="10"/>
        <color rgb="FF006100"/>
        <name val="Arial"/>
      </font>
      <fill>
        <patternFill patternType="solid">
          <fgColor rgb="FFC6EFCE"/>
          <bgColor rgb="FFC6EFCE"/>
        </patternFill>
      </fill>
    </dxf>
    <dxf>
      <font>
        <b/>
        <sz val="10"/>
        <color rgb="FF9C0006"/>
        <name val="Arial"/>
      </font>
      <fill>
        <patternFill patternType="solid">
          <fgColor rgb="FFFFC7CE"/>
          <bgColor rgb="FFFFC7CE"/>
        </patternFill>
      </fill>
    </dxf>
    <dxf>
      <font>
        <sz val="10"/>
        <color rgb="FF006100"/>
        <name val="Arial"/>
      </font>
      <fill>
        <patternFill patternType="solid">
          <fgColor rgb="FFC6EFCE"/>
          <bgColor rgb="FFC6EFCE"/>
        </patternFill>
      </fill>
    </dxf>
    <dxf>
      <font>
        <b/>
        <sz val="10"/>
        <color rgb="FF9C0006"/>
        <name val="Arial"/>
      </font>
      <fill>
        <patternFill patternType="solid">
          <fgColor rgb="FFFFC7CE"/>
          <bgColor rgb="FFFFC7CE"/>
        </patternFill>
      </fill>
    </dxf>
    <dxf>
      <font>
        <sz val="10"/>
        <color rgb="FF006100"/>
        <name val="Arial"/>
      </font>
      <fill>
        <patternFill patternType="solid">
          <fgColor rgb="FFC6EFCE"/>
          <bgColor rgb="FFC6EFCE"/>
        </patternFill>
      </fill>
    </dxf>
    <dxf>
      <font>
        <b/>
        <sz val="10"/>
        <color rgb="FF9C0006"/>
        <name val="Arial"/>
      </font>
      <fill>
        <patternFill patternType="solid">
          <fgColor rgb="FFFFC7CE"/>
          <bgColor rgb="FFFFC7CE"/>
        </patternFill>
      </fill>
    </dxf>
    <dxf>
      <font>
        <sz val="10"/>
        <color rgb="FF006100"/>
        <name val="Arial"/>
      </font>
      <fill>
        <patternFill patternType="solid">
          <fgColor rgb="FFC6EFCE"/>
          <bgColor rgb="FFC6EFCE"/>
        </patternFill>
      </fill>
    </dxf>
    <dxf>
      <font>
        <b/>
        <sz val="10"/>
        <color rgb="FF9C0006"/>
        <name val="Arial"/>
      </font>
      <fill>
        <patternFill patternType="solid">
          <fgColor rgb="FFFFC7CE"/>
          <bgColor rgb="FFFFC7CE"/>
        </patternFill>
      </fill>
    </dxf>
    <dxf>
      <font>
        <sz val="10"/>
        <color rgb="FF006100"/>
        <name val="Arial"/>
      </font>
      <fill>
        <patternFill patternType="solid">
          <fgColor rgb="FFC6EFCE"/>
          <bgColor rgb="FFC6EFCE"/>
        </patternFill>
      </fill>
    </dxf>
    <dxf>
      <font>
        <b/>
        <sz val="10"/>
        <color rgb="FF9C0006"/>
        <name val="Arial"/>
      </font>
      <fill>
        <patternFill patternType="solid">
          <fgColor rgb="FFFFC7CE"/>
          <bgColor rgb="FFFFC7CE"/>
        </patternFill>
      </fill>
    </dxf>
    <dxf>
      <font>
        <sz val="10"/>
        <color rgb="FF006100"/>
        <name val="Arial"/>
      </font>
      <fill>
        <patternFill patternType="solid">
          <fgColor rgb="FFC6EFCE"/>
          <bgColor rgb="FFC6EFCE"/>
        </patternFill>
      </fill>
    </dxf>
    <dxf>
      <font>
        <b/>
        <sz val="10"/>
        <color rgb="FF9C0006"/>
        <name val="Arial"/>
      </font>
      <fill>
        <patternFill patternType="solid">
          <fgColor rgb="FFFFC7CE"/>
          <bgColor rgb="FFFFC7CE"/>
        </patternFill>
      </fill>
    </dxf>
    <dxf>
      <font>
        <sz val="10"/>
        <color rgb="FF006100"/>
        <name val="Arial"/>
      </font>
      <fill>
        <patternFill patternType="solid">
          <fgColor rgb="FFC6EFCE"/>
          <bgColor rgb="FFC6EFCE"/>
        </patternFill>
      </fill>
    </dxf>
    <dxf>
      <font>
        <b/>
        <sz val="10"/>
        <color rgb="FF9C0006"/>
        <name val="Arial"/>
      </font>
      <fill>
        <patternFill patternType="solid">
          <fgColor rgb="FFFFC7CE"/>
          <bgColor rgb="FFFFC7CE"/>
        </patternFill>
      </fill>
    </dxf>
    <dxf>
      <font>
        <sz val="10"/>
        <color rgb="FF006100"/>
        <name val="Arial"/>
      </font>
      <fill>
        <patternFill patternType="solid">
          <fgColor rgb="FFC6EFCE"/>
          <bgColor rgb="FFC6EFCE"/>
        </patternFill>
      </fill>
    </dxf>
    <dxf>
      <font>
        <b/>
        <sz val="10"/>
        <color rgb="FF9C0006"/>
        <name val="Arial"/>
      </font>
      <fill>
        <patternFill patternType="solid">
          <fgColor rgb="FFFFC7CE"/>
          <bgColor rgb="FFFFC7CE"/>
        </patternFill>
      </fill>
    </dxf>
    <dxf>
      <font>
        <sz val="10"/>
        <color rgb="FF006100"/>
        <name val="Arial"/>
      </font>
      <fill>
        <patternFill patternType="solid">
          <fgColor rgb="FFC6EFCE"/>
          <bgColor rgb="FFC6EFCE"/>
        </patternFill>
      </fill>
    </dxf>
    <dxf>
      <font>
        <b/>
        <sz val="10"/>
        <color rgb="FF9C0006"/>
        <name val="Arial"/>
      </font>
      <fill>
        <patternFill patternType="solid">
          <fgColor rgb="FFFFC7CE"/>
          <bgColor rgb="FFFFC7CE"/>
        </patternFill>
      </fill>
    </dxf>
    <dxf>
      <font>
        <sz val="10"/>
        <color rgb="FF006100"/>
        <name val="Arial"/>
      </font>
      <fill>
        <patternFill patternType="solid">
          <fgColor rgb="FFC6EFCE"/>
          <bgColor rgb="FFC6EFCE"/>
        </patternFill>
      </fill>
    </dxf>
    <dxf>
      <font>
        <b/>
        <sz val="10"/>
        <color rgb="FF9C0006"/>
        <name val="Arial"/>
      </font>
      <fill>
        <patternFill patternType="solid">
          <fgColor rgb="FFFFC7CE"/>
          <bgColor rgb="FFFFC7CE"/>
        </patternFill>
      </fill>
    </dxf>
    <dxf>
      <font>
        <sz val="10"/>
        <color rgb="FF006100"/>
        <name val="Arial"/>
      </font>
      <fill>
        <patternFill patternType="solid">
          <fgColor rgb="FFC6EFCE"/>
          <bgColor rgb="FFC6EFCE"/>
        </patternFill>
      </fill>
    </dxf>
    <dxf>
      <font>
        <b/>
        <sz val="10"/>
        <color rgb="FF9C0006"/>
        <name val="Arial"/>
      </font>
      <fill>
        <patternFill patternType="solid">
          <fgColor rgb="FFFFC7CE"/>
          <bgColor rgb="FFFFC7CE"/>
        </patternFill>
      </fill>
    </dxf>
    <dxf>
      <font>
        <sz val="10"/>
        <color rgb="FF006100"/>
        <name val="Arial"/>
      </font>
      <fill>
        <patternFill patternType="solid">
          <fgColor rgb="FFC6EFCE"/>
          <bgColor rgb="FFC6EFCE"/>
        </patternFill>
      </fill>
    </dxf>
    <dxf>
      <font>
        <b/>
        <sz val="10"/>
        <color rgb="FF9C0006"/>
        <name val="Arial"/>
      </font>
      <fill>
        <patternFill patternType="solid">
          <fgColor rgb="FFFFC7CE"/>
          <bgColor rgb="FFFFC7CE"/>
        </patternFill>
      </fill>
    </dxf>
    <dxf>
      <font>
        <sz val="10"/>
        <color rgb="FF006100"/>
        <name val="Arial"/>
      </font>
      <fill>
        <patternFill patternType="solid">
          <fgColor rgb="FFC6EFCE"/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77"/>
  <sheetViews>
    <sheetView workbookViewId="0">
      <pane ySplit="1" topLeftCell="A247" activePane="bottomLeft" state="frozen"/>
      <selection pane="bottomLeft" activeCell="D232" sqref="D232"/>
    </sheetView>
  </sheetViews>
  <sheetFormatPr defaultRowHeight="14.4" x14ac:dyDescent="0.3"/>
  <cols>
    <col min="1" max="1" width="25" customWidth="1"/>
    <col min="2" max="2" width="22" customWidth="1"/>
    <col min="3" max="3" width="12" customWidth="1"/>
    <col min="4" max="15" width="10" customWidth="1"/>
    <col min="16" max="16" width="12" customWidth="1"/>
  </cols>
  <sheetData>
    <row r="1" spans="1:16" ht="15.6" customHeight="1" x14ac:dyDescent="0.3">
      <c r="A1" s="23" t="s">
        <v>1</v>
      </c>
      <c r="B1" s="23" t="s">
        <v>2</v>
      </c>
      <c r="C1" s="23" t="s">
        <v>48</v>
      </c>
      <c r="D1" s="23" t="s">
        <v>49</v>
      </c>
      <c r="E1" s="23" t="s">
        <v>50</v>
      </c>
      <c r="F1" s="23" t="s">
        <v>51</v>
      </c>
      <c r="G1" s="23" t="s">
        <v>52</v>
      </c>
      <c r="H1" s="23" t="s">
        <v>53</v>
      </c>
      <c r="I1" s="23" t="s">
        <v>54</v>
      </c>
      <c r="J1" s="23" t="s">
        <v>55</v>
      </c>
      <c r="K1" s="23" t="s">
        <v>56</v>
      </c>
      <c r="L1" s="23" t="s">
        <v>57</v>
      </c>
      <c r="M1" s="23" t="s">
        <v>58</v>
      </c>
      <c r="N1" s="23" t="s">
        <v>59</v>
      </c>
      <c r="O1" s="23" t="s">
        <v>60</v>
      </c>
      <c r="P1" s="23" t="s">
        <v>61</v>
      </c>
    </row>
    <row r="2" spans="1:16" x14ac:dyDescent="0.3">
      <c r="A2" s="24" t="s">
        <v>62</v>
      </c>
      <c r="B2" s="25" t="s">
        <v>28</v>
      </c>
      <c r="C2" s="26" t="s">
        <v>63</v>
      </c>
      <c r="D2" s="27">
        <v>19.501200000000001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8">
        <f t="shared" ref="P2:P33" si="0">D2</f>
        <v>19.501200000000001</v>
      </c>
    </row>
    <row r="3" spans="1:16" x14ac:dyDescent="0.3">
      <c r="A3" s="24" t="s">
        <v>62</v>
      </c>
      <c r="B3" s="25" t="s">
        <v>28</v>
      </c>
      <c r="C3" s="26" t="s">
        <v>64</v>
      </c>
      <c r="D3" s="27">
        <v>19.771899999999999</v>
      </c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8">
        <f t="shared" si="0"/>
        <v>19.771899999999999</v>
      </c>
    </row>
    <row r="4" spans="1:16" x14ac:dyDescent="0.3">
      <c r="A4" s="24" t="s">
        <v>62</v>
      </c>
      <c r="B4" s="25" t="s">
        <v>28</v>
      </c>
      <c r="C4" s="26" t="s">
        <v>65</v>
      </c>
      <c r="D4" s="27">
        <v>19.1433</v>
      </c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8">
        <f t="shared" si="0"/>
        <v>19.1433</v>
      </c>
    </row>
    <row r="5" spans="1:16" x14ac:dyDescent="0.3">
      <c r="A5" s="24" t="s">
        <v>62</v>
      </c>
      <c r="B5" s="25" t="s">
        <v>28</v>
      </c>
      <c r="C5" s="26" t="s">
        <v>66</v>
      </c>
      <c r="D5" s="27">
        <v>18.155899999999999</v>
      </c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8">
        <f t="shared" si="0"/>
        <v>18.155899999999999</v>
      </c>
    </row>
    <row r="6" spans="1:16" x14ac:dyDescent="0.3">
      <c r="A6" s="24" t="s">
        <v>62</v>
      </c>
      <c r="B6" s="25" t="s">
        <v>28</v>
      </c>
      <c r="C6" s="26" t="s">
        <v>67</v>
      </c>
      <c r="D6" s="27">
        <v>20.549875</v>
      </c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8">
        <f t="shared" si="0"/>
        <v>20.549875</v>
      </c>
    </row>
    <row r="7" spans="1:16" x14ac:dyDescent="0.3">
      <c r="A7" s="24" t="s">
        <v>62</v>
      </c>
      <c r="B7" s="25" t="s">
        <v>28</v>
      </c>
      <c r="C7" s="26" t="s">
        <v>68</v>
      </c>
      <c r="D7" s="27">
        <v>16.963100000000001</v>
      </c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8">
        <f t="shared" si="0"/>
        <v>16.963100000000001</v>
      </c>
    </row>
    <row r="8" spans="1:16" x14ac:dyDescent="0.3">
      <c r="A8" s="24" t="s">
        <v>62</v>
      </c>
      <c r="B8" s="25" t="s">
        <v>28</v>
      </c>
      <c r="C8" s="26" t="s">
        <v>69</v>
      </c>
      <c r="D8" s="27">
        <v>19.111000000000001</v>
      </c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8">
        <f t="shared" si="0"/>
        <v>19.111000000000001</v>
      </c>
    </row>
    <row r="9" spans="1:16" x14ac:dyDescent="0.3">
      <c r="A9" s="24" t="s">
        <v>62</v>
      </c>
      <c r="B9" s="25" t="s">
        <v>28</v>
      </c>
      <c r="C9" s="26" t="s">
        <v>70</v>
      </c>
      <c r="D9" s="27">
        <v>19.257100000000001</v>
      </c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8">
        <f t="shared" si="0"/>
        <v>19.257100000000001</v>
      </c>
    </row>
    <row r="10" spans="1:16" x14ac:dyDescent="0.3">
      <c r="A10" s="24" t="s">
        <v>62</v>
      </c>
      <c r="B10" s="25" t="s">
        <v>28</v>
      </c>
      <c r="C10" s="26" t="s">
        <v>71</v>
      </c>
      <c r="D10" s="27">
        <v>17.984100000000002</v>
      </c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8">
        <f t="shared" si="0"/>
        <v>17.984100000000002</v>
      </c>
    </row>
    <row r="11" spans="1:16" x14ac:dyDescent="0.3">
      <c r="A11" s="24" t="s">
        <v>62</v>
      </c>
      <c r="B11" s="25" t="s">
        <v>28</v>
      </c>
      <c r="C11" s="26" t="s">
        <v>72</v>
      </c>
      <c r="D11" s="27">
        <v>17.551812000000002</v>
      </c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8">
        <f t="shared" si="0"/>
        <v>17.551812000000002</v>
      </c>
    </row>
    <row r="12" spans="1:16" x14ac:dyDescent="0.3">
      <c r="A12" s="24" t="s">
        <v>62</v>
      </c>
      <c r="B12" s="25" t="s">
        <v>28</v>
      </c>
      <c r="C12" s="26" t="s">
        <v>73</v>
      </c>
      <c r="D12" s="27">
        <v>19.067799999999998</v>
      </c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8">
        <f t="shared" si="0"/>
        <v>19.067799999999998</v>
      </c>
    </row>
    <row r="13" spans="1:16" x14ac:dyDescent="0.3">
      <c r="A13" s="24" t="s">
        <v>62</v>
      </c>
      <c r="B13" s="25" t="s">
        <v>28</v>
      </c>
      <c r="C13" s="26" t="s">
        <v>74</v>
      </c>
      <c r="D13" s="27">
        <v>21.2865</v>
      </c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8">
        <f t="shared" si="0"/>
        <v>21.2865</v>
      </c>
    </row>
    <row r="14" spans="1:16" x14ac:dyDescent="0.3">
      <c r="A14" s="24" t="s">
        <v>62</v>
      </c>
      <c r="B14" s="25" t="s">
        <v>28</v>
      </c>
      <c r="C14" s="26" t="s">
        <v>75</v>
      </c>
      <c r="D14" s="27">
        <v>19.607800000000001</v>
      </c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8">
        <f t="shared" si="0"/>
        <v>19.607800000000001</v>
      </c>
    </row>
    <row r="15" spans="1:16" x14ac:dyDescent="0.3">
      <c r="A15" s="24" t="s">
        <v>62</v>
      </c>
      <c r="B15" s="25" t="s">
        <v>28</v>
      </c>
      <c r="C15" s="26" t="s">
        <v>76</v>
      </c>
      <c r="D15" s="27">
        <v>18.397300000000001</v>
      </c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8">
        <f t="shared" si="0"/>
        <v>18.397300000000001</v>
      </c>
    </row>
    <row r="16" spans="1:16" x14ac:dyDescent="0.3">
      <c r="A16" s="24" t="s">
        <v>62</v>
      </c>
      <c r="B16" s="25" t="s">
        <v>28</v>
      </c>
      <c r="C16" s="26" t="s">
        <v>77</v>
      </c>
      <c r="D16" s="27">
        <v>17.681097000000001</v>
      </c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8">
        <f t="shared" si="0"/>
        <v>17.681097000000001</v>
      </c>
    </row>
    <row r="17" spans="1:16" x14ac:dyDescent="0.3">
      <c r="A17" s="24" t="s">
        <v>62</v>
      </c>
      <c r="B17" s="25" t="s">
        <v>28</v>
      </c>
      <c r="C17" s="26" t="s">
        <v>78</v>
      </c>
      <c r="D17" s="27">
        <v>17.346299999999999</v>
      </c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8">
        <f t="shared" si="0"/>
        <v>17.346299999999999</v>
      </c>
    </row>
    <row r="18" spans="1:16" x14ac:dyDescent="0.3">
      <c r="A18" s="24" t="s">
        <v>62</v>
      </c>
      <c r="B18" s="25" t="s">
        <v>28</v>
      </c>
      <c r="C18" s="26" t="s">
        <v>79</v>
      </c>
      <c r="D18" s="27">
        <v>18.706700000000001</v>
      </c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8">
        <f t="shared" si="0"/>
        <v>18.706700000000001</v>
      </c>
    </row>
    <row r="19" spans="1:16" x14ac:dyDescent="0.3">
      <c r="A19" s="24" t="s">
        <v>62</v>
      </c>
      <c r="B19" s="25" t="s">
        <v>28</v>
      </c>
      <c r="C19" s="26" t="s">
        <v>80</v>
      </c>
      <c r="D19" s="27">
        <v>20.127600000000001</v>
      </c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8">
        <f t="shared" si="0"/>
        <v>20.127600000000001</v>
      </c>
    </row>
    <row r="20" spans="1:16" x14ac:dyDescent="0.3">
      <c r="A20" s="24" t="s">
        <v>62</v>
      </c>
      <c r="B20" s="25" t="s">
        <v>28</v>
      </c>
      <c r="C20" s="26" t="s">
        <v>81</v>
      </c>
      <c r="D20" s="27">
        <v>19.501000000000001</v>
      </c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8">
        <f t="shared" si="0"/>
        <v>19.501000000000001</v>
      </c>
    </row>
    <row r="21" spans="1:16" x14ac:dyDescent="0.3">
      <c r="A21" s="24" t="s">
        <v>62</v>
      </c>
      <c r="B21" s="25" t="s">
        <v>28</v>
      </c>
      <c r="C21" s="26" t="s">
        <v>82</v>
      </c>
      <c r="D21" s="27">
        <v>17.718021</v>
      </c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8">
        <f t="shared" si="0"/>
        <v>17.718021</v>
      </c>
    </row>
    <row r="22" spans="1:16" x14ac:dyDescent="0.3">
      <c r="A22" s="24" t="s">
        <v>62</v>
      </c>
      <c r="B22" s="25" t="s">
        <v>28</v>
      </c>
      <c r="C22" s="26" t="s">
        <v>83</v>
      </c>
      <c r="D22" s="27">
        <v>19.419499999999999</v>
      </c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8">
        <f t="shared" si="0"/>
        <v>19.419499999999999</v>
      </c>
    </row>
    <row r="23" spans="1:16" x14ac:dyDescent="0.3">
      <c r="A23" s="24" t="s">
        <v>62</v>
      </c>
      <c r="B23" s="25" t="s">
        <v>28</v>
      </c>
      <c r="C23" s="26" t="s">
        <v>84</v>
      </c>
      <c r="D23" s="27">
        <v>21.0167</v>
      </c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8">
        <f t="shared" si="0"/>
        <v>21.0167</v>
      </c>
    </row>
    <row r="24" spans="1:16" x14ac:dyDescent="0.3">
      <c r="A24" s="24" t="s">
        <v>62</v>
      </c>
      <c r="B24" s="25" t="s">
        <v>28</v>
      </c>
      <c r="C24" s="26" t="s">
        <v>85</v>
      </c>
      <c r="D24" s="27">
        <v>20.409099999999999</v>
      </c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8">
        <f t="shared" si="0"/>
        <v>20.409099999999999</v>
      </c>
    </row>
    <row r="25" spans="1:16" x14ac:dyDescent="0.3">
      <c r="A25" s="24" t="s">
        <v>62</v>
      </c>
      <c r="B25" s="25" t="s">
        <v>30</v>
      </c>
      <c r="C25" s="26" t="s">
        <v>63</v>
      </c>
      <c r="D25" s="27">
        <v>15.974500000000001</v>
      </c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8">
        <f t="shared" si="0"/>
        <v>15.974500000000001</v>
      </c>
    </row>
    <row r="26" spans="1:16" x14ac:dyDescent="0.3">
      <c r="A26" s="24" t="s">
        <v>62</v>
      </c>
      <c r="B26" s="25" t="s">
        <v>30</v>
      </c>
      <c r="C26" s="26" t="s">
        <v>64</v>
      </c>
      <c r="D26" s="27">
        <v>19.3261</v>
      </c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8">
        <f t="shared" si="0"/>
        <v>19.3261</v>
      </c>
    </row>
    <row r="27" spans="1:16" x14ac:dyDescent="0.3">
      <c r="A27" s="24" t="s">
        <v>62</v>
      </c>
      <c r="B27" s="25" t="s">
        <v>30</v>
      </c>
      <c r="C27" s="26" t="s">
        <v>65</v>
      </c>
      <c r="D27" s="27">
        <v>18.1311</v>
      </c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8">
        <f t="shared" si="0"/>
        <v>18.1311</v>
      </c>
    </row>
    <row r="28" spans="1:16" x14ac:dyDescent="0.3">
      <c r="A28" s="24" t="s">
        <v>62</v>
      </c>
      <c r="B28" s="25" t="s">
        <v>30</v>
      </c>
      <c r="C28" s="26" t="s">
        <v>66</v>
      </c>
      <c r="D28" s="27">
        <v>17.607399999999998</v>
      </c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8">
        <f t="shared" si="0"/>
        <v>17.607399999999998</v>
      </c>
    </row>
    <row r="29" spans="1:16" x14ac:dyDescent="0.3">
      <c r="A29" s="24" t="s">
        <v>62</v>
      </c>
      <c r="B29" s="25" t="s">
        <v>30</v>
      </c>
      <c r="C29" s="26" t="s">
        <v>67</v>
      </c>
      <c r="D29" s="27">
        <v>20.174499999999998</v>
      </c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8">
        <f t="shared" si="0"/>
        <v>20.174499999999998</v>
      </c>
    </row>
    <row r="30" spans="1:16" x14ac:dyDescent="0.3">
      <c r="A30" s="24" t="s">
        <v>62</v>
      </c>
      <c r="B30" s="25" t="s">
        <v>30</v>
      </c>
      <c r="C30" s="26" t="s">
        <v>68</v>
      </c>
      <c r="D30" s="27">
        <v>16.581199999999999</v>
      </c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8">
        <f t="shared" si="0"/>
        <v>16.581199999999999</v>
      </c>
    </row>
    <row r="31" spans="1:16" x14ac:dyDescent="0.3">
      <c r="A31" s="24" t="s">
        <v>62</v>
      </c>
      <c r="B31" s="25" t="s">
        <v>30</v>
      </c>
      <c r="C31" s="26" t="s">
        <v>69</v>
      </c>
      <c r="D31" s="27">
        <v>18.779</v>
      </c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8">
        <f t="shared" si="0"/>
        <v>18.779</v>
      </c>
    </row>
    <row r="32" spans="1:16" x14ac:dyDescent="0.3">
      <c r="A32" s="24" t="s">
        <v>62</v>
      </c>
      <c r="B32" s="25" t="s">
        <v>30</v>
      </c>
      <c r="C32" s="26" t="s">
        <v>70</v>
      </c>
      <c r="D32" s="27">
        <v>18.361899999999999</v>
      </c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8">
        <f t="shared" si="0"/>
        <v>18.361899999999999</v>
      </c>
    </row>
    <row r="33" spans="1:16" x14ac:dyDescent="0.3">
      <c r="A33" s="24" t="s">
        <v>62</v>
      </c>
      <c r="B33" s="25" t="s">
        <v>30</v>
      </c>
      <c r="C33" s="26" t="s">
        <v>71</v>
      </c>
      <c r="D33" s="27">
        <v>17.425999999999998</v>
      </c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8">
        <f t="shared" si="0"/>
        <v>17.425999999999998</v>
      </c>
    </row>
    <row r="34" spans="1:16" x14ac:dyDescent="0.3">
      <c r="A34" s="24" t="s">
        <v>62</v>
      </c>
      <c r="B34" s="25" t="s">
        <v>30</v>
      </c>
      <c r="C34" s="26" t="s">
        <v>72</v>
      </c>
      <c r="D34" s="27">
        <v>17.203499999999998</v>
      </c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8">
        <f t="shared" ref="P34:P65" si="1">D34</f>
        <v>17.203499999999998</v>
      </c>
    </row>
    <row r="35" spans="1:16" x14ac:dyDescent="0.3">
      <c r="A35" s="24" t="s">
        <v>62</v>
      </c>
      <c r="B35" s="25" t="s">
        <v>30</v>
      </c>
      <c r="C35" s="26" t="s">
        <v>73</v>
      </c>
      <c r="D35" s="27">
        <v>18.839099999999998</v>
      </c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8">
        <f t="shared" si="1"/>
        <v>18.839099999999998</v>
      </c>
    </row>
    <row r="36" spans="1:16" x14ac:dyDescent="0.3">
      <c r="A36" s="24" t="s">
        <v>62</v>
      </c>
      <c r="B36" s="25" t="s">
        <v>30</v>
      </c>
      <c r="C36" s="26" t="s">
        <v>74</v>
      </c>
      <c r="D36" s="27">
        <v>20.861000000000001</v>
      </c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8">
        <f t="shared" si="1"/>
        <v>20.861000000000001</v>
      </c>
    </row>
    <row r="37" spans="1:16" x14ac:dyDescent="0.3">
      <c r="A37" s="24" t="s">
        <v>62</v>
      </c>
      <c r="B37" s="25" t="s">
        <v>30</v>
      </c>
      <c r="C37" s="26" t="s">
        <v>75</v>
      </c>
      <c r="D37" s="27">
        <v>18.917300000000001</v>
      </c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8">
        <f t="shared" si="1"/>
        <v>18.917300000000001</v>
      </c>
    </row>
    <row r="38" spans="1:16" x14ac:dyDescent="0.3">
      <c r="A38" s="24" t="s">
        <v>62</v>
      </c>
      <c r="B38" s="25" t="s">
        <v>30</v>
      </c>
      <c r="C38" s="26" t="s">
        <v>76</v>
      </c>
      <c r="D38" s="27">
        <v>17.900200000000002</v>
      </c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8">
        <f t="shared" si="1"/>
        <v>17.900200000000002</v>
      </c>
    </row>
    <row r="39" spans="1:16" x14ac:dyDescent="0.3">
      <c r="A39" s="24" t="s">
        <v>62</v>
      </c>
      <c r="B39" s="25" t="s">
        <v>30</v>
      </c>
      <c r="C39" s="26" t="s">
        <v>77</v>
      </c>
      <c r="D39" s="27">
        <v>16.415900000000001</v>
      </c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8">
        <f t="shared" si="1"/>
        <v>16.415900000000001</v>
      </c>
    </row>
    <row r="40" spans="1:16" x14ac:dyDescent="0.3">
      <c r="A40" s="24" t="s">
        <v>62</v>
      </c>
      <c r="B40" s="25" t="s">
        <v>30</v>
      </c>
      <c r="C40" s="26" t="s">
        <v>78</v>
      </c>
      <c r="D40" s="27">
        <v>17.038599999999999</v>
      </c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8">
        <f t="shared" si="1"/>
        <v>17.038599999999999</v>
      </c>
    </row>
    <row r="41" spans="1:16" x14ac:dyDescent="0.3">
      <c r="A41" s="24" t="s">
        <v>62</v>
      </c>
      <c r="B41" s="25" t="s">
        <v>30</v>
      </c>
      <c r="C41" s="26" t="s">
        <v>79</v>
      </c>
      <c r="D41" s="27">
        <v>18.348700000000001</v>
      </c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8">
        <f t="shared" si="1"/>
        <v>18.348700000000001</v>
      </c>
    </row>
    <row r="42" spans="1:16" x14ac:dyDescent="0.3">
      <c r="A42" s="24" t="s">
        <v>62</v>
      </c>
      <c r="B42" s="25" t="s">
        <v>30</v>
      </c>
      <c r="C42" s="26" t="s">
        <v>80</v>
      </c>
      <c r="D42" s="27">
        <v>19.1602</v>
      </c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8">
        <f t="shared" si="1"/>
        <v>19.1602</v>
      </c>
    </row>
    <row r="43" spans="1:16" x14ac:dyDescent="0.3">
      <c r="A43" s="24" t="s">
        <v>62</v>
      </c>
      <c r="B43" s="25" t="s">
        <v>30</v>
      </c>
      <c r="C43" s="26" t="s">
        <v>81</v>
      </c>
      <c r="D43" s="27">
        <v>19.083200000000001</v>
      </c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8">
        <f t="shared" si="1"/>
        <v>19.083200000000001</v>
      </c>
    </row>
    <row r="44" spans="1:16" x14ac:dyDescent="0.3">
      <c r="A44" s="24" t="s">
        <v>62</v>
      </c>
      <c r="B44" s="25" t="s">
        <v>30</v>
      </c>
      <c r="C44" s="26" t="s">
        <v>82</v>
      </c>
      <c r="D44" s="27">
        <v>17.218081999999999</v>
      </c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8">
        <f t="shared" si="1"/>
        <v>17.218081999999999</v>
      </c>
    </row>
    <row r="45" spans="1:16" x14ac:dyDescent="0.3">
      <c r="A45" s="24" t="s">
        <v>62</v>
      </c>
      <c r="B45" s="25" t="s">
        <v>30</v>
      </c>
      <c r="C45" s="26" t="s">
        <v>83</v>
      </c>
      <c r="D45" s="27">
        <v>19.055099999999999</v>
      </c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8">
        <f t="shared" si="1"/>
        <v>19.055099999999999</v>
      </c>
    </row>
    <row r="46" spans="1:16" x14ac:dyDescent="0.3">
      <c r="A46" s="24" t="s">
        <v>62</v>
      </c>
      <c r="B46" s="25" t="s">
        <v>30</v>
      </c>
      <c r="C46" s="26" t="s">
        <v>84</v>
      </c>
      <c r="D46" s="27">
        <v>20.569600000000001</v>
      </c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8">
        <f t="shared" si="1"/>
        <v>20.569600000000001</v>
      </c>
    </row>
    <row r="47" spans="1:16" x14ac:dyDescent="0.3">
      <c r="A47" s="24" t="s">
        <v>62</v>
      </c>
      <c r="B47" s="25" t="s">
        <v>30</v>
      </c>
      <c r="C47" s="26" t="s">
        <v>85</v>
      </c>
      <c r="D47" s="27">
        <v>19.982399999999998</v>
      </c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8">
        <f t="shared" si="1"/>
        <v>19.982399999999998</v>
      </c>
    </row>
    <row r="48" spans="1:16" x14ac:dyDescent="0.3">
      <c r="A48" s="24" t="s">
        <v>62</v>
      </c>
      <c r="B48" s="25" t="s">
        <v>33</v>
      </c>
      <c r="C48" s="26" t="s">
        <v>63</v>
      </c>
      <c r="D48" s="29">
        <v>27.7958977295064</v>
      </c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30">
        <f t="shared" si="1"/>
        <v>27.7958977295064</v>
      </c>
    </row>
    <row r="49" spans="1:16" x14ac:dyDescent="0.3">
      <c r="A49" s="24" t="s">
        <v>62</v>
      </c>
      <c r="B49" s="25" t="s">
        <v>33</v>
      </c>
      <c r="C49" s="26" t="s">
        <v>64</v>
      </c>
      <c r="D49" s="29">
        <v>35.813799830281333</v>
      </c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30">
        <f t="shared" si="1"/>
        <v>35.813799830281333</v>
      </c>
    </row>
    <row r="50" spans="1:16" x14ac:dyDescent="0.3">
      <c r="A50" s="24" t="s">
        <v>62</v>
      </c>
      <c r="B50" s="25" t="s">
        <v>33</v>
      </c>
      <c r="C50" s="26" t="s">
        <v>65</v>
      </c>
      <c r="D50" s="29">
        <v>40.519174907755179</v>
      </c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30">
        <f t="shared" si="1"/>
        <v>40.519174907755179</v>
      </c>
    </row>
    <row r="51" spans="1:16" x14ac:dyDescent="0.3">
      <c r="A51" s="24" t="s">
        <v>62</v>
      </c>
      <c r="B51" s="25" t="s">
        <v>33</v>
      </c>
      <c r="C51" s="26" t="s">
        <v>66</v>
      </c>
      <c r="D51" s="29">
        <v>41.389198515964871</v>
      </c>
      <c r="E51" s="29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30">
        <f t="shared" si="1"/>
        <v>41.389198515964871</v>
      </c>
    </row>
    <row r="52" spans="1:16" x14ac:dyDescent="0.3">
      <c r="A52" s="24" t="s">
        <v>62</v>
      </c>
      <c r="B52" s="25" t="s">
        <v>33</v>
      </c>
      <c r="C52" s="26" t="s">
        <v>67</v>
      </c>
      <c r="D52" s="29">
        <v>39.921312004758477</v>
      </c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30">
        <f t="shared" si="1"/>
        <v>39.921312004758477</v>
      </c>
    </row>
    <row r="53" spans="1:16" x14ac:dyDescent="0.3">
      <c r="A53" s="24" t="s">
        <v>62</v>
      </c>
      <c r="B53" s="25" t="s">
        <v>33</v>
      </c>
      <c r="C53" s="26" t="s">
        <v>68</v>
      </c>
      <c r="D53" s="29">
        <v>36.36210728415314</v>
      </c>
      <c r="E53" s="29"/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30">
        <f t="shared" si="1"/>
        <v>36.36210728415314</v>
      </c>
    </row>
    <row r="54" spans="1:16" x14ac:dyDescent="0.3">
      <c r="A54" s="24" t="s">
        <v>62</v>
      </c>
      <c r="B54" s="25" t="s">
        <v>33</v>
      </c>
      <c r="C54" s="26" t="s">
        <v>69</v>
      </c>
      <c r="D54" s="29">
        <v>45.198135983279187</v>
      </c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30">
        <f t="shared" si="1"/>
        <v>45.198135983279187</v>
      </c>
    </row>
    <row r="55" spans="1:16" x14ac:dyDescent="0.3">
      <c r="A55" s="24" t="s">
        <v>62</v>
      </c>
      <c r="B55" s="25" t="s">
        <v>33</v>
      </c>
      <c r="C55" s="26" t="s">
        <v>70</v>
      </c>
      <c r="D55" s="29">
        <v>43.12395547900816</v>
      </c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30">
        <f t="shared" si="1"/>
        <v>43.12395547900816</v>
      </c>
    </row>
    <row r="56" spans="1:16" x14ac:dyDescent="0.3">
      <c r="A56" s="24" t="s">
        <v>62</v>
      </c>
      <c r="B56" s="25" t="s">
        <v>33</v>
      </c>
      <c r="C56" s="26" t="s">
        <v>71</v>
      </c>
      <c r="D56" s="29">
        <v>42.750765702398724</v>
      </c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30">
        <f t="shared" si="1"/>
        <v>42.750765702398724</v>
      </c>
    </row>
    <row r="57" spans="1:16" x14ac:dyDescent="0.3">
      <c r="A57" s="24" t="s">
        <v>62</v>
      </c>
      <c r="B57" s="25" t="s">
        <v>33</v>
      </c>
      <c r="C57" s="26" t="s">
        <v>72</v>
      </c>
      <c r="D57" s="29">
        <v>45.09990960153457</v>
      </c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30">
        <f t="shared" si="1"/>
        <v>45.09990960153457</v>
      </c>
    </row>
    <row r="58" spans="1:16" x14ac:dyDescent="0.3">
      <c r="A58" s="24" t="s">
        <v>62</v>
      </c>
      <c r="B58" s="25" t="s">
        <v>33</v>
      </c>
      <c r="C58" s="26" t="s">
        <v>73</v>
      </c>
      <c r="D58" s="29">
        <v>44.116780938579858</v>
      </c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30">
        <f t="shared" si="1"/>
        <v>44.116780938579858</v>
      </c>
    </row>
    <row r="59" spans="1:16" x14ac:dyDescent="0.3">
      <c r="A59" s="24" t="s">
        <v>62</v>
      </c>
      <c r="B59" s="25" t="s">
        <v>33</v>
      </c>
      <c r="C59" s="26" t="s">
        <v>74</v>
      </c>
      <c r="D59" s="29">
        <v>54.751124923062171</v>
      </c>
      <c r="E59" s="29"/>
      <c r="F59" s="29"/>
      <c r="G59" s="29"/>
      <c r="H59" s="29"/>
      <c r="I59" s="29"/>
      <c r="J59" s="29"/>
      <c r="K59" s="29"/>
      <c r="L59" s="29"/>
      <c r="M59" s="29"/>
      <c r="N59" s="29"/>
      <c r="O59" s="29"/>
      <c r="P59" s="30">
        <f t="shared" si="1"/>
        <v>54.751124923062171</v>
      </c>
    </row>
    <row r="60" spans="1:16" x14ac:dyDescent="0.3">
      <c r="A60" s="24" t="s">
        <v>62</v>
      </c>
      <c r="B60" s="25" t="s">
        <v>33</v>
      </c>
      <c r="C60" s="26" t="s">
        <v>75</v>
      </c>
      <c r="D60" s="29">
        <v>47.100414899589261</v>
      </c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30">
        <f t="shared" si="1"/>
        <v>47.100414899589261</v>
      </c>
    </row>
    <row r="61" spans="1:16" x14ac:dyDescent="0.3">
      <c r="A61" s="24" t="s">
        <v>62</v>
      </c>
      <c r="B61" s="25" t="s">
        <v>33</v>
      </c>
      <c r="C61" s="26" t="s">
        <v>76</v>
      </c>
      <c r="D61" s="29">
        <v>45.690383078960011</v>
      </c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30">
        <f t="shared" si="1"/>
        <v>45.690383078960011</v>
      </c>
    </row>
    <row r="62" spans="1:16" x14ac:dyDescent="0.3">
      <c r="A62" s="24" t="s">
        <v>62</v>
      </c>
      <c r="B62" s="25" t="s">
        <v>33</v>
      </c>
      <c r="C62" s="26" t="s">
        <v>77</v>
      </c>
      <c r="D62" s="29">
        <v>54.565487909283071</v>
      </c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30">
        <f t="shared" si="1"/>
        <v>54.565487909283071</v>
      </c>
    </row>
    <row r="63" spans="1:16" x14ac:dyDescent="0.3">
      <c r="A63" s="24" t="s">
        <v>62</v>
      </c>
      <c r="B63" s="25" t="s">
        <v>33</v>
      </c>
      <c r="C63" s="26" t="s">
        <v>78</v>
      </c>
      <c r="D63" s="29">
        <v>54.807602142781683</v>
      </c>
      <c r="E63" s="29"/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30">
        <f t="shared" si="1"/>
        <v>54.807602142781683</v>
      </c>
    </row>
    <row r="64" spans="1:16" x14ac:dyDescent="0.3">
      <c r="A64" s="24" t="s">
        <v>62</v>
      </c>
      <c r="B64" s="25" t="s">
        <v>33</v>
      </c>
      <c r="C64" s="26" t="s">
        <v>79</v>
      </c>
      <c r="D64" s="29">
        <v>53.201237813578068</v>
      </c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30">
        <f t="shared" si="1"/>
        <v>53.201237813578068</v>
      </c>
    </row>
    <row r="65" spans="1:16" x14ac:dyDescent="0.3">
      <c r="A65" s="24" t="s">
        <v>62</v>
      </c>
      <c r="B65" s="25" t="s">
        <v>33</v>
      </c>
      <c r="C65" s="26" t="s">
        <v>80</v>
      </c>
      <c r="D65" s="29">
        <v>53.030040780367642</v>
      </c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30">
        <f t="shared" si="1"/>
        <v>53.030040780367642</v>
      </c>
    </row>
    <row r="66" spans="1:16" x14ac:dyDescent="0.3">
      <c r="A66" s="24" t="s">
        <v>62</v>
      </c>
      <c r="B66" s="25" t="s">
        <v>33</v>
      </c>
      <c r="C66" s="26" t="s">
        <v>81</v>
      </c>
      <c r="D66" s="29">
        <v>55.579967940387363</v>
      </c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30">
        <f t="shared" ref="P66:P93" si="2">D66</f>
        <v>55.579967940387363</v>
      </c>
    </row>
    <row r="67" spans="1:16" x14ac:dyDescent="0.3">
      <c r="A67" s="24" t="s">
        <v>62</v>
      </c>
      <c r="B67" s="25" t="s">
        <v>33</v>
      </c>
      <c r="C67" s="26" t="s">
        <v>82</v>
      </c>
      <c r="D67" s="29">
        <v>41.377886929682411</v>
      </c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30">
        <f t="shared" si="2"/>
        <v>41.377886929682411</v>
      </c>
    </row>
    <row r="68" spans="1:16" x14ac:dyDescent="0.3">
      <c r="A68" s="24" t="s">
        <v>62</v>
      </c>
      <c r="B68" s="25" t="s">
        <v>33</v>
      </c>
      <c r="C68" s="26" t="s">
        <v>83</v>
      </c>
      <c r="D68" s="29">
        <v>56.090804246863037</v>
      </c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30">
        <f t="shared" si="2"/>
        <v>56.090804246863037</v>
      </c>
    </row>
    <row r="69" spans="1:16" x14ac:dyDescent="0.3">
      <c r="A69" s="24" t="s">
        <v>62</v>
      </c>
      <c r="B69" s="25" t="s">
        <v>33</v>
      </c>
      <c r="C69" s="26" t="s">
        <v>84</v>
      </c>
      <c r="D69" s="29">
        <v>52.100725270758787</v>
      </c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30">
        <f t="shared" si="2"/>
        <v>52.100725270758787</v>
      </c>
    </row>
    <row r="70" spans="1:16" x14ac:dyDescent="0.3">
      <c r="A70" s="24" t="s">
        <v>62</v>
      </c>
      <c r="B70" s="25" t="s">
        <v>33</v>
      </c>
      <c r="C70" s="26" t="s">
        <v>85</v>
      </c>
      <c r="D70" s="29">
        <v>54.352308783854802</v>
      </c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30">
        <f t="shared" si="2"/>
        <v>54.352308783854802</v>
      </c>
    </row>
    <row r="71" spans="1:16" x14ac:dyDescent="0.3">
      <c r="A71" s="24" t="s">
        <v>62</v>
      </c>
      <c r="B71" s="25" t="s">
        <v>38</v>
      </c>
      <c r="C71" s="26" t="s">
        <v>63</v>
      </c>
      <c r="D71" s="31">
        <v>12084.4</v>
      </c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2">
        <f t="shared" si="2"/>
        <v>12084.4</v>
      </c>
    </row>
    <row r="72" spans="1:16" x14ac:dyDescent="0.3">
      <c r="A72" s="24" t="s">
        <v>62</v>
      </c>
      <c r="B72" s="25" t="s">
        <v>38</v>
      </c>
      <c r="C72" s="26" t="s">
        <v>64</v>
      </c>
      <c r="D72" s="31">
        <v>18837</v>
      </c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2">
        <f t="shared" si="2"/>
        <v>18837</v>
      </c>
    </row>
    <row r="73" spans="1:16" x14ac:dyDescent="0.3">
      <c r="A73" s="24" t="s">
        <v>62</v>
      </c>
      <c r="B73" s="25" t="s">
        <v>38</v>
      </c>
      <c r="C73" s="26" t="s">
        <v>65</v>
      </c>
      <c r="D73" s="31">
        <v>19994.099999999999</v>
      </c>
      <c r="E73" s="31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2">
        <f t="shared" si="2"/>
        <v>19994.099999999999</v>
      </c>
    </row>
    <row r="74" spans="1:16" x14ac:dyDescent="0.3">
      <c r="A74" s="24" t="s">
        <v>62</v>
      </c>
      <c r="B74" s="25" t="s">
        <v>38</v>
      </c>
      <c r="C74" s="26" t="s">
        <v>66</v>
      </c>
      <c r="D74" s="31">
        <v>19833.5</v>
      </c>
      <c r="E74" s="31"/>
      <c r="F74" s="31"/>
      <c r="G74" s="31"/>
      <c r="H74" s="31"/>
      <c r="I74" s="31"/>
      <c r="J74" s="31"/>
      <c r="K74" s="31"/>
      <c r="L74" s="31"/>
      <c r="M74" s="31"/>
      <c r="N74" s="31"/>
      <c r="O74" s="31"/>
      <c r="P74" s="32">
        <f t="shared" si="2"/>
        <v>19833.5</v>
      </c>
    </row>
    <row r="75" spans="1:16" x14ac:dyDescent="0.3">
      <c r="A75" s="24" t="s">
        <v>62</v>
      </c>
      <c r="B75" s="25" t="s">
        <v>38</v>
      </c>
      <c r="C75" s="26" t="s">
        <v>67</v>
      </c>
      <c r="D75" s="31">
        <v>21919.200000000001</v>
      </c>
      <c r="E75" s="31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2">
        <f t="shared" si="2"/>
        <v>21919.200000000001</v>
      </c>
    </row>
    <row r="76" spans="1:16" x14ac:dyDescent="0.3">
      <c r="A76" s="24" t="s">
        <v>62</v>
      </c>
      <c r="B76" s="25" t="s">
        <v>38</v>
      </c>
      <c r="C76" s="26" t="s">
        <v>68</v>
      </c>
      <c r="D76" s="31">
        <v>16409</v>
      </c>
      <c r="E76" s="31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2">
        <f t="shared" si="2"/>
        <v>16409</v>
      </c>
    </row>
    <row r="77" spans="1:16" x14ac:dyDescent="0.3">
      <c r="A77" s="24" t="s">
        <v>62</v>
      </c>
      <c r="B77" s="25" t="s">
        <v>38</v>
      </c>
      <c r="C77" s="26" t="s">
        <v>69</v>
      </c>
      <c r="D77" s="31">
        <v>23099.9</v>
      </c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2">
        <f t="shared" si="2"/>
        <v>23099.9</v>
      </c>
    </row>
    <row r="78" spans="1:16" x14ac:dyDescent="0.3">
      <c r="A78" s="24" t="s">
        <v>62</v>
      </c>
      <c r="B78" s="25" t="s">
        <v>38</v>
      </c>
      <c r="C78" s="26" t="s">
        <v>70</v>
      </c>
      <c r="D78" s="31">
        <v>21550.3</v>
      </c>
      <c r="E78" s="31"/>
      <c r="F78" s="31"/>
      <c r="G78" s="31"/>
      <c r="H78" s="31"/>
      <c r="I78" s="31"/>
      <c r="J78" s="31"/>
      <c r="K78" s="31"/>
      <c r="L78" s="31"/>
      <c r="M78" s="31"/>
      <c r="N78" s="31"/>
      <c r="O78" s="31"/>
      <c r="P78" s="32">
        <f t="shared" si="2"/>
        <v>21550.3</v>
      </c>
    </row>
    <row r="79" spans="1:16" x14ac:dyDescent="0.3">
      <c r="A79" s="24" t="s">
        <v>62</v>
      </c>
      <c r="B79" s="25" t="s">
        <v>38</v>
      </c>
      <c r="C79" s="26" t="s">
        <v>71</v>
      </c>
      <c r="D79" s="31">
        <v>20274.900000000001</v>
      </c>
      <c r="E79" s="31"/>
      <c r="F79" s="31"/>
      <c r="G79" s="31"/>
      <c r="H79" s="31"/>
      <c r="I79" s="31"/>
      <c r="J79" s="31"/>
      <c r="K79" s="31"/>
      <c r="L79" s="31"/>
      <c r="M79" s="31"/>
      <c r="N79" s="31"/>
      <c r="O79" s="31"/>
      <c r="P79" s="32">
        <f t="shared" si="2"/>
        <v>20274.900000000001</v>
      </c>
    </row>
    <row r="80" spans="1:16" x14ac:dyDescent="0.3">
      <c r="A80" s="24" t="s">
        <v>62</v>
      </c>
      <c r="B80" s="25" t="s">
        <v>38</v>
      </c>
      <c r="C80" s="26" t="s">
        <v>72</v>
      </c>
      <c r="D80" s="31">
        <v>21115.9</v>
      </c>
      <c r="E80" s="31"/>
      <c r="F80" s="31"/>
      <c r="G80" s="31"/>
      <c r="H80" s="31"/>
      <c r="I80" s="31"/>
      <c r="J80" s="31"/>
      <c r="K80" s="31"/>
      <c r="L80" s="31"/>
      <c r="M80" s="31"/>
      <c r="N80" s="31"/>
      <c r="O80" s="31"/>
      <c r="P80" s="32">
        <f t="shared" si="2"/>
        <v>21115.9</v>
      </c>
    </row>
    <row r="81" spans="1:16" x14ac:dyDescent="0.3">
      <c r="A81" s="24" t="s">
        <v>62</v>
      </c>
      <c r="B81" s="25" t="s">
        <v>38</v>
      </c>
      <c r="C81" s="26" t="s">
        <v>73</v>
      </c>
      <c r="D81" s="31">
        <v>22619.4</v>
      </c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2">
        <f t="shared" si="2"/>
        <v>22619.4</v>
      </c>
    </row>
    <row r="82" spans="1:16" x14ac:dyDescent="0.3">
      <c r="A82" s="24" t="s">
        <v>62</v>
      </c>
      <c r="B82" s="25" t="s">
        <v>38</v>
      </c>
      <c r="C82" s="26" t="s">
        <v>74</v>
      </c>
      <c r="D82" s="31">
        <v>31084.6</v>
      </c>
      <c r="E82" s="31"/>
      <c r="F82" s="31"/>
      <c r="G82" s="31"/>
      <c r="H82" s="31"/>
      <c r="I82" s="31"/>
      <c r="J82" s="31"/>
      <c r="K82" s="31"/>
      <c r="L82" s="31"/>
      <c r="M82" s="31"/>
      <c r="N82" s="31"/>
      <c r="O82" s="31"/>
      <c r="P82" s="32">
        <f t="shared" si="2"/>
        <v>31084.6</v>
      </c>
    </row>
    <row r="83" spans="1:16" x14ac:dyDescent="0.3">
      <c r="A83" s="24" t="s">
        <v>62</v>
      </c>
      <c r="B83" s="25" t="s">
        <v>38</v>
      </c>
      <c r="C83" s="26" t="s">
        <v>75</v>
      </c>
      <c r="D83" s="31">
        <v>24249.4</v>
      </c>
      <c r="E83" s="31"/>
      <c r="F83" s="31"/>
      <c r="G83" s="31"/>
      <c r="H83" s="31"/>
      <c r="I83" s="31"/>
      <c r="J83" s="31"/>
      <c r="K83" s="31"/>
      <c r="L83" s="31"/>
      <c r="M83" s="31"/>
      <c r="N83" s="31"/>
      <c r="O83" s="31"/>
      <c r="P83" s="32">
        <f t="shared" si="2"/>
        <v>24249.4</v>
      </c>
    </row>
    <row r="84" spans="1:16" x14ac:dyDescent="0.3">
      <c r="A84" s="24" t="s">
        <v>62</v>
      </c>
      <c r="B84" s="25" t="s">
        <v>38</v>
      </c>
      <c r="C84" s="26" t="s">
        <v>76</v>
      </c>
      <c r="D84" s="31">
        <v>22258.7</v>
      </c>
      <c r="E84" s="31"/>
      <c r="F84" s="31"/>
      <c r="G84" s="31"/>
      <c r="H84" s="31"/>
      <c r="I84" s="31"/>
      <c r="J84" s="31"/>
      <c r="K84" s="31"/>
      <c r="L84" s="31"/>
      <c r="M84" s="31"/>
      <c r="N84" s="31"/>
      <c r="O84" s="31"/>
      <c r="P84" s="32">
        <f t="shared" si="2"/>
        <v>22258.7</v>
      </c>
    </row>
    <row r="85" spans="1:16" x14ac:dyDescent="0.3">
      <c r="A85" s="24" t="s">
        <v>62</v>
      </c>
      <c r="B85" s="25" t="s">
        <v>38</v>
      </c>
      <c r="C85" s="26" t="s">
        <v>77</v>
      </c>
      <c r="D85" s="31">
        <v>24378.1</v>
      </c>
      <c r="E85" s="31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2">
        <f t="shared" si="2"/>
        <v>24378.1</v>
      </c>
    </row>
    <row r="86" spans="1:16" x14ac:dyDescent="0.3">
      <c r="A86" s="24" t="s">
        <v>62</v>
      </c>
      <c r="B86" s="25" t="s">
        <v>38</v>
      </c>
      <c r="C86" s="26" t="s">
        <v>78</v>
      </c>
      <c r="D86" s="31">
        <v>25415.1</v>
      </c>
      <c r="E86" s="31"/>
      <c r="F86" s="31"/>
      <c r="G86" s="31"/>
      <c r="H86" s="31"/>
      <c r="I86" s="31"/>
      <c r="J86" s="31"/>
      <c r="K86" s="31"/>
      <c r="L86" s="31"/>
      <c r="M86" s="31"/>
      <c r="N86" s="31"/>
      <c r="O86" s="31"/>
      <c r="P86" s="32">
        <f t="shared" si="2"/>
        <v>25415.1</v>
      </c>
    </row>
    <row r="87" spans="1:16" x14ac:dyDescent="0.3">
      <c r="A87" s="24" t="s">
        <v>62</v>
      </c>
      <c r="B87" s="25" t="s">
        <v>38</v>
      </c>
      <c r="C87" s="26" t="s">
        <v>79</v>
      </c>
      <c r="D87" s="31">
        <v>26567.1</v>
      </c>
      <c r="E87" s="31"/>
      <c r="F87" s="31"/>
      <c r="G87" s="31"/>
      <c r="H87" s="31"/>
      <c r="I87" s="31"/>
      <c r="J87" s="31"/>
      <c r="K87" s="31"/>
      <c r="L87" s="31"/>
      <c r="M87" s="31"/>
      <c r="N87" s="31"/>
      <c r="O87" s="31"/>
      <c r="P87" s="32">
        <f t="shared" si="2"/>
        <v>26567.1</v>
      </c>
    </row>
    <row r="88" spans="1:16" x14ac:dyDescent="0.3">
      <c r="A88" s="24" t="s">
        <v>62</v>
      </c>
      <c r="B88" s="25" t="s">
        <v>38</v>
      </c>
      <c r="C88" s="26" t="s">
        <v>80</v>
      </c>
      <c r="D88" s="31">
        <v>27652.799999999999</v>
      </c>
      <c r="E88" s="31"/>
      <c r="F88" s="31"/>
      <c r="G88" s="31"/>
      <c r="H88" s="31"/>
      <c r="I88" s="31"/>
      <c r="J88" s="31"/>
      <c r="K88" s="31"/>
      <c r="L88" s="31"/>
      <c r="M88" s="31"/>
      <c r="N88" s="31"/>
      <c r="O88" s="31"/>
      <c r="P88" s="32">
        <f t="shared" si="2"/>
        <v>27652.799999999999</v>
      </c>
    </row>
    <row r="89" spans="1:16" x14ac:dyDescent="0.3">
      <c r="A89" s="24" t="s">
        <v>62</v>
      </c>
      <c r="B89" s="25" t="s">
        <v>38</v>
      </c>
      <c r="C89" s="26" t="s">
        <v>81</v>
      </c>
      <c r="D89" s="31">
        <v>28866</v>
      </c>
      <c r="E89" s="31"/>
      <c r="F89" s="31"/>
      <c r="G89" s="31"/>
      <c r="H89" s="31"/>
      <c r="I89" s="31"/>
      <c r="J89" s="31"/>
      <c r="K89" s="31"/>
      <c r="L89" s="31"/>
      <c r="M89" s="31"/>
      <c r="N89" s="31"/>
      <c r="O89" s="31"/>
      <c r="P89" s="32">
        <f t="shared" si="2"/>
        <v>28866</v>
      </c>
    </row>
    <row r="90" spans="1:16" x14ac:dyDescent="0.3">
      <c r="A90" s="24" t="s">
        <v>62</v>
      </c>
      <c r="B90" s="25" t="s">
        <v>38</v>
      </c>
      <c r="C90" s="26" t="s">
        <v>82</v>
      </c>
      <c r="D90" s="31">
        <v>19389.66</v>
      </c>
      <c r="E90" s="31"/>
      <c r="F90" s="31"/>
      <c r="G90" s="31"/>
      <c r="H90" s="31"/>
      <c r="I90" s="31"/>
      <c r="J90" s="31"/>
      <c r="K90" s="31"/>
      <c r="L90" s="31"/>
      <c r="M90" s="31"/>
      <c r="N90" s="31"/>
      <c r="O90" s="31"/>
      <c r="P90" s="32">
        <f t="shared" si="2"/>
        <v>19389.66</v>
      </c>
    </row>
    <row r="91" spans="1:16" x14ac:dyDescent="0.3">
      <c r="A91" s="24" t="s">
        <v>62</v>
      </c>
      <c r="B91" s="25" t="s">
        <v>38</v>
      </c>
      <c r="C91" s="26" t="s">
        <v>83</v>
      </c>
      <c r="D91" s="31">
        <v>29088.412</v>
      </c>
      <c r="E91" s="31"/>
      <c r="F91" s="31"/>
      <c r="G91" s="31"/>
      <c r="H91" s="31"/>
      <c r="I91" s="31"/>
      <c r="J91" s="31"/>
      <c r="K91" s="31"/>
      <c r="L91" s="31"/>
      <c r="M91" s="31"/>
      <c r="N91" s="31"/>
      <c r="O91" s="31"/>
      <c r="P91" s="32">
        <f t="shared" si="2"/>
        <v>29088.412</v>
      </c>
    </row>
    <row r="92" spans="1:16" x14ac:dyDescent="0.3">
      <c r="A92" s="24" t="s">
        <v>62</v>
      </c>
      <c r="B92" s="25" t="s">
        <v>38</v>
      </c>
      <c r="C92" s="26" t="s">
        <v>84</v>
      </c>
      <c r="D92" s="31">
        <v>29166.662</v>
      </c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2">
        <f t="shared" si="2"/>
        <v>29166.662</v>
      </c>
    </row>
    <row r="93" spans="1:16" x14ac:dyDescent="0.3">
      <c r="A93" s="24" t="s">
        <v>62</v>
      </c>
      <c r="B93" s="25" t="s">
        <v>38</v>
      </c>
      <c r="C93" s="26" t="s">
        <v>85</v>
      </c>
      <c r="D93" s="31">
        <v>29558.525000000001</v>
      </c>
      <c r="E93" s="31"/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2">
        <f t="shared" si="2"/>
        <v>29558.525000000001</v>
      </c>
    </row>
    <row r="94" spans="1:16" x14ac:dyDescent="0.3">
      <c r="A94" s="24" t="s">
        <v>62</v>
      </c>
      <c r="B94" s="25" t="s">
        <v>42</v>
      </c>
      <c r="C94" s="26" t="s">
        <v>63</v>
      </c>
      <c r="D94" s="31">
        <v>557.6</v>
      </c>
      <c r="E94" s="31">
        <v>557.6</v>
      </c>
      <c r="F94" s="31">
        <v>557.6</v>
      </c>
      <c r="G94" s="31">
        <v>557.6</v>
      </c>
      <c r="H94" s="31">
        <v>557.6</v>
      </c>
      <c r="I94" s="31">
        <v>349.26666666666671</v>
      </c>
      <c r="J94" s="31">
        <v>349.26666666666671</v>
      </c>
      <c r="K94" s="31">
        <v>349.26666666666671</v>
      </c>
      <c r="L94" s="31">
        <v>596.84999999999991</v>
      </c>
      <c r="M94" s="31">
        <v>596.84999999999991</v>
      </c>
      <c r="N94" s="31">
        <v>596.84999999999991</v>
      </c>
      <c r="O94" s="31">
        <v>596.84999999999991</v>
      </c>
      <c r="P94" s="32">
        <f t="shared" ref="P94:P125" si="3">SUM(D94:O94)</f>
        <v>6223.2000000000007</v>
      </c>
    </row>
    <row r="95" spans="1:16" x14ac:dyDescent="0.3">
      <c r="A95" s="24" t="s">
        <v>62</v>
      </c>
      <c r="B95" s="25" t="s">
        <v>42</v>
      </c>
      <c r="C95" s="26" t="s">
        <v>64</v>
      </c>
      <c r="D95" s="31">
        <v>1012.5</v>
      </c>
      <c r="E95" s="31">
        <v>1012.5</v>
      </c>
      <c r="F95" s="31">
        <v>1012.5</v>
      </c>
      <c r="G95" s="31">
        <v>1012.5</v>
      </c>
      <c r="H95" s="31">
        <v>1012.5</v>
      </c>
      <c r="I95" s="31">
        <v>837.56666666666661</v>
      </c>
      <c r="J95" s="31">
        <v>837.56666666666661</v>
      </c>
      <c r="K95" s="31">
        <v>837.56666666666661</v>
      </c>
      <c r="L95" s="31">
        <v>1181.0250000000001</v>
      </c>
      <c r="M95" s="31">
        <v>1181.0250000000001</v>
      </c>
      <c r="N95" s="31">
        <v>1181.0250000000001</v>
      </c>
      <c r="O95" s="31">
        <v>1181.0250000000001</v>
      </c>
      <c r="P95" s="32">
        <f t="shared" si="3"/>
        <v>12299.3</v>
      </c>
    </row>
    <row r="96" spans="1:16" x14ac:dyDescent="0.3">
      <c r="A96" s="24" t="s">
        <v>62</v>
      </c>
      <c r="B96" s="25" t="s">
        <v>42</v>
      </c>
      <c r="C96" s="26" t="s">
        <v>65</v>
      </c>
      <c r="D96" s="31">
        <v>995.62</v>
      </c>
      <c r="E96" s="31">
        <v>995.62</v>
      </c>
      <c r="F96" s="31">
        <v>995.62</v>
      </c>
      <c r="G96" s="31">
        <v>995.62</v>
      </c>
      <c r="H96" s="31">
        <v>995.62</v>
      </c>
      <c r="I96" s="31">
        <v>993.79999999999984</v>
      </c>
      <c r="J96" s="31">
        <v>993.79999999999984</v>
      </c>
      <c r="K96" s="31">
        <v>993.79999999999984</v>
      </c>
      <c r="L96" s="31">
        <v>908.9</v>
      </c>
      <c r="M96" s="31">
        <v>908.9</v>
      </c>
      <c r="N96" s="31">
        <v>908.9</v>
      </c>
      <c r="O96" s="31">
        <v>908.9</v>
      </c>
      <c r="P96" s="32">
        <f t="shared" si="3"/>
        <v>11595.1</v>
      </c>
    </row>
    <row r="97" spans="1:16" x14ac:dyDescent="0.3">
      <c r="A97" s="24" t="s">
        <v>62</v>
      </c>
      <c r="B97" s="25" t="s">
        <v>42</v>
      </c>
      <c r="C97" s="26" t="s">
        <v>66</v>
      </c>
      <c r="D97" s="31">
        <v>813.6</v>
      </c>
      <c r="E97" s="31">
        <v>813.6</v>
      </c>
      <c r="F97" s="31">
        <v>813.6</v>
      </c>
      <c r="G97" s="31">
        <v>813.6</v>
      </c>
      <c r="H97" s="31">
        <v>813.6</v>
      </c>
      <c r="I97" s="31">
        <v>846.33333333333337</v>
      </c>
      <c r="J97" s="31">
        <v>846.33333333333337</v>
      </c>
      <c r="K97" s="31">
        <v>846.33333333333337</v>
      </c>
      <c r="L97" s="31">
        <v>1204.7249999999999</v>
      </c>
      <c r="M97" s="31">
        <v>1204.7249999999999</v>
      </c>
      <c r="N97" s="31">
        <v>1204.7249999999999</v>
      </c>
      <c r="O97" s="31">
        <v>1204.7249999999999</v>
      </c>
      <c r="P97" s="32">
        <f t="shared" si="3"/>
        <v>11425.9</v>
      </c>
    </row>
    <row r="98" spans="1:16" x14ac:dyDescent="0.3">
      <c r="A98" s="24" t="s">
        <v>62</v>
      </c>
      <c r="B98" s="25" t="s">
        <v>42</v>
      </c>
      <c r="C98" s="26" t="s">
        <v>67</v>
      </c>
      <c r="D98" s="31">
        <v>1328.44</v>
      </c>
      <c r="E98" s="31">
        <v>1328.44</v>
      </c>
      <c r="F98" s="31">
        <v>1328.44</v>
      </c>
      <c r="G98" s="31">
        <v>1328.44</v>
      </c>
      <c r="H98" s="31">
        <v>1328.44</v>
      </c>
      <c r="I98" s="31">
        <v>1001.233333333333</v>
      </c>
      <c r="J98" s="31">
        <v>1001.233333333333</v>
      </c>
      <c r="K98" s="31">
        <v>1001.233333333333</v>
      </c>
      <c r="L98" s="31">
        <v>1325.675</v>
      </c>
      <c r="M98" s="31">
        <v>1325.675</v>
      </c>
      <c r="N98" s="31">
        <v>1325.675</v>
      </c>
      <c r="O98" s="31">
        <v>1325.675</v>
      </c>
      <c r="P98" s="32">
        <f t="shared" si="3"/>
        <v>14948.599999999997</v>
      </c>
    </row>
    <row r="99" spans="1:16" x14ac:dyDescent="0.3">
      <c r="A99" s="24" t="s">
        <v>62</v>
      </c>
      <c r="B99" s="25" t="s">
        <v>42</v>
      </c>
      <c r="C99" s="26" t="s">
        <v>68</v>
      </c>
      <c r="D99" s="31">
        <v>1142.24</v>
      </c>
      <c r="E99" s="31">
        <v>1142.24</v>
      </c>
      <c r="F99" s="31">
        <v>1142.24</v>
      </c>
      <c r="G99" s="31">
        <v>1142.24</v>
      </c>
      <c r="H99" s="31">
        <v>1142.24</v>
      </c>
      <c r="I99" s="31">
        <v>872.6</v>
      </c>
      <c r="J99" s="31">
        <v>872.6</v>
      </c>
      <c r="K99" s="31">
        <v>872.6</v>
      </c>
      <c r="L99" s="31">
        <v>1088.2750000000001</v>
      </c>
      <c r="M99" s="31">
        <v>1088.2750000000001</v>
      </c>
      <c r="N99" s="31">
        <v>1088.2750000000001</v>
      </c>
      <c r="O99" s="31">
        <v>1088.2750000000001</v>
      </c>
      <c r="P99" s="32">
        <f t="shared" si="3"/>
        <v>12682.099999999999</v>
      </c>
    </row>
    <row r="100" spans="1:16" x14ac:dyDescent="0.3">
      <c r="A100" s="24" t="s">
        <v>62</v>
      </c>
      <c r="B100" s="25" t="s">
        <v>42</v>
      </c>
      <c r="C100" s="26" t="s">
        <v>69</v>
      </c>
      <c r="D100" s="31">
        <v>1139.56</v>
      </c>
      <c r="E100" s="31">
        <v>1139.56</v>
      </c>
      <c r="F100" s="31">
        <v>1139.56</v>
      </c>
      <c r="G100" s="31">
        <v>1139.56</v>
      </c>
      <c r="H100" s="31">
        <v>1139.56</v>
      </c>
      <c r="I100" s="31">
        <v>1202.9666666666669</v>
      </c>
      <c r="J100" s="31">
        <v>1202.9666666666669</v>
      </c>
      <c r="K100" s="31">
        <v>1202.9666666666669</v>
      </c>
      <c r="L100" s="31">
        <v>1414.924999999999</v>
      </c>
      <c r="M100" s="31">
        <v>1414.924999999999</v>
      </c>
      <c r="N100" s="31">
        <v>1414.924999999999</v>
      </c>
      <c r="O100" s="31">
        <v>1414.924999999999</v>
      </c>
      <c r="P100" s="32">
        <f t="shared" si="3"/>
        <v>14966.399999999998</v>
      </c>
    </row>
    <row r="101" spans="1:16" x14ac:dyDescent="0.3">
      <c r="A101" s="24" t="s">
        <v>62</v>
      </c>
      <c r="B101" s="25" t="s">
        <v>42</v>
      </c>
      <c r="C101" s="26" t="s">
        <v>70</v>
      </c>
      <c r="D101" s="31">
        <v>1180.3</v>
      </c>
      <c r="E101" s="31">
        <v>1180.3</v>
      </c>
      <c r="F101" s="31">
        <v>1180.3</v>
      </c>
      <c r="G101" s="31">
        <v>1180.3</v>
      </c>
      <c r="H101" s="31">
        <v>1180.3</v>
      </c>
      <c r="I101" s="31">
        <v>1150.166666666667</v>
      </c>
      <c r="J101" s="31">
        <v>1150.166666666667</v>
      </c>
      <c r="K101" s="31">
        <v>1150.166666666667</v>
      </c>
      <c r="L101" s="31">
        <v>1327.35</v>
      </c>
      <c r="M101" s="31">
        <v>1327.35</v>
      </c>
      <c r="N101" s="31">
        <v>1327.35</v>
      </c>
      <c r="O101" s="31">
        <v>1327.35</v>
      </c>
      <c r="P101" s="32">
        <f t="shared" si="3"/>
        <v>14661.400000000001</v>
      </c>
    </row>
    <row r="102" spans="1:16" x14ac:dyDescent="0.3">
      <c r="A102" s="24" t="s">
        <v>62</v>
      </c>
      <c r="B102" s="25" t="s">
        <v>42</v>
      </c>
      <c r="C102" s="26" t="s">
        <v>71</v>
      </c>
      <c r="D102" s="31">
        <v>1061.0999999999999</v>
      </c>
      <c r="E102" s="31">
        <v>1061.0999999999999</v>
      </c>
      <c r="F102" s="31">
        <v>1061.0999999999999</v>
      </c>
      <c r="G102" s="31">
        <v>1061.0999999999999</v>
      </c>
      <c r="H102" s="31">
        <v>1061.0999999999999</v>
      </c>
      <c r="I102" s="31">
        <v>854.43333333333339</v>
      </c>
      <c r="J102" s="31">
        <v>854.43333333333339</v>
      </c>
      <c r="K102" s="31">
        <v>854.43333333333339</v>
      </c>
      <c r="L102" s="31">
        <v>1253.0250000000001</v>
      </c>
      <c r="M102" s="31">
        <v>1253.0250000000001</v>
      </c>
      <c r="N102" s="31">
        <v>1253.0250000000001</v>
      </c>
      <c r="O102" s="31">
        <v>1253.0250000000001</v>
      </c>
      <c r="P102" s="32">
        <f t="shared" si="3"/>
        <v>12880.9</v>
      </c>
    </row>
    <row r="103" spans="1:16" x14ac:dyDescent="0.3">
      <c r="A103" s="24" t="s">
        <v>62</v>
      </c>
      <c r="B103" s="25" t="s">
        <v>42</v>
      </c>
      <c r="C103" s="26" t="s">
        <v>72</v>
      </c>
      <c r="D103" s="31">
        <v>1185.26</v>
      </c>
      <c r="E103" s="31">
        <v>1185.26</v>
      </c>
      <c r="F103" s="31">
        <v>1185.26</v>
      </c>
      <c r="G103" s="31">
        <v>1185.26</v>
      </c>
      <c r="H103" s="31">
        <v>1185.26</v>
      </c>
      <c r="I103" s="31">
        <v>1166.2</v>
      </c>
      <c r="J103" s="31">
        <v>1166.2</v>
      </c>
      <c r="K103" s="31">
        <v>1166.2</v>
      </c>
      <c r="L103" s="31">
        <v>1122.825000000001</v>
      </c>
      <c r="M103" s="31">
        <v>1122.825000000001</v>
      </c>
      <c r="N103" s="31">
        <v>1122.825000000001</v>
      </c>
      <c r="O103" s="31">
        <v>1122.825000000001</v>
      </c>
      <c r="P103" s="32">
        <f t="shared" si="3"/>
        <v>13916.200000000004</v>
      </c>
    </row>
    <row r="104" spans="1:16" x14ac:dyDescent="0.3">
      <c r="A104" s="24" t="s">
        <v>62</v>
      </c>
      <c r="B104" s="25" t="s">
        <v>42</v>
      </c>
      <c r="C104" s="26" t="s">
        <v>73</v>
      </c>
      <c r="D104" s="31">
        <v>1221.06</v>
      </c>
      <c r="E104" s="31">
        <v>1221.06</v>
      </c>
      <c r="F104" s="31">
        <v>1221.06</v>
      </c>
      <c r="G104" s="31">
        <v>1221.06</v>
      </c>
      <c r="H104" s="31">
        <v>1221.06</v>
      </c>
      <c r="I104" s="31">
        <v>1235.3</v>
      </c>
      <c r="J104" s="31">
        <v>1235.3</v>
      </c>
      <c r="K104" s="31">
        <v>1235.3</v>
      </c>
      <c r="L104" s="31">
        <v>1380.375</v>
      </c>
      <c r="M104" s="31">
        <v>1380.375</v>
      </c>
      <c r="N104" s="31">
        <v>1380.375</v>
      </c>
      <c r="O104" s="31">
        <v>1380.375</v>
      </c>
      <c r="P104" s="32">
        <f t="shared" si="3"/>
        <v>15332.699999999999</v>
      </c>
    </row>
    <row r="105" spans="1:16" x14ac:dyDescent="0.3">
      <c r="A105" s="24" t="s">
        <v>62</v>
      </c>
      <c r="B105" s="25" t="s">
        <v>42</v>
      </c>
      <c r="C105" s="26" t="s">
        <v>74</v>
      </c>
      <c r="D105" s="31">
        <v>1389.6</v>
      </c>
      <c r="E105" s="31">
        <v>1389.6</v>
      </c>
      <c r="F105" s="31">
        <v>1389.6</v>
      </c>
      <c r="G105" s="31">
        <v>1389.6</v>
      </c>
      <c r="H105" s="31">
        <v>1389.6</v>
      </c>
      <c r="I105" s="31">
        <v>1356.7</v>
      </c>
      <c r="J105" s="31">
        <v>1356.7</v>
      </c>
      <c r="K105" s="31">
        <v>1356.7</v>
      </c>
      <c r="L105" s="31">
        <v>1852.075000000001</v>
      </c>
      <c r="M105" s="31">
        <v>1852.075000000001</v>
      </c>
      <c r="N105" s="31">
        <v>1852.075000000001</v>
      </c>
      <c r="O105" s="31">
        <v>1852.075000000001</v>
      </c>
      <c r="P105" s="32">
        <f t="shared" si="3"/>
        <v>18426.400000000005</v>
      </c>
    </row>
    <row r="106" spans="1:16" x14ac:dyDescent="0.3">
      <c r="A106" s="24" t="s">
        <v>62</v>
      </c>
      <c r="B106" s="25" t="s">
        <v>42</v>
      </c>
      <c r="C106" s="26" t="s">
        <v>75</v>
      </c>
      <c r="D106" s="31">
        <v>1510.18</v>
      </c>
      <c r="E106" s="31">
        <v>1510.18</v>
      </c>
      <c r="F106" s="31">
        <v>1510.18</v>
      </c>
      <c r="G106" s="31">
        <v>1510.18</v>
      </c>
      <c r="H106" s="31">
        <v>1510.18</v>
      </c>
      <c r="I106" s="31">
        <v>1326.9333333333341</v>
      </c>
      <c r="J106" s="31">
        <v>1326.9333333333341</v>
      </c>
      <c r="K106" s="31">
        <v>1326.9333333333341</v>
      </c>
      <c r="L106" s="31">
        <v>1812.15</v>
      </c>
      <c r="M106" s="31">
        <v>1812.15</v>
      </c>
      <c r="N106" s="31">
        <v>1812.15</v>
      </c>
      <c r="O106" s="31">
        <v>1812.15</v>
      </c>
      <c r="P106" s="32">
        <f t="shared" si="3"/>
        <v>18780.300000000003</v>
      </c>
    </row>
    <row r="107" spans="1:16" x14ac:dyDescent="0.3">
      <c r="A107" s="24" t="s">
        <v>62</v>
      </c>
      <c r="B107" s="25" t="s">
        <v>42</v>
      </c>
      <c r="C107" s="26" t="s">
        <v>76</v>
      </c>
      <c r="D107" s="31">
        <v>1551.5</v>
      </c>
      <c r="E107" s="31">
        <v>1551.5</v>
      </c>
      <c r="F107" s="31">
        <v>1551.5</v>
      </c>
      <c r="G107" s="31">
        <v>1551.5</v>
      </c>
      <c r="H107" s="31">
        <v>1551.5</v>
      </c>
      <c r="I107" s="31">
        <v>1234.133333333333</v>
      </c>
      <c r="J107" s="31">
        <v>1234.133333333333</v>
      </c>
      <c r="K107" s="31">
        <v>1234.133333333333</v>
      </c>
      <c r="L107" s="31">
        <v>1432.7249999999999</v>
      </c>
      <c r="M107" s="31">
        <v>1432.7249999999999</v>
      </c>
      <c r="N107" s="31">
        <v>1432.7249999999999</v>
      </c>
      <c r="O107" s="31">
        <v>1432.7249999999999</v>
      </c>
      <c r="P107" s="32">
        <f t="shared" si="3"/>
        <v>17190.8</v>
      </c>
    </row>
    <row r="108" spans="1:16" x14ac:dyDescent="0.3">
      <c r="A108" s="24" t="s">
        <v>62</v>
      </c>
      <c r="B108" s="25" t="s">
        <v>42</v>
      </c>
      <c r="C108" s="26" t="s">
        <v>77</v>
      </c>
      <c r="D108" s="31">
        <v>1242.24</v>
      </c>
      <c r="E108" s="31">
        <v>1242.24</v>
      </c>
      <c r="F108" s="31">
        <v>1242.24</v>
      </c>
      <c r="G108" s="31">
        <v>1242.24</v>
      </c>
      <c r="H108" s="31">
        <v>1242.24</v>
      </c>
      <c r="I108" s="31">
        <v>1111.8333333333339</v>
      </c>
      <c r="J108" s="31">
        <v>1111.8333333333339</v>
      </c>
      <c r="K108" s="31">
        <v>1111.8333333333339</v>
      </c>
      <c r="L108" s="31">
        <v>1518.674999999999</v>
      </c>
      <c r="M108" s="31">
        <v>1518.674999999999</v>
      </c>
      <c r="N108" s="31">
        <v>1518.674999999999</v>
      </c>
      <c r="O108" s="31">
        <v>1518.674999999999</v>
      </c>
      <c r="P108" s="32">
        <f t="shared" si="3"/>
        <v>15621.4</v>
      </c>
    </row>
    <row r="109" spans="1:16" x14ac:dyDescent="0.3">
      <c r="A109" s="24" t="s">
        <v>62</v>
      </c>
      <c r="B109" s="25" t="s">
        <v>42</v>
      </c>
      <c r="C109" s="26" t="s">
        <v>78</v>
      </c>
      <c r="D109" s="31">
        <v>1430.32</v>
      </c>
      <c r="E109" s="31">
        <v>1430.32</v>
      </c>
      <c r="F109" s="31">
        <v>1430.32</v>
      </c>
      <c r="G109" s="31">
        <v>1430.32</v>
      </c>
      <c r="H109" s="31">
        <v>1430.32</v>
      </c>
      <c r="I109" s="31">
        <v>1443</v>
      </c>
      <c r="J109" s="31">
        <v>1443</v>
      </c>
      <c r="K109" s="31">
        <v>1443</v>
      </c>
      <c r="L109" s="31">
        <v>1522.4</v>
      </c>
      <c r="M109" s="31">
        <v>1522.4</v>
      </c>
      <c r="N109" s="31">
        <v>1522.4</v>
      </c>
      <c r="O109" s="31">
        <v>1522.4</v>
      </c>
      <c r="P109" s="32">
        <f t="shared" si="3"/>
        <v>17570.199999999997</v>
      </c>
    </row>
    <row r="110" spans="1:16" x14ac:dyDescent="0.3">
      <c r="A110" s="24" t="s">
        <v>62</v>
      </c>
      <c r="B110" s="25" t="s">
        <v>42</v>
      </c>
      <c r="C110" s="26" t="s">
        <v>79</v>
      </c>
      <c r="D110" s="31">
        <v>1708.68</v>
      </c>
      <c r="E110" s="31">
        <v>1708.68</v>
      </c>
      <c r="F110" s="31">
        <v>1708.68</v>
      </c>
      <c r="G110" s="31">
        <v>1708.68</v>
      </c>
      <c r="H110" s="31">
        <v>1708.68</v>
      </c>
      <c r="I110" s="31">
        <v>1463.7666666666671</v>
      </c>
      <c r="J110" s="31">
        <v>1463.7666666666671</v>
      </c>
      <c r="K110" s="31">
        <v>1463.7666666666671</v>
      </c>
      <c r="L110" s="31">
        <v>1706.675</v>
      </c>
      <c r="M110" s="31">
        <v>1706.675</v>
      </c>
      <c r="N110" s="31">
        <v>1706.675</v>
      </c>
      <c r="O110" s="31">
        <v>1706.675</v>
      </c>
      <c r="P110" s="32">
        <f t="shared" si="3"/>
        <v>19761.399999999998</v>
      </c>
    </row>
    <row r="111" spans="1:16" x14ac:dyDescent="0.3">
      <c r="A111" s="24" t="s">
        <v>62</v>
      </c>
      <c r="B111" s="25" t="s">
        <v>42</v>
      </c>
      <c r="C111" s="26" t="s">
        <v>80</v>
      </c>
      <c r="D111" s="31">
        <v>1382.96</v>
      </c>
      <c r="E111" s="31">
        <v>1382.96</v>
      </c>
      <c r="F111" s="31">
        <v>1382.96</v>
      </c>
      <c r="G111" s="31">
        <v>1382.96</v>
      </c>
      <c r="H111" s="31">
        <v>1382.96</v>
      </c>
      <c r="I111" s="31">
        <v>1275.5999999999999</v>
      </c>
      <c r="J111" s="31">
        <v>1275.5999999999999</v>
      </c>
      <c r="K111" s="31">
        <v>1275.5999999999999</v>
      </c>
      <c r="L111" s="31">
        <v>1993.1</v>
      </c>
      <c r="M111" s="31">
        <v>1993.1</v>
      </c>
      <c r="N111" s="31">
        <v>1993.1</v>
      </c>
      <c r="O111" s="31">
        <v>1993.1</v>
      </c>
      <c r="P111" s="32">
        <f t="shared" si="3"/>
        <v>18714</v>
      </c>
    </row>
    <row r="112" spans="1:16" x14ac:dyDescent="0.3">
      <c r="A112" s="24" t="s">
        <v>62</v>
      </c>
      <c r="B112" s="25" t="s">
        <v>42</v>
      </c>
      <c r="C112" s="26" t="s">
        <v>81</v>
      </c>
      <c r="D112" s="31">
        <v>1772.18</v>
      </c>
      <c r="E112" s="31">
        <v>1772.18</v>
      </c>
      <c r="F112" s="31">
        <v>1772.18</v>
      </c>
      <c r="G112" s="31">
        <v>1772.18</v>
      </c>
      <c r="H112" s="31">
        <v>1772.18</v>
      </c>
      <c r="I112" s="31">
        <v>1692.6</v>
      </c>
      <c r="J112" s="31">
        <v>1692.6</v>
      </c>
      <c r="K112" s="31">
        <v>1692.6</v>
      </c>
      <c r="L112" s="31">
        <v>1656.925</v>
      </c>
      <c r="M112" s="31">
        <v>1656.925</v>
      </c>
      <c r="N112" s="31">
        <v>1656.925</v>
      </c>
      <c r="O112" s="31">
        <v>1656.925</v>
      </c>
      <c r="P112" s="32">
        <f t="shared" si="3"/>
        <v>20566.399999999998</v>
      </c>
    </row>
    <row r="113" spans="1:16" x14ac:dyDescent="0.3">
      <c r="A113" s="24" t="s">
        <v>62</v>
      </c>
      <c r="B113" s="25" t="s">
        <v>42</v>
      </c>
      <c r="C113" s="26" t="s">
        <v>82</v>
      </c>
      <c r="D113" s="31">
        <v>1071.8599999999999</v>
      </c>
      <c r="E113" s="31">
        <v>1071.8599999999999</v>
      </c>
      <c r="F113" s="31">
        <v>1071.8599999999999</v>
      </c>
      <c r="G113" s="31">
        <v>1071.8599999999999</v>
      </c>
      <c r="H113" s="31">
        <v>1071.8599999999999</v>
      </c>
      <c r="I113" s="31">
        <v>965.1</v>
      </c>
      <c r="J113" s="31">
        <v>965.1</v>
      </c>
      <c r="K113" s="31">
        <v>965.1</v>
      </c>
      <c r="L113" s="31">
        <v>1024.424999999999</v>
      </c>
      <c r="M113" s="31">
        <v>1024.424999999999</v>
      </c>
      <c r="N113" s="31">
        <v>1024.424999999999</v>
      </c>
      <c r="O113" s="31">
        <v>1024.424999999999</v>
      </c>
      <c r="P113" s="32">
        <f t="shared" si="3"/>
        <v>12352.299999999997</v>
      </c>
    </row>
    <row r="114" spans="1:16" x14ac:dyDescent="0.3">
      <c r="A114" s="24" t="s">
        <v>62</v>
      </c>
      <c r="B114" s="25" t="s">
        <v>42</v>
      </c>
      <c r="C114" s="26" t="s">
        <v>83</v>
      </c>
      <c r="D114" s="31">
        <v>1678.26</v>
      </c>
      <c r="E114" s="31">
        <v>1678.26</v>
      </c>
      <c r="F114" s="31">
        <v>1678.26</v>
      </c>
      <c r="G114" s="31">
        <v>1678.26</v>
      </c>
      <c r="H114" s="31">
        <v>1678.26</v>
      </c>
      <c r="I114" s="31">
        <v>1868.366666666667</v>
      </c>
      <c r="J114" s="31">
        <v>1868.366666666667</v>
      </c>
      <c r="K114" s="31">
        <v>1868.366666666667</v>
      </c>
      <c r="L114" s="31">
        <v>1619.924999999999</v>
      </c>
      <c r="M114" s="31">
        <v>1619.924999999999</v>
      </c>
      <c r="N114" s="31">
        <v>1619.924999999999</v>
      </c>
      <c r="O114" s="31">
        <v>1619.924999999999</v>
      </c>
      <c r="P114" s="32">
        <f t="shared" si="3"/>
        <v>20476.099999999995</v>
      </c>
    </row>
    <row r="115" spans="1:16" x14ac:dyDescent="0.3">
      <c r="A115" s="24" t="s">
        <v>62</v>
      </c>
      <c r="B115" s="25" t="s">
        <v>42</v>
      </c>
      <c r="C115" s="26" t="s">
        <v>84</v>
      </c>
      <c r="D115" s="31">
        <v>1875.94</v>
      </c>
      <c r="E115" s="31">
        <v>1875.94</v>
      </c>
      <c r="F115" s="31">
        <v>1875.94</v>
      </c>
      <c r="G115" s="31">
        <v>1875.94</v>
      </c>
      <c r="H115" s="31">
        <v>1875.94</v>
      </c>
      <c r="I115" s="31">
        <v>1673.5</v>
      </c>
      <c r="J115" s="31">
        <v>1673.5</v>
      </c>
      <c r="K115" s="31">
        <v>1673.5</v>
      </c>
      <c r="L115" s="31">
        <v>1845.9</v>
      </c>
      <c r="M115" s="31">
        <v>1845.9</v>
      </c>
      <c r="N115" s="31">
        <v>1845.9</v>
      </c>
      <c r="O115" s="31">
        <v>1845.9</v>
      </c>
      <c r="P115" s="32">
        <f t="shared" si="3"/>
        <v>21783.800000000003</v>
      </c>
    </row>
    <row r="116" spans="1:16" x14ac:dyDescent="0.3">
      <c r="A116" s="24" t="s">
        <v>62</v>
      </c>
      <c r="B116" s="25" t="s">
        <v>42</v>
      </c>
      <c r="C116" s="26" t="s">
        <v>85</v>
      </c>
      <c r="D116" s="31">
        <v>1798.1</v>
      </c>
      <c r="E116" s="31">
        <v>1798.1</v>
      </c>
      <c r="F116" s="31">
        <v>1798.1</v>
      </c>
      <c r="G116" s="31">
        <v>1798.1</v>
      </c>
      <c r="H116" s="31">
        <v>1798.1</v>
      </c>
      <c r="I116" s="31">
        <v>1877.0666666666671</v>
      </c>
      <c r="J116" s="31">
        <v>1877.0666666666671</v>
      </c>
      <c r="K116" s="31">
        <v>1877.0666666666671</v>
      </c>
      <c r="L116" s="31">
        <v>2207.625</v>
      </c>
      <c r="M116" s="31">
        <v>2207.625</v>
      </c>
      <c r="N116" s="31">
        <v>2207.625</v>
      </c>
      <c r="O116" s="31">
        <v>2207.625</v>
      </c>
      <c r="P116" s="32">
        <f t="shared" si="3"/>
        <v>23452.200000000004</v>
      </c>
    </row>
    <row r="117" spans="1:16" x14ac:dyDescent="0.3">
      <c r="A117" s="24" t="s">
        <v>62</v>
      </c>
      <c r="B117" s="25" t="s">
        <v>37</v>
      </c>
      <c r="C117" s="26" t="s">
        <v>63</v>
      </c>
      <c r="D117" s="31">
        <v>0.63</v>
      </c>
      <c r="E117" s="31">
        <v>30.128</v>
      </c>
      <c r="F117" s="31">
        <v>1.212</v>
      </c>
      <c r="G117" s="31">
        <v>36.936</v>
      </c>
      <c r="H117" s="31">
        <v>67.25</v>
      </c>
      <c r="I117" s="31">
        <v>26.641999999999999</v>
      </c>
      <c r="J117" s="31">
        <v>2.016</v>
      </c>
      <c r="K117" s="31">
        <v>2.774</v>
      </c>
      <c r="L117" s="31">
        <v>1.304</v>
      </c>
      <c r="M117" s="31">
        <v>2.36</v>
      </c>
      <c r="N117" s="31">
        <v>0.96799999999999997</v>
      </c>
      <c r="O117" s="31">
        <v>0.432</v>
      </c>
      <c r="P117" s="32">
        <f t="shared" si="3"/>
        <v>172.65199999999999</v>
      </c>
    </row>
    <row r="118" spans="1:16" x14ac:dyDescent="0.3">
      <c r="A118" s="24" t="s">
        <v>62</v>
      </c>
      <c r="B118" s="25" t="s">
        <v>37</v>
      </c>
      <c r="C118" s="26" t="s">
        <v>64</v>
      </c>
      <c r="D118" s="31">
        <v>1.6240000000000001</v>
      </c>
      <c r="E118" s="31">
        <v>4.782</v>
      </c>
      <c r="F118" s="31">
        <v>2.532</v>
      </c>
      <c r="G118" s="31">
        <v>1.512</v>
      </c>
      <c r="H118" s="31">
        <v>1.252</v>
      </c>
      <c r="I118" s="31">
        <v>0.7</v>
      </c>
      <c r="J118" s="31">
        <v>0.96</v>
      </c>
      <c r="K118" s="31">
        <v>0.78800000000000003</v>
      </c>
      <c r="L118" s="31">
        <v>0.69200000000000006</v>
      </c>
      <c r="M118" s="31">
        <v>0.57199999999999995</v>
      </c>
      <c r="N118" s="31">
        <v>0.48199999999999998</v>
      </c>
      <c r="O118" s="31">
        <v>0.41599999999999998</v>
      </c>
      <c r="P118" s="32">
        <f t="shared" si="3"/>
        <v>16.312000000000001</v>
      </c>
    </row>
    <row r="119" spans="1:16" x14ac:dyDescent="0.3">
      <c r="A119" s="24" t="s">
        <v>62</v>
      </c>
      <c r="B119" s="25" t="s">
        <v>37</v>
      </c>
      <c r="C119" s="26" t="s">
        <v>65</v>
      </c>
      <c r="D119" s="31">
        <v>1.8680000000000001</v>
      </c>
      <c r="E119" s="31">
        <v>2.4980000000000002</v>
      </c>
      <c r="F119" s="31">
        <v>2.1440000000000001</v>
      </c>
      <c r="G119" s="31">
        <v>0.91800000000000004</v>
      </c>
      <c r="H119" s="31">
        <v>0.6</v>
      </c>
      <c r="I119" s="31">
        <v>0.53200000000000003</v>
      </c>
      <c r="J119" s="31">
        <v>0.36799999999999999</v>
      </c>
      <c r="K119" s="31">
        <v>0.69000000000000006</v>
      </c>
      <c r="L119" s="31">
        <v>0.64800000000000002</v>
      </c>
      <c r="M119" s="31">
        <v>0.68800000000000006</v>
      </c>
      <c r="N119" s="31">
        <v>1.3879999999999999</v>
      </c>
      <c r="O119" s="31">
        <v>0.93200000000000005</v>
      </c>
      <c r="P119" s="32">
        <f t="shared" si="3"/>
        <v>13.274000000000001</v>
      </c>
    </row>
    <row r="120" spans="1:16" x14ac:dyDescent="0.3">
      <c r="A120" s="24" t="s">
        <v>62</v>
      </c>
      <c r="B120" s="25" t="s">
        <v>37</v>
      </c>
      <c r="C120" s="26" t="s">
        <v>66</v>
      </c>
      <c r="D120" s="31">
        <v>3.9140000000000001</v>
      </c>
      <c r="E120" s="31">
        <v>3.238</v>
      </c>
      <c r="F120" s="31">
        <v>2.64</v>
      </c>
      <c r="G120" s="31">
        <v>1.42</v>
      </c>
      <c r="H120" s="31">
        <v>1.3</v>
      </c>
      <c r="I120" s="31">
        <v>1.4379999999999999</v>
      </c>
      <c r="J120" s="31">
        <v>1.1080000000000001</v>
      </c>
      <c r="K120" s="31">
        <v>1.262</v>
      </c>
      <c r="L120" s="31">
        <v>0.99199999999999999</v>
      </c>
      <c r="M120" s="31">
        <v>1.196</v>
      </c>
      <c r="N120" s="31">
        <v>2.0059999999999998</v>
      </c>
      <c r="O120" s="31">
        <v>2.218</v>
      </c>
      <c r="P120" s="32">
        <f t="shared" si="3"/>
        <v>22.732000000000003</v>
      </c>
    </row>
    <row r="121" spans="1:16" x14ac:dyDescent="0.3">
      <c r="A121" s="24" t="s">
        <v>62</v>
      </c>
      <c r="B121" s="25" t="s">
        <v>37</v>
      </c>
      <c r="C121" s="26" t="s">
        <v>67</v>
      </c>
      <c r="D121" s="31">
        <v>4.484</v>
      </c>
      <c r="E121" s="31">
        <v>4.4359999999999999</v>
      </c>
      <c r="F121" s="31">
        <v>1.958</v>
      </c>
      <c r="G121" s="31">
        <v>0.98199999999999998</v>
      </c>
      <c r="H121" s="31">
        <v>1.026</v>
      </c>
      <c r="I121" s="31">
        <v>1.982</v>
      </c>
      <c r="J121" s="31">
        <v>1.5740000000000001</v>
      </c>
      <c r="K121" s="31">
        <v>1.306</v>
      </c>
      <c r="L121" s="31">
        <v>1.506</v>
      </c>
      <c r="M121" s="31">
        <v>1.998</v>
      </c>
      <c r="N121" s="31">
        <v>2.032</v>
      </c>
      <c r="O121" s="31">
        <v>1.49</v>
      </c>
      <c r="P121" s="32">
        <f t="shared" si="3"/>
        <v>24.774000000000001</v>
      </c>
    </row>
    <row r="122" spans="1:16" x14ac:dyDescent="0.3">
      <c r="A122" s="24" t="s">
        <v>62</v>
      </c>
      <c r="B122" s="25" t="s">
        <v>37</v>
      </c>
      <c r="C122" s="26" t="s">
        <v>68</v>
      </c>
      <c r="D122" s="31">
        <v>1.41</v>
      </c>
      <c r="E122" s="31">
        <v>4.2539999999999996</v>
      </c>
      <c r="F122" s="31">
        <v>2.0339999999999998</v>
      </c>
      <c r="G122" s="31">
        <v>1.966</v>
      </c>
      <c r="H122" s="31">
        <v>1.226</v>
      </c>
      <c r="I122" s="31">
        <v>1.31</v>
      </c>
      <c r="J122" s="31">
        <v>0.96399999999999997</v>
      </c>
      <c r="K122" s="31">
        <v>1.8979999999999999</v>
      </c>
      <c r="L122" s="31">
        <v>1.6220000000000001</v>
      </c>
      <c r="M122" s="31">
        <v>1.54</v>
      </c>
      <c r="N122" s="31">
        <v>0.82</v>
      </c>
      <c r="O122" s="31">
        <v>1.4339999999999999</v>
      </c>
      <c r="P122" s="32">
        <f t="shared" si="3"/>
        <v>20.478000000000002</v>
      </c>
    </row>
    <row r="123" spans="1:16" x14ac:dyDescent="0.3">
      <c r="A123" s="24" t="s">
        <v>62</v>
      </c>
      <c r="B123" s="25" t="s">
        <v>37</v>
      </c>
      <c r="C123" s="26" t="s">
        <v>69</v>
      </c>
      <c r="D123" s="31">
        <v>3.1739999999999999</v>
      </c>
      <c r="E123" s="31">
        <v>3.5819999999999999</v>
      </c>
      <c r="F123" s="31">
        <v>1.796</v>
      </c>
      <c r="G123" s="31">
        <v>1.218</v>
      </c>
      <c r="H123" s="31">
        <v>0.86199999999999999</v>
      </c>
      <c r="I123" s="31">
        <v>0.55800000000000005</v>
      </c>
      <c r="J123" s="31">
        <v>0.93799999999999994</v>
      </c>
      <c r="K123" s="31">
        <v>1.1499999999999999</v>
      </c>
      <c r="L123" s="31">
        <v>3.3580000000000001</v>
      </c>
      <c r="M123" s="31">
        <v>4.032</v>
      </c>
      <c r="N123" s="31">
        <v>1.046</v>
      </c>
      <c r="O123" s="31">
        <v>1.36</v>
      </c>
      <c r="P123" s="32">
        <f t="shared" si="3"/>
        <v>23.073999999999998</v>
      </c>
    </row>
    <row r="124" spans="1:16" x14ac:dyDescent="0.3">
      <c r="A124" s="24" t="s">
        <v>62</v>
      </c>
      <c r="B124" s="25" t="s">
        <v>37</v>
      </c>
      <c r="C124" s="26" t="s">
        <v>70</v>
      </c>
      <c r="D124" s="31">
        <v>31.24</v>
      </c>
      <c r="E124" s="31">
        <v>22.297999999999998</v>
      </c>
      <c r="F124" s="31">
        <v>15.928000000000001</v>
      </c>
      <c r="G124" s="31">
        <v>16.687999999999999</v>
      </c>
      <c r="H124" s="31">
        <v>4.55</v>
      </c>
      <c r="I124" s="31">
        <v>3.536</v>
      </c>
      <c r="J124" s="31">
        <v>3.226</v>
      </c>
      <c r="K124" s="31">
        <v>3.496</v>
      </c>
      <c r="L124" s="31">
        <v>2.9180000000000001</v>
      </c>
      <c r="M124" s="31">
        <v>2.266</v>
      </c>
      <c r="N124" s="31">
        <v>3.0640000000000001</v>
      </c>
      <c r="O124" s="31">
        <v>5.76</v>
      </c>
      <c r="P124" s="32">
        <f t="shared" si="3"/>
        <v>114.97000000000001</v>
      </c>
    </row>
    <row r="125" spans="1:16" x14ac:dyDescent="0.3">
      <c r="A125" s="24" t="s">
        <v>62</v>
      </c>
      <c r="B125" s="25" t="s">
        <v>37</v>
      </c>
      <c r="C125" s="26" t="s">
        <v>71</v>
      </c>
      <c r="D125" s="31">
        <v>1.8839999999999999</v>
      </c>
      <c r="E125" s="31">
        <v>3.52</v>
      </c>
      <c r="F125" s="31">
        <v>0.80400000000000005</v>
      </c>
      <c r="G125" s="31">
        <v>1.0640000000000001</v>
      </c>
      <c r="H125" s="31">
        <v>1.496</v>
      </c>
      <c r="I125" s="31">
        <v>2.0419999999999998</v>
      </c>
      <c r="J125" s="31">
        <v>1.5780000000000001</v>
      </c>
      <c r="K125" s="31">
        <v>1.8680000000000001</v>
      </c>
      <c r="L125" s="31">
        <v>2.4239999999999999</v>
      </c>
      <c r="M125" s="31">
        <v>2.2280000000000002</v>
      </c>
      <c r="N125" s="31">
        <v>1.954</v>
      </c>
      <c r="O125" s="31">
        <v>10.66</v>
      </c>
      <c r="P125" s="32">
        <f t="shared" si="3"/>
        <v>31.522000000000002</v>
      </c>
    </row>
    <row r="126" spans="1:16" x14ac:dyDescent="0.3">
      <c r="A126" s="24" t="s">
        <v>62</v>
      </c>
      <c r="B126" s="25" t="s">
        <v>37</v>
      </c>
      <c r="C126" s="26" t="s">
        <v>72</v>
      </c>
      <c r="D126" s="31">
        <v>2.8660000000000001</v>
      </c>
      <c r="E126" s="31">
        <v>3.5819999999999999</v>
      </c>
      <c r="F126" s="31">
        <v>1.5940000000000001</v>
      </c>
      <c r="G126" s="31">
        <v>6.0240000000000009</v>
      </c>
      <c r="H126" s="31">
        <v>1.6479999999999999</v>
      </c>
      <c r="I126" s="31">
        <v>1.51</v>
      </c>
      <c r="J126" s="31">
        <v>13.179</v>
      </c>
      <c r="K126" s="31">
        <v>11.771000000000001</v>
      </c>
      <c r="L126" s="31">
        <v>3.335</v>
      </c>
      <c r="M126" s="31">
        <v>1.9119999999999999</v>
      </c>
      <c r="N126" s="31">
        <v>10.803000000000001</v>
      </c>
      <c r="O126" s="31">
        <v>2.8849999999999998</v>
      </c>
      <c r="P126" s="32">
        <f t="shared" ref="P126:P157" si="4">SUM(D126:O126)</f>
        <v>61.109000000000002</v>
      </c>
    </row>
    <row r="127" spans="1:16" x14ac:dyDescent="0.3">
      <c r="A127" s="24" t="s">
        <v>62</v>
      </c>
      <c r="B127" s="25" t="s">
        <v>37</v>
      </c>
      <c r="C127" s="26" t="s">
        <v>73</v>
      </c>
      <c r="D127" s="31">
        <v>2.4430000000000001</v>
      </c>
      <c r="E127" s="31">
        <v>2.9420000000000002</v>
      </c>
      <c r="F127" s="31">
        <v>2.8039999999999998</v>
      </c>
      <c r="G127" s="31">
        <v>1.954</v>
      </c>
      <c r="H127" s="31">
        <v>1.423</v>
      </c>
      <c r="I127" s="31">
        <v>1.754</v>
      </c>
      <c r="J127" s="31">
        <v>1.5169999999999999</v>
      </c>
      <c r="K127" s="31">
        <v>1.6479999999999999</v>
      </c>
      <c r="L127" s="31">
        <v>2.0329999999999999</v>
      </c>
      <c r="M127" s="31">
        <v>2.23</v>
      </c>
      <c r="N127" s="31">
        <v>14.691000000000001</v>
      </c>
      <c r="O127" s="31">
        <v>2.6</v>
      </c>
      <c r="P127" s="32">
        <f t="shared" si="4"/>
        <v>38.039000000000001</v>
      </c>
    </row>
    <row r="128" spans="1:16" x14ac:dyDescent="0.3">
      <c r="A128" s="24" t="s">
        <v>62</v>
      </c>
      <c r="B128" s="25" t="s">
        <v>37</v>
      </c>
      <c r="C128" s="26" t="s">
        <v>74</v>
      </c>
      <c r="D128" s="31">
        <v>2.7370000000000001</v>
      </c>
      <c r="E128" s="31">
        <v>3.7080000000000002</v>
      </c>
      <c r="F128" s="31">
        <v>1.9</v>
      </c>
      <c r="G128" s="31">
        <v>1.673</v>
      </c>
      <c r="H128" s="31">
        <v>7.1609999999999996</v>
      </c>
      <c r="I128" s="31">
        <v>1.677</v>
      </c>
      <c r="J128" s="31">
        <v>1.9510000000000001</v>
      </c>
      <c r="K128" s="31">
        <v>5.3869999999999996</v>
      </c>
      <c r="L128" s="31">
        <v>10.132999999999999</v>
      </c>
      <c r="M128" s="31">
        <v>3.839</v>
      </c>
      <c r="N128" s="31">
        <v>5.3650000000000002</v>
      </c>
      <c r="O128" s="31">
        <v>4.4530000000000003</v>
      </c>
      <c r="P128" s="32">
        <f t="shared" si="4"/>
        <v>49.984000000000002</v>
      </c>
    </row>
    <row r="129" spans="1:16" x14ac:dyDescent="0.3">
      <c r="A129" s="24" t="s">
        <v>62</v>
      </c>
      <c r="B129" s="25" t="s">
        <v>37</v>
      </c>
      <c r="C129" s="26" t="s">
        <v>75</v>
      </c>
      <c r="D129" s="31">
        <v>5.306</v>
      </c>
      <c r="E129" s="31">
        <v>5.875</v>
      </c>
      <c r="F129" s="31">
        <v>1.679</v>
      </c>
      <c r="G129" s="31">
        <v>8.3659999999999997</v>
      </c>
      <c r="H129" s="31">
        <v>78.819000000000003</v>
      </c>
      <c r="I129" s="31">
        <v>6.5960000000000001</v>
      </c>
      <c r="J129" s="31">
        <v>4.4369999999999994</v>
      </c>
      <c r="K129" s="31">
        <v>8.407</v>
      </c>
      <c r="L129" s="31">
        <v>9.1549999999999994</v>
      </c>
      <c r="M129" s="31">
        <v>9.3989999999999991</v>
      </c>
      <c r="N129" s="31">
        <v>5.9529999999999994</v>
      </c>
      <c r="O129" s="31">
        <v>9.5749999999999993</v>
      </c>
      <c r="P129" s="32">
        <f t="shared" si="4"/>
        <v>153.56699999999998</v>
      </c>
    </row>
    <row r="130" spans="1:16" x14ac:dyDescent="0.3">
      <c r="A130" s="24" t="s">
        <v>62</v>
      </c>
      <c r="B130" s="25" t="s">
        <v>37</v>
      </c>
      <c r="C130" s="26" t="s">
        <v>76</v>
      </c>
      <c r="D130" s="31">
        <v>11.954000000000001</v>
      </c>
      <c r="E130" s="31">
        <v>5.8319999999999999</v>
      </c>
      <c r="F130" s="31">
        <v>14.055</v>
      </c>
      <c r="G130" s="31">
        <v>5.23</v>
      </c>
      <c r="H130" s="31">
        <v>5.234</v>
      </c>
      <c r="I130" s="31">
        <v>5.6110000000000007</v>
      </c>
      <c r="J130" s="31">
        <v>5.8789999999999996</v>
      </c>
      <c r="K130" s="31">
        <v>4.5819999999999999</v>
      </c>
      <c r="L130" s="31">
        <v>4.2290000000000001</v>
      </c>
      <c r="M130" s="31">
        <v>8.5429999999999993</v>
      </c>
      <c r="N130" s="31">
        <v>12.17</v>
      </c>
      <c r="O130" s="31">
        <v>12.395</v>
      </c>
      <c r="P130" s="32">
        <f t="shared" si="4"/>
        <v>95.713999999999999</v>
      </c>
    </row>
    <row r="131" spans="1:16" x14ac:dyDescent="0.3">
      <c r="A131" s="24" t="s">
        <v>62</v>
      </c>
      <c r="B131" s="25" t="s">
        <v>37</v>
      </c>
      <c r="C131" s="26" t="s">
        <v>77</v>
      </c>
      <c r="D131" s="31">
        <v>10.641999999999999</v>
      </c>
      <c r="E131" s="31">
        <v>11.547000000000001</v>
      </c>
      <c r="F131" s="31">
        <v>14.898</v>
      </c>
      <c r="G131" s="31">
        <v>9.64</v>
      </c>
      <c r="H131" s="31">
        <v>9.19</v>
      </c>
      <c r="I131" s="31">
        <v>6.5289999999999999</v>
      </c>
      <c r="J131" s="31">
        <v>8.7439999999999998</v>
      </c>
      <c r="K131" s="31">
        <v>5.3330000000000002</v>
      </c>
      <c r="L131" s="31">
        <v>6.1929999999999996</v>
      </c>
      <c r="M131" s="31">
        <v>3.7930000000000001</v>
      </c>
      <c r="N131" s="31">
        <v>14.29</v>
      </c>
      <c r="O131" s="31">
        <v>3.5939999999999999</v>
      </c>
      <c r="P131" s="32">
        <f t="shared" si="4"/>
        <v>104.393</v>
      </c>
    </row>
    <row r="132" spans="1:16" x14ac:dyDescent="0.3">
      <c r="A132" s="24" t="s">
        <v>62</v>
      </c>
      <c r="B132" s="25" t="s">
        <v>37</v>
      </c>
      <c r="C132" s="26" t="s">
        <v>78</v>
      </c>
      <c r="D132" s="31">
        <v>7.99</v>
      </c>
      <c r="E132" s="31">
        <v>7.7530000000000001</v>
      </c>
      <c r="F132" s="31">
        <v>5.423</v>
      </c>
      <c r="G132" s="31">
        <v>5.9390000000000001</v>
      </c>
      <c r="H132" s="31">
        <v>3.1669999999999998</v>
      </c>
      <c r="I132" s="31">
        <v>4.3609999999999998</v>
      </c>
      <c r="J132" s="31">
        <v>5.7759999999999998</v>
      </c>
      <c r="K132" s="31">
        <v>8.2240000000000002</v>
      </c>
      <c r="L132" s="31">
        <v>7.36</v>
      </c>
      <c r="M132" s="31">
        <v>6.5670000000000002</v>
      </c>
      <c r="N132" s="31">
        <v>4.891</v>
      </c>
      <c r="O132" s="31">
        <v>8.6630000000000003</v>
      </c>
      <c r="P132" s="32">
        <f t="shared" si="4"/>
        <v>76.11399999999999</v>
      </c>
    </row>
    <row r="133" spans="1:16" x14ac:dyDescent="0.3">
      <c r="A133" s="24" t="s">
        <v>62</v>
      </c>
      <c r="B133" s="25" t="s">
        <v>37</v>
      </c>
      <c r="C133" s="26" t="s">
        <v>79</v>
      </c>
      <c r="D133" s="31">
        <v>8.8350000000000009</v>
      </c>
      <c r="E133" s="31">
        <v>7.2759999999999998</v>
      </c>
      <c r="F133" s="31">
        <v>7.2539999999999996</v>
      </c>
      <c r="G133" s="31">
        <v>4.1100000000000003</v>
      </c>
      <c r="H133" s="31">
        <v>4.2389999999999999</v>
      </c>
      <c r="I133" s="31">
        <v>2.883</v>
      </c>
      <c r="J133" s="31">
        <v>3.516</v>
      </c>
      <c r="K133" s="31">
        <v>7.0410000000000004</v>
      </c>
      <c r="L133" s="31">
        <v>5.1740000000000004</v>
      </c>
      <c r="M133" s="31">
        <v>10.323</v>
      </c>
      <c r="N133" s="31">
        <v>23.626999999999999</v>
      </c>
      <c r="O133" s="31">
        <v>10.84</v>
      </c>
      <c r="P133" s="32">
        <f t="shared" si="4"/>
        <v>95.117999999999995</v>
      </c>
    </row>
    <row r="134" spans="1:16" x14ac:dyDescent="0.3">
      <c r="A134" s="24" t="s">
        <v>62</v>
      </c>
      <c r="B134" s="25" t="s">
        <v>37</v>
      </c>
      <c r="C134" s="26" t="s">
        <v>80</v>
      </c>
      <c r="D134" s="31">
        <v>17.968</v>
      </c>
      <c r="E134" s="31">
        <v>14.673</v>
      </c>
      <c r="F134" s="31">
        <v>12.226000000000001</v>
      </c>
      <c r="G134" s="31">
        <v>12.521000000000001</v>
      </c>
      <c r="H134" s="31">
        <v>14.956</v>
      </c>
      <c r="I134" s="31">
        <v>18.628</v>
      </c>
      <c r="J134" s="31">
        <v>20.890999999999998</v>
      </c>
      <c r="K134" s="31">
        <v>24.907</v>
      </c>
      <c r="L134" s="31">
        <v>19.547999999999998</v>
      </c>
      <c r="M134" s="31">
        <v>5.335</v>
      </c>
      <c r="N134" s="31">
        <v>9.4540000000000006</v>
      </c>
      <c r="O134" s="31">
        <v>7.53</v>
      </c>
      <c r="P134" s="32">
        <f t="shared" si="4"/>
        <v>178.63700000000003</v>
      </c>
    </row>
    <row r="135" spans="1:16" x14ac:dyDescent="0.3">
      <c r="A135" s="24" t="s">
        <v>62</v>
      </c>
      <c r="B135" s="25" t="s">
        <v>37</v>
      </c>
      <c r="C135" s="26" t="s">
        <v>81</v>
      </c>
      <c r="D135" s="31">
        <v>9.3529999999999998</v>
      </c>
      <c r="E135" s="31">
        <v>5.2810000000000006</v>
      </c>
      <c r="F135" s="31">
        <v>4.4780000000000006</v>
      </c>
      <c r="G135" s="31">
        <v>2.6720000000000002</v>
      </c>
      <c r="H135" s="31">
        <v>4.1040000000000001</v>
      </c>
      <c r="I135" s="31">
        <v>4.5090000000000003</v>
      </c>
      <c r="J135" s="31">
        <v>5.9619999999999997</v>
      </c>
      <c r="K135" s="31">
        <v>5.8819999999999997</v>
      </c>
      <c r="L135" s="31">
        <v>6.4249999999999998</v>
      </c>
      <c r="M135" s="31">
        <v>53.697000000000003</v>
      </c>
      <c r="N135" s="31">
        <v>11.553000000000001</v>
      </c>
      <c r="O135" s="31">
        <v>14.795</v>
      </c>
      <c r="P135" s="32">
        <f t="shared" si="4"/>
        <v>128.71099999999998</v>
      </c>
    </row>
    <row r="136" spans="1:16" x14ac:dyDescent="0.3">
      <c r="A136" s="24" t="s">
        <v>62</v>
      </c>
      <c r="B136" s="25" t="s">
        <v>37</v>
      </c>
      <c r="C136" s="26" t="s">
        <v>82</v>
      </c>
      <c r="D136" s="31">
        <v>22.221</v>
      </c>
      <c r="E136" s="31">
        <v>25.559000000000001</v>
      </c>
      <c r="F136" s="31">
        <v>26.974</v>
      </c>
      <c r="G136" s="31">
        <v>16.951000000000001</v>
      </c>
      <c r="H136" s="31">
        <v>12.035</v>
      </c>
      <c r="I136" s="31">
        <v>7.4370000000000003</v>
      </c>
      <c r="J136" s="31">
        <v>6.149</v>
      </c>
      <c r="K136" s="31">
        <v>11.978999999999999</v>
      </c>
      <c r="L136" s="31">
        <v>8.5520000000000014</v>
      </c>
      <c r="M136" s="31">
        <v>6.5529999999999999</v>
      </c>
      <c r="N136" s="31">
        <v>4.8239999999999998</v>
      </c>
      <c r="O136" s="31">
        <v>3.4969999999999999</v>
      </c>
      <c r="P136" s="32">
        <f t="shared" si="4"/>
        <v>152.73099999999999</v>
      </c>
    </row>
    <row r="137" spans="1:16" x14ac:dyDescent="0.3">
      <c r="A137" s="24" t="s">
        <v>62</v>
      </c>
      <c r="B137" s="25" t="s">
        <v>37</v>
      </c>
      <c r="C137" s="26" t="s">
        <v>83</v>
      </c>
      <c r="D137" s="31">
        <v>4.6230000000000002</v>
      </c>
      <c r="E137" s="31">
        <v>36.960999999999999</v>
      </c>
      <c r="F137" s="31">
        <v>2.242</v>
      </c>
      <c r="G137" s="31">
        <v>1.5680000000000001</v>
      </c>
      <c r="H137" s="31">
        <v>1.0229999999999999</v>
      </c>
      <c r="I137" s="31">
        <v>1.1679999999999999</v>
      </c>
      <c r="J137" s="31">
        <v>1.5049999999999999</v>
      </c>
      <c r="K137" s="31">
        <v>2.4470000000000001</v>
      </c>
      <c r="L137" s="31">
        <v>2.4700000000000002</v>
      </c>
      <c r="M137" s="31">
        <v>2.2919999999999998</v>
      </c>
      <c r="N137" s="31">
        <v>4.2129999999999992</v>
      </c>
      <c r="O137" s="31">
        <v>3.2869999999999999</v>
      </c>
      <c r="P137" s="32">
        <f t="shared" si="4"/>
        <v>63.798999999999999</v>
      </c>
    </row>
    <row r="138" spans="1:16" x14ac:dyDescent="0.3">
      <c r="A138" s="24" t="s">
        <v>62</v>
      </c>
      <c r="B138" s="25" t="s">
        <v>37</v>
      </c>
      <c r="C138" s="26" t="s">
        <v>84</v>
      </c>
      <c r="D138" s="31">
        <v>5.4619999999999997</v>
      </c>
      <c r="E138" s="31">
        <v>23.448</v>
      </c>
      <c r="F138" s="31">
        <v>3.9929999999999999</v>
      </c>
      <c r="G138" s="31">
        <v>3.4729999999999999</v>
      </c>
      <c r="H138" s="31">
        <v>6.4260000000000002</v>
      </c>
      <c r="I138" s="31">
        <v>7.0979999999999999</v>
      </c>
      <c r="J138" s="31">
        <v>7.2229999999999999</v>
      </c>
      <c r="K138" s="31">
        <v>6.8360000000000003</v>
      </c>
      <c r="L138" s="31">
        <v>6.6559999999999997</v>
      </c>
      <c r="M138" s="31">
        <v>5.2759999999999998</v>
      </c>
      <c r="N138" s="31">
        <v>5.6920000000000002</v>
      </c>
      <c r="O138" s="31">
        <v>6.0570000000000004</v>
      </c>
      <c r="P138" s="32">
        <f t="shared" si="4"/>
        <v>87.64</v>
      </c>
    </row>
    <row r="139" spans="1:16" x14ac:dyDescent="0.3">
      <c r="A139" s="24" t="s">
        <v>62</v>
      </c>
      <c r="B139" s="25" t="s">
        <v>37</v>
      </c>
      <c r="C139" s="26" t="s">
        <v>85</v>
      </c>
      <c r="D139" s="31">
        <v>6.9580000000000002</v>
      </c>
      <c r="E139" s="31">
        <v>3.2709999999999999</v>
      </c>
      <c r="F139" s="31">
        <v>17.585999999999999</v>
      </c>
      <c r="G139" s="31">
        <v>7.4119999999999999</v>
      </c>
      <c r="H139" s="31">
        <v>7.6929999999999996</v>
      </c>
      <c r="I139" s="31">
        <v>5.0910000000000002</v>
      </c>
      <c r="J139" s="31">
        <v>2.835</v>
      </c>
      <c r="K139" s="31">
        <v>3.887</v>
      </c>
      <c r="L139" s="31">
        <v>1.1499999999999999</v>
      </c>
      <c r="M139" s="31">
        <v>1.3149999999999999</v>
      </c>
      <c r="N139" s="31">
        <v>2.7410000000000001</v>
      </c>
      <c r="O139" s="31">
        <v>20.2</v>
      </c>
      <c r="P139" s="32">
        <f t="shared" si="4"/>
        <v>80.138999999999996</v>
      </c>
    </row>
    <row r="140" spans="1:16" x14ac:dyDescent="0.3">
      <c r="A140" s="24" t="s">
        <v>62</v>
      </c>
      <c r="B140" s="25" t="s">
        <v>39</v>
      </c>
      <c r="C140" s="26" t="s">
        <v>63</v>
      </c>
      <c r="D140" s="31">
        <v>238.92</v>
      </c>
      <c r="E140" s="31">
        <v>238.92</v>
      </c>
      <c r="F140" s="31">
        <v>238.92</v>
      </c>
      <c r="G140" s="31">
        <v>238.92</v>
      </c>
      <c r="H140" s="31">
        <v>238.92</v>
      </c>
      <c r="I140" s="31">
        <v>214.6666666666666</v>
      </c>
      <c r="J140" s="31">
        <v>214.6666666666666</v>
      </c>
      <c r="K140" s="31">
        <v>214.6666666666666</v>
      </c>
      <c r="L140" s="31">
        <v>212.2</v>
      </c>
      <c r="M140" s="31">
        <v>212.2</v>
      </c>
      <c r="N140" s="31">
        <v>212.2</v>
      </c>
      <c r="O140" s="31">
        <v>212.2</v>
      </c>
      <c r="P140" s="32">
        <f t="shared" si="4"/>
        <v>2687.3999999999987</v>
      </c>
    </row>
    <row r="141" spans="1:16" x14ac:dyDescent="0.3">
      <c r="A141" s="24" t="s">
        <v>62</v>
      </c>
      <c r="B141" s="25" t="s">
        <v>39</v>
      </c>
      <c r="C141" s="26" t="s">
        <v>64</v>
      </c>
      <c r="D141" s="31">
        <v>230.64</v>
      </c>
      <c r="E141" s="31">
        <v>230.64</v>
      </c>
      <c r="F141" s="31">
        <v>230.64</v>
      </c>
      <c r="G141" s="31">
        <v>230.64</v>
      </c>
      <c r="H141" s="31">
        <v>230.64</v>
      </c>
      <c r="I141" s="31">
        <v>210.5</v>
      </c>
      <c r="J141" s="31">
        <v>210.5</v>
      </c>
      <c r="K141" s="31">
        <v>210.5</v>
      </c>
      <c r="L141" s="31">
        <v>217.82499999999999</v>
      </c>
      <c r="M141" s="31">
        <v>217.82499999999999</v>
      </c>
      <c r="N141" s="31">
        <v>217.82499999999999</v>
      </c>
      <c r="O141" s="31">
        <v>217.82499999999999</v>
      </c>
      <c r="P141" s="32">
        <f t="shared" si="4"/>
        <v>2655.9999999999995</v>
      </c>
    </row>
    <row r="142" spans="1:16" x14ac:dyDescent="0.3">
      <c r="A142" s="24" t="s">
        <v>62</v>
      </c>
      <c r="B142" s="25" t="s">
        <v>39</v>
      </c>
      <c r="C142" s="26" t="s">
        <v>65</v>
      </c>
      <c r="D142" s="31">
        <v>229.48</v>
      </c>
      <c r="E142" s="31">
        <v>229.48</v>
      </c>
      <c r="F142" s="31">
        <v>229.48</v>
      </c>
      <c r="G142" s="31">
        <v>229.48</v>
      </c>
      <c r="H142" s="31">
        <v>229.48</v>
      </c>
      <c r="I142" s="31">
        <v>217.7</v>
      </c>
      <c r="J142" s="31">
        <v>217.7</v>
      </c>
      <c r="K142" s="31">
        <v>217.7</v>
      </c>
      <c r="L142" s="31">
        <v>227.5</v>
      </c>
      <c r="M142" s="31">
        <v>227.5</v>
      </c>
      <c r="N142" s="31">
        <v>227.5</v>
      </c>
      <c r="O142" s="31">
        <v>227.5</v>
      </c>
      <c r="P142" s="32">
        <f t="shared" si="4"/>
        <v>2710.5</v>
      </c>
    </row>
    <row r="143" spans="1:16" x14ac:dyDescent="0.3">
      <c r="A143" s="24" t="s">
        <v>62</v>
      </c>
      <c r="B143" s="25" t="s">
        <v>39</v>
      </c>
      <c r="C143" s="26" t="s">
        <v>66</v>
      </c>
      <c r="D143" s="31">
        <v>243.18</v>
      </c>
      <c r="E143" s="31">
        <v>243.18</v>
      </c>
      <c r="F143" s="31">
        <v>243.18</v>
      </c>
      <c r="G143" s="31">
        <v>243.18</v>
      </c>
      <c r="H143" s="31">
        <v>243.18</v>
      </c>
      <c r="I143" s="31">
        <v>211.2</v>
      </c>
      <c r="J143" s="31">
        <v>211.2</v>
      </c>
      <c r="K143" s="31">
        <v>211.2</v>
      </c>
      <c r="L143" s="31">
        <v>223.125</v>
      </c>
      <c r="M143" s="31">
        <v>223.125</v>
      </c>
      <c r="N143" s="31">
        <v>223.125</v>
      </c>
      <c r="O143" s="31">
        <v>223.125</v>
      </c>
      <c r="P143" s="32">
        <f t="shared" si="4"/>
        <v>2742</v>
      </c>
    </row>
    <row r="144" spans="1:16" x14ac:dyDescent="0.3">
      <c r="A144" s="24" t="s">
        <v>62</v>
      </c>
      <c r="B144" s="25" t="s">
        <v>39</v>
      </c>
      <c r="C144" s="26" t="s">
        <v>67</v>
      </c>
      <c r="D144" s="31">
        <v>239.34</v>
      </c>
      <c r="E144" s="31">
        <v>239.34</v>
      </c>
      <c r="F144" s="31">
        <v>239.34</v>
      </c>
      <c r="G144" s="31">
        <v>239.34</v>
      </c>
      <c r="H144" s="31">
        <v>239.34</v>
      </c>
      <c r="I144" s="31">
        <v>220.5</v>
      </c>
      <c r="J144" s="31">
        <v>220.5</v>
      </c>
      <c r="K144" s="31">
        <v>220.5</v>
      </c>
      <c r="L144" s="31">
        <v>211.2</v>
      </c>
      <c r="M144" s="31">
        <v>211.2</v>
      </c>
      <c r="N144" s="31">
        <v>211.2</v>
      </c>
      <c r="O144" s="31">
        <v>211.2</v>
      </c>
      <c r="P144" s="32">
        <f t="shared" si="4"/>
        <v>2702.9999999999995</v>
      </c>
    </row>
    <row r="145" spans="1:16" x14ac:dyDescent="0.3">
      <c r="A145" s="24" t="s">
        <v>62</v>
      </c>
      <c r="B145" s="25" t="s">
        <v>39</v>
      </c>
      <c r="C145" s="26" t="s">
        <v>68</v>
      </c>
      <c r="D145" s="31">
        <v>229.9</v>
      </c>
      <c r="E145" s="31">
        <v>229.9</v>
      </c>
      <c r="F145" s="31">
        <v>229.9</v>
      </c>
      <c r="G145" s="31">
        <v>229.9</v>
      </c>
      <c r="H145" s="31">
        <v>229.9</v>
      </c>
      <c r="I145" s="31">
        <v>206.2</v>
      </c>
      <c r="J145" s="31">
        <v>206.2</v>
      </c>
      <c r="K145" s="31">
        <v>206.2</v>
      </c>
      <c r="L145" s="31">
        <v>215.0500000000001</v>
      </c>
      <c r="M145" s="31">
        <v>215.0500000000001</v>
      </c>
      <c r="N145" s="31">
        <v>215.0500000000001</v>
      </c>
      <c r="O145" s="31">
        <v>215.0500000000001</v>
      </c>
      <c r="P145" s="32">
        <f t="shared" si="4"/>
        <v>2628.3000000000006</v>
      </c>
    </row>
    <row r="146" spans="1:16" x14ac:dyDescent="0.3">
      <c r="A146" s="24" t="s">
        <v>62</v>
      </c>
      <c r="B146" s="25" t="s">
        <v>39</v>
      </c>
      <c r="C146" s="26" t="s">
        <v>69</v>
      </c>
      <c r="D146" s="31">
        <v>213.44</v>
      </c>
      <c r="E146" s="31">
        <v>213.44</v>
      </c>
      <c r="F146" s="31">
        <v>213.44</v>
      </c>
      <c r="G146" s="31">
        <v>213.44</v>
      </c>
      <c r="H146" s="31">
        <v>213.44</v>
      </c>
      <c r="I146" s="31">
        <v>196.2</v>
      </c>
      <c r="J146" s="31">
        <v>196.2</v>
      </c>
      <c r="K146" s="31">
        <v>196.2</v>
      </c>
      <c r="L146" s="31">
        <v>213.35</v>
      </c>
      <c r="M146" s="31">
        <v>213.35</v>
      </c>
      <c r="N146" s="31">
        <v>213.35</v>
      </c>
      <c r="O146" s="31">
        <v>213.35</v>
      </c>
      <c r="P146" s="32">
        <f t="shared" si="4"/>
        <v>2509.1999999999998</v>
      </c>
    </row>
    <row r="147" spans="1:16" x14ac:dyDescent="0.3">
      <c r="A147" s="24" t="s">
        <v>62</v>
      </c>
      <c r="B147" s="25" t="s">
        <v>39</v>
      </c>
      <c r="C147" s="26" t="s">
        <v>70</v>
      </c>
      <c r="D147" s="31">
        <v>223.72</v>
      </c>
      <c r="E147" s="31">
        <v>223.72</v>
      </c>
      <c r="F147" s="31">
        <v>223.72</v>
      </c>
      <c r="G147" s="31">
        <v>223.72</v>
      </c>
      <c r="H147" s="31">
        <v>223.72</v>
      </c>
      <c r="I147" s="31">
        <v>200</v>
      </c>
      <c r="J147" s="31">
        <v>200</v>
      </c>
      <c r="K147" s="31">
        <v>200</v>
      </c>
      <c r="L147" s="31">
        <v>212.8000000000001</v>
      </c>
      <c r="M147" s="31">
        <v>212.8000000000001</v>
      </c>
      <c r="N147" s="31">
        <v>212.8000000000001</v>
      </c>
      <c r="O147" s="31">
        <v>212.8000000000001</v>
      </c>
      <c r="P147" s="32">
        <f t="shared" si="4"/>
        <v>2569.8000000000006</v>
      </c>
    </row>
    <row r="148" spans="1:16" x14ac:dyDescent="0.3">
      <c r="A148" s="24" t="s">
        <v>62</v>
      </c>
      <c r="B148" s="25" t="s">
        <v>39</v>
      </c>
      <c r="C148" s="26" t="s">
        <v>71</v>
      </c>
      <c r="D148" s="31">
        <v>220.86</v>
      </c>
      <c r="E148" s="31">
        <v>220.86</v>
      </c>
      <c r="F148" s="31">
        <v>220.86</v>
      </c>
      <c r="G148" s="31">
        <v>220.86</v>
      </c>
      <c r="H148" s="31">
        <v>220.86</v>
      </c>
      <c r="I148" s="31">
        <v>200.8</v>
      </c>
      <c r="J148" s="31">
        <v>200.8</v>
      </c>
      <c r="K148" s="31">
        <v>200.8</v>
      </c>
      <c r="L148" s="31">
        <v>208.1</v>
      </c>
      <c r="M148" s="31">
        <v>208.1</v>
      </c>
      <c r="N148" s="31">
        <v>208.1</v>
      </c>
      <c r="O148" s="31">
        <v>208.1</v>
      </c>
      <c r="P148" s="32">
        <f t="shared" si="4"/>
        <v>2539.1</v>
      </c>
    </row>
    <row r="149" spans="1:16" x14ac:dyDescent="0.3">
      <c r="A149" s="24" t="s">
        <v>62</v>
      </c>
      <c r="B149" s="25" t="s">
        <v>39</v>
      </c>
      <c r="C149" s="26" t="s">
        <v>72</v>
      </c>
      <c r="D149" s="31">
        <v>215.22</v>
      </c>
      <c r="E149" s="31">
        <v>215.22</v>
      </c>
      <c r="F149" s="31">
        <v>215.22</v>
      </c>
      <c r="G149" s="31">
        <v>215.22</v>
      </c>
      <c r="H149" s="31">
        <v>215.22</v>
      </c>
      <c r="I149" s="31">
        <v>195.33333333333329</v>
      </c>
      <c r="J149" s="31">
        <v>195.33333333333329</v>
      </c>
      <c r="K149" s="31">
        <v>195.33333333333329</v>
      </c>
      <c r="L149" s="31">
        <v>207.32499999999999</v>
      </c>
      <c r="M149" s="31">
        <v>207.32499999999999</v>
      </c>
      <c r="N149" s="31">
        <v>207.32499999999999</v>
      </c>
      <c r="O149" s="31">
        <v>207.32499999999999</v>
      </c>
      <c r="P149" s="32">
        <f t="shared" si="4"/>
        <v>2491.3999999999992</v>
      </c>
    </row>
    <row r="150" spans="1:16" x14ac:dyDescent="0.3">
      <c r="A150" s="24" t="s">
        <v>62</v>
      </c>
      <c r="B150" s="25" t="s">
        <v>39</v>
      </c>
      <c r="C150" s="26" t="s">
        <v>73</v>
      </c>
      <c r="D150" s="31">
        <v>215.32</v>
      </c>
      <c r="E150" s="31">
        <v>215.32</v>
      </c>
      <c r="F150" s="31">
        <v>215.32</v>
      </c>
      <c r="G150" s="31">
        <v>215.32</v>
      </c>
      <c r="H150" s="31">
        <v>215.32</v>
      </c>
      <c r="I150" s="31">
        <v>193</v>
      </c>
      <c r="J150" s="31">
        <v>193</v>
      </c>
      <c r="K150" s="31">
        <v>193</v>
      </c>
      <c r="L150" s="31">
        <v>211.95</v>
      </c>
      <c r="M150" s="31">
        <v>211.95</v>
      </c>
      <c r="N150" s="31">
        <v>211.95</v>
      </c>
      <c r="O150" s="31">
        <v>211.95</v>
      </c>
      <c r="P150" s="32">
        <f t="shared" si="4"/>
        <v>2503.3999999999996</v>
      </c>
    </row>
    <row r="151" spans="1:16" x14ac:dyDescent="0.3">
      <c r="A151" s="24" t="s">
        <v>62</v>
      </c>
      <c r="B151" s="25" t="s">
        <v>39</v>
      </c>
      <c r="C151" s="26" t="s">
        <v>74</v>
      </c>
      <c r="D151" s="31">
        <v>214.1</v>
      </c>
      <c r="E151" s="31">
        <v>214.1</v>
      </c>
      <c r="F151" s="31">
        <v>214.1</v>
      </c>
      <c r="G151" s="31">
        <v>214.1</v>
      </c>
      <c r="H151" s="31">
        <v>214.1</v>
      </c>
      <c r="I151" s="31">
        <v>198.0333333333333</v>
      </c>
      <c r="J151" s="31">
        <v>198.0333333333333</v>
      </c>
      <c r="K151" s="31">
        <v>198.0333333333333</v>
      </c>
      <c r="L151" s="31">
        <v>220.77500000000001</v>
      </c>
      <c r="M151" s="31">
        <v>220.77500000000001</v>
      </c>
      <c r="N151" s="31">
        <v>220.77500000000001</v>
      </c>
      <c r="O151" s="31">
        <v>220.77500000000001</v>
      </c>
      <c r="P151" s="32">
        <f t="shared" si="4"/>
        <v>2547.7000000000003</v>
      </c>
    </row>
    <row r="152" spans="1:16" x14ac:dyDescent="0.3">
      <c r="A152" s="24" t="s">
        <v>62</v>
      </c>
      <c r="B152" s="25" t="s">
        <v>39</v>
      </c>
      <c r="C152" s="26" t="s">
        <v>75</v>
      </c>
      <c r="D152" s="31">
        <v>206.38</v>
      </c>
      <c r="E152" s="31">
        <v>206.38</v>
      </c>
      <c r="F152" s="31">
        <v>206.38</v>
      </c>
      <c r="G152" s="31">
        <v>206.38</v>
      </c>
      <c r="H152" s="31">
        <v>206.38</v>
      </c>
      <c r="I152" s="31">
        <v>188.8</v>
      </c>
      <c r="J152" s="31">
        <v>188.8</v>
      </c>
      <c r="K152" s="31">
        <v>188.8</v>
      </c>
      <c r="L152" s="31">
        <v>219.15</v>
      </c>
      <c r="M152" s="31">
        <v>219.15</v>
      </c>
      <c r="N152" s="31">
        <v>219.15</v>
      </c>
      <c r="O152" s="31">
        <v>219.15</v>
      </c>
      <c r="P152" s="32">
        <f t="shared" si="4"/>
        <v>2474.9</v>
      </c>
    </row>
    <row r="153" spans="1:16" x14ac:dyDescent="0.3">
      <c r="A153" s="24" t="s">
        <v>62</v>
      </c>
      <c r="B153" s="25" t="s">
        <v>39</v>
      </c>
      <c r="C153" s="26" t="s">
        <v>76</v>
      </c>
      <c r="D153" s="31">
        <v>224.34</v>
      </c>
      <c r="E153" s="31">
        <v>224.34</v>
      </c>
      <c r="F153" s="31">
        <v>224.34</v>
      </c>
      <c r="G153" s="31">
        <v>224.34</v>
      </c>
      <c r="H153" s="31">
        <v>224.34</v>
      </c>
      <c r="I153" s="31">
        <v>207.83333333333329</v>
      </c>
      <c r="J153" s="31">
        <v>207.83333333333329</v>
      </c>
      <c r="K153" s="31">
        <v>207.83333333333329</v>
      </c>
      <c r="L153" s="31">
        <v>225.05</v>
      </c>
      <c r="M153" s="31">
        <v>225.05</v>
      </c>
      <c r="N153" s="31">
        <v>225.05</v>
      </c>
      <c r="O153" s="31">
        <v>225.05</v>
      </c>
      <c r="P153" s="32">
        <f t="shared" si="4"/>
        <v>2645.4</v>
      </c>
    </row>
    <row r="154" spans="1:16" x14ac:dyDescent="0.3">
      <c r="A154" s="24" t="s">
        <v>62</v>
      </c>
      <c r="B154" s="25" t="s">
        <v>39</v>
      </c>
      <c r="C154" s="26" t="s">
        <v>77</v>
      </c>
      <c r="D154" s="31">
        <v>219.54</v>
      </c>
      <c r="E154" s="31">
        <v>219.54</v>
      </c>
      <c r="F154" s="31">
        <v>219.54</v>
      </c>
      <c r="G154" s="31">
        <v>219.54</v>
      </c>
      <c r="H154" s="31">
        <v>219.54</v>
      </c>
      <c r="I154" s="31">
        <v>200.7</v>
      </c>
      <c r="J154" s="31">
        <v>200.7</v>
      </c>
      <c r="K154" s="31">
        <v>200.7</v>
      </c>
      <c r="L154" s="31">
        <v>208.17500000000001</v>
      </c>
      <c r="M154" s="31">
        <v>208.17500000000001</v>
      </c>
      <c r="N154" s="31">
        <v>208.17500000000001</v>
      </c>
      <c r="O154" s="31">
        <v>208.17500000000001</v>
      </c>
      <c r="P154" s="32">
        <f t="shared" si="4"/>
        <v>2532.5000000000005</v>
      </c>
    </row>
    <row r="155" spans="1:16" x14ac:dyDescent="0.3">
      <c r="A155" s="24" t="s">
        <v>62</v>
      </c>
      <c r="B155" s="25" t="s">
        <v>39</v>
      </c>
      <c r="C155" s="26" t="s">
        <v>78</v>
      </c>
      <c r="D155" s="31">
        <v>229.1</v>
      </c>
      <c r="E155" s="31">
        <v>229.1</v>
      </c>
      <c r="F155" s="31">
        <v>229.1</v>
      </c>
      <c r="G155" s="31">
        <v>229.1</v>
      </c>
      <c r="H155" s="31">
        <v>229.1</v>
      </c>
      <c r="I155" s="31">
        <v>213.73333333333329</v>
      </c>
      <c r="J155" s="31">
        <v>213.73333333333329</v>
      </c>
      <c r="K155" s="31">
        <v>213.73333333333329</v>
      </c>
      <c r="L155" s="31">
        <v>215.5</v>
      </c>
      <c r="M155" s="31">
        <v>215.5</v>
      </c>
      <c r="N155" s="31">
        <v>215.5</v>
      </c>
      <c r="O155" s="31">
        <v>215.5</v>
      </c>
      <c r="P155" s="32">
        <f t="shared" si="4"/>
        <v>2648.7</v>
      </c>
    </row>
    <row r="156" spans="1:16" x14ac:dyDescent="0.3">
      <c r="A156" s="24" t="s">
        <v>62</v>
      </c>
      <c r="B156" s="25" t="s">
        <v>39</v>
      </c>
      <c r="C156" s="26" t="s">
        <v>79</v>
      </c>
      <c r="D156" s="31">
        <v>237.8</v>
      </c>
      <c r="E156" s="31">
        <v>237.8</v>
      </c>
      <c r="F156" s="31">
        <v>237.8</v>
      </c>
      <c r="G156" s="31">
        <v>237.8</v>
      </c>
      <c r="H156" s="31">
        <v>237.8</v>
      </c>
      <c r="I156" s="31">
        <v>223.6333333333333</v>
      </c>
      <c r="J156" s="31">
        <v>223.6333333333333</v>
      </c>
      <c r="K156" s="31">
        <v>223.6333333333333</v>
      </c>
      <c r="L156" s="31">
        <v>233.55</v>
      </c>
      <c r="M156" s="31">
        <v>233.55</v>
      </c>
      <c r="N156" s="31">
        <v>233.55</v>
      </c>
      <c r="O156" s="31">
        <v>233.55</v>
      </c>
      <c r="P156" s="32">
        <f t="shared" si="4"/>
        <v>2794.1000000000004</v>
      </c>
    </row>
    <row r="157" spans="1:16" x14ac:dyDescent="0.3">
      <c r="A157" s="24" t="s">
        <v>62</v>
      </c>
      <c r="B157" s="25" t="s">
        <v>39</v>
      </c>
      <c r="C157" s="26" t="s">
        <v>80</v>
      </c>
      <c r="D157" s="31">
        <v>237.48</v>
      </c>
      <c r="E157" s="31">
        <v>237.48</v>
      </c>
      <c r="F157" s="31">
        <v>237.48</v>
      </c>
      <c r="G157" s="31">
        <v>237.48</v>
      </c>
      <c r="H157" s="31">
        <v>237.48</v>
      </c>
      <c r="I157" s="31">
        <v>229.73333333333329</v>
      </c>
      <c r="J157" s="31">
        <v>229.73333333333329</v>
      </c>
      <c r="K157" s="31">
        <v>229.73333333333329</v>
      </c>
      <c r="L157" s="31">
        <v>231.82499999999999</v>
      </c>
      <c r="M157" s="31">
        <v>231.82499999999999</v>
      </c>
      <c r="N157" s="31">
        <v>231.82499999999999</v>
      </c>
      <c r="O157" s="31">
        <v>231.82499999999999</v>
      </c>
      <c r="P157" s="32">
        <f t="shared" si="4"/>
        <v>2803.8999999999992</v>
      </c>
    </row>
    <row r="158" spans="1:16" x14ac:dyDescent="0.3">
      <c r="A158" s="24" t="s">
        <v>62</v>
      </c>
      <c r="B158" s="25" t="s">
        <v>39</v>
      </c>
      <c r="C158" s="26" t="s">
        <v>81</v>
      </c>
      <c r="D158" s="31">
        <v>244.76</v>
      </c>
      <c r="E158" s="31">
        <v>244.76</v>
      </c>
      <c r="F158" s="31">
        <v>244.76</v>
      </c>
      <c r="G158" s="31">
        <v>244.76</v>
      </c>
      <c r="H158" s="31">
        <v>244.76</v>
      </c>
      <c r="I158" s="31">
        <v>216.3</v>
      </c>
      <c r="J158" s="31">
        <v>216.3</v>
      </c>
      <c r="K158" s="31">
        <v>216.3</v>
      </c>
      <c r="L158" s="31">
        <v>227.27500000000001</v>
      </c>
      <c r="M158" s="31">
        <v>227.27500000000001</v>
      </c>
      <c r="N158" s="31">
        <v>227.27500000000001</v>
      </c>
      <c r="O158" s="31">
        <v>227.27500000000001</v>
      </c>
      <c r="P158" s="32">
        <f t="shared" ref="P158:P189" si="5">SUM(D158:O158)</f>
        <v>2781.8</v>
      </c>
    </row>
    <row r="159" spans="1:16" x14ac:dyDescent="0.3">
      <c r="A159" s="24" t="s">
        <v>62</v>
      </c>
      <c r="B159" s="25" t="s">
        <v>39</v>
      </c>
      <c r="C159" s="26" t="s">
        <v>82</v>
      </c>
      <c r="D159" s="31">
        <v>242.72</v>
      </c>
      <c r="E159" s="31">
        <v>242.72</v>
      </c>
      <c r="F159" s="31">
        <v>242.72</v>
      </c>
      <c r="G159" s="31">
        <v>242.72</v>
      </c>
      <c r="H159" s="31">
        <v>242.72</v>
      </c>
      <c r="I159" s="31">
        <v>231.6333333333333</v>
      </c>
      <c r="J159" s="31">
        <v>231.6333333333333</v>
      </c>
      <c r="K159" s="31">
        <v>231.6333333333333</v>
      </c>
      <c r="L159" s="31">
        <v>240.52500000000001</v>
      </c>
      <c r="M159" s="31">
        <v>240.52500000000001</v>
      </c>
      <c r="N159" s="31">
        <v>240.52500000000001</v>
      </c>
      <c r="O159" s="31">
        <v>240.52500000000001</v>
      </c>
      <c r="P159" s="32">
        <f t="shared" si="5"/>
        <v>2870.6</v>
      </c>
    </row>
    <row r="160" spans="1:16" x14ac:dyDescent="0.3">
      <c r="A160" s="24" t="s">
        <v>62</v>
      </c>
      <c r="B160" s="25" t="s">
        <v>39</v>
      </c>
      <c r="C160" s="26" t="s">
        <v>83</v>
      </c>
      <c r="D160" s="31">
        <v>246.16</v>
      </c>
      <c r="E160" s="31">
        <v>246.16</v>
      </c>
      <c r="F160" s="31">
        <v>246.16</v>
      </c>
      <c r="G160" s="31">
        <v>246.16</v>
      </c>
      <c r="H160" s="31">
        <v>246.16</v>
      </c>
      <c r="I160" s="31">
        <v>228.6</v>
      </c>
      <c r="J160" s="31">
        <v>228.6</v>
      </c>
      <c r="K160" s="31">
        <v>228.6</v>
      </c>
      <c r="L160" s="31">
        <v>237.4250000000001</v>
      </c>
      <c r="M160" s="31">
        <v>237.4250000000001</v>
      </c>
      <c r="N160" s="31">
        <v>237.4250000000001</v>
      </c>
      <c r="O160" s="31">
        <v>237.4250000000001</v>
      </c>
      <c r="P160" s="32">
        <f t="shared" si="5"/>
        <v>2866.3</v>
      </c>
    </row>
    <row r="161" spans="1:16" x14ac:dyDescent="0.3">
      <c r="A161" s="24" t="s">
        <v>62</v>
      </c>
      <c r="B161" s="25" t="s">
        <v>39</v>
      </c>
      <c r="C161" s="26" t="s">
        <v>84</v>
      </c>
      <c r="D161" s="31">
        <v>253.46</v>
      </c>
      <c r="E161" s="31">
        <v>253.46</v>
      </c>
      <c r="F161" s="31">
        <v>253.46</v>
      </c>
      <c r="G161" s="31">
        <v>253.46</v>
      </c>
      <c r="H161" s="31">
        <v>253.46</v>
      </c>
      <c r="I161" s="31">
        <v>227.1</v>
      </c>
      <c r="J161" s="31">
        <v>227.1</v>
      </c>
      <c r="K161" s="31">
        <v>227.1</v>
      </c>
      <c r="L161" s="31">
        <v>242.2</v>
      </c>
      <c r="M161" s="31">
        <v>242.2</v>
      </c>
      <c r="N161" s="31">
        <v>242.2</v>
      </c>
      <c r="O161" s="31">
        <v>242.2</v>
      </c>
      <c r="P161" s="32">
        <f t="shared" si="5"/>
        <v>2917.3999999999992</v>
      </c>
    </row>
    <row r="162" spans="1:16" x14ac:dyDescent="0.3">
      <c r="A162" s="24" t="s">
        <v>62</v>
      </c>
      <c r="B162" s="25" t="s">
        <v>39</v>
      </c>
      <c r="C162" s="26" t="s">
        <v>85</v>
      </c>
      <c r="D162" s="31">
        <v>243.5</v>
      </c>
      <c r="E162" s="31">
        <v>243.5</v>
      </c>
      <c r="F162" s="31">
        <v>243.5</v>
      </c>
      <c r="G162" s="31">
        <v>243.5</v>
      </c>
      <c r="H162" s="31">
        <v>243.5</v>
      </c>
      <c r="I162" s="31">
        <v>236.2</v>
      </c>
      <c r="J162" s="31">
        <v>236.2</v>
      </c>
      <c r="K162" s="31">
        <v>236.2</v>
      </c>
      <c r="L162" s="31">
        <v>254.6</v>
      </c>
      <c r="M162" s="31">
        <v>254.6</v>
      </c>
      <c r="N162" s="31">
        <v>254.6</v>
      </c>
      <c r="O162" s="31">
        <v>254.6</v>
      </c>
      <c r="P162" s="32">
        <f t="shared" si="5"/>
        <v>2944.5</v>
      </c>
    </row>
    <row r="163" spans="1:16" x14ac:dyDescent="0.3">
      <c r="A163" s="24" t="s">
        <v>62</v>
      </c>
      <c r="B163" s="25" t="s">
        <v>40</v>
      </c>
      <c r="C163" s="26" t="s">
        <v>63</v>
      </c>
      <c r="D163" s="31">
        <v>9.6</v>
      </c>
      <c r="E163" s="31">
        <v>9.6</v>
      </c>
      <c r="F163" s="31">
        <v>9.6</v>
      </c>
      <c r="G163" s="31">
        <v>9.6</v>
      </c>
      <c r="H163" s="31">
        <v>9.6</v>
      </c>
      <c r="I163" s="31">
        <v>8.6666666666666661</v>
      </c>
      <c r="J163" s="31">
        <v>8.6666666666666661</v>
      </c>
      <c r="K163" s="31">
        <v>8.6666666666666661</v>
      </c>
      <c r="L163" s="31">
        <v>8.75</v>
      </c>
      <c r="M163" s="31">
        <v>8.75</v>
      </c>
      <c r="N163" s="31">
        <v>8.75</v>
      </c>
      <c r="O163" s="31">
        <v>8.75</v>
      </c>
      <c r="P163" s="32">
        <f t="shared" si="5"/>
        <v>109</v>
      </c>
    </row>
    <row r="164" spans="1:16" x14ac:dyDescent="0.3">
      <c r="A164" s="24" t="s">
        <v>62</v>
      </c>
      <c r="B164" s="25" t="s">
        <v>40</v>
      </c>
      <c r="C164" s="26" t="s">
        <v>64</v>
      </c>
      <c r="D164" s="31">
        <v>10.199999999999999</v>
      </c>
      <c r="E164" s="31">
        <v>10.199999999999999</v>
      </c>
      <c r="F164" s="31">
        <v>10.199999999999999</v>
      </c>
      <c r="G164" s="31">
        <v>10.199999999999999</v>
      </c>
      <c r="H164" s="31">
        <v>10.199999999999999</v>
      </c>
      <c r="I164" s="31">
        <v>9</v>
      </c>
      <c r="J164" s="31">
        <v>9</v>
      </c>
      <c r="K164" s="31">
        <v>9</v>
      </c>
      <c r="L164" s="31">
        <v>10.25</v>
      </c>
      <c r="M164" s="31">
        <v>10.25</v>
      </c>
      <c r="N164" s="31">
        <v>10.25</v>
      </c>
      <c r="O164" s="31">
        <v>10.25</v>
      </c>
      <c r="P164" s="32">
        <f t="shared" si="5"/>
        <v>119</v>
      </c>
    </row>
    <row r="165" spans="1:16" x14ac:dyDescent="0.3">
      <c r="A165" s="24" t="s">
        <v>62</v>
      </c>
      <c r="B165" s="25" t="s">
        <v>40</v>
      </c>
      <c r="C165" s="26" t="s">
        <v>65</v>
      </c>
      <c r="D165" s="31">
        <v>11</v>
      </c>
      <c r="E165" s="31">
        <v>11</v>
      </c>
      <c r="F165" s="31">
        <v>11</v>
      </c>
      <c r="G165" s="31">
        <v>11</v>
      </c>
      <c r="H165" s="31">
        <v>11</v>
      </c>
      <c r="I165" s="31">
        <v>11.33333333333333</v>
      </c>
      <c r="J165" s="31">
        <v>11.33333333333333</v>
      </c>
      <c r="K165" s="31">
        <v>11.33333333333333</v>
      </c>
      <c r="L165" s="31">
        <v>11.25</v>
      </c>
      <c r="M165" s="31">
        <v>11.25</v>
      </c>
      <c r="N165" s="31">
        <v>11.25</v>
      </c>
      <c r="O165" s="31">
        <v>11.25</v>
      </c>
      <c r="P165" s="32">
        <f t="shared" si="5"/>
        <v>134</v>
      </c>
    </row>
    <row r="166" spans="1:16" x14ac:dyDescent="0.3">
      <c r="A166" s="24" t="s">
        <v>62</v>
      </c>
      <c r="B166" s="25" t="s">
        <v>40</v>
      </c>
      <c r="C166" s="26" t="s">
        <v>66</v>
      </c>
      <c r="D166" s="31">
        <v>14.2</v>
      </c>
      <c r="E166" s="31">
        <v>14.2</v>
      </c>
      <c r="F166" s="31">
        <v>14.2</v>
      </c>
      <c r="G166" s="31">
        <v>14.2</v>
      </c>
      <c r="H166" s="31">
        <v>14.2</v>
      </c>
      <c r="I166" s="31">
        <v>15.66666666666667</v>
      </c>
      <c r="J166" s="31">
        <v>15.66666666666667</v>
      </c>
      <c r="K166" s="31">
        <v>15.66666666666667</v>
      </c>
      <c r="L166" s="31">
        <v>15</v>
      </c>
      <c r="M166" s="31">
        <v>15</v>
      </c>
      <c r="N166" s="31">
        <v>15</v>
      </c>
      <c r="O166" s="31">
        <v>15</v>
      </c>
      <c r="P166" s="32">
        <f t="shared" si="5"/>
        <v>178</v>
      </c>
    </row>
    <row r="167" spans="1:16" x14ac:dyDescent="0.3">
      <c r="A167" s="24" t="s">
        <v>62</v>
      </c>
      <c r="B167" s="25" t="s">
        <v>40</v>
      </c>
      <c r="C167" s="26" t="s">
        <v>67</v>
      </c>
      <c r="D167" s="31">
        <v>26.6</v>
      </c>
      <c r="E167" s="31">
        <v>26.6</v>
      </c>
      <c r="F167" s="31">
        <v>26.6</v>
      </c>
      <c r="G167" s="31">
        <v>26.6</v>
      </c>
      <c r="H167" s="31">
        <v>26.6</v>
      </c>
      <c r="I167" s="31">
        <v>47</v>
      </c>
      <c r="J167" s="31">
        <v>47</v>
      </c>
      <c r="K167" s="31">
        <v>47</v>
      </c>
      <c r="L167" s="31">
        <v>34.25</v>
      </c>
      <c r="M167" s="31">
        <v>34.25</v>
      </c>
      <c r="N167" s="31">
        <v>34.25</v>
      </c>
      <c r="O167" s="31">
        <v>34.25</v>
      </c>
      <c r="P167" s="32">
        <f t="shared" si="5"/>
        <v>411</v>
      </c>
    </row>
    <row r="168" spans="1:16" x14ac:dyDescent="0.3">
      <c r="A168" s="24" t="s">
        <v>62</v>
      </c>
      <c r="B168" s="25" t="s">
        <v>40</v>
      </c>
      <c r="C168" s="26" t="s">
        <v>68</v>
      </c>
      <c r="D168" s="31">
        <v>35.799999999999997</v>
      </c>
      <c r="E168" s="31">
        <v>35.799999999999997</v>
      </c>
      <c r="F168" s="31">
        <v>35.799999999999997</v>
      </c>
      <c r="G168" s="31">
        <v>35.799999999999997</v>
      </c>
      <c r="H168" s="31">
        <v>35.799999999999997</v>
      </c>
      <c r="I168" s="31">
        <v>37.333333333333343</v>
      </c>
      <c r="J168" s="31">
        <v>37.333333333333343</v>
      </c>
      <c r="K168" s="31">
        <v>37.333333333333343</v>
      </c>
      <c r="L168" s="31">
        <v>25.75</v>
      </c>
      <c r="M168" s="31">
        <v>25.75</v>
      </c>
      <c r="N168" s="31">
        <v>25.75</v>
      </c>
      <c r="O168" s="31">
        <v>25.75</v>
      </c>
      <c r="P168" s="32">
        <f t="shared" si="5"/>
        <v>394</v>
      </c>
    </row>
    <row r="169" spans="1:16" x14ac:dyDescent="0.3">
      <c r="A169" s="24" t="s">
        <v>62</v>
      </c>
      <c r="B169" s="25" t="s">
        <v>40</v>
      </c>
      <c r="C169" s="26" t="s">
        <v>69</v>
      </c>
      <c r="D169" s="31">
        <v>47.2</v>
      </c>
      <c r="E169" s="31">
        <v>47.2</v>
      </c>
      <c r="F169" s="31">
        <v>47.2</v>
      </c>
      <c r="G169" s="31">
        <v>47.2</v>
      </c>
      <c r="H169" s="31">
        <v>47.2</v>
      </c>
      <c r="I169" s="31">
        <v>55.666666666666657</v>
      </c>
      <c r="J169" s="31">
        <v>55.666666666666657</v>
      </c>
      <c r="K169" s="31">
        <v>55.666666666666657</v>
      </c>
      <c r="L169" s="31">
        <v>60.75</v>
      </c>
      <c r="M169" s="31">
        <v>60.75</v>
      </c>
      <c r="N169" s="31">
        <v>60.75</v>
      </c>
      <c r="O169" s="31">
        <v>60.75</v>
      </c>
      <c r="P169" s="32">
        <f t="shared" si="5"/>
        <v>645.99999999999989</v>
      </c>
    </row>
    <row r="170" spans="1:16" x14ac:dyDescent="0.3">
      <c r="A170" s="24" t="s">
        <v>62</v>
      </c>
      <c r="B170" s="25" t="s">
        <v>40</v>
      </c>
      <c r="C170" s="26" t="s">
        <v>70</v>
      </c>
      <c r="D170" s="31">
        <v>82.6</v>
      </c>
      <c r="E170" s="31">
        <v>82.6</v>
      </c>
      <c r="F170" s="31">
        <v>82.6</v>
      </c>
      <c r="G170" s="31">
        <v>82.6</v>
      </c>
      <c r="H170" s="31">
        <v>82.6</v>
      </c>
      <c r="I170" s="31">
        <v>5.666666666666667</v>
      </c>
      <c r="J170" s="31">
        <v>5.666666666666667</v>
      </c>
      <c r="K170" s="31">
        <v>5.666666666666667</v>
      </c>
      <c r="L170" s="31">
        <v>74.75</v>
      </c>
      <c r="M170" s="31">
        <v>74.75</v>
      </c>
      <c r="N170" s="31">
        <v>74.75</v>
      </c>
      <c r="O170" s="31">
        <v>74.75</v>
      </c>
      <c r="P170" s="32">
        <f t="shared" si="5"/>
        <v>729</v>
      </c>
    </row>
    <row r="171" spans="1:16" x14ac:dyDescent="0.3">
      <c r="A171" s="24" t="s">
        <v>62</v>
      </c>
      <c r="B171" s="25" t="s">
        <v>40</v>
      </c>
      <c r="C171" s="26" t="s">
        <v>71</v>
      </c>
      <c r="D171" s="31">
        <v>93.6</v>
      </c>
      <c r="E171" s="31">
        <v>93.6</v>
      </c>
      <c r="F171" s="31">
        <v>93.6</v>
      </c>
      <c r="G171" s="31">
        <v>93.6</v>
      </c>
      <c r="H171" s="31">
        <v>93.6</v>
      </c>
      <c r="I171" s="31">
        <v>60.333333333333343</v>
      </c>
      <c r="J171" s="31">
        <v>60.333333333333343</v>
      </c>
      <c r="K171" s="31">
        <v>60.333333333333343</v>
      </c>
      <c r="L171" s="31">
        <v>42.75</v>
      </c>
      <c r="M171" s="31">
        <v>42.75</v>
      </c>
      <c r="N171" s="31">
        <v>42.75</v>
      </c>
      <c r="O171" s="31">
        <v>42.75</v>
      </c>
      <c r="P171" s="32">
        <f t="shared" si="5"/>
        <v>820.00000000000011</v>
      </c>
    </row>
    <row r="172" spans="1:16" x14ac:dyDescent="0.3">
      <c r="A172" s="24" t="s">
        <v>62</v>
      </c>
      <c r="B172" s="25" t="s">
        <v>40</v>
      </c>
      <c r="C172" s="26" t="s">
        <v>72</v>
      </c>
      <c r="D172" s="31">
        <v>82.6</v>
      </c>
      <c r="E172" s="31">
        <v>82.6</v>
      </c>
      <c r="F172" s="31">
        <v>82.6</v>
      </c>
      <c r="G172" s="31">
        <v>82.6</v>
      </c>
      <c r="H172" s="31">
        <v>82.6</v>
      </c>
      <c r="I172" s="31">
        <v>85.666666666666671</v>
      </c>
      <c r="J172" s="31">
        <v>85.666666666666671</v>
      </c>
      <c r="K172" s="31">
        <v>85.666666666666671</v>
      </c>
      <c r="L172" s="31">
        <v>94.5</v>
      </c>
      <c r="M172" s="31">
        <v>94.5</v>
      </c>
      <c r="N172" s="31">
        <v>94.5</v>
      </c>
      <c r="O172" s="31">
        <v>94.5</v>
      </c>
      <c r="P172" s="32">
        <f t="shared" si="5"/>
        <v>1048</v>
      </c>
    </row>
    <row r="173" spans="1:16" x14ac:dyDescent="0.3">
      <c r="A173" s="24" t="s">
        <v>62</v>
      </c>
      <c r="B173" s="25" t="s">
        <v>40</v>
      </c>
      <c r="C173" s="26" t="s">
        <v>73</v>
      </c>
      <c r="D173" s="31">
        <v>79.400000000000006</v>
      </c>
      <c r="E173" s="31">
        <v>79.400000000000006</v>
      </c>
      <c r="F173" s="31">
        <v>79.400000000000006</v>
      </c>
      <c r="G173" s="31">
        <v>79.400000000000006</v>
      </c>
      <c r="H173" s="31">
        <v>79.400000000000006</v>
      </c>
      <c r="I173" s="31">
        <v>40.333333333333343</v>
      </c>
      <c r="J173" s="31">
        <v>40.333333333333343</v>
      </c>
      <c r="K173" s="31">
        <v>40.333333333333343</v>
      </c>
      <c r="L173" s="31">
        <v>66.25</v>
      </c>
      <c r="M173" s="31">
        <v>66.25</v>
      </c>
      <c r="N173" s="31">
        <v>66.25</v>
      </c>
      <c r="O173" s="31">
        <v>66.25</v>
      </c>
      <c r="P173" s="32">
        <f t="shared" si="5"/>
        <v>783.00000000000011</v>
      </c>
    </row>
    <row r="174" spans="1:16" x14ac:dyDescent="0.3">
      <c r="A174" s="24" t="s">
        <v>62</v>
      </c>
      <c r="B174" s="25" t="s">
        <v>40</v>
      </c>
      <c r="C174" s="26" t="s">
        <v>74</v>
      </c>
      <c r="D174" s="31">
        <v>76.400000000000006</v>
      </c>
      <c r="E174" s="31">
        <v>76.400000000000006</v>
      </c>
      <c r="F174" s="31">
        <v>76.400000000000006</v>
      </c>
      <c r="G174" s="31">
        <v>76.400000000000006</v>
      </c>
      <c r="H174" s="31">
        <v>76.400000000000006</v>
      </c>
      <c r="I174" s="31">
        <v>79</v>
      </c>
      <c r="J174" s="31">
        <v>79</v>
      </c>
      <c r="K174" s="31">
        <v>79</v>
      </c>
      <c r="L174" s="31">
        <v>65</v>
      </c>
      <c r="M174" s="31">
        <v>65</v>
      </c>
      <c r="N174" s="31">
        <v>65</v>
      </c>
      <c r="O174" s="31">
        <v>65</v>
      </c>
      <c r="P174" s="32">
        <f t="shared" si="5"/>
        <v>879</v>
      </c>
    </row>
    <row r="175" spans="1:16" x14ac:dyDescent="0.3">
      <c r="A175" s="24" t="s">
        <v>62</v>
      </c>
      <c r="B175" s="25" t="s">
        <v>40</v>
      </c>
      <c r="C175" s="26" t="s">
        <v>75</v>
      </c>
      <c r="D175" s="31">
        <v>69.400000000000006</v>
      </c>
      <c r="E175" s="31">
        <v>69.400000000000006</v>
      </c>
      <c r="F175" s="31">
        <v>69.400000000000006</v>
      </c>
      <c r="G175" s="31">
        <v>69.400000000000006</v>
      </c>
      <c r="H175" s="31">
        <v>69.400000000000006</v>
      </c>
      <c r="I175" s="31">
        <v>68.666666666666671</v>
      </c>
      <c r="J175" s="31">
        <v>68.666666666666671</v>
      </c>
      <c r="K175" s="31">
        <v>68.666666666666671</v>
      </c>
      <c r="L175" s="31">
        <v>62</v>
      </c>
      <c r="M175" s="31">
        <v>62</v>
      </c>
      <c r="N175" s="31">
        <v>62</v>
      </c>
      <c r="O175" s="31">
        <v>62</v>
      </c>
      <c r="P175" s="32">
        <f t="shared" si="5"/>
        <v>801</v>
      </c>
    </row>
    <row r="176" spans="1:16" x14ac:dyDescent="0.3">
      <c r="A176" s="24" t="s">
        <v>62</v>
      </c>
      <c r="B176" s="25" t="s">
        <v>40</v>
      </c>
      <c r="C176" s="26" t="s">
        <v>76</v>
      </c>
      <c r="D176" s="31">
        <v>77.400000000000006</v>
      </c>
      <c r="E176" s="31">
        <v>77.400000000000006</v>
      </c>
      <c r="F176" s="31">
        <v>77.400000000000006</v>
      </c>
      <c r="G176" s="31">
        <v>77.400000000000006</v>
      </c>
      <c r="H176" s="31">
        <v>77.400000000000006</v>
      </c>
      <c r="I176" s="31">
        <v>40</v>
      </c>
      <c r="J176" s="31">
        <v>40</v>
      </c>
      <c r="K176" s="31">
        <v>40</v>
      </c>
      <c r="L176" s="31">
        <v>39.25</v>
      </c>
      <c r="M176" s="31">
        <v>39.25</v>
      </c>
      <c r="N176" s="31">
        <v>39.25</v>
      </c>
      <c r="O176" s="31">
        <v>39.25</v>
      </c>
      <c r="P176" s="32">
        <f t="shared" si="5"/>
        <v>664</v>
      </c>
    </row>
    <row r="177" spans="1:16" x14ac:dyDescent="0.3">
      <c r="A177" s="24" t="s">
        <v>62</v>
      </c>
      <c r="B177" s="25" t="s">
        <v>40</v>
      </c>
      <c r="C177" s="26" t="s">
        <v>77</v>
      </c>
      <c r="D177" s="31">
        <v>66.2</v>
      </c>
      <c r="E177" s="31">
        <v>66.2</v>
      </c>
      <c r="F177" s="31">
        <v>66.2</v>
      </c>
      <c r="G177" s="31">
        <v>66.2</v>
      </c>
      <c r="H177" s="31">
        <v>66.2</v>
      </c>
      <c r="I177" s="31">
        <v>62.333333333333343</v>
      </c>
      <c r="J177" s="31">
        <v>62.333333333333343</v>
      </c>
      <c r="K177" s="31">
        <v>62.333333333333343</v>
      </c>
      <c r="L177" s="31">
        <v>53</v>
      </c>
      <c r="M177" s="31">
        <v>53</v>
      </c>
      <c r="N177" s="31">
        <v>53</v>
      </c>
      <c r="O177" s="31">
        <v>53</v>
      </c>
      <c r="P177" s="32">
        <f t="shared" si="5"/>
        <v>730.00000000000011</v>
      </c>
    </row>
    <row r="178" spans="1:16" x14ac:dyDescent="0.3">
      <c r="A178" s="24" t="s">
        <v>62</v>
      </c>
      <c r="B178" s="25" t="s">
        <v>40</v>
      </c>
      <c r="C178" s="26" t="s">
        <v>78</v>
      </c>
      <c r="D178" s="31">
        <v>47</v>
      </c>
      <c r="E178" s="31">
        <v>47</v>
      </c>
      <c r="F178" s="31">
        <v>47</v>
      </c>
      <c r="G178" s="31">
        <v>47</v>
      </c>
      <c r="H178" s="31">
        <v>47</v>
      </c>
      <c r="I178" s="31">
        <v>47</v>
      </c>
      <c r="J178" s="31">
        <v>47</v>
      </c>
      <c r="K178" s="31">
        <v>47</v>
      </c>
      <c r="L178" s="31">
        <v>46.75</v>
      </c>
      <c r="M178" s="31">
        <v>46.75</v>
      </c>
      <c r="N178" s="31">
        <v>46.75</v>
      </c>
      <c r="O178" s="31">
        <v>46.75</v>
      </c>
      <c r="P178" s="32">
        <f t="shared" si="5"/>
        <v>563</v>
      </c>
    </row>
    <row r="179" spans="1:16" x14ac:dyDescent="0.3">
      <c r="A179" s="24" t="s">
        <v>62</v>
      </c>
      <c r="B179" s="25" t="s">
        <v>40</v>
      </c>
      <c r="C179" s="26" t="s">
        <v>79</v>
      </c>
      <c r="D179" s="31">
        <v>40</v>
      </c>
      <c r="E179" s="31">
        <v>40</v>
      </c>
      <c r="F179" s="31">
        <v>40</v>
      </c>
      <c r="G179" s="31">
        <v>40</v>
      </c>
      <c r="H179" s="31">
        <v>40</v>
      </c>
      <c r="I179" s="31">
        <v>43.70000000000001</v>
      </c>
      <c r="J179" s="31">
        <v>43.70000000000001</v>
      </c>
      <c r="K179" s="31">
        <v>43.70000000000001</v>
      </c>
      <c r="L179" s="31">
        <v>42.1</v>
      </c>
      <c r="M179" s="31">
        <v>42.1</v>
      </c>
      <c r="N179" s="31">
        <v>42.1</v>
      </c>
      <c r="O179" s="31">
        <v>42.1</v>
      </c>
      <c r="P179" s="32">
        <f t="shared" si="5"/>
        <v>499.50000000000011</v>
      </c>
    </row>
    <row r="180" spans="1:16" x14ac:dyDescent="0.3">
      <c r="A180" s="24" t="s">
        <v>62</v>
      </c>
      <c r="B180" s="25" t="s">
        <v>40</v>
      </c>
      <c r="C180" s="26" t="s">
        <v>80</v>
      </c>
      <c r="D180" s="31">
        <v>54.220000000000013</v>
      </c>
      <c r="E180" s="31">
        <v>54.220000000000013</v>
      </c>
      <c r="F180" s="31">
        <v>54.220000000000013</v>
      </c>
      <c r="G180" s="31">
        <v>54.220000000000013</v>
      </c>
      <c r="H180" s="31">
        <v>54.220000000000013</v>
      </c>
      <c r="I180" s="31">
        <v>44.79999999999999</v>
      </c>
      <c r="J180" s="31">
        <v>44.79999999999999</v>
      </c>
      <c r="K180" s="31">
        <v>44.79999999999999</v>
      </c>
      <c r="L180" s="31">
        <v>39.949999999999989</v>
      </c>
      <c r="M180" s="31">
        <v>39.949999999999989</v>
      </c>
      <c r="N180" s="31">
        <v>39.949999999999989</v>
      </c>
      <c r="O180" s="31">
        <v>39.949999999999989</v>
      </c>
      <c r="P180" s="32">
        <f t="shared" si="5"/>
        <v>565.30000000000018</v>
      </c>
    </row>
    <row r="181" spans="1:16" x14ac:dyDescent="0.3">
      <c r="A181" s="24" t="s">
        <v>62</v>
      </c>
      <c r="B181" s="25" t="s">
        <v>40</v>
      </c>
      <c r="C181" s="26" t="s">
        <v>81</v>
      </c>
      <c r="D181" s="31">
        <v>40.119999999999997</v>
      </c>
      <c r="E181" s="31">
        <v>40.119999999999997</v>
      </c>
      <c r="F181" s="31">
        <v>40.119999999999997</v>
      </c>
      <c r="G181" s="31">
        <v>40.119999999999997</v>
      </c>
      <c r="H181" s="31">
        <v>40.119999999999997</v>
      </c>
      <c r="I181" s="31">
        <v>46.133333333333333</v>
      </c>
      <c r="J181" s="31">
        <v>46.133333333333333</v>
      </c>
      <c r="K181" s="31">
        <v>46.133333333333333</v>
      </c>
      <c r="L181" s="31">
        <v>36.075000000000003</v>
      </c>
      <c r="M181" s="31">
        <v>36.075000000000003</v>
      </c>
      <c r="N181" s="31">
        <v>36.075000000000003</v>
      </c>
      <c r="O181" s="31">
        <v>36.075000000000003</v>
      </c>
      <c r="P181" s="32">
        <f t="shared" si="5"/>
        <v>483.29999999999995</v>
      </c>
    </row>
    <row r="182" spans="1:16" x14ac:dyDescent="0.3">
      <c r="A182" s="24" t="s">
        <v>62</v>
      </c>
      <c r="B182" s="25" t="s">
        <v>40</v>
      </c>
      <c r="C182" s="26" t="s">
        <v>82</v>
      </c>
      <c r="D182" s="31">
        <v>40.96</v>
      </c>
      <c r="E182" s="31">
        <v>40.96</v>
      </c>
      <c r="F182" s="31">
        <v>40.96</v>
      </c>
      <c r="G182" s="31">
        <v>40.96</v>
      </c>
      <c r="H182" s="31">
        <v>40.96</v>
      </c>
      <c r="I182" s="31">
        <v>25.733333333333331</v>
      </c>
      <c r="J182" s="31">
        <v>25.733333333333331</v>
      </c>
      <c r="K182" s="31">
        <v>25.733333333333331</v>
      </c>
      <c r="L182" s="31">
        <v>24.425000000000001</v>
      </c>
      <c r="M182" s="31">
        <v>24.425000000000001</v>
      </c>
      <c r="N182" s="31">
        <v>24.425000000000001</v>
      </c>
      <c r="O182" s="31">
        <v>24.425000000000001</v>
      </c>
      <c r="P182" s="32">
        <f t="shared" si="5"/>
        <v>379.70000000000005</v>
      </c>
    </row>
    <row r="183" spans="1:16" x14ac:dyDescent="0.3">
      <c r="A183" s="24" t="s">
        <v>62</v>
      </c>
      <c r="B183" s="25" t="s">
        <v>40</v>
      </c>
      <c r="C183" s="26" t="s">
        <v>83</v>
      </c>
      <c r="D183" s="31">
        <v>34.32</v>
      </c>
      <c r="E183" s="31">
        <v>34.32</v>
      </c>
      <c r="F183" s="31">
        <v>34.32</v>
      </c>
      <c r="G183" s="31">
        <v>34.32</v>
      </c>
      <c r="H183" s="31">
        <v>34.32</v>
      </c>
      <c r="I183" s="31">
        <v>30.400000000000009</v>
      </c>
      <c r="J183" s="31">
        <v>30.400000000000009</v>
      </c>
      <c r="K183" s="31">
        <v>30.400000000000009</v>
      </c>
      <c r="L183" s="31">
        <v>31.724999999999991</v>
      </c>
      <c r="M183" s="31">
        <v>31.724999999999991</v>
      </c>
      <c r="N183" s="31">
        <v>31.724999999999991</v>
      </c>
      <c r="O183" s="31">
        <v>31.724999999999991</v>
      </c>
      <c r="P183" s="32">
        <f t="shared" si="5"/>
        <v>389.69999999999987</v>
      </c>
    </row>
    <row r="184" spans="1:16" x14ac:dyDescent="0.3">
      <c r="A184" s="24" t="s">
        <v>62</v>
      </c>
      <c r="B184" s="25" t="s">
        <v>40</v>
      </c>
      <c r="C184" s="26" t="s">
        <v>84</v>
      </c>
      <c r="D184" s="31">
        <v>35.479999999999997</v>
      </c>
      <c r="E184" s="31">
        <v>35.479999999999997</v>
      </c>
      <c r="F184" s="31">
        <v>35.479999999999997</v>
      </c>
      <c r="G184" s="31">
        <v>35.479999999999997</v>
      </c>
      <c r="H184" s="31">
        <v>35.479999999999997</v>
      </c>
      <c r="I184" s="31">
        <v>28.566666666666681</v>
      </c>
      <c r="J184" s="31">
        <v>28.566666666666681</v>
      </c>
      <c r="K184" s="31">
        <v>28.566666666666681</v>
      </c>
      <c r="L184" s="31">
        <v>23.399999999999991</v>
      </c>
      <c r="M184" s="31">
        <v>23.399999999999991</v>
      </c>
      <c r="N184" s="31">
        <v>23.399999999999991</v>
      </c>
      <c r="O184" s="31">
        <v>23.399999999999991</v>
      </c>
      <c r="P184" s="32">
        <f t="shared" si="5"/>
        <v>356.69999999999993</v>
      </c>
    </row>
    <row r="185" spans="1:16" x14ac:dyDescent="0.3">
      <c r="A185" s="24" t="s">
        <v>62</v>
      </c>
      <c r="B185" s="25" t="s">
        <v>40</v>
      </c>
      <c r="C185" s="26" t="s">
        <v>85</v>
      </c>
      <c r="D185" s="31">
        <v>29.16</v>
      </c>
      <c r="E185" s="31">
        <v>29.16</v>
      </c>
      <c r="F185" s="31">
        <v>29.16</v>
      </c>
      <c r="G185" s="31">
        <v>29.16</v>
      </c>
      <c r="H185" s="31">
        <v>29.16</v>
      </c>
      <c r="I185" s="31">
        <v>28.099999999999991</v>
      </c>
      <c r="J185" s="31">
        <v>28.099999999999991</v>
      </c>
      <c r="K185" s="31">
        <v>28.099999999999991</v>
      </c>
      <c r="L185" s="31">
        <v>31.475000000000001</v>
      </c>
      <c r="M185" s="31">
        <v>31.475000000000001</v>
      </c>
      <c r="N185" s="31">
        <v>31.475000000000001</v>
      </c>
      <c r="O185" s="31">
        <v>31.475000000000001</v>
      </c>
      <c r="P185" s="32">
        <f t="shared" si="5"/>
        <v>356.00000000000006</v>
      </c>
    </row>
    <row r="186" spans="1:16" x14ac:dyDescent="0.3">
      <c r="A186" s="24" t="s">
        <v>62</v>
      </c>
      <c r="B186" s="25" t="s">
        <v>86</v>
      </c>
      <c r="C186" s="26" t="s">
        <v>63</v>
      </c>
      <c r="D186" s="31">
        <v>0</v>
      </c>
      <c r="E186" s="31">
        <v>0</v>
      </c>
      <c r="F186" s="31">
        <v>0</v>
      </c>
      <c r="G186" s="31">
        <v>0</v>
      </c>
      <c r="H186" s="31">
        <v>0</v>
      </c>
      <c r="I186" s="31">
        <v>0</v>
      </c>
      <c r="J186" s="31">
        <v>0</v>
      </c>
      <c r="K186" s="31">
        <v>0</v>
      </c>
      <c r="L186" s="31">
        <v>0</v>
      </c>
      <c r="M186" s="31">
        <v>0</v>
      </c>
      <c r="N186" s="31">
        <v>0</v>
      </c>
      <c r="O186" s="31">
        <v>0</v>
      </c>
      <c r="P186" s="32">
        <f t="shared" si="5"/>
        <v>0</v>
      </c>
    </row>
    <row r="187" spans="1:16" x14ac:dyDescent="0.3">
      <c r="A187" s="24" t="s">
        <v>62</v>
      </c>
      <c r="B187" s="25" t="s">
        <v>86</v>
      </c>
      <c r="C187" s="26" t="s">
        <v>64</v>
      </c>
      <c r="D187" s="31">
        <v>0</v>
      </c>
      <c r="E187" s="31">
        <v>0</v>
      </c>
      <c r="F187" s="31">
        <v>0</v>
      </c>
      <c r="G187" s="31">
        <v>0</v>
      </c>
      <c r="H187" s="31">
        <v>0</v>
      </c>
      <c r="I187" s="31">
        <v>0</v>
      </c>
      <c r="J187" s="31">
        <v>0</v>
      </c>
      <c r="K187" s="31">
        <v>0</v>
      </c>
      <c r="L187" s="31">
        <v>0</v>
      </c>
      <c r="M187" s="31">
        <v>0</v>
      </c>
      <c r="N187" s="31">
        <v>0</v>
      </c>
      <c r="O187" s="31">
        <v>0</v>
      </c>
      <c r="P187" s="32">
        <f t="shared" si="5"/>
        <v>0</v>
      </c>
    </row>
    <row r="188" spans="1:16" x14ac:dyDescent="0.3">
      <c r="A188" s="24" t="s">
        <v>62</v>
      </c>
      <c r="B188" s="25" t="s">
        <v>86</v>
      </c>
      <c r="C188" s="26" t="s">
        <v>65</v>
      </c>
      <c r="D188" s="31">
        <v>0</v>
      </c>
      <c r="E188" s="31">
        <v>0</v>
      </c>
      <c r="F188" s="31">
        <v>0</v>
      </c>
      <c r="G188" s="31">
        <v>0</v>
      </c>
      <c r="H188" s="31">
        <v>0</v>
      </c>
      <c r="I188" s="31">
        <v>0</v>
      </c>
      <c r="J188" s="31">
        <v>0</v>
      </c>
      <c r="K188" s="31">
        <v>0</v>
      </c>
      <c r="L188" s="31">
        <v>0</v>
      </c>
      <c r="M188" s="31">
        <v>0</v>
      </c>
      <c r="N188" s="31">
        <v>0</v>
      </c>
      <c r="O188" s="31">
        <v>0</v>
      </c>
      <c r="P188" s="32">
        <f t="shared" si="5"/>
        <v>0</v>
      </c>
    </row>
    <row r="189" spans="1:16" x14ac:dyDescent="0.3">
      <c r="A189" s="24" t="s">
        <v>62</v>
      </c>
      <c r="B189" s="25" t="s">
        <v>86</v>
      </c>
      <c r="C189" s="26" t="s">
        <v>66</v>
      </c>
      <c r="D189" s="31">
        <v>0</v>
      </c>
      <c r="E189" s="31">
        <v>0</v>
      </c>
      <c r="F189" s="31">
        <v>0</v>
      </c>
      <c r="G189" s="31">
        <v>0</v>
      </c>
      <c r="H189" s="31">
        <v>0</v>
      </c>
      <c r="I189" s="31">
        <v>0</v>
      </c>
      <c r="J189" s="31">
        <v>0</v>
      </c>
      <c r="K189" s="31">
        <v>0</v>
      </c>
      <c r="L189" s="31">
        <v>0</v>
      </c>
      <c r="M189" s="31">
        <v>0</v>
      </c>
      <c r="N189" s="31">
        <v>0</v>
      </c>
      <c r="O189" s="31">
        <v>0</v>
      </c>
      <c r="P189" s="32">
        <f t="shared" si="5"/>
        <v>0</v>
      </c>
    </row>
    <row r="190" spans="1:16" x14ac:dyDescent="0.3">
      <c r="A190" s="24" t="s">
        <v>62</v>
      </c>
      <c r="B190" s="25" t="s">
        <v>86</v>
      </c>
      <c r="C190" s="26" t="s">
        <v>67</v>
      </c>
      <c r="D190" s="31">
        <v>0</v>
      </c>
      <c r="E190" s="31">
        <v>0</v>
      </c>
      <c r="F190" s="31">
        <v>0</v>
      </c>
      <c r="G190" s="31">
        <v>0</v>
      </c>
      <c r="H190" s="31">
        <v>0</v>
      </c>
      <c r="I190" s="31">
        <v>0</v>
      </c>
      <c r="J190" s="31">
        <v>0</v>
      </c>
      <c r="K190" s="31">
        <v>0</v>
      </c>
      <c r="L190" s="31">
        <v>0</v>
      </c>
      <c r="M190" s="31">
        <v>0</v>
      </c>
      <c r="N190" s="31">
        <v>0</v>
      </c>
      <c r="O190" s="31">
        <v>0</v>
      </c>
      <c r="P190" s="32">
        <f t="shared" ref="P190:P221" si="6">SUM(D190:O190)</f>
        <v>0</v>
      </c>
    </row>
    <row r="191" spans="1:16" x14ac:dyDescent="0.3">
      <c r="A191" s="24" t="s">
        <v>62</v>
      </c>
      <c r="B191" s="25" t="s">
        <v>86</v>
      </c>
      <c r="C191" s="26" t="s">
        <v>68</v>
      </c>
      <c r="D191" s="31">
        <v>0</v>
      </c>
      <c r="E191" s="31">
        <v>0</v>
      </c>
      <c r="F191" s="31">
        <v>0</v>
      </c>
      <c r="G191" s="31">
        <v>0</v>
      </c>
      <c r="H191" s="31">
        <v>0</v>
      </c>
      <c r="I191" s="31">
        <v>0</v>
      </c>
      <c r="J191" s="31">
        <v>0</v>
      </c>
      <c r="K191" s="31">
        <v>0</v>
      </c>
      <c r="L191" s="31">
        <v>0</v>
      </c>
      <c r="M191" s="31">
        <v>0</v>
      </c>
      <c r="N191" s="31">
        <v>0</v>
      </c>
      <c r="O191" s="31">
        <v>0</v>
      </c>
      <c r="P191" s="32">
        <f t="shared" si="6"/>
        <v>0</v>
      </c>
    </row>
    <row r="192" spans="1:16" x14ac:dyDescent="0.3">
      <c r="A192" s="24" t="s">
        <v>62</v>
      </c>
      <c r="B192" s="25" t="s">
        <v>86</v>
      </c>
      <c r="C192" s="26" t="s">
        <v>69</v>
      </c>
      <c r="D192" s="31">
        <v>0</v>
      </c>
      <c r="E192" s="31">
        <v>0</v>
      </c>
      <c r="F192" s="31">
        <v>0</v>
      </c>
      <c r="G192" s="31">
        <v>0</v>
      </c>
      <c r="H192" s="31">
        <v>0</v>
      </c>
      <c r="I192" s="31">
        <v>0</v>
      </c>
      <c r="J192" s="31">
        <v>0</v>
      </c>
      <c r="K192" s="31">
        <v>0</v>
      </c>
      <c r="L192" s="31">
        <v>0</v>
      </c>
      <c r="M192" s="31">
        <v>0</v>
      </c>
      <c r="N192" s="31">
        <v>0</v>
      </c>
      <c r="O192" s="31">
        <v>0</v>
      </c>
      <c r="P192" s="32">
        <f t="shared" si="6"/>
        <v>0</v>
      </c>
    </row>
    <row r="193" spans="1:16" x14ac:dyDescent="0.3">
      <c r="A193" s="24" t="s">
        <v>62</v>
      </c>
      <c r="B193" s="25" t="s">
        <v>86</v>
      </c>
      <c r="C193" s="26" t="s">
        <v>70</v>
      </c>
      <c r="D193" s="31">
        <v>0</v>
      </c>
      <c r="E193" s="31">
        <v>0</v>
      </c>
      <c r="F193" s="31">
        <v>0</v>
      </c>
      <c r="G193" s="31">
        <v>0</v>
      </c>
      <c r="H193" s="31">
        <v>0</v>
      </c>
      <c r="I193" s="31">
        <v>0</v>
      </c>
      <c r="J193" s="31">
        <v>0</v>
      </c>
      <c r="K193" s="31">
        <v>0</v>
      </c>
      <c r="L193" s="31">
        <v>0</v>
      </c>
      <c r="M193" s="31">
        <v>0</v>
      </c>
      <c r="N193" s="31">
        <v>0</v>
      </c>
      <c r="O193" s="31">
        <v>0</v>
      </c>
      <c r="P193" s="32">
        <f t="shared" si="6"/>
        <v>0</v>
      </c>
    </row>
    <row r="194" spans="1:16" x14ac:dyDescent="0.3">
      <c r="A194" s="24" t="s">
        <v>62</v>
      </c>
      <c r="B194" s="25" t="s">
        <v>86</v>
      </c>
      <c r="C194" s="26" t="s">
        <v>71</v>
      </c>
      <c r="D194" s="31">
        <v>0</v>
      </c>
      <c r="E194" s="31">
        <v>0</v>
      </c>
      <c r="F194" s="31">
        <v>0</v>
      </c>
      <c r="G194" s="31">
        <v>0</v>
      </c>
      <c r="H194" s="31">
        <v>0</v>
      </c>
      <c r="I194" s="31">
        <v>0</v>
      </c>
      <c r="J194" s="31">
        <v>0</v>
      </c>
      <c r="K194" s="31">
        <v>0</v>
      </c>
      <c r="L194" s="31">
        <v>0</v>
      </c>
      <c r="M194" s="31">
        <v>0</v>
      </c>
      <c r="N194" s="31">
        <v>0</v>
      </c>
      <c r="O194" s="31">
        <v>0</v>
      </c>
      <c r="P194" s="32">
        <f t="shared" si="6"/>
        <v>0</v>
      </c>
    </row>
    <row r="195" spans="1:16" x14ac:dyDescent="0.3">
      <c r="A195" s="24" t="s">
        <v>62</v>
      </c>
      <c r="B195" s="25" t="s">
        <v>86</v>
      </c>
      <c r="C195" s="26" t="s">
        <v>72</v>
      </c>
      <c r="D195" s="31">
        <v>0</v>
      </c>
      <c r="E195" s="31">
        <v>0</v>
      </c>
      <c r="F195" s="31">
        <v>0</v>
      </c>
      <c r="G195" s="31">
        <v>0</v>
      </c>
      <c r="H195" s="31">
        <v>0</v>
      </c>
      <c r="I195" s="31">
        <v>0</v>
      </c>
      <c r="J195" s="31">
        <v>0</v>
      </c>
      <c r="K195" s="31">
        <v>0</v>
      </c>
      <c r="L195" s="31">
        <v>0</v>
      </c>
      <c r="M195" s="31">
        <v>0</v>
      </c>
      <c r="N195" s="31">
        <v>0</v>
      </c>
      <c r="O195" s="31">
        <v>0</v>
      </c>
      <c r="P195" s="32">
        <f t="shared" si="6"/>
        <v>0</v>
      </c>
    </row>
    <row r="196" spans="1:16" x14ac:dyDescent="0.3">
      <c r="A196" s="24" t="s">
        <v>62</v>
      </c>
      <c r="B196" s="25" t="s">
        <v>86</v>
      </c>
      <c r="C196" s="26" t="s">
        <v>73</v>
      </c>
      <c r="D196" s="31">
        <v>0</v>
      </c>
      <c r="E196" s="31">
        <v>0</v>
      </c>
      <c r="F196" s="31">
        <v>0</v>
      </c>
      <c r="G196" s="31">
        <v>0</v>
      </c>
      <c r="H196" s="31">
        <v>0</v>
      </c>
      <c r="I196" s="31">
        <v>0</v>
      </c>
      <c r="J196" s="31">
        <v>0</v>
      </c>
      <c r="K196" s="31">
        <v>0</v>
      </c>
      <c r="L196" s="31">
        <v>0</v>
      </c>
      <c r="M196" s="31">
        <v>0</v>
      </c>
      <c r="N196" s="31">
        <v>0</v>
      </c>
      <c r="O196" s="31">
        <v>0</v>
      </c>
      <c r="P196" s="32">
        <f t="shared" si="6"/>
        <v>0</v>
      </c>
    </row>
    <row r="197" spans="1:16" x14ac:dyDescent="0.3">
      <c r="A197" s="24" t="s">
        <v>62</v>
      </c>
      <c r="B197" s="25" t="s">
        <v>86</v>
      </c>
      <c r="C197" s="26" t="s">
        <v>74</v>
      </c>
      <c r="D197" s="31">
        <v>0</v>
      </c>
      <c r="E197" s="31">
        <v>0</v>
      </c>
      <c r="F197" s="31">
        <v>0</v>
      </c>
      <c r="G197" s="31">
        <v>0</v>
      </c>
      <c r="H197" s="31">
        <v>0</v>
      </c>
      <c r="I197" s="31">
        <v>0</v>
      </c>
      <c r="J197" s="31">
        <v>0</v>
      </c>
      <c r="K197" s="31">
        <v>0</v>
      </c>
      <c r="L197" s="31">
        <v>0</v>
      </c>
      <c r="M197" s="31">
        <v>0</v>
      </c>
      <c r="N197" s="31">
        <v>0</v>
      </c>
      <c r="O197" s="31">
        <v>0</v>
      </c>
      <c r="P197" s="32">
        <f t="shared" si="6"/>
        <v>0</v>
      </c>
    </row>
    <row r="198" spans="1:16" x14ac:dyDescent="0.3">
      <c r="A198" s="24" t="s">
        <v>62</v>
      </c>
      <c r="B198" s="25" t="s">
        <v>86</v>
      </c>
      <c r="C198" s="26" t="s">
        <v>75</v>
      </c>
      <c r="D198" s="31">
        <v>0</v>
      </c>
      <c r="E198" s="31">
        <v>0</v>
      </c>
      <c r="F198" s="31">
        <v>0</v>
      </c>
      <c r="G198" s="31">
        <v>0</v>
      </c>
      <c r="H198" s="31">
        <v>0</v>
      </c>
      <c r="I198" s="31">
        <v>0</v>
      </c>
      <c r="J198" s="31">
        <v>0</v>
      </c>
      <c r="K198" s="31">
        <v>0</v>
      </c>
      <c r="L198" s="31">
        <v>0</v>
      </c>
      <c r="M198" s="31">
        <v>0</v>
      </c>
      <c r="N198" s="31">
        <v>0</v>
      </c>
      <c r="O198" s="31">
        <v>0</v>
      </c>
      <c r="P198" s="32">
        <f t="shared" si="6"/>
        <v>0</v>
      </c>
    </row>
    <row r="199" spans="1:16" x14ac:dyDescent="0.3">
      <c r="A199" s="24" t="s">
        <v>62</v>
      </c>
      <c r="B199" s="25" t="s">
        <v>86</v>
      </c>
      <c r="C199" s="26" t="s">
        <v>76</v>
      </c>
      <c r="D199" s="31">
        <v>0</v>
      </c>
      <c r="E199" s="31">
        <v>0</v>
      </c>
      <c r="F199" s="31">
        <v>0</v>
      </c>
      <c r="G199" s="31">
        <v>0</v>
      </c>
      <c r="H199" s="31">
        <v>0</v>
      </c>
      <c r="I199" s="31">
        <v>0</v>
      </c>
      <c r="J199" s="31">
        <v>0</v>
      </c>
      <c r="K199" s="31">
        <v>0</v>
      </c>
      <c r="L199" s="31">
        <v>0</v>
      </c>
      <c r="M199" s="31">
        <v>0</v>
      </c>
      <c r="N199" s="31">
        <v>0</v>
      </c>
      <c r="O199" s="31">
        <v>0</v>
      </c>
      <c r="P199" s="32">
        <f t="shared" si="6"/>
        <v>0</v>
      </c>
    </row>
    <row r="200" spans="1:16" x14ac:dyDescent="0.3">
      <c r="A200" s="24" t="s">
        <v>62</v>
      </c>
      <c r="B200" s="25" t="s">
        <v>86</v>
      </c>
      <c r="C200" s="26" t="s">
        <v>77</v>
      </c>
      <c r="D200" s="31">
        <v>0</v>
      </c>
      <c r="E200" s="31">
        <v>0</v>
      </c>
      <c r="F200" s="31">
        <v>0</v>
      </c>
      <c r="G200" s="31">
        <v>0</v>
      </c>
      <c r="H200" s="31">
        <v>0</v>
      </c>
      <c r="I200" s="31">
        <v>0</v>
      </c>
      <c r="J200" s="31">
        <v>0</v>
      </c>
      <c r="K200" s="31">
        <v>0</v>
      </c>
      <c r="L200" s="31">
        <v>0</v>
      </c>
      <c r="M200" s="31">
        <v>0</v>
      </c>
      <c r="N200" s="31">
        <v>0</v>
      </c>
      <c r="O200" s="31">
        <v>0</v>
      </c>
      <c r="P200" s="32">
        <f t="shared" si="6"/>
        <v>0</v>
      </c>
    </row>
    <row r="201" spans="1:16" x14ac:dyDescent="0.3">
      <c r="A201" s="24" t="s">
        <v>62</v>
      </c>
      <c r="B201" s="25" t="s">
        <v>86</v>
      </c>
      <c r="C201" s="26" t="s">
        <v>78</v>
      </c>
      <c r="D201" s="31">
        <v>0</v>
      </c>
      <c r="E201" s="31">
        <v>0</v>
      </c>
      <c r="F201" s="31">
        <v>0</v>
      </c>
      <c r="G201" s="31">
        <v>0</v>
      </c>
      <c r="H201" s="31">
        <v>0</v>
      </c>
      <c r="I201" s="31">
        <v>0</v>
      </c>
      <c r="J201" s="31">
        <v>0</v>
      </c>
      <c r="K201" s="31">
        <v>0</v>
      </c>
      <c r="L201" s="31">
        <v>0</v>
      </c>
      <c r="M201" s="31">
        <v>0</v>
      </c>
      <c r="N201" s="31">
        <v>0</v>
      </c>
      <c r="O201" s="31">
        <v>0</v>
      </c>
      <c r="P201" s="32">
        <f t="shared" si="6"/>
        <v>0</v>
      </c>
    </row>
    <row r="202" spans="1:16" x14ac:dyDescent="0.3">
      <c r="A202" s="24" t="s">
        <v>62</v>
      </c>
      <c r="B202" s="25" t="s">
        <v>86</v>
      </c>
      <c r="C202" s="26" t="s">
        <v>79</v>
      </c>
      <c r="D202" s="31">
        <v>0</v>
      </c>
      <c r="E202" s="31">
        <v>0</v>
      </c>
      <c r="F202" s="31">
        <v>0</v>
      </c>
      <c r="G202" s="31">
        <v>0</v>
      </c>
      <c r="H202" s="31">
        <v>0</v>
      </c>
      <c r="I202" s="31">
        <v>0</v>
      </c>
      <c r="J202" s="31">
        <v>0</v>
      </c>
      <c r="K202" s="31">
        <v>0</v>
      </c>
      <c r="L202" s="31">
        <v>0</v>
      </c>
      <c r="M202" s="31">
        <v>0</v>
      </c>
      <c r="N202" s="31">
        <v>0</v>
      </c>
      <c r="O202" s="31">
        <v>0</v>
      </c>
      <c r="P202" s="32">
        <f t="shared" si="6"/>
        <v>0</v>
      </c>
    </row>
    <row r="203" spans="1:16" x14ac:dyDescent="0.3">
      <c r="A203" s="24" t="s">
        <v>62</v>
      </c>
      <c r="B203" s="25" t="s">
        <v>86</v>
      </c>
      <c r="C203" s="26" t="s">
        <v>80</v>
      </c>
      <c r="D203" s="31">
        <v>0</v>
      </c>
      <c r="E203" s="31">
        <v>0</v>
      </c>
      <c r="F203" s="31">
        <v>0</v>
      </c>
      <c r="G203" s="31">
        <v>0</v>
      </c>
      <c r="H203" s="31">
        <v>0</v>
      </c>
      <c r="I203" s="31">
        <v>0</v>
      </c>
      <c r="J203" s="31">
        <v>0</v>
      </c>
      <c r="K203" s="31">
        <v>0</v>
      </c>
      <c r="L203" s="31">
        <v>0</v>
      </c>
      <c r="M203" s="31">
        <v>0</v>
      </c>
      <c r="N203" s="31">
        <v>0</v>
      </c>
      <c r="O203" s="31">
        <v>0</v>
      </c>
      <c r="P203" s="32">
        <f t="shared" si="6"/>
        <v>0</v>
      </c>
    </row>
    <row r="204" spans="1:16" x14ac:dyDescent="0.3">
      <c r="A204" s="24" t="s">
        <v>62</v>
      </c>
      <c r="B204" s="25" t="s">
        <v>86</v>
      </c>
      <c r="C204" s="26" t="s">
        <v>81</v>
      </c>
      <c r="D204" s="31">
        <v>0</v>
      </c>
      <c r="E204" s="31">
        <v>0</v>
      </c>
      <c r="F204" s="31">
        <v>0</v>
      </c>
      <c r="G204" s="31">
        <v>0</v>
      </c>
      <c r="H204" s="31">
        <v>0</v>
      </c>
      <c r="I204" s="31">
        <v>0</v>
      </c>
      <c r="J204" s="31">
        <v>0</v>
      </c>
      <c r="K204" s="31">
        <v>0</v>
      </c>
      <c r="L204" s="31">
        <v>0</v>
      </c>
      <c r="M204" s="31">
        <v>0</v>
      </c>
      <c r="N204" s="31">
        <v>0</v>
      </c>
      <c r="O204" s="31">
        <v>0</v>
      </c>
      <c r="P204" s="32">
        <f t="shared" si="6"/>
        <v>0</v>
      </c>
    </row>
    <row r="205" spans="1:16" x14ac:dyDescent="0.3">
      <c r="A205" s="24" t="s">
        <v>62</v>
      </c>
      <c r="B205" s="25" t="s">
        <v>86</v>
      </c>
      <c r="C205" s="26" t="s">
        <v>82</v>
      </c>
      <c r="D205" s="31">
        <v>0</v>
      </c>
      <c r="E205" s="31">
        <v>0</v>
      </c>
      <c r="F205" s="31">
        <v>0</v>
      </c>
      <c r="G205" s="31">
        <v>0</v>
      </c>
      <c r="H205" s="31">
        <v>0</v>
      </c>
      <c r="I205" s="31">
        <v>0</v>
      </c>
      <c r="J205" s="31">
        <v>0</v>
      </c>
      <c r="K205" s="31">
        <v>0</v>
      </c>
      <c r="L205" s="31">
        <v>0</v>
      </c>
      <c r="M205" s="31">
        <v>0</v>
      </c>
      <c r="N205" s="31">
        <v>0</v>
      </c>
      <c r="O205" s="31">
        <v>0</v>
      </c>
      <c r="P205" s="32">
        <f t="shared" si="6"/>
        <v>0</v>
      </c>
    </row>
    <row r="206" spans="1:16" x14ac:dyDescent="0.3">
      <c r="A206" s="24" t="s">
        <v>62</v>
      </c>
      <c r="B206" s="25" t="s">
        <v>86</v>
      </c>
      <c r="C206" s="26" t="s">
        <v>83</v>
      </c>
      <c r="D206" s="31">
        <v>0</v>
      </c>
      <c r="E206" s="31">
        <v>0</v>
      </c>
      <c r="F206" s="31">
        <v>0</v>
      </c>
      <c r="G206" s="31">
        <v>0</v>
      </c>
      <c r="H206" s="31">
        <v>0</v>
      </c>
      <c r="I206" s="31">
        <v>0</v>
      </c>
      <c r="J206" s="31">
        <v>0</v>
      </c>
      <c r="K206" s="31">
        <v>0</v>
      </c>
      <c r="L206" s="31">
        <v>0</v>
      </c>
      <c r="M206" s="31">
        <v>0</v>
      </c>
      <c r="N206" s="31">
        <v>0</v>
      </c>
      <c r="O206" s="31">
        <v>0</v>
      </c>
      <c r="P206" s="32">
        <f t="shared" si="6"/>
        <v>0</v>
      </c>
    </row>
    <row r="207" spans="1:16" x14ac:dyDescent="0.3">
      <c r="A207" s="24" t="s">
        <v>62</v>
      </c>
      <c r="B207" s="25" t="s">
        <v>86</v>
      </c>
      <c r="C207" s="26" t="s">
        <v>84</v>
      </c>
      <c r="D207" s="31">
        <v>0</v>
      </c>
      <c r="E207" s="31">
        <v>0</v>
      </c>
      <c r="F207" s="31">
        <v>0</v>
      </c>
      <c r="G207" s="31">
        <v>0</v>
      </c>
      <c r="H207" s="31">
        <v>0</v>
      </c>
      <c r="I207" s="31">
        <v>0</v>
      </c>
      <c r="J207" s="31">
        <v>0</v>
      </c>
      <c r="K207" s="31">
        <v>0</v>
      </c>
      <c r="L207" s="31">
        <v>0</v>
      </c>
      <c r="M207" s="31">
        <v>0</v>
      </c>
      <c r="N207" s="31">
        <v>0</v>
      </c>
      <c r="O207" s="31">
        <v>0</v>
      </c>
      <c r="P207" s="32">
        <f t="shared" si="6"/>
        <v>0</v>
      </c>
    </row>
    <row r="208" spans="1:16" x14ac:dyDescent="0.3">
      <c r="A208" s="24" t="s">
        <v>62</v>
      </c>
      <c r="B208" s="25" t="s">
        <v>86</v>
      </c>
      <c r="C208" s="26" t="s">
        <v>85</v>
      </c>
      <c r="D208" s="31">
        <v>0</v>
      </c>
      <c r="E208" s="31">
        <v>0</v>
      </c>
      <c r="F208" s="31">
        <v>0</v>
      </c>
      <c r="G208" s="31">
        <v>0</v>
      </c>
      <c r="H208" s="31">
        <v>0</v>
      </c>
      <c r="I208" s="31">
        <v>0</v>
      </c>
      <c r="J208" s="31">
        <v>0</v>
      </c>
      <c r="K208" s="31">
        <v>0</v>
      </c>
      <c r="L208" s="31">
        <v>0</v>
      </c>
      <c r="M208" s="31">
        <v>0</v>
      </c>
      <c r="N208" s="31">
        <v>0</v>
      </c>
      <c r="O208" s="31">
        <v>0</v>
      </c>
      <c r="P208" s="32">
        <f t="shared" si="6"/>
        <v>0</v>
      </c>
    </row>
    <row r="209" spans="1:16" x14ac:dyDescent="0.3">
      <c r="A209" s="24" t="s">
        <v>62</v>
      </c>
      <c r="B209" s="25" t="s">
        <v>87</v>
      </c>
      <c r="C209" s="26" t="s">
        <v>63</v>
      </c>
      <c r="D209" s="31">
        <v>248.52</v>
      </c>
      <c r="E209" s="31">
        <v>248.52</v>
      </c>
      <c r="F209" s="31">
        <v>248.52</v>
      </c>
      <c r="G209" s="31">
        <v>248.52</v>
      </c>
      <c r="H209" s="31">
        <v>248.52</v>
      </c>
      <c r="I209" s="31">
        <v>223.33333333333329</v>
      </c>
      <c r="J209" s="31">
        <v>223.33333333333329</v>
      </c>
      <c r="K209" s="31">
        <v>223.33333333333329</v>
      </c>
      <c r="L209" s="31">
        <v>220.95</v>
      </c>
      <c r="M209" s="31">
        <v>220.95</v>
      </c>
      <c r="N209" s="31">
        <v>220.95</v>
      </c>
      <c r="O209" s="31">
        <v>220.95</v>
      </c>
      <c r="P209" s="32">
        <f t="shared" si="6"/>
        <v>2796.3999999999992</v>
      </c>
    </row>
    <row r="210" spans="1:16" x14ac:dyDescent="0.3">
      <c r="A210" s="24" t="s">
        <v>62</v>
      </c>
      <c r="B210" s="25" t="s">
        <v>87</v>
      </c>
      <c r="C210" s="26" t="s">
        <v>64</v>
      </c>
      <c r="D210" s="31">
        <v>240.84</v>
      </c>
      <c r="E210" s="31">
        <v>240.84</v>
      </c>
      <c r="F210" s="31">
        <v>240.84</v>
      </c>
      <c r="G210" s="31">
        <v>240.84</v>
      </c>
      <c r="H210" s="31">
        <v>240.84</v>
      </c>
      <c r="I210" s="31">
        <v>219.5</v>
      </c>
      <c r="J210" s="31">
        <v>219.5</v>
      </c>
      <c r="K210" s="31">
        <v>219.5</v>
      </c>
      <c r="L210" s="31">
        <v>228.07499999999999</v>
      </c>
      <c r="M210" s="31">
        <v>228.07499999999999</v>
      </c>
      <c r="N210" s="31">
        <v>228.07499999999999</v>
      </c>
      <c r="O210" s="31">
        <v>228.07499999999999</v>
      </c>
      <c r="P210" s="32">
        <f t="shared" si="6"/>
        <v>2774.9999999999995</v>
      </c>
    </row>
    <row r="211" spans="1:16" x14ac:dyDescent="0.3">
      <c r="A211" s="24" t="s">
        <v>62</v>
      </c>
      <c r="B211" s="25" t="s">
        <v>87</v>
      </c>
      <c r="C211" s="26" t="s">
        <v>65</v>
      </c>
      <c r="D211" s="31">
        <v>240.48</v>
      </c>
      <c r="E211" s="31">
        <v>240.48</v>
      </c>
      <c r="F211" s="31">
        <v>240.48</v>
      </c>
      <c r="G211" s="31">
        <v>240.48</v>
      </c>
      <c r="H211" s="31">
        <v>240.48</v>
      </c>
      <c r="I211" s="31">
        <v>229.0333333333333</v>
      </c>
      <c r="J211" s="31">
        <v>229.0333333333333</v>
      </c>
      <c r="K211" s="31">
        <v>229.0333333333333</v>
      </c>
      <c r="L211" s="31">
        <v>238.75</v>
      </c>
      <c r="M211" s="31">
        <v>238.75</v>
      </c>
      <c r="N211" s="31">
        <v>238.75</v>
      </c>
      <c r="O211" s="31">
        <v>238.75</v>
      </c>
      <c r="P211" s="32">
        <f t="shared" si="6"/>
        <v>2844.5</v>
      </c>
    </row>
    <row r="212" spans="1:16" x14ac:dyDescent="0.3">
      <c r="A212" s="24" t="s">
        <v>62</v>
      </c>
      <c r="B212" s="25" t="s">
        <v>87</v>
      </c>
      <c r="C212" s="26" t="s">
        <v>66</v>
      </c>
      <c r="D212" s="31">
        <v>257.38</v>
      </c>
      <c r="E212" s="31">
        <v>257.38</v>
      </c>
      <c r="F212" s="31">
        <v>257.38</v>
      </c>
      <c r="G212" s="31">
        <v>257.38</v>
      </c>
      <c r="H212" s="31">
        <v>257.38</v>
      </c>
      <c r="I212" s="31">
        <v>226.86666666666659</v>
      </c>
      <c r="J212" s="31">
        <v>226.86666666666659</v>
      </c>
      <c r="K212" s="31">
        <v>226.86666666666659</v>
      </c>
      <c r="L212" s="31">
        <v>238.125</v>
      </c>
      <c r="M212" s="31">
        <v>238.125</v>
      </c>
      <c r="N212" s="31">
        <v>238.125</v>
      </c>
      <c r="O212" s="31">
        <v>238.125</v>
      </c>
      <c r="P212" s="32">
        <f t="shared" si="6"/>
        <v>2920</v>
      </c>
    </row>
    <row r="213" spans="1:16" x14ac:dyDescent="0.3">
      <c r="A213" s="24" t="s">
        <v>62</v>
      </c>
      <c r="B213" s="25" t="s">
        <v>87</v>
      </c>
      <c r="C213" s="26" t="s">
        <v>67</v>
      </c>
      <c r="D213" s="31">
        <v>265.94</v>
      </c>
      <c r="E213" s="31">
        <v>265.94</v>
      </c>
      <c r="F213" s="31">
        <v>265.94</v>
      </c>
      <c r="G213" s="31">
        <v>265.94</v>
      </c>
      <c r="H213" s="31">
        <v>265.94</v>
      </c>
      <c r="I213" s="31">
        <v>267.5</v>
      </c>
      <c r="J213" s="31">
        <v>267.5</v>
      </c>
      <c r="K213" s="31">
        <v>267.5</v>
      </c>
      <c r="L213" s="31">
        <v>245.45</v>
      </c>
      <c r="M213" s="31">
        <v>245.45</v>
      </c>
      <c r="N213" s="31">
        <v>245.45</v>
      </c>
      <c r="O213" s="31">
        <v>245.45</v>
      </c>
      <c r="P213" s="32">
        <f t="shared" si="6"/>
        <v>3113.9999999999991</v>
      </c>
    </row>
    <row r="214" spans="1:16" x14ac:dyDescent="0.3">
      <c r="A214" s="24" t="s">
        <v>62</v>
      </c>
      <c r="B214" s="25" t="s">
        <v>87</v>
      </c>
      <c r="C214" s="26" t="s">
        <v>68</v>
      </c>
      <c r="D214" s="31">
        <v>265.7</v>
      </c>
      <c r="E214" s="31">
        <v>265.7</v>
      </c>
      <c r="F214" s="31">
        <v>265.7</v>
      </c>
      <c r="G214" s="31">
        <v>265.7</v>
      </c>
      <c r="H214" s="31">
        <v>265.7</v>
      </c>
      <c r="I214" s="31">
        <v>243.5333333333333</v>
      </c>
      <c r="J214" s="31">
        <v>243.5333333333333</v>
      </c>
      <c r="K214" s="31">
        <v>243.5333333333333</v>
      </c>
      <c r="L214" s="31">
        <v>240.8000000000001</v>
      </c>
      <c r="M214" s="31">
        <v>240.8000000000001</v>
      </c>
      <c r="N214" s="31">
        <v>240.8000000000001</v>
      </c>
      <c r="O214" s="31">
        <v>240.8000000000001</v>
      </c>
      <c r="P214" s="32">
        <f t="shared" si="6"/>
        <v>3022.3000000000006</v>
      </c>
    </row>
    <row r="215" spans="1:16" x14ac:dyDescent="0.3">
      <c r="A215" s="24" t="s">
        <v>62</v>
      </c>
      <c r="B215" s="25" t="s">
        <v>87</v>
      </c>
      <c r="C215" s="26" t="s">
        <v>69</v>
      </c>
      <c r="D215" s="31">
        <v>260.64</v>
      </c>
      <c r="E215" s="31">
        <v>260.64</v>
      </c>
      <c r="F215" s="31">
        <v>260.64</v>
      </c>
      <c r="G215" s="31">
        <v>260.64</v>
      </c>
      <c r="H215" s="31">
        <v>260.64</v>
      </c>
      <c r="I215" s="31">
        <v>251.86666666666659</v>
      </c>
      <c r="J215" s="31">
        <v>251.86666666666659</v>
      </c>
      <c r="K215" s="31">
        <v>251.86666666666659</v>
      </c>
      <c r="L215" s="31">
        <v>274.10000000000002</v>
      </c>
      <c r="M215" s="31">
        <v>274.10000000000002</v>
      </c>
      <c r="N215" s="31">
        <v>274.10000000000002</v>
      </c>
      <c r="O215" s="31">
        <v>274.10000000000002</v>
      </c>
      <c r="P215" s="32">
        <f t="shared" si="6"/>
        <v>3155.1999999999994</v>
      </c>
    </row>
    <row r="216" spans="1:16" x14ac:dyDescent="0.3">
      <c r="A216" s="24" t="s">
        <v>62</v>
      </c>
      <c r="B216" s="25" t="s">
        <v>87</v>
      </c>
      <c r="C216" s="26" t="s">
        <v>70</v>
      </c>
      <c r="D216" s="31">
        <v>306.32</v>
      </c>
      <c r="E216" s="31">
        <v>306.32</v>
      </c>
      <c r="F216" s="31">
        <v>306.32</v>
      </c>
      <c r="G216" s="31">
        <v>306.32</v>
      </c>
      <c r="H216" s="31">
        <v>306.32</v>
      </c>
      <c r="I216" s="31">
        <v>205.66666666666671</v>
      </c>
      <c r="J216" s="31">
        <v>205.66666666666671</v>
      </c>
      <c r="K216" s="31">
        <v>205.66666666666671</v>
      </c>
      <c r="L216" s="31">
        <v>287.55000000000013</v>
      </c>
      <c r="M216" s="31">
        <v>287.55000000000013</v>
      </c>
      <c r="N216" s="31">
        <v>287.55000000000013</v>
      </c>
      <c r="O216" s="31">
        <v>287.55000000000013</v>
      </c>
      <c r="P216" s="32">
        <f t="shared" si="6"/>
        <v>3298.8000000000006</v>
      </c>
    </row>
    <row r="217" spans="1:16" x14ac:dyDescent="0.3">
      <c r="A217" s="24" t="s">
        <v>62</v>
      </c>
      <c r="B217" s="25" t="s">
        <v>87</v>
      </c>
      <c r="C217" s="26" t="s">
        <v>71</v>
      </c>
      <c r="D217" s="31">
        <v>314.45999999999998</v>
      </c>
      <c r="E217" s="31">
        <v>314.45999999999998</v>
      </c>
      <c r="F217" s="31">
        <v>314.45999999999998</v>
      </c>
      <c r="G217" s="31">
        <v>314.45999999999998</v>
      </c>
      <c r="H217" s="31">
        <v>314.45999999999998</v>
      </c>
      <c r="I217" s="31">
        <v>261.13333333333338</v>
      </c>
      <c r="J217" s="31">
        <v>261.13333333333338</v>
      </c>
      <c r="K217" s="31">
        <v>261.13333333333338</v>
      </c>
      <c r="L217" s="31">
        <v>250.85</v>
      </c>
      <c r="M217" s="31">
        <v>250.85</v>
      </c>
      <c r="N217" s="31">
        <v>250.85</v>
      </c>
      <c r="O217" s="31">
        <v>250.85</v>
      </c>
      <c r="P217" s="32">
        <f t="shared" si="6"/>
        <v>3359.0999999999995</v>
      </c>
    </row>
    <row r="218" spans="1:16" x14ac:dyDescent="0.3">
      <c r="A218" s="24" t="s">
        <v>62</v>
      </c>
      <c r="B218" s="25" t="s">
        <v>87</v>
      </c>
      <c r="C218" s="26" t="s">
        <v>72</v>
      </c>
      <c r="D218" s="31">
        <v>297.82</v>
      </c>
      <c r="E218" s="31">
        <v>297.82</v>
      </c>
      <c r="F218" s="31">
        <v>297.82</v>
      </c>
      <c r="G218" s="31">
        <v>297.82</v>
      </c>
      <c r="H218" s="31">
        <v>297.82</v>
      </c>
      <c r="I218" s="31">
        <v>281</v>
      </c>
      <c r="J218" s="31">
        <v>281</v>
      </c>
      <c r="K218" s="31">
        <v>281</v>
      </c>
      <c r="L218" s="31">
        <v>301.82499999999999</v>
      </c>
      <c r="M218" s="31">
        <v>301.82499999999999</v>
      </c>
      <c r="N218" s="31">
        <v>301.82499999999999</v>
      </c>
      <c r="O218" s="31">
        <v>301.82499999999999</v>
      </c>
      <c r="P218" s="32">
        <f t="shared" si="6"/>
        <v>3539.3999999999992</v>
      </c>
    </row>
    <row r="219" spans="1:16" x14ac:dyDescent="0.3">
      <c r="A219" s="24" t="s">
        <v>62</v>
      </c>
      <c r="B219" s="25" t="s">
        <v>87</v>
      </c>
      <c r="C219" s="26" t="s">
        <v>73</v>
      </c>
      <c r="D219" s="31">
        <v>294.72000000000003</v>
      </c>
      <c r="E219" s="31">
        <v>294.72000000000003</v>
      </c>
      <c r="F219" s="31">
        <v>294.72000000000003</v>
      </c>
      <c r="G219" s="31">
        <v>294.72000000000003</v>
      </c>
      <c r="H219" s="31">
        <v>294.72000000000003</v>
      </c>
      <c r="I219" s="31">
        <v>233.33333333333329</v>
      </c>
      <c r="J219" s="31">
        <v>233.33333333333329</v>
      </c>
      <c r="K219" s="31">
        <v>233.33333333333329</v>
      </c>
      <c r="L219" s="31">
        <v>278.2</v>
      </c>
      <c r="M219" s="31">
        <v>278.2</v>
      </c>
      <c r="N219" s="31">
        <v>278.2</v>
      </c>
      <c r="O219" s="31">
        <v>278.2</v>
      </c>
      <c r="P219" s="32">
        <f t="shared" si="6"/>
        <v>3286.3999999999992</v>
      </c>
    </row>
    <row r="220" spans="1:16" x14ac:dyDescent="0.3">
      <c r="A220" s="24" t="s">
        <v>62</v>
      </c>
      <c r="B220" s="25" t="s">
        <v>87</v>
      </c>
      <c r="C220" s="26" t="s">
        <v>74</v>
      </c>
      <c r="D220" s="31">
        <v>290.5</v>
      </c>
      <c r="E220" s="31">
        <v>290.5</v>
      </c>
      <c r="F220" s="31">
        <v>290.5</v>
      </c>
      <c r="G220" s="31">
        <v>290.5</v>
      </c>
      <c r="H220" s="31">
        <v>290.5</v>
      </c>
      <c r="I220" s="31">
        <v>277.0333333333333</v>
      </c>
      <c r="J220" s="31">
        <v>277.0333333333333</v>
      </c>
      <c r="K220" s="31">
        <v>277.0333333333333</v>
      </c>
      <c r="L220" s="31">
        <v>285.77499999999998</v>
      </c>
      <c r="M220" s="31">
        <v>285.77499999999998</v>
      </c>
      <c r="N220" s="31">
        <v>285.77499999999998</v>
      </c>
      <c r="O220" s="31">
        <v>285.77499999999998</v>
      </c>
      <c r="P220" s="32">
        <f t="shared" si="6"/>
        <v>3426.7000000000003</v>
      </c>
    </row>
    <row r="221" spans="1:16" x14ac:dyDescent="0.3">
      <c r="A221" s="24" t="s">
        <v>62</v>
      </c>
      <c r="B221" s="25" t="s">
        <v>87</v>
      </c>
      <c r="C221" s="26" t="s">
        <v>75</v>
      </c>
      <c r="D221" s="31">
        <v>275.77999999999997</v>
      </c>
      <c r="E221" s="31">
        <v>275.77999999999997</v>
      </c>
      <c r="F221" s="31">
        <v>275.77999999999997</v>
      </c>
      <c r="G221" s="31">
        <v>275.77999999999997</v>
      </c>
      <c r="H221" s="31">
        <v>275.77999999999997</v>
      </c>
      <c r="I221" s="31">
        <v>257.46666666666658</v>
      </c>
      <c r="J221" s="31">
        <v>257.46666666666658</v>
      </c>
      <c r="K221" s="31">
        <v>257.46666666666658</v>
      </c>
      <c r="L221" s="31">
        <v>281.14999999999998</v>
      </c>
      <c r="M221" s="31">
        <v>281.14999999999998</v>
      </c>
      <c r="N221" s="31">
        <v>281.14999999999998</v>
      </c>
      <c r="O221" s="31">
        <v>281.14999999999998</v>
      </c>
      <c r="P221" s="32">
        <f t="shared" si="6"/>
        <v>3275.9</v>
      </c>
    </row>
    <row r="222" spans="1:16" x14ac:dyDescent="0.3">
      <c r="A222" s="24" t="s">
        <v>62</v>
      </c>
      <c r="B222" s="25" t="s">
        <v>87</v>
      </c>
      <c r="C222" s="26" t="s">
        <v>76</v>
      </c>
      <c r="D222" s="31">
        <v>301.74</v>
      </c>
      <c r="E222" s="31">
        <v>301.74</v>
      </c>
      <c r="F222" s="31">
        <v>301.74</v>
      </c>
      <c r="G222" s="31">
        <v>301.74</v>
      </c>
      <c r="H222" s="31">
        <v>301.74</v>
      </c>
      <c r="I222" s="31">
        <v>247.83333333333329</v>
      </c>
      <c r="J222" s="31">
        <v>247.83333333333329</v>
      </c>
      <c r="K222" s="31">
        <v>247.83333333333329</v>
      </c>
      <c r="L222" s="31">
        <v>264.3</v>
      </c>
      <c r="M222" s="31">
        <v>264.3</v>
      </c>
      <c r="N222" s="31">
        <v>264.3</v>
      </c>
      <c r="O222" s="31">
        <v>264.3</v>
      </c>
      <c r="P222" s="32">
        <f t="shared" ref="P222:P253" si="7">SUM(D222:O222)</f>
        <v>3309.4000000000005</v>
      </c>
    </row>
    <row r="223" spans="1:16" x14ac:dyDescent="0.3">
      <c r="A223" s="24" t="s">
        <v>62</v>
      </c>
      <c r="B223" s="25" t="s">
        <v>87</v>
      </c>
      <c r="C223" s="26" t="s">
        <v>77</v>
      </c>
      <c r="D223" s="31">
        <v>285.74</v>
      </c>
      <c r="E223" s="31">
        <v>285.74</v>
      </c>
      <c r="F223" s="31">
        <v>285.74</v>
      </c>
      <c r="G223" s="31">
        <v>285.74</v>
      </c>
      <c r="H223" s="31">
        <v>285.74</v>
      </c>
      <c r="I223" s="31">
        <v>263.0333333333333</v>
      </c>
      <c r="J223" s="31">
        <v>263.0333333333333</v>
      </c>
      <c r="K223" s="31">
        <v>263.0333333333333</v>
      </c>
      <c r="L223" s="31">
        <v>261.17500000000001</v>
      </c>
      <c r="M223" s="31">
        <v>261.17500000000001</v>
      </c>
      <c r="N223" s="31">
        <v>261.17500000000001</v>
      </c>
      <c r="O223" s="31">
        <v>261.17500000000001</v>
      </c>
      <c r="P223" s="32">
        <f t="shared" si="7"/>
        <v>3262.5000000000009</v>
      </c>
    </row>
    <row r="224" spans="1:16" x14ac:dyDescent="0.3">
      <c r="A224" s="24" t="s">
        <v>62</v>
      </c>
      <c r="B224" s="25" t="s">
        <v>87</v>
      </c>
      <c r="C224" s="26" t="s">
        <v>78</v>
      </c>
      <c r="D224" s="31">
        <v>276.10000000000002</v>
      </c>
      <c r="E224" s="31">
        <v>276.10000000000002</v>
      </c>
      <c r="F224" s="31">
        <v>276.10000000000002</v>
      </c>
      <c r="G224" s="31">
        <v>276.10000000000002</v>
      </c>
      <c r="H224" s="31">
        <v>276.10000000000002</v>
      </c>
      <c r="I224" s="31">
        <v>260.73333333333329</v>
      </c>
      <c r="J224" s="31">
        <v>260.73333333333329</v>
      </c>
      <c r="K224" s="31">
        <v>260.73333333333329</v>
      </c>
      <c r="L224" s="31">
        <v>262.25</v>
      </c>
      <c r="M224" s="31">
        <v>262.25</v>
      </c>
      <c r="N224" s="31">
        <v>262.25</v>
      </c>
      <c r="O224" s="31">
        <v>262.25</v>
      </c>
      <c r="P224" s="32">
        <f t="shared" si="7"/>
        <v>3211.7</v>
      </c>
    </row>
    <row r="225" spans="1:16" x14ac:dyDescent="0.3">
      <c r="A225" s="24" t="s">
        <v>62</v>
      </c>
      <c r="B225" s="25" t="s">
        <v>87</v>
      </c>
      <c r="C225" s="26" t="s">
        <v>79</v>
      </c>
      <c r="D225" s="31">
        <v>277.8</v>
      </c>
      <c r="E225" s="31">
        <v>277.8</v>
      </c>
      <c r="F225" s="31">
        <v>277.8</v>
      </c>
      <c r="G225" s="31">
        <v>277.8</v>
      </c>
      <c r="H225" s="31">
        <v>277.8</v>
      </c>
      <c r="I225" s="31">
        <v>267.33333333333331</v>
      </c>
      <c r="J225" s="31">
        <v>267.33333333333331</v>
      </c>
      <c r="K225" s="31">
        <v>267.33333333333331</v>
      </c>
      <c r="L225" s="31">
        <v>275.64999999999998</v>
      </c>
      <c r="M225" s="31">
        <v>275.64999999999998</v>
      </c>
      <c r="N225" s="31">
        <v>275.64999999999998</v>
      </c>
      <c r="O225" s="31">
        <v>275.64999999999998</v>
      </c>
      <c r="P225" s="32">
        <f t="shared" si="7"/>
        <v>3293.6000000000004</v>
      </c>
    </row>
    <row r="226" spans="1:16" x14ac:dyDescent="0.3">
      <c r="A226" s="24" t="s">
        <v>62</v>
      </c>
      <c r="B226" s="25" t="s">
        <v>87</v>
      </c>
      <c r="C226" s="26" t="s">
        <v>80</v>
      </c>
      <c r="D226" s="31">
        <v>291.7</v>
      </c>
      <c r="E226" s="31">
        <v>291.7</v>
      </c>
      <c r="F226" s="31">
        <v>291.7</v>
      </c>
      <c r="G226" s="31">
        <v>291.7</v>
      </c>
      <c r="H226" s="31">
        <v>291.7</v>
      </c>
      <c r="I226" s="31">
        <v>274.5333333333333</v>
      </c>
      <c r="J226" s="31">
        <v>274.5333333333333</v>
      </c>
      <c r="K226" s="31">
        <v>274.5333333333333</v>
      </c>
      <c r="L226" s="31">
        <v>271.77499999999998</v>
      </c>
      <c r="M226" s="31">
        <v>271.77499999999998</v>
      </c>
      <c r="N226" s="31">
        <v>271.77499999999998</v>
      </c>
      <c r="O226" s="31">
        <v>271.77499999999998</v>
      </c>
      <c r="P226" s="32">
        <f t="shared" si="7"/>
        <v>3369.2000000000003</v>
      </c>
    </row>
    <row r="227" spans="1:16" x14ac:dyDescent="0.3">
      <c r="A227" s="24" t="s">
        <v>62</v>
      </c>
      <c r="B227" s="25" t="s">
        <v>87</v>
      </c>
      <c r="C227" s="26" t="s">
        <v>81</v>
      </c>
      <c r="D227" s="31">
        <v>284.88</v>
      </c>
      <c r="E227" s="31">
        <v>284.88</v>
      </c>
      <c r="F227" s="31">
        <v>284.88</v>
      </c>
      <c r="G227" s="31">
        <v>284.88</v>
      </c>
      <c r="H227" s="31">
        <v>284.88</v>
      </c>
      <c r="I227" s="31">
        <v>262.43333333333339</v>
      </c>
      <c r="J227" s="31">
        <v>262.43333333333339</v>
      </c>
      <c r="K227" s="31">
        <v>262.43333333333339</v>
      </c>
      <c r="L227" s="31">
        <v>263.35000000000002</v>
      </c>
      <c r="M227" s="31">
        <v>263.35000000000002</v>
      </c>
      <c r="N227" s="31">
        <v>263.35000000000002</v>
      </c>
      <c r="O227" s="31">
        <v>263.35000000000002</v>
      </c>
      <c r="P227" s="32">
        <f t="shared" si="7"/>
        <v>3265.1</v>
      </c>
    </row>
    <row r="228" spans="1:16" x14ac:dyDescent="0.3">
      <c r="A228" s="24" t="s">
        <v>62</v>
      </c>
      <c r="B228" s="25" t="s">
        <v>87</v>
      </c>
      <c r="C228" s="26" t="s">
        <v>82</v>
      </c>
      <c r="D228" s="31">
        <v>283.68</v>
      </c>
      <c r="E228" s="31">
        <v>283.68</v>
      </c>
      <c r="F228" s="31">
        <v>283.68</v>
      </c>
      <c r="G228" s="31">
        <v>283.68</v>
      </c>
      <c r="H228" s="31">
        <v>283.68</v>
      </c>
      <c r="I228" s="31">
        <v>257.36666666666667</v>
      </c>
      <c r="J228" s="31">
        <v>257.36666666666667</v>
      </c>
      <c r="K228" s="31">
        <v>257.36666666666667</v>
      </c>
      <c r="L228" s="31">
        <v>264.95</v>
      </c>
      <c r="M228" s="31">
        <v>264.95</v>
      </c>
      <c r="N228" s="31">
        <v>264.95</v>
      </c>
      <c r="O228" s="31">
        <v>264.95</v>
      </c>
      <c r="P228" s="32">
        <f t="shared" si="7"/>
        <v>3250.2999999999997</v>
      </c>
    </row>
    <row r="229" spans="1:16" x14ac:dyDescent="0.3">
      <c r="A229" s="24" t="s">
        <v>62</v>
      </c>
      <c r="B229" s="25" t="s">
        <v>87</v>
      </c>
      <c r="C229" s="26" t="s">
        <v>83</v>
      </c>
      <c r="D229" s="31">
        <v>280.48</v>
      </c>
      <c r="E229" s="31">
        <v>280.48</v>
      </c>
      <c r="F229" s="31">
        <v>280.48</v>
      </c>
      <c r="G229" s="31">
        <v>280.48</v>
      </c>
      <c r="H229" s="31">
        <v>280.48</v>
      </c>
      <c r="I229" s="31">
        <v>259</v>
      </c>
      <c r="J229" s="31">
        <v>259</v>
      </c>
      <c r="K229" s="31">
        <v>259</v>
      </c>
      <c r="L229" s="31">
        <v>269.15000000000009</v>
      </c>
      <c r="M229" s="31">
        <v>269.15000000000009</v>
      </c>
      <c r="N229" s="31">
        <v>269.15000000000009</v>
      </c>
      <c r="O229" s="31">
        <v>269.15000000000009</v>
      </c>
      <c r="P229" s="32">
        <f t="shared" si="7"/>
        <v>3256.0000000000005</v>
      </c>
    </row>
    <row r="230" spans="1:16" x14ac:dyDescent="0.3">
      <c r="A230" s="24" t="s">
        <v>62</v>
      </c>
      <c r="B230" s="25" t="s">
        <v>87</v>
      </c>
      <c r="C230" s="26" t="s">
        <v>84</v>
      </c>
      <c r="D230" s="31">
        <v>288.94</v>
      </c>
      <c r="E230" s="31">
        <v>288.94</v>
      </c>
      <c r="F230" s="31">
        <v>288.94</v>
      </c>
      <c r="G230" s="31">
        <v>288.94</v>
      </c>
      <c r="H230" s="31">
        <v>288.94</v>
      </c>
      <c r="I230" s="31">
        <v>255.66666666666671</v>
      </c>
      <c r="J230" s="31">
        <v>255.66666666666671</v>
      </c>
      <c r="K230" s="31">
        <v>255.66666666666671</v>
      </c>
      <c r="L230" s="31">
        <v>265.60000000000002</v>
      </c>
      <c r="M230" s="31">
        <v>265.60000000000002</v>
      </c>
      <c r="N230" s="31">
        <v>265.60000000000002</v>
      </c>
      <c r="O230" s="31">
        <v>265.60000000000002</v>
      </c>
      <c r="P230" s="32">
        <f t="shared" si="7"/>
        <v>3274.1</v>
      </c>
    </row>
    <row r="231" spans="1:16" x14ac:dyDescent="0.3">
      <c r="A231" s="24" t="s">
        <v>62</v>
      </c>
      <c r="B231" s="25" t="s">
        <v>87</v>
      </c>
      <c r="C231" s="26" t="s">
        <v>85</v>
      </c>
      <c r="D231" s="31">
        <v>272.66000000000003</v>
      </c>
      <c r="E231" s="31">
        <v>272.66000000000003</v>
      </c>
      <c r="F231" s="31">
        <v>272.66000000000003</v>
      </c>
      <c r="G231" s="31">
        <v>272.66000000000003</v>
      </c>
      <c r="H231" s="31">
        <v>272.66000000000003</v>
      </c>
      <c r="I231" s="31">
        <v>264.3</v>
      </c>
      <c r="J231" s="31">
        <v>264.3</v>
      </c>
      <c r="K231" s="31">
        <v>264.3</v>
      </c>
      <c r="L231" s="31">
        <v>286.07499999999999</v>
      </c>
      <c r="M231" s="31">
        <v>286.07499999999999</v>
      </c>
      <c r="N231" s="31">
        <v>286.07499999999999</v>
      </c>
      <c r="O231" s="31">
        <v>286.07499999999999</v>
      </c>
      <c r="P231" s="32">
        <f t="shared" si="7"/>
        <v>3300.4999999999995</v>
      </c>
    </row>
    <row r="232" spans="1:16" x14ac:dyDescent="0.3">
      <c r="A232" s="24" t="s">
        <v>62</v>
      </c>
      <c r="B232" s="25" t="s">
        <v>41</v>
      </c>
      <c r="C232" s="26" t="s">
        <v>63</v>
      </c>
      <c r="D232" s="31">
        <v>311.73500000000001</v>
      </c>
      <c r="E232" s="31">
        <v>311.73500000000001</v>
      </c>
      <c r="F232" s="31">
        <v>311.73500000000001</v>
      </c>
      <c r="G232" s="31">
        <v>311.73500000000001</v>
      </c>
      <c r="H232" s="31">
        <v>311.73500000000001</v>
      </c>
      <c r="I232" s="31">
        <v>293.77499999999998</v>
      </c>
      <c r="J232" s="31">
        <v>293.77499999999998</v>
      </c>
      <c r="K232" s="31">
        <v>293.77499999999998</v>
      </c>
      <c r="L232" s="31">
        <v>468.85</v>
      </c>
      <c r="M232" s="31">
        <v>468.85</v>
      </c>
      <c r="N232" s="31">
        <v>468.85</v>
      </c>
      <c r="O232" s="31">
        <v>468.85</v>
      </c>
      <c r="P232" s="32">
        <f t="shared" si="7"/>
        <v>4315.4000000000005</v>
      </c>
    </row>
    <row r="233" spans="1:16" x14ac:dyDescent="0.3">
      <c r="A233" s="24" t="s">
        <v>62</v>
      </c>
      <c r="B233" s="25" t="s">
        <v>41</v>
      </c>
      <c r="C233" s="26" t="s">
        <v>64</v>
      </c>
      <c r="D233" s="31">
        <v>259.48500000000001</v>
      </c>
      <c r="E233" s="31">
        <v>259.48500000000001</v>
      </c>
      <c r="F233" s="31">
        <v>259.48500000000001</v>
      </c>
      <c r="G233" s="31">
        <v>259.48500000000001</v>
      </c>
      <c r="H233" s="31">
        <v>259.48500000000001</v>
      </c>
      <c r="I233" s="31">
        <v>242.72499999999999</v>
      </c>
      <c r="J233" s="31">
        <v>242.72499999999999</v>
      </c>
      <c r="K233" s="31">
        <v>242.72499999999999</v>
      </c>
      <c r="L233" s="31">
        <v>412.22500000000002</v>
      </c>
      <c r="M233" s="31">
        <v>412.22500000000002</v>
      </c>
      <c r="N233" s="31">
        <v>412.22500000000002</v>
      </c>
      <c r="O233" s="31">
        <v>412.22500000000002</v>
      </c>
      <c r="P233" s="32">
        <f t="shared" si="7"/>
        <v>3674.4999999999995</v>
      </c>
    </row>
    <row r="234" spans="1:16" x14ac:dyDescent="0.3">
      <c r="A234" s="24" t="s">
        <v>62</v>
      </c>
      <c r="B234" s="25" t="s">
        <v>41</v>
      </c>
      <c r="C234" s="26" t="s">
        <v>65</v>
      </c>
      <c r="D234" s="31">
        <v>316.07</v>
      </c>
      <c r="E234" s="31">
        <v>316.07</v>
      </c>
      <c r="F234" s="31">
        <v>316.07</v>
      </c>
      <c r="G234" s="31">
        <v>316.07</v>
      </c>
      <c r="H234" s="31">
        <v>316.07</v>
      </c>
      <c r="I234" s="31">
        <v>301.45</v>
      </c>
      <c r="J234" s="31">
        <v>301.45</v>
      </c>
      <c r="K234" s="31">
        <v>301.45</v>
      </c>
      <c r="L234" s="31">
        <v>464.77499999999998</v>
      </c>
      <c r="M234" s="31">
        <v>464.77499999999998</v>
      </c>
      <c r="N234" s="31">
        <v>464.77499999999998</v>
      </c>
      <c r="O234" s="31">
        <v>464.77499999999998</v>
      </c>
      <c r="P234" s="32">
        <f t="shared" si="7"/>
        <v>4343.8</v>
      </c>
    </row>
    <row r="235" spans="1:16" x14ac:dyDescent="0.3">
      <c r="A235" s="24" t="s">
        <v>62</v>
      </c>
      <c r="B235" s="25" t="s">
        <v>41</v>
      </c>
      <c r="C235" s="26" t="s">
        <v>66</v>
      </c>
      <c r="D235" s="31">
        <v>328.04</v>
      </c>
      <c r="E235" s="31">
        <v>328.04</v>
      </c>
      <c r="F235" s="31">
        <v>328.04</v>
      </c>
      <c r="G235" s="31">
        <v>328.04</v>
      </c>
      <c r="H235" s="31">
        <v>328.04</v>
      </c>
      <c r="I235" s="31">
        <v>308.10000000000002</v>
      </c>
      <c r="J235" s="31">
        <v>308.10000000000002</v>
      </c>
      <c r="K235" s="31">
        <v>308.10000000000002</v>
      </c>
      <c r="L235" s="31">
        <v>489.22500000000002</v>
      </c>
      <c r="M235" s="31">
        <v>489.22500000000002</v>
      </c>
      <c r="N235" s="31">
        <v>489.22500000000002</v>
      </c>
      <c r="O235" s="31">
        <v>489.22500000000002</v>
      </c>
      <c r="P235" s="32">
        <f t="shared" si="7"/>
        <v>4521.3999999999996</v>
      </c>
    </row>
    <row r="236" spans="1:16" x14ac:dyDescent="0.3">
      <c r="A236" s="24" t="s">
        <v>62</v>
      </c>
      <c r="B236" s="25" t="s">
        <v>41</v>
      </c>
      <c r="C236" s="26" t="s">
        <v>67</v>
      </c>
      <c r="D236" s="31">
        <v>353.39499999999998</v>
      </c>
      <c r="E236" s="31">
        <v>353.39499999999998</v>
      </c>
      <c r="F236" s="31">
        <v>353.39499999999998</v>
      </c>
      <c r="G236" s="31">
        <v>353.39499999999998</v>
      </c>
      <c r="H236" s="31">
        <v>353.39499999999998</v>
      </c>
      <c r="I236" s="31">
        <v>334.77499999999998</v>
      </c>
      <c r="J236" s="31">
        <v>334.77499999999998</v>
      </c>
      <c r="K236" s="31">
        <v>334.77499999999998</v>
      </c>
      <c r="L236" s="31">
        <v>481.47500000000002</v>
      </c>
      <c r="M236" s="31">
        <v>481.47500000000002</v>
      </c>
      <c r="N236" s="31">
        <v>481.47500000000002</v>
      </c>
      <c r="O236" s="31">
        <v>481.47500000000002</v>
      </c>
      <c r="P236" s="32">
        <f t="shared" si="7"/>
        <v>4697.2000000000007</v>
      </c>
    </row>
    <row r="237" spans="1:16" x14ac:dyDescent="0.3">
      <c r="A237" s="24" t="s">
        <v>62</v>
      </c>
      <c r="B237" s="25" t="s">
        <v>41</v>
      </c>
      <c r="C237" s="26" t="s">
        <v>68</v>
      </c>
      <c r="D237" s="31">
        <v>195.8666666666667</v>
      </c>
      <c r="E237" s="31">
        <v>195.8666666666667</v>
      </c>
      <c r="F237" s="31">
        <v>195.8666666666667</v>
      </c>
      <c r="G237" s="31">
        <v>195.8666666666667</v>
      </c>
      <c r="H237" s="31">
        <v>195.8666666666667</v>
      </c>
      <c r="I237" s="31">
        <v>166.16666666666671</v>
      </c>
      <c r="J237" s="31">
        <v>166.16666666666671</v>
      </c>
      <c r="K237" s="31">
        <v>166.16666666666671</v>
      </c>
      <c r="L237" s="31">
        <v>324.49166666666667</v>
      </c>
      <c r="M237" s="31">
        <v>324.49166666666667</v>
      </c>
      <c r="N237" s="31">
        <v>324.49166666666667</v>
      </c>
      <c r="O237" s="31">
        <v>324.49166666666667</v>
      </c>
      <c r="P237" s="32">
        <f t="shared" si="7"/>
        <v>2775.8000000000006</v>
      </c>
    </row>
    <row r="238" spans="1:16" x14ac:dyDescent="0.3">
      <c r="A238" s="24" t="s">
        <v>62</v>
      </c>
      <c r="B238" s="25" t="s">
        <v>41</v>
      </c>
      <c r="C238" s="26" t="s">
        <v>69</v>
      </c>
      <c r="D238" s="31">
        <v>285.50333333333327</v>
      </c>
      <c r="E238" s="31">
        <v>285.50333333333327</v>
      </c>
      <c r="F238" s="31">
        <v>285.50333333333327</v>
      </c>
      <c r="G238" s="31">
        <v>285.50333333333327</v>
      </c>
      <c r="H238" s="31">
        <v>285.50333333333327</v>
      </c>
      <c r="I238" s="31">
        <v>261.58333333333331</v>
      </c>
      <c r="J238" s="31">
        <v>261.58333333333331</v>
      </c>
      <c r="K238" s="31">
        <v>261.58333333333331</v>
      </c>
      <c r="L238" s="31">
        <v>426.20833333333343</v>
      </c>
      <c r="M238" s="31">
        <v>426.20833333333343</v>
      </c>
      <c r="N238" s="31">
        <v>426.20833333333343</v>
      </c>
      <c r="O238" s="31">
        <v>426.20833333333343</v>
      </c>
      <c r="P238" s="32">
        <f t="shared" si="7"/>
        <v>3917.1000000000004</v>
      </c>
    </row>
    <row r="239" spans="1:16" x14ac:dyDescent="0.3">
      <c r="A239" s="24" t="s">
        <v>62</v>
      </c>
      <c r="B239" s="25" t="s">
        <v>41</v>
      </c>
      <c r="C239" s="26" t="s">
        <v>70</v>
      </c>
      <c r="D239" s="31">
        <v>231.51</v>
      </c>
      <c r="E239" s="31">
        <v>231.51</v>
      </c>
      <c r="F239" s="31">
        <v>231.51</v>
      </c>
      <c r="G239" s="31">
        <v>231.51</v>
      </c>
      <c r="H239" s="31">
        <v>231.51</v>
      </c>
      <c r="I239" s="31">
        <v>214.55</v>
      </c>
      <c r="J239" s="31">
        <v>214.55</v>
      </c>
      <c r="K239" s="31">
        <v>214.55</v>
      </c>
      <c r="L239" s="31">
        <v>374.15</v>
      </c>
      <c r="M239" s="31">
        <v>374.15</v>
      </c>
      <c r="N239" s="31">
        <v>374.15</v>
      </c>
      <c r="O239" s="31">
        <v>374.15</v>
      </c>
      <c r="P239" s="32">
        <f t="shared" si="7"/>
        <v>3297.8</v>
      </c>
    </row>
    <row r="240" spans="1:16" x14ac:dyDescent="0.3">
      <c r="A240" s="24" t="s">
        <v>62</v>
      </c>
      <c r="B240" s="25" t="s">
        <v>41</v>
      </c>
      <c r="C240" s="26" t="s">
        <v>71</v>
      </c>
      <c r="D240" s="31">
        <v>238.0733333333333</v>
      </c>
      <c r="E240" s="31">
        <v>238.0733333333333</v>
      </c>
      <c r="F240" s="31">
        <v>238.0733333333333</v>
      </c>
      <c r="G240" s="31">
        <v>238.0733333333333</v>
      </c>
      <c r="H240" s="31">
        <v>238.0733333333333</v>
      </c>
      <c r="I240" s="31">
        <v>217.73333333333329</v>
      </c>
      <c r="J240" s="31">
        <v>217.73333333333329</v>
      </c>
      <c r="K240" s="31">
        <v>217.73333333333329</v>
      </c>
      <c r="L240" s="31">
        <v>369.5333333333333</v>
      </c>
      <c r="M240" s="31">
        <v>369.5333333333333</v>
      </c>
      <c r="N240" s="31">
        <v>369.5333333333333</v>
      </c>
      <c r="O240" s="31">
        <v>369.5333333333333</v>
      </c>
      <c r="P240" s="32">
        <f t="shared" si="7"/>
        <v>3321.7</v>
      </c>
    </row>
    <row r="241" spans="1:16" x14ac:dyDescent="0.3">
      <c r="A241" s="24" t="s">
        <v>62</v>
      </c>
      <c r="B241" s="25" t="s">
        <v>41</v>
      </c>
      <c r="C241" s="26" t="s">
        <v>72</v>
      </c>
      <c r="D241" s="31">
        <v>381.15666666666669</v>
      </c>
      <c r="E241" s="31">
        <v>381.15666666666669</v>
      </c>
      <c r="F241" s="31">
        <v>381.15666666666669</v>
      </c>
      <c r="G241" s="31">
        <v>381.15666666666669</v>
      </c>
      <c r="H241" s="31">
        <v>381.15666666666669</v>
      </c>
      <c r="I241" s="31">
        <v>358.7166666666667</v>
      </c>
      <c r="J241" s="31">
        <v>358.7166666666667</v>
      </c>
      <c r="K241" s="31">
        <v>358.7166666666667</v>
      </c>
      <c r="L241" s="31">
        <v>521.8416666666667</v>
      </c>
      <c r="M241" s="31">
        <v>521.8416666666667</v>
      </c>
      <c r="N241" s="31">
        <v>521.8416666666667</v>
      </c>
      <c r="O241" s="31">
        <v>521.8416666666667</v>
      </c>
      <c r="P241" s="32">
        <f t="shared" si="7"/>
        <v>5069.3000000000011</v>
      </c>
    </row>
    <row r="242" spans="1:16" x14ac:dyDescent="0.3">
      <c r="A242" s="24" t="s">
        <v>62</v>
      </c>
      <c r="B242" s="25" t="s">
        <v>41</v>
      </c>
      <c r="C242" s="26" t="s">
        <v>73</v>
      </c>
      <c r="D242" s="31">
        <v>327.73166666666663</v>
      </c>
      <c r="E242" s="31">
        <v>327.73166666666663</v>
      </c>
      <c r="F242" s="31">
        <v>327.73166666666663</v>
      </c>
      <c r="G242" s="31">
        <v>327.73166666666663</v>
      </c>
      <c r="H242" s="31">
        <v>327.73166666666663</v>
      </c>
      <c r="I242" s="31">
        <v>303.79166666666657</v>
      </c>
      <c r="J242" s="31">
        <v>303.79166666666657</v>
      </c>
      <c r="K242" s="31">
        <v>303.79166666666657</v>
      </c>
      <c r="L242" s="31">
        <v>487.21666666666658</v>
      </c>
      <c r="M242" s="31">
        <v>487.21666666666658</v>
      </c>
      <c r="N242" s="31">
        <v>487.21666666666658</v>
      </c>
      <c r="O242" s="31">
        <v>487.21666666666658</v>
      </c>
      <c r="P242" s="32">
        <f t="shared" si="7"/>
        <v>4498.8999999999996</v>
      </c>
    </row>
    <row r="243" spans="1:16" x14ac:dyDescent="0.3">
      <c r="A243" s="24" t="s">
        <v>62</v>
      </c>
      <c r="B243" s="25" t="s">
        <v>41</v>
      </c>
      <c r="C243" s="26" t="s">
        <v>74</v>
      </c>
      <c r="D243" s="31">
        <v>340.36500000000001</v>
      </c>
      <c r="E243" s="31">
        <v>340.36500000000001</v>
      </c>
      <c r="F243" s="31">
        <v>340.36500000000001</v>
      </c>
      <c r="G243" s="31">
        <v>340.36500000000001</v>
      </c>
      <c r="H243" s="31">
        <v>340.36500000000001</v>
      </c>
      <c r="I243" s="31">
        <v>319.125</v>
      </c>
      <c r="J243" s="31">
        <v>319.125</v>
      </c>
      <c r="K243" s="31">
        <v>319.125</v>
      </c>
      <c r="L243" s="31">
        <v>487.22500000000002</v>
      </c>
      <c r="M243" s="31">
        <v>487.22500000000002</v>
      </c>
      <c r="N243" s="31">
        <v>487.22500000000002</v>
      </c>
      <c r="O243" s="31">
        <v>487.22500000000002</v>
      </c>
      <c r="P243" s="32">
        <f t="shared" si="7"/>
        <v>4608.1000000000004</v>
      </c>
    </row>
    <row r="244" spans="1:16" x14ac:dyDescent="0.3">
      <c r="A244" s="24" t="s">
        <v>62</v>
      </c>
      <c r="B244" s="25" t="s">
        <v>41</v>
      </c>
      <c r="C244" s="26" t="s">
        <v>75</v>
      </c>
      <c r="D244" s="31">
        <v>354.22500000000002</v>
      </c>
      <c r="E244" s="31">
        <v>354.22500000000002</v>
      </c>
      <c r="F244" s="31">
        <v>354.22500000000002</v>
      </c>
      <c r="G244" s="31">
        <v>354.22500000000002</v>
      </c>
      <c r="H244" s="31">
        <v>354.22500000000002</v>
      </c>
      <c r="I244" s="31">
        <v>339.32499999999999</v>
      </c>
      <c r="J244" s="31">
        <v>339.32499999999999</v>
      </c>
      <c r="K244" s="31">
        <v>339.32499999999999</v>
      </c>
      <c r="L244" s="31">
        <v>504.7000000000001</v>
      </c>
      <c r="M244" s="31">
        <v>504.7000000000001</v>
      </c>
      <c r="N244" s="31">
        <v>504.7000000000001</v>
      </c>
      <c r="O244" s="31">
        <v>504.7000000000001</v>
      </c>
      <c r="P244" s="32">
        <f t="shared" si="7"/>
        <v>4807.8999999999996</v>
      </c>
    </row>
    <row r="245" spans="1:16" x14ac:dyDescent="0.3">
      <c r="A245" s="24" t="s">
        <v>62</v>
      </c>
      <c r="B245" s="25" t="s">
        <v>41</v>
      </c>
      <c r="C245" s="26" t="s">
        <v>76</v>
      </c>
      <c r="D245" s="31">
        <v>286.02333333333331</v>
      </c>
      <c r="E245" s="31">
        <v>286.02333333333331</v>
      </c>
      <c r="F245" s="31">
        <v>286.02333333333331</v>
      </c>
      <c r="G245" s="31">
        <v>286.02333333333331</v>
      </c>
      <c r="H245" s="31">
        <v>286.02333333333331</v>
      </c>
      <c r="I245" s="31">
        <v>267.18333333333328</v>
      </c>
      <c r="J245" s="31">
        <v>267.18333333333328</v>
      </c>
      <c r="K245" s="31">
        <v>267.18333333333328</v>
      </c>
      <c r="L245" s="31">
        <v>417.25833333333333</v>
      </c>
      <c r="M245" s="31">
        <v>417.25833333333333</v>
      </c>
      <c r="N245" s="31">
        <v>417.25833333333333</v>
      </c>
      <c r="O245" s="31">
        <v>417.25833333333333</v>
      </c>
      <c r="P245" s="32">
        <f t="shared" si="7"/>
        <v>3900.6999999999994</v>
      </c>
    </row>
    <row r="246" spans="1:16" x14ac:dyDescent="0.3">
      <c r="A246" s="24" t="s">
        <v>62</v>
      </c>
      <c r="B246" s="25" t="s">
        <v>41</v>
      </c>
      <c r="C246" s="26" t="s">
        <v>77</v>
      </c>
      <c r="D246" s="31">
        <v>339.685</v>
      </c>
      <c r="E246" s="31">
        <v>339.685</v>
      </c>
      <c r="F246" s="31">
        <v>339.685</v>
      </c>
      <c r="G246" s="31">
        <v>339.685</v>
      </c>
      <c r="H246" s="31">
        <v>339.685</v>
      </c>
      <c r="I246" s="31">
        <v>322.125</v>
      </c>
      <c r="J246" s="31">
        <v>322.125</v>
      </c>
      <c r="K246" s="31">
        <v>322.125</v>
      </c>
      <c r="L246" s="31">
        <v>475.72500000000002</v>
      </c>
      <c r="M246" s="31">
        <v>475.72500000000002</v>
      </c>
      <c r="N246" s="31">
        <v>475.72500000000002</v>
      </c>
      <c r="O246" s="31">
        <v>475.72500000000002</v>
      </c>
      <c r="P246" s="32">
        <f t="shared" si="7"/>
        <v>4567.7</v>
      </c>
    </row>
    <row r="247" spans="1:16" x14ac:dyDescent="0.3">
      <c r="A247" s="24" t="s">
        <v>62</v>
      </c>
      <c r="B247" s="25" t="s">
        <v>41</v>
      </c>
      <c r="C247" s="26" t="s">
        <v>78</v>
      </c>
      <c r="D247" s="31">
        <v>332.78</v>
      </c>
      <c r="E247" s="31">
        <v>332.78</v>
      </c>
      <c r="F247" s="31">
        <v>332.78</v>
      </c>
      <c r="G247" s="31">
        <v>332.78</v>
      </c>
      <c r="H247" s="31">
        <v>332.78</v>
      </c>
      <c r="I247" s="31">
        <v>316.8</v>
      </c>
      <c r="J247" s="31">
        <v>316.8</v>
      </c>
      <c r="K247" s="31">
        <v>316.8</v>
      </c>
      <c r="L247" s="31">
        <v>485.2000000000001</v>
      </c>
      <c r="M247" s="31">
        <v>485.2000000000001</v>
      </c>
      <c r="N247" s="31">
        <v>485.2000000000001</v>
      </c>
      <c r="O247" s="31">
        <v>485.2000000000001</v>
      </c>
      <c r="P247" s="32">
        <f t="shared" si="7"/>
        <v>4555.1000000000013</v>
      </c>
    </row>
    <row r="248" spans="1:16" x14ac:dyDescent="0.3">
      <c r="A248" s="24" t="s">
        <v>62</v>
      </c>
      <c r="B248" s="25" t="s">
        <v>41</v>
      </c>
      <c r="C248" s="26" t="s">
        <v>79</v>
      </c>
      <c r="D248" s="31">
        <v>336.31666666666672</v>
      </c>
      <c r="E248" s="31">
        <v>336.31666666666672</v>
      </c>
      <c r="F248" s="31">
        <v>336.31666666666672</v>
      </c>
      <c r="G248" s="31">
        <v>336.31666666666672</v>
      </c>
      <c r="H248" s="31">
        <v>336.31666666666672</v>
      </c>
      <c r="I248" s="31">
        <v>320.51666666666671</v>
      </c>
      <c r="J248" s="31">
        <v>320.51666666666671</v>
      </c>
      <c r="K248" s="31">
        <v>320.51666666666671</v>
      </c>
      <c r="L248" s="31">
        <v>502.76666666666671</v>
      </c>
      <c r="M248" s="31">
        <v>502.76666666666671</v>
      </c>
      <c r="N248" s="31">
        <v>502.76666666666671</v>
      </c>
      <c r="O248" s="31">
        <v>502.76666666666671</v>
      </c>
      <c r="P248" s="32">
        <f t="shared" si="7"/>
        <v>4654.2000000000007</v>
      </c>
    </row>
    <row r="249" spans="1:16" x14ac:dyDescent="0.3">
      <c r="A249" s="24" t="s">
        <v>62</v>
      </c>
      <c r="B249" s="25" t="s">
        <v>41</v>
      </c>
      <c r="C249" s="26" t="s">
        <v>80</v>
      </c>
      <c r="D249" s="31">
        <v>385.26333333333338</v>
      </c>
      <c r="E249" s="31">
        <v>385.26333333333338</v>
      </c>
      <c r="F249" s="31">
        <v>385.26333333333338</v>
      </c>
      <c r="G249" s="31">
        <v>385.26333333333338</v>
      </c>
      <c r="H249" s="31">
        <v>385.26333333333338</v>
      </c>
      <c r="I249" s="31">
        <v>366.88333333333338</v>
      </c>
      <c r="J249" s="31">
        <v>366.88333333333338</v>
      </c>
      <c r="K249" s="31">
        <v>366.88333333333338</v>
      </c>
      <c r="L249" s="31">
        <v>541.83333333333337</v>
      </c>
      <c r="M249" s="31">
        <v>541.83333333333337</v>
      </c>
      <c r="N249" s="31">
        <v>541.83333333333337</v>
      </c>
      <c r="O249" s="31">
        <v>541.83333333333337</v>
      </c>
      <c r="P249" s="32">
        <f t="shared" si="7"/>
        <v>5194.2999999999993</v>
      </c>
    </row>
    <row r="250" spans="1:16" x14ac:dyDescent="0.3">
      <c r="A250" s="24" t="s">
        <v>62</v>
      </c>
      <c r="B250" s="25" t="s">
        <v>41</v>
      </c>
      <c r="C250" s="26" t="s">
        <v>81</v>
      </c>
      <c r="D250" s="31">
        <v>358.30333333333328</v>
      </c>
      <c r="E250" s="31">
        <v>358.30333333333328</v>
      </c>
      <c r="F250" s="31">
        <v>358.30333333333328</v>
      </c>
      <c r="G250" s="31">
        <v>358.30333333333328</v>
      </c>
      <c r="H250" s="31">
        <v>358.30333333333328</v>
      </c>
      <c r="I250" s="31">
        <v>338.58333333333331</v>
      </c>
      <c r="J250" s="31">
        <v>338.58333333333331</v>
      </c>
      <c r="K250" s="31">
        <v>338.58333333333331</v>
      </c>
      <c r="L250" s="31">
        <v>494.55833333333328</v>
      </c>
      <c r="M250" s="31">
        <v>494.55833333333328</v>
      </c>
      <c r="N250" s="31">
        <v>494.55833333333328</v>
      </c>
      <c r="O250" s="31">
        <v>494.55833333333328</v>
      </c>
      <c r="P250" s="32">
        <f t="shared" si="7"/>
        <v>4785.5</v>
      </c>
    </row>
    <row r="251" spans="1:16" x14ac:dyDescent="0.3">
      <c r="A251" s="24" t="s">
        <v>62</v>
      </c>
      <c r="B251" s="25" t="s">
        <v>41</v>
      </c>
      <c r="C251" s="26" t="s">
        <v>82</v>
      </c>
      <c r="D251" s="31">
        <v>409.10166666666669</v>
      </c>
      <c r="E251" s="31">
        <v>409.10166666666669</v>
      </c>
      <c r="F251" s="31">
        <v>409.10166666666669</v>
      </c>
      <c r="G251" s="31">
        <v>409.10166666666669</v>
      </c>
      <c r="H251" s="31">
        <v>409.10166666666669</v>
      </c>
      <c r="I251" s="31">
        <v>393.3416666666667</v>
      </c>
      <c r="J251" s="31">
        <v>393.3416666666667</v>
      </c>
      <c r="K251" s="31">
        <v>393.3416666666667</v>
      </c>
      <c r="L251" s="31">
        <v>568.06666666666672</v>
      </c>
      <c r="M251" s="31">
        <v>568.06666666666672</v>
      </c>
      <c r="N251" s="31">
        <v>568.06666666666672</v>
      </c>
      <c r="O251" s="31">
        <v>568.06666666666672</v>
      </c>
      <c r="P251" s="32">
        <f t="shared" si="7"/>
        <v>5497.8</v>
      </c>
    </row>
    <row r="252" spans="1:16" x14ac:dyDescent="0.3">
      <c r="A252" s="24" t="s">
        <v>62</v>
      </c>
      <c r="B252" s="25" t="s">
        <v>41</v>
      </c>
      <c r="C252" s="26" t="s">
        <v>83</v>
      </c>
      <c r="D252" s="31">
        <v>273.71833333333342</v>
      </c>
      <c r="E252" s="31">
        <v>273.71833333333342</v>
      </c>
      <c r="F252" s="31">
        <v>273.71833333333342</v>
      </c>
      <c r="G252" s="31">
        <v>273.71833333333342</v>
      </c>
      <c r="H252" s="31">
        <v>273.71833333333342</v>
      </c>
      <c r="I252" s="31">
        <v>252.45833333333329</v>
      </c>
      <c r="J252" s="31">
        <v>252.45833333333329</v>
      </c>
      <c r="K252" s="31">
        <v>252.45833333333329</v>
      </c>
      <c r="L252" s="31">
        <v>437.10833333333329</v>
      </c>
      <c r="M252" s="31">
        <v>437.10833333333329</v>
      </c>
      <c r="N252" s="31">
        <v>437.10833333333329</v>
      </c>
      <c r="O252" s="31">
        <v>437.10833333333329</v>
      </c>
      <c r="P252" s="32">
        <f t="shared" si="7"/>
        <v>3874.3999999999996</v>
      </c>
    </row>
    <row r="253" spans="1:16" x14ac:dyDescent="0.3">
      <c r="A253" s="24" t="s">
        <v>62</v>
      </c>
      <c r="B253" s="25" t="s">
        <v>41</v>
      </c>
      <c r="C253" s="26" t="s">
        <v>84</v>
      </c>
      <c r="D253" s="31">
        <v>339.28166666666658</v>
      </c>
      <c r="E253" s="31">
        <v>339.28166666666658</v>
      </c>
      <c r="F253" s="31">
        <v>339.28166666666658</v>
      </c>
      <c r="G253" s="31">
        <v>339.28166666666658</v>
      </c>
      <c r="H253" s="31">
        <v>339.28166666666658</v>
      </c>
      <c r="I253" s="31">
        <v>322.14166666666671</v>
      </c>
      <c r="J253" s="31">
        <v>322.14166666666671</v>
      </c>
      <c r="K253" s="31">
        <v>322.14166666666671</v>
      </c>
      <c r="L253" s="31">
        <v>505.24166666666667</v>
      </c>
      <c r="M253" s="31">
        <v>505.24166666666667</v>
      </c>
      <c r="N253" s="31">
        <v>505.24166666666667</v>
      </c>
      <c r="O253" s="31">
        <v>505.24166666666667</v>
      </c>
      <c r="P253" s="32">
        <f t="shared" si="7"/>
        <v>4683.8</v>
      </c>
    </row>
    <row r="254" spans="1:16" x14ac:dyDescent="0.3">
      <c r="A254" s="24" t="s">
        <v>62</v>
      </c>
      <c r="B254" s="25" t="s">
        <v>41</v>
      </c>
      <c r="C254" s="26" t="s">
        <v>85</v>
      </c>
      <c r="D254" s="31">
        <v>267.48666666666668</v>
      </c>
      <c r="E254" s="31">
        <v>267.48666666666668</v>
      </c>
      <c r="F254" s="31">
        <v>267.48666666666668</v>
      </c>
      <c r="G254" s="31">
        <v>267.48666666666668</v>
      </c>
      <c r="H254" s="31">
        <v>267.48666666666668</v>
      </c>
      <c r="I254" s="31">
        <v>247.6666666666666</v>
      </c>
      <c r="J254" s="31">
        <v>247.6666666666666</v>
      </c>
      <c r="K254" s="31">
        <v>247.6666666666666</v>
      </c>
      <c r="L254" s="31">
        <v>429.54166666666657</v>
      </c>
      <c r="M254" s="31">
        <v>429.54166666666657</v>
      </c>
      <c r="N254" s="31">
        <v>429.54166666666657</v>
      </c>
      <c r="O254" s="31">
        <v>429.54166666666657</v>
      </c>
      <c r="P254" s="32">
        <f t="shared" ref="P254:P285" si="8">SUM(D254:O254)</f>
        <v>3798.599999999999</v>
      </c>
    </row>
    <row r="255" spans="1:16" x14ac:dyDescent="0.3">
      <c r="A255" s="24" t="s">
        <v>62</v>
      </c>
      <c r="B255" s="25" t="s">
        <v>88</v>
      </c>
      <c r="C255" s="26" t="s">
        <v>63</v>
      </c>
      <c r="D255" s="31">
        <v>16151.674999999999</v>
      </c>
      <c r="E255" s="31">
        <v>15063.948</v>
      </c>
      <c r="F255" s="31">
        <v>13947.305</v>
      </c>
      <c r="G255" s="31">
        <v>12866.386</v>
      </c>
      <c r="H255" s="31">
        <v>11815.781000000001</v>
      </c>
      <c r="I255" s="31">
        <v>10976.048000000001</v>
      </c>
      <c r="J255" s="31">
        <v>10111.689</v>
      </c>
      <c r="K255" s="31">
        <v>9248.0880000000034</v>
      </c>
      <c r="L255" s="31">
        <v>7962.742000000002</v>
      </c>
      <c r="M255" s="31">
        <v>6678.4520000000011</v>
      </c>
      <c r="N255" s="31">
        <v>5392.77</v>
      </c>
      <c r="O255" s="31">
        <v>4106.5519999999997</v>
      </c>
      <c r="P255" s="32">
        <f t="shared" ref="P255:P277" si="9">O255</f>
        <v>4106.5519999999997</v>
      </c>
    </row>
    <row r="256" spans="1:16" x14ac:dyDescent="0.3">
      <c r="A256" s="24" t="s">
        <v>62</v>
      </c>
      <c r="B256" s="25" t="s">
        <v>88</v>
      </c>
      <c r="C256" s="26" t="s">
        <v>64</v>
      </c>
      <c r="D256" s="31">
        <v>21432.350999999999</v>
      </c>
      <c r="E256" s="31">
        <v>19924.308000000001</v>
      </c>
      <c r="F256" s="31">
        <v>18414.014999999999</v>
      </c>
      <c r="G256" s="31">
        <v>16902.70199999999</v>
      </c>
      <c r="H256" s="31">
        <v>15391.12899999999</v>
      </c>
      <c r="I256" s="31">
        <v>14092.03733333333</v>
      </c>
      <c r="J256" s="31">
        <v>12793.205666666659</v>
      </c>
      <c r="K256" s="31">
        <v>11494.20199999999</v>
      </c>
      <c r="L256" s="31">
        <v>9673.5689999999886</v>
      </c>
      <c r="M256" s="31">
        <v>7852.815999999988</v>
      </c>
      <c r="N256" s="31">
        <v>6031.9729999999881</v>
      </c>
      <c r="O256" s="31">
        <v>4211.0639999999876</v>
      </c>
      <c r="P256" s="32">
        <f t="shared" si="9"/>
        <v>4211.0639999999876</v>
      </c>
    </row>
    <row r="257" spans="1:16" x14ac:dyDescent="0.3">
      <c r="A257" s="24" t="s">
        <v>62</v>
      </c>
      <c r="B257" s="25" t="s">
        <v>88</v>
      </c>
      <c r="C257" s="26" t="s">
        <v>65</v>
      </c>
      <c r="D257" s="31">
        <v>22654.861999999979</v>
      </c>
      <c r="E257" s="31">
        <v>21105.189999999991</v>
      </c>
      <c r="F257" s="31">
        <v>19555.16399999999</v>
      </c>
      <c r="G257" s="31">
        <v>18003.911999999989</v>
      </c>
      <c r="H257" s="31">
        <v>16452.34199999999</v>
      </c>
      <c r="I257" s="31">
        <v>14928.59066666666</v>
      </c>
      <c r="J257" s="31">
        <v>13404.67533333332</v>
      </c>
      <c r="K257" s="31">
        <v>11881.081999999989</v>
      </c>
      <c r="L257" s="31">
        <v>10269.304999999989</v>
      </c>
      <c r="M257" s="31">
        <v>8657.5679999999902</v>
      </c>
      <c r="N257" s="31">
        <v>7046.5309999999918</v>
      </c>
      <c r="O257" s="31">
        <v>5435.0379999999914</v>
      </c>
      <c r="P257" s="32">
        <f t="shared" si="9"/>
        <v>5435.0379999999914</v>
      </c>
    </row>
    <row r="258" spans="1:16" x14ac:dyDescent="0.3">
      <c r="A258" s="24" t="s">
        <v>62</v>
      </c>
      <c r="B258" s="25" t="s">
        <v>88</v>
      </c>
      <c r="C258" s="26" t="s">
        <v>66</v>
      </c>
      <c r="D258" s="31">
        <v>23873.432000000001</v>
      </c>
      <c r="E258" s="31">
        <v>22477.65</v>
      </c>
      <c r="F258" s="31">
        <v>21081.27</v>
      </c>
      <c r="G258" s="31">
        <v>19683.669999999991</v>
      </c>
      <c r="H258" s="31">
        <v>18285.94999999999</v>
      </c>
      <c r="I258" s="31">
        <v>16906.087999999989</v>
      </c>
      <c r="J258" s="31">
        <v>15525.89599999999</v>
      </c>
      <c r="K258" s="31">
        <v>14145.857999999989</v>
      </c>
      <c r="L258" s="31">
        <v>12214.77499999998</v>
      </c>
      <c r="M258" s="31">
        <v>10283.895999999981</v>
      </c>
      <c r="N258" s="31">
        <v>8353.8269999999829</v>
      </c>
      <c r="O258" s="31">
        <v>6423.969999999983</v>
      </c>
      <c r="P258" s="32">
        <f t="shared" si="9"/>
        <v>6423.969999999983</v>
      </c>
    </row>
    <row r="259" spans="1:16" x14ac:dyDescent="0.3">
      <c r="A259" s="24" t="s">
        <v>62</v>
      </c>
      <c r="B259" s="25" t="s">
        <v>88</v>
      </c>
      <c r="C259" s="26" t="s">
        <v>67</v>
      </c>
      <c r="D259" s="31">
        <v>26399.878999999979</v>
      </c>
      <c r="E259" s="31">
        <v>24456.53999999999</v>
      </c>
      <c r="F259" s="31">
        <v>22510.722999999991</v>
      </c>
      <c r="G259" s="31">
        <v>20563.93</v>
      </c>
      <c r="H259" s="31">
        <v>18617.181</v>
      </c>
      <c r="I259" s="31">
        <v>17015.654666666662</v>
      </c>
      <c r="J259" s="31">
        <v>15413.720333333329</v>
      </c>
      <c r="K259" s="31">
        <v>13811.518</v>
      </c>
      <c r="L259" s="31">
        <v>11760.42399999999</v>
      </c>
      <c r="M259" s="31">
        <v>9709.8219999999892</v>
      </c>
      <c r="N259" s="31">
        <v>7659.2539999999872</v>
      </c>
      <c r="O259" s="31">
        <v>5608.1439999999866</v>
      </c>
      <c r="P259" s="32">
        <f t="shared" si="9"/>
        <v>5608.1439999999866</v>
      </c>
    </row>
    <row r="260" spans="1:16" x14ac:dyDescent="0.3">
      <c r="A260" s="24" t="s">
        <v>62</v>
      </c>
      <c r="B260" s="25" t="s">
        <v>88</v>
      </c>
      <c r="C260" s="26" t="s">
        <v>68</v>
      </c>
      <c r="D260" s="31">
        <v>20414.747333333318</v>
      </c>
      <c r="E260" s="31">
        <v>18815.194666666652</v>
      </c>
      <c r="F260" s="31">
        <v>17213.42199999998</v>
      </c>
      <c r="G260" s="31">
        <v>15611.581333333321</v>
      </c>
      <c r="H260" s="31">
        <v>14009.00066666665</v>
      </c>
      <c r="I260" s="31">
        <v>12728.010666666651</v>
      </c>
      <c r="J260" s="31">
        <v>11446.67466666665</v>
      </c>
      <c r="K260" s="31">
        <v>10166.272666666649</v>
      </c>
      <c r="L260" s="31">
        <v>8514.3279999999831</v>
      </c>
      <c r="M260" s="31">
        <v>6862.3013333333183</v>
      </c>
      <c r="N260" s="31">
        <v>5209.5546666666514</v>
      </c>
      <c r="O260" s="31">
        <v>3557.4219999999841</v>
      </c>
      <c r="P260" s="32">
        <f t="shared" si="9"/>
        <v>3557.4219999999841</v>
      </c>
    </row>
    <row r="261" spans="1:16" x14ac:dyDescent="0.3">
      <c r="A261" s="24" t="s">
        <v>62</v>
      </c>
      <c r="B261" s="25" t="s">
        <v>88</v>
      </c>
      <c r="C261" s="26" t="s">
        <v>69</v>
      </c>
      <c r="D261" s="31">
        <v>24974.79266666665</v>
      </c>
      <c r="E261" s="31">
        <v>23292.671333333321</v>
      </c>
      <c r="F261" s="31">
        <v>21608.763999999981</v>
      </c>
      <c r="G261" s="31">
        <v>19924.27866666664</v>
      </c>
      <c r="H261" s="31">
        <v>18239.43733333331</v>
      </c>
      <c r="I261" s="31">
        <v>16523.578666666639</v>
      </c>
      <c r="J261" s="31">
        <v>14808.099999999969</v>
      </c>
      <c r="K261" s="31">
        <v>13092.833333333299</v>
      </c>
      <c r="L261" s="31">
        <v>10980.95799999997</v>
      </c>
      <c r="M261" s="31">
        <v>8869.7566666666371</v>
      </c>
      <c r="N261" s="31">
        <v>6755.5693333333038</v>
      </c>
      <c r="O261" s="31">
        <v>4641.6959999999708</v>
      </c>
      <c r="P261" s="32">
        <f t="shared" si="9"/>
        <v>4641.6959999999708</v>
      </c>
    </row>
    <row r="262" spans="1:16" x14ac:dyDescent="0.3">
      <c r="A262" s="24" t="s">
        <v>62</v>
      </c>
      <c r="B262" s="25" t="s">
        <v>88</v>
      </c>
      <c r="C262" s="26" t="s">
        <v>70</v>
      </c>
      <c r="D262" s="31">
        <v>24505.105999999971</v>
      </c>
      <c r="E262" s="31">
        <v>22809.273999999979</v>
      </c>
      <c r="F262" s="31">
        <v>21107.071999999978</v>
      </c>
      <c r="G262" s="31">
        <v>19405.629999999979</v>
      </c>
      <c r="H262" s="31">
        <v>17692.049999999981</v>
      </c>
      <c r="I262" s="31">
        <v>16125.20266666665</v>
      </c>
      <c r="J262" s="31">
        <v>14558.045333333321</v>
      </c>
      <c r="K262" s="31">
        <v>12991.157999999979</v>
      </c>
      <c r="L262" s="31">
        <v>11005.02599999998</v>
      </c>
      <c r="M262" s="31">
        <v>9018.2419999999856</v>
      </c>
      <c r="N262" s="31">
        <v>7032.2559999999867</v>
      </c>
      <c r="O262" s="31">
        <v>5048.9659999999876</v>
      </c>
      <c r="P262" s="32">
        <f t="shared" si="9"/>
        <v>5048.9659999999876</v>
      </c>
    </row>
    <row r="263" spans="1:16" x14ac:dyDescent="0.3">
      <c r="A263" s="24" t="s">
        <v>62</v>
      </c>
      <c r="B263" s="25" t="s">
        <v>88</v>
      </c>
      <c r="C263" s="26" t="s">
        <v>71</v>
      </c>
      <c r="D263" s="31">
        <v>23712.11666666665</v>
      </c>
      <c r="E263" s="31">
        <v>22102.003333333319</v>
      </c>
      <c r="F263" s="31">
        <v>20489.173999999992</v>
      </c>
      <c r="G263" s="31">
        <v>18876.604666666659</v>
      </c>
      <c r="H263" s="31">
        <v>17264.46733333333</v>
      </c>
      <c r="I263" s="31">
        <v>15933.209333333331</v>
      </c>
      <c r="J263" s="31">
        <v>14601.487333333331</v>
      </c>
      <c r="K263" s="31">
        <v>13270.05533333333</v>
      </c>
      <c r="L263" s="31">
        <v>11399.070999999991</v>
      </c>
      <c r="M263" s="31">
        <v>9527.8906666666608</v>
      </c>
      <c r="N263" s="31">
        <v>7656.4363333333276</v>
      </c>
      <c r="O263" s="31">
        <v>5793.6879999999946</v>
      </c>
      <c r="P263" s="32">
        <f t="shared" si="9"/>
        <v>5793.6879999999946</v>
      </c>
    </row>
    <row r="264" spans="1:16" x14ac:dyDescent="0.3">
      <c r="A264" s="24" t="s">
        <v>62</v>
      </c>
      <c r="B264" s="25" t="s">
        <v>88</v>
      </c>
      <c r="C264" s="26" t="s">
        <v>72</v>
      </c>
      <c r="D264" s="31">
        <v>25048.21733333333</v>
      </c>
      <c r="E264" s="31">
        <v>23187.562666666669</v>
      </c>
      <c r="F264" s="31">
        <v>21324.920000000009</v>
      </c>
      <c r="G264" s="31">
        <v>19466.707333333339</v>
      </c>
      <c r="H264" s="31">
        <v>17604.11866666668</v>
      </c>
      <c r="I264" s="31">
        <v>15799.71200000001</v>
      </c>
      <c r="J264" s="31">
        <v>14006.974333333341</v>
      </c>
      <c r="K264" s="31">
        <v>12212.828666666681</v>
      </c>
      <c r="L264" s="31">
        <v>10269.67200000001</v>
      </c>
      <c r="M264" s="31">
        <v>8325.0923333333376</v>
      </c>
      <c r="N264" s="31">
        <v>6389.4036666666707</v>
      </c>
      <c r="O264" s="31">
        <v>4445.7970000000041</v>
      </c>
      <c r="P264" s="32">
        <f t="shared" si="9"/>
        <v>4445.7970000000041</v>
      </c>
    </row>
    <row r="265" spans="1:16" x14ac:dyDescent="0.3">
      <c r="A265" s="24" t="s">
        <v>62</v>
      </c>
      <c r="B265" s="25" t="s">
        <v>88</v>
      </c>
      <c r="C265" s="26" t="s">
        <v>73</v>
      </c>
      <c r="D265" s="31">
        <v>25224.128333333341</v>
      </c>
      <c r="E265" s="31">
        <v>23383.558666666671</v>
      </c>
      <c r="F265" s="31">
        <v>21542.850999999999</v>
      </c>
      <c r="G265" s="31">
        <v>19701.293333333331</v>
      </c>
      <c r="H265" s="31">
        <v>17859.204666666661</v>
      </c>
      <c r="I265" s="31">
        <v>16088.533666666661</v>
      </c>
      <c r="J265" s="31">
        <v>14317.62566666666</v>
      </c>
      <c r="K265" s="31">
        <v>12546.848666666659</v>
      </c>
      <c r="L265" s="31">
        <v>10403.089999999989</v>
      </c>
      <c r="M265" s="31">
        <v>8259.5283333333246</v>
      </c>
      <c r="N265" s="31">
        <v>6128.4276666666592</v>
      </c>
      <c r="O265" s="31">
        <v>3985.235999999994</v>
      </c>
      <c r="P265" s="32">
        <f t="shared" si="9"/>
        <v>3985.235999999994</v>
      </c>
    </row>
    <row r="266" spans="1:16" x14ac:dyDescent="0.3">
      <c r="A266" s="24" t="s">
        <v>62</v>
      </c>
      <c r="B266" s="25" t="s">
        <v>88</v>
      </c>
      <c r="C266" s="26" t="s">
        <v>74</v>
      </c>
      <c r="D266" s="31">
        <v>33052.108</v>
      </c>
      <c r="E266" s="31">
        <v>31035.350999999999</v>
      </c>
      <c r="F266" s="31">
        <v>29016.786</v>
      </c>
      <c r="G266" s="31">
        <v>26997.993999999999</v>
      </c>
      <c r="H266" s="31">
        <v>24984.69</v>
      </c>
      <c r="I266" s="31">
        <v>23033.508666666661</v>
      </c>
      <c r="J266" s="31">
        <v>21082.601333333329</v>
      </c>
      <c r="K266" s="31">
        <v>19135.13</v>
      </c>
      <c r="L266" s="31">
        <v>16520.187999999998</v>
      </c>
      <c r="M266" s="31">
        <v>13898.951999999999</v>
      </c>
      <c r="N266" s="31">
        <v>11279.242</v>
      </c>
      <c r="O266" s="31">
        <v>8658.6199999999953</v>
      </c>
      <c r="P266" s="32">
        <f t="shared" si="9"/>
        <v>8658.6199999999953</v>
      </c>
    </row>
    <row r="267" spans="1:16" x14ac:dyDescent="0.3">
      <c r="A267" s="24" t="s">
        <v>62</v>
      </c>
      <c r="B267" s="25" t="s">
        <v>88</v>
      </c>
      <c r="C267" s="26" t="s">
        <v>75</v>
      </c>
      <c r="D267" s="31">
        <v>30773.140999999989</v>
      </c>
      <c r="E267" s="31">
        <v>28638.830999999991</v>
      </c>
      <c r="F267" s="31">
        <v>26500.32499999999</v>
      </c>
      <c r="G267" s="31">
        <v>24368.50599999999</v>
      </c>
      <c r="H267" s="31">
        <v>22307.139999999989</v>
      </c>
      <c r="I267" s="31">
        <v>20390.010999999991</v>
      </c>
      <c r="J267" s="31">
        <v>18470.722999999991</v>
      </c>
      <c r="K267" s="31">
        <v>16555.404999999981</v>
      </c>
      <c r="L267" s="31">
        <v>13966.559999999979</v>
      </c>
      <c r="M267" s="31">
        <v>11377.958999999981</v>
      </c>
      <c r="N267" s="31">
        <v>8785.9119999999821</v>
      </c>
      <c r="O267" s="31">
        <v>6197.4869999999837</v>
      </c>
      <c r="P267" s="32">
        <f t="shared" si="9"/>
        <v>6197.4869999999837</v>
      </c>
    </row>
    <row r="268" spans="1:16" x14ac:dyDescent="0.3">
      <c r="A268" s="24" t="s">
        <v>62</v>
      </c>
      <c r="B268" s="25" t="s">
        <v>88</v>
      </c>
      <c r="C268" s="26" t="s">
        <v>76</v>
      </c>
      <c r="D268" s="31">
        <v>26328.877666666649</v>
      </c>
      <c r="E268" s="31">
        <v>24195.446333333311</v>
      </c>
      <c r="F268" s="31">
        <v>22070.237999999979</v>
      </c>
      <c r="G268" s="31">
        <v>19936.204666666639</v>
      </c>
      <c r="H268" s="31">
        <v>17802.1753333333</v>
      </c>
      <c r="I268" s="31">
        <v>16058.636333333299</v>
      </c>
      <c r="J268" s="31">
        <v>14315.36533333331</v>
      </c>
      <c r="K268" s="31">
        <v>12570.79733333331</v>
      </c>
      <c r="L268" s="31">
        <v>10460.742999999969</v>
      </c>
      <c r="M268" s="31">
        <v>8355.0026666666399</v>
      </c>
      <c r="N268" s="31">
        <v>6252.8893333333071</v>
      </c>
      <c r="O268" s="31">
        <v>4151.0009999999747</v>
      </c>
      <c r="P268" s="32">
        <f t="shared" si="9"/>
        <v>4151.0009999999747</v>
      </c>
    </row>
    <row r="269" spans="1:16" x14ac:dyDescent="0.3">
      <c r="A269" s="24" t="s">
        <v>62</v>
      </c>
      <c r="B269" s="25" t="s">
        <v>88</v>
      </c>
      <c r="C269" s="26" t="s">
        <v>77</v>
      </c>
      <c r="D269" s="31">
        <v>26672.077999999969</v>
      </c>
      <c r="E269" s="31">
        <v>24815.959999999959</v>
      </c>
      <c r="F269" s="31">
        <v>22963.192999999959</v>
      </c>
      <c r="G269" s="31">
        <v>21105.167999999951</v>
      </c>
      <c r="H269" s="31">
        <v>19246.692999999948</v>
      </c>
      <c r="I269" s="31">
        <v>17556.230333333278</v>
      </c>
      <c r="J269" s="31">
        <v>15867.98266666661</v>
      </c>
      <c r="K269" s="31">
        <v>14176.32399999995</v>
      </c>
      <c r="L269" s="31">
        <v>11926.94199999995</v>
      </c>
      <c r="M269" s="31">
        <v>9675.1599999999471</v>
      </c>
      <c r="N269" s="31">
        <v>7433.8749999999491</v>
      </c>
      <c r="O269" s="31">
        <v>5181.8939999999493</v>
      </c>
      <c r="P269" s="32">
        <f t="shared" si="9"/>
        <v>5181.8939999999493</v>
      </c>
    </row>
    <row r="270" spans="1:16" x14ac:dyDescent="0.3">
      <c r="A270" s="24" t="s">
        <v>62</v>
      </c>
      <c r="B270" s="25" t="s">
        <v>88</v>
      </c>
      <c r="C270" s="26" t="s">
        <v>78</v>
      </c>
      <c r="D270" s="31">
        <v>28565.783999999949</v>
      </c>
      <c r="E270" s="31">
        <v>26534.33699999996</v>
      </c>
      <c r="F270" s="31">
        <v>24500.559999999961</v>
      </c>
      <c r="G270" s="31">
        <v>22467.298999999959</v>
      </c>
      <c r="H270" s="31">
        <v>20431.26599999996</v>
      </c>
      <c r="I270" s="31">
        <v>18415.093666666631</v>
      </c>
      <c r="J270" s="31">
        <v>16400.3363333333</v>
      </c>
      <c r="K270" s="31">
        <v>14388.02699999996</v>
      </c>
      <c r="L270" s="31">
        <v>12125.536999999969</v>
      </c>
      <c r="M270" s="31">
        <v>9862.2539999999644</v>
      </c>
      <c r="N270" s="31">
        <v>7597.2949999999637</v>
      </c>
      <c r="O270" s="31">
        <v>5336.1079999999638</v>
      </c>
      <c r="P270" s="32">
        <f t="shared" si="9"/>
        <v>5336.1079999999638</v>
      </c>
    </row>
    <row r="271" spans="1:16" x14ac:dyDescent="0.3">
      <c r="A271" s="24" t="s">
        <v>62</v>
      </c>
      <c r="B271" s="25" t="s">
        <v>88</v>
      </c>
      <c r="C271" s="26" t="s">
        <v>79</v>
      </c>
      <c r="D271" s="31">
        <v>29589.2463333333</v>
      </c>
      <c r="E271" s="31">
        <v>27273.72566666664</v>
      </c>
      <c r="F271" s="31">
        <v>24958.182999999972</v>
      </c>
      <c r="G271" s="31">
        <v>22639.4963333333</v>
      </c>
      <c r="H271" s="31">
        <v>20320.93866666664</v>
      </c>
      <c r="I271" s="31">
        <v>18272.204999999969</v>
      </c>
      <c r="J271" s="31">
        <v>16224.1043333333</v>
      </c>
      <c r="K271" s="31">
        <v>14179.52866666664</v>
      </c>
      <c r="L271" s="31">
        <v>11699.61099999997</v>
      </c>
      <c r="M271" s="31">
        <v>9224.8423333333049</v>
      </c>
      <c r="N271" s="31">
        <v>6763.377666666639</v>
      </c>
      <c r="O271" s="31">
        <v>4289.125999999972</v>
      </c>
      <c r="P271" s="32">
        <f t="shared" si="9"/>
        <v>4289.125999999972</v>
      </c>
    </row>
    <row r="272" spans="1:16" x14ac:dyDescent="0.3">
      <c r="A272" s="24" t="s">
        <v>62</v>
      </c>
      <c r="B272" s="25" t="s">
        <v>88</v>
      </c>
      <c r="C272" s="26" t="s">
        <v>80</v>
      </c>
      <c r="D272" s="31">
        <v>29899.970666666639</v>
      </c>
      <c r="E272" s="31">
        <v>27854.720333333309</v>
      </c>
      <c r="F272" s="31">
        <v>25807.022999999968</v>
      </c>
      <c r="G272" s="31">
        <v>23759.62066666664</v>
      </c>
      <c r="H272" s="31">
        <v>21714.653333333299</v>
      </c>
      <c r="I272" s="31">
        <v>19816.264666666641</v>
      </c>
      <c r="J272" s="31">
        <v>17920.13899999997</v>
      </c>
      <c r="K272" s="31">
        <v>16028.029333333299</v>
      </c>
      <c r="L272" s="31">
        <v>13240.86899999997</v>
      </c>
      <c r="M272" s="31">
        <v>10439.495666666629</v>
      </c>
      <c r="N272" s="31">
        <v>7642.241333333297</v>
      </c>
      <c r="O272" s="31">
        <v>4843.0629999999637</v>
      </c>
      <c r="P272" s="32">
        <f t="shared" si="9"/>
        <v>4843.0629999999637</v>
      </c>
    </row>
    <row r="273" spans="1:16" x14ac:dyDescent="0.3">
      <c r="A273" s="24" t="s">
        <v>62</v>
      </c>
      <c r="B273" s="25" t="s">
        <v>88</v>
      </c>
      <c r="C273" s="26" t="s">
        <v>81</v>
      </c>
      <c r="D273" s="31">
        <v>31303.052666666641</v>
      </c>
      <c r="E273" s="31">
        <v>28892.970333333309</v>
      </c>
      <c r="F273" s="31">
        <v>26482.08499999997</v>
      </c>
      <c r="G273" s="31">
        <v>24069.393666666641</v>
      </c>
      <c r="H273" s="31">
        <v>21658.134333333299</v>
      </c>
      <c r="I273" s="31">
        <v>19369.026666666639</v>
      </c>
      <c r="J273" s="31">
        <v>17081.37199999997</v>
      </c>
      <c r="K273" s="31">
        <v>14793.637333333299</v>
      </c>
      <c r="L273" s="31">
        <v>12385.22899999997</v>
      </c>
      <c r="M273" s="31">
        <v>10024.09266666664</v>
      </c>
      <c r="N273" s="31">
        <v>7620.8123333333006</v>
      </c>
      <c r="O273" s="31">
        <v>5220.7739999999694</v>
      </c>
      <c r="P273" s="32">
        <f t="shared" si="9"/>
        <v>5220.7739999999694</v>
      </c>
    </row>
    <row r="274" spans="1:16" x14ac:dyDescent="0.3">
      <c r="A274" s="24" t="s">
        <v>62</v>
      </c>
      <c r="B274" s="25" t="s">
        <v>88</v>
      </c>
      <c r="C274" s="26" t="s">
        <v>82</v>
      </c>
      <c r="D274" s="31">
        <v>22868.0133333333</v>
      </c>
      <c r="E274" s="31">
        <v>21128.930666666642</v>
      </c>
      <c r="F274" s="31">
        <v>19391.26299999997</v>
      </c>
      <c r="G274" s="31">
        <v>17643.572333333301</v>
      </c>
      <c r="H274" s="31">
        <v>15890.96566666664</v>
      </c>
      <c r="I274" s="31">
        <v>14282.5943333333</v>
      </c>
      <c r="J274" s="31">
        <v>12672.93499999997</v>
      </c>
      <c r="K274" s="31">
        <v>11069.10566666663</v>
      </c>
      <c r="L274" s="31">
        <v>9220.2159999999676</v>
      </c>
      <c r="M274" s="31">
        <v>7369.3273333333018</v>
      </c>
      <c r="N274" s="31">
        <v>5516.7096666666348</v>
      </c>
      <c r="O274" s="31">
        <v>3662.7649999999689</v>
      </c>
      <c r="P274" s="32">
        <f t="shared" si="9"/>
        <v>3662.7649999999689</v>
      </c>
    </row>
    <row r="275" spans="1:16" x14ac:dyDescent="0.3">
      <c r="A275" s="24" t="s">
        <v>62</v>
      </c>
      <c r="B275" s="25" t="s">
        <v>88</v>
      </c>
      <c r="C275" s="26" t="s">
        <v>83</v>
      </c>
      <c r="D275" s="31">
        <v>30523.341666666642</v>
      </c>
      <c r="E275" s="31">
        <v>28327.844333333309</v>
      </c>
      <c r="F275" s="31">
        <v>26097.627999999972</v>
      </c>
      <c r="G275" s="31">
        <v>23866.737666666639</v>
      </c>
      <c r="H275" s="31">
        <v>21635.302333333311</v>
      </c>
      <c r="I275" s="31">
        <v>19256.645333333308</v>
      </c>
      <c r="J275" s="31">
        <v>16878.325333333309</v>
      </c>
      <c r="K275" s="31">
        <v>14500.94733333331</v>
      </c>
      <c r="L275" s="31">
        <v>12177.23399999998</v>
      </c>
      <c r="M275" s="31">
        <v>9853.3426666666455</v>
      </c>
      <c r="N275" s="31">
        <v>7531.3723333333128</v>
      </c>
      <c r="O275" s="31">
        <v>5208.4759999999787</v>
      </c>
      <c r="P275" s="32">
        <f t="shared" si="9"/>
        <v>5208.4759999999787</v>
      </c>
    </row>
    <row r="276" spans="1:16" x14ac:dyDescent="0.3">
      <c r="A276" s="24" t="s">
        <v>62</v>
      </c>
      <c r="B276" s="25" t="s">
        <v>88</v>
      </c>
      <c r="C276" s="26" t="s">
        <v>84</v>
      </c>
      <c r="D276" s="31">
        <v>31876.438333333299</v>
      </c>
      <c r="E276" s="31">
        <v>29395.72466666664</v>
      </c>
      <c r="F276" s="31">
        <v>26895.555999999979</v>
      </c>
      <c r="G276" s="31">
        <v>24394.867333333321</v>
      </c>
      <c r="H276" s="31">
        <v>21897.13166666665</v>
      </c>
      <c r="I276" s="31">
        <v>19652.921333333321</v>
      </c>
      <c r="J276" s="31">
        <v>17408.835999999999</v>
      </c>
      <c r="K276" s="31">
        <v>15164.363666666661</v>
      </c>
      <c r="L276" s="31">
        <v>12554.278</v>
      </c>
      <c r="M276" s="31">
        <v>9942.8123333333315</v>
      </c>
      <c r="N276" s="31">
        <v>7331.7626666666638</v>
      </c>
      <c r="O276" s="31">
        <v>4721.0779999999977</v>
      </c>
      <c r="P276" s="32">
        <f t="shared" si="9"/>
        <v>4721.0779999999977</v>
      </c>
    </row>
    <row r="277" spans="1:16" x14ac:dyDescent="0.3">
      <c r="A277" s="24" t="s">
        <v>62</v>
      </c>
      <c r="B277" s="25" t="s">
        <v>88</v>
      </c>
      <c r="C277" s="26" t="s">
        <v>85</v>
      </c>
      <c r="D277" s="31">
        <v>31948.314333333339</v>
      </c>
      <c r="E277" s="31">
        <v>29613.33866666667</v>
      </c>
      <c r="F277" s="31">
        <v>27292.678</v>
      </c>
      <c r="G277" s="31">
        <v>24961.843333333341</v>
      </c>
      <c r="H277" s="31">
        <v>22631.289666666671</v>
      </c>
      <c r="I277" s="31">
        <v>20247.347333333339</v>
      </c>
      <c r="J277" s="31">
        <v>17861.149000000001</v>
      </c>
      <c r="K277" s="31">
        <v>15476.002666666671</v>
      </c>
      <c r="L277" s="31">
        <v>12553.911</v>
      </c>
      <c r="M277" s="31">
        <v>9631.9843333333356</v>
      </c>
      <c r="N277" s="31">
        <v>6711.4836666666688</v>
      </c>
      <c r="O277" s="31">
        <v>3808.4420000000009</v>
      </c>
      <c r="P277" s="32">
        <f t="shared" si="9"/>
        <v>3808.4420000000009</v>
      </c>
    </row>
  </sheetData>
  <autoFilter ref="A1:P277" xr:uid="{00000000-0009-0000-0000-000000000000}"/>
  <conditionalFormatting sqref="D20:P20">
    <cfRule type="cellIs" dxfId="111" priority="1" operator="equal">
      <formula>0</formula>
    </cfRule>
    <cfRule type="cellIs" dxfId="110" priority="2" operator="notEqual">
      <formula>0</formula>
    </cfRule>
  </conditionalFormatting>
  <conditionalFormatting sqref="D38:P38">
    <cfRule type="cellIs" dxfId="109" priority="27" operator="equal">
      <formula>0</formula>
    </cfRule>
    <cfRule type="cellIs" dxfId="108" priority="28" operator="notEqual">
      <formula>0</formula>
    </cfRule>
  </conditionalFormatting>
  <conditionalFormatting sqref="D56:P56">
    <cfRule type="cellIs" dxfId="107" priority="53" operator="equal">
      <formula>0</formula>
    </cfRule>
    <cfRule type="cellIs" dxfId="106" priority="54" operator="notEqual">
      <formula>0</formula>
    </cfRule>
  </conditionalFormatting>
  <conditionalFormatting sqref="D74:P74">
    <cfRule type="cellIs" dxfId="105" priority="79" operator="equal">
      <formula>0</formula>
    </cfRule>
    <cfRule type="cellIs" dxfId="104" priority="80" operator="notEqual">
      <formula>0</formula>
    </cfRule>
  </conditionalFormatting>
  <conditionalFormatting sqref="D92:P92">
    <cfRule type="cellIs" dxfId="103" priority="105" operator="equal">
      <formula>0</formula>
    </cfRule>
    <cfRule type="cellIs" dxfId="102" priority="106" operator="notEqual">
      <formula>0</formula>
    </cfRule>
  </conditionalFormatting>
  <conditionalFormatting sqref="D110:P110">
    <cfRule type="cellIs" dxfId="101" priority="131" operator="equal">
      <formula>0</formula>
    </cfRule>
    <cfRule type="cellIs" dxfId="100" priority="132" operator="notEqual">
      <formula>0</formula>
    </cfRule>
  </conditionalFormatting>
  <conditionalFormatting sqref="D128:P128">
    <cfRule type="cellIs" dxfId="99" priority="157" operator="equal">
      <formula>0</formula>
    </cfRule>
    <cfRule type="cellIs" dxfId="98" priority="158" operator="notEqual">
      <formula>0</formula>
    </cfRule>
  </conditionalFormatting>
  <conditionalFormatting sqref="D146:P146">
    <cfRule type="cellIs" dxfId="97" priority="183" operator="equal">
      <formula>0</formula>
    </cfRule>
    <cfRule type="cellIs" dxfId="96" priority="184" operator="notEqual">
      <formula>0</formula>
    </cfRule>
  </conditionalFormatting>
  <conditionalFormatting sqref="D164:P164">
    <cfRule type="cellIs" dxfId="95" priority="209" operator="equal">
      <formula>0</formula>
    </cfRule>
    <cfRule type="cellIs" dxfId="94" priority="210" operator="notEqual">
      <formula>0</formula>
    </cfRule>
  </conditionalFormatting>
  <conditionalFormatting sqref="D182:P182">
    <cfRule type="cellIs" dxfId="93" priority="235" operator="equal">
      <formula>0</formula>
    </cfRule>
    <cfRule type="cellIs" dxfId="92" priority="236" operator="notEqual">
      <formula>0</formula>
    </cfRule>
  </conditionalFormatting>
  <conditionalFormatting sqref="D200:P200">
    <cfRule type="cellIs" dxfId="91" priority="261" operator="equal">
      <formula>0</formula>
    </cfRule>
    <cfRule type="cellIs" dxfId="90" priority="262" operator="notEqual">
      <formula>0</formula>
    </cfRule>
  </conditionalFormatting>
  <conditionalFormatting sqref="D218:P218">
    <cfRule type="cellIs" dxfId="89" priority="287" operator="equal">
      <formula>0</formula>
    </cfRule>
    <cfRule type="cellIs" dxfId="88" priority="288" operator="notEqual">
      <formula>0</formula>
    </cfRule>
  </conditionalFormatting>
  <conditionalFormatting sqref="D236:P236">
    <cfRule type="cellIs" dxfId="87" priority="313" operator="equal">
      <formula>0</formula>
    </cfRule>
    <cfRule type="cellIs" dxfId="86" priority="314" operator="notEqual">
      <formula>0</formula>
    </cfRule>
  </conditionalFormatting>
  <conditionalFormatting sqref="D254:P254">
    <cfRule type="cellIs" dxfId="85" priority="339" operator="equal">
      <formula>0</formula>
    </cfRule>
    <cfRule type="cellIs" dxfId="84" priority="340" operator="notEqual">
      <formula>0</formula>
    </cfRule>
  </conditionalFormatting>
  <conditionalFormatting sqref="D272:P272">
    <cfRule type="cellIs" dxfId="83" priority="365" operator="equal">
      <formula>0</formula>
    </cfRule>
    <cfRule type="cellIs" dxfId="82" priority="366" operator="notEqual">
      <formula>0</formula>
    </cfRule>
  </conditionalFormatting>
  <conditionalFormatting sqref="D290:P290">
    <cfRule type="cellIs" dxfId="81" priority="391" operator="equal">
      <formula>0</formula>
    </cfRule>
    <cfRule type="cellIs" dxfId="80" priority="392" operator="notEqual">
      <formula>0</formula>
    </cfRule>
  </conditionalFormatting>
  <conditionalFormatting sqref="D308:P308">
    <cfRule type="cellIs" dxfId="79" priority="417" operator="equal">
      <formula>0</formula>
    </cfRule>
    <cfRule type="cellIs" dxfId="78" priority="418" operator="notEqual">
      <formula>0</formula>
    </cfRule>
  </conditionalFormatting>
  <conditionalFormatting sqref="D326:P326">
    <cfRule type="cellIs" dxfId="77" priority="443" operator="equal">
      <formula>0</formula>
    </cfRule>
    <cfRule type="cellIs" dxfId="76" priority="444" operator="notEqual">
      <formula>0</formula>
    </cfRule>
  </conditionalFormatting>
  <conditionalFormatting sqref="D344:P344">
    <cfRule type="cellIs" dxfId="75" priority="469" operator="equal">
      <formula>0</formula>
    </cfRule>
    <cfRule type="cellIs" dxfId="74" priority="470" operator="notEqual">
      <formula>0</formula>
    </cfRule>
  </conditionalFormatting>
  <conditionalFormatting sqref="D362:P362">
    <cfRule type="cellIs" dxfId="73" priority="495" operator="equal">
      <formula>0</formula>
    </cfRule>
    <cfRule type="cellIs" dxfId="72" priority="496" operator="notEqual">
      <formula>0</formula>
    </cfRule>
  </conditionalFormatting>
  <conditionalFormatting sqref="D380:P380">
    <cfRule type="cellIs" dxfId="71" priority="521" operator="equal">
      <formula>0</formula>
    </cfRule>
    <cfRule type="cellIs" dxfId="70" priority="522" operator="notEqual">
      <formula>0</formula>
    </cfRule>
  </conditionalFormatting>
  <conditionalFormatting sqref="D398:P398">
    <cfRule type="cellIs" dxfId="69" priority="547" operator="equal">
      <formula>0</formula>
    </cfRule>
    <cfRule type="cellIs" dxfId="68" priority="548" operator="notEqual">
      <formula>0</formula>
    </cfRule>
  </conditionalFormatting>
  <conditionalFormatting sqref="D416:P416">
    <cfRule type="cellIs" dxfId="67" priority="573" operator="equal">
      <formula>0</formula>
    </cfRule>
    <cfRule type="cellIs" dxfId="66" priority="574" operator="notEqual">
      <formula>0</formula>
    </cfRule>
  </conditionalFormatting>
  <conditionalFormatting sqref="D434:P434">
    <cfRule type="cellIs" dxfId="65" priority="599" operator="equal">
      <formula>0</formula>
    </cfRule>
    <cfRule type="cellIs" dxfId="64" priority="600" operator="notEqual">
      <formula>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20"/>
  <sheetViews>
    <sheetView workbookViewId="0">
      <selection activeCell="Q28" sqref="Q28"/>
    </sheetView>
  </sheetViews>
  <sheetFormatPr defaultRowHeight="14.4" x14ac:dyDescent="0.3"/>
  <cols>
    <col min="1" max="1" width="18" customWidth="1"/>
    <col min="2" max="2" width="28" customWidth="1"/>
    <col min="3" max="3" width="10" customWidth="1"/>
    <col min="4" max="27" width="10" style="17" customWidth="1"/>
  </cols>
  <sheetData>
    <row r="1" spans="1:27" ht="15.6" customHeight="1" x14ac:dyDescent="0.3">
      <c r="A1" s="57" t="s">
        <v>0</v>
      </c>
      <c r="B1" s="58"/>
      <c r="C1" s="58"/>
    </row>
    <row r="2" spans="1:27" ht="26.4" customHeight="1" x14ac:dyDescent="0.3">
      <c r="A2" s="1" t="s">
        <v>1</v>
      </c>
      <c r="B2" s="1" t="s">
        <v>2</v>
      </c>
      <c r="C2" s="1" t="s">
        <v>3</v>
      </c>
      <c r="D2" s="18" t="s">
        <v>4</v>
      </c>
      <c r="E2" s="18" t="s">
        <v>5</v>
      </c>
      <c r="F2" s="18" t="s">
        <v>6</v>
      </c>
      <c r="G2" s="18" t="s">
        <v>7</v>
      </c>
      <c r="H2" s="18" t="s">
        <v>8</v>
      </c>
      <c r="I2" s="18" t="s">
        <v>9</v>
      </c>
      <c r="J2" s="18" t="s">
        <v>10</v>
      </c>
      <c r="K2" s="18" t="s">
        <v>11</v>
      </c>
      <c r="L2" s="18" t="s">
        <v>12</v>
      </c>
      <c r="M2" s="18" t="s">
        <v>13</v>
      </c>
      <c r="N2" s="18" t="s">
        <v>14</v>
      </c>
      <c r="O2" s="18" t="s">
        <v>15</v>
      </c>
      <c r="P2" s="18" t="s">
        <v>16</v>
      </c>
      <c r="Q2" s="18" t="s">
        <v>17</v>
      </c>
      <c r="R2" s="18" t="s">
        <v>18</v>
      </c>
      <c r="S2" s="18" t="s">
        <v>19</v>
      </c>
      <c r="T2" s="18" t="s">
        <v>20</v>
      </c>
      <c r="U2" s="18" t="s">
        <v>21</v>
      </c>
      <c r="V2" s="18" t="s">
        <v>22</v>
      </c>
      <c r="W2" s="18" t="s">
        <v>23</v>
      </c>
      <c r="X2" s="18" t="s">
        <v>24</v>
      </c>
      <c r="Y2" s="18" t="s">
        <v>25</v>
      </c>
      <c r="Z2" s="18" t="s">
        <v>26</v>
      </c>
      <c r="AA2" s="18" t="s">
        <v>27</v>
      </c>
    </row>
    <row r="3" spans="1:27" x14ac:dyDescent="0.3">
      <c r="A3" s="2" t="s">
        <v>0</v>
      </c>
      <c r="B3" s="3" t="s">
        <v>28</v>
      </c>
      <c r="C3" s="12" t="s">
        <v>29</v>
      </c>
      <c r="D3" s="19">
        <f>Wheat_Mo!P3</f>
        <v>19.771899999999999</v>
      </c>
      <c r="E3" s="19">
        <f>Wheat_Mo!P18</f>
        <v>18.706700000000001</v>
      </c>
      <c r="F3" s="19">
        <f>Wheat_Mo!P33</f>
        <v>17.425999999999998</v>
      </c>
      <c r="G3" s="19">
        <f>Wheat_Mo!P48</f>
        <v>27.7958977295064</v>
      </c>
      <c r="H3" s="19">
        <f>Wheat_Mo!P63</f>
        <v>54.807602142781683</v>
      </c>
      <c r="I3" s="19">
        <f>Wheat_Mo!P78</f>
        <v>21550.3</v>
      </c>
      <c r="J3" s="19">
        <f>Wheat_Mo!P93</f>
        <v>29558.525000000001</v>
      </c>
      <c r="K3" s="19">
        <f>Wheat_Mo!P108</f>
        <v>15621.4</v>
      </c>
      <c r="L3" s="19">
        <f>Wheat_Mo!P123</f>
        <v>23.073999999999998</v>
      </c>
      <c r="M3" s="19">
        <f>Wheat_Mo!P138</f>
        <v>87.64</v>
      </c>
      <c r="N3" s="19">
        <f>Wheat_Mo!P153</f>
        <v>2645.4</v>
      </c>
      <c r="O3" s="19">
        <f>Wheat_Mo!P168</f>
        <v>394</v>
      </c>
      <c r="P3" s="19">
        <f>Wheat_Mo!P183</f>
        <v>389.69999999999987</v>
      </c>
      <c r="Q3" s="19">
        <f>Wheat_Mo!P198</f>
        <v>0</v>
      </c>
      <c r="R3" s="19">
        <f>Wheat_Mo!P213</f>
        <v>3113.9999999999991</v>
      </c>
      <c r="S3" s="19">
        <f>Wheat_Mo!P228</f>
        <v>3250.2999999999997</v>
      </c>
      <c r="T3" s="19">
        <f>Wheat_Mo!P243</f>
        <v>4608.1000000000004</v>
      </c>
      <c r="U3" s="19">
        <f>Wheat_Mo!P258</f>
        <v>6423.969999999983</v>
      </c>
      <c r="V3" s="19">
        <f>Wheat_Mo!P273</f>
        <v>5220.7739999999694</v>
      </c>
      <c r="W3" s="19">
        <f>Wheat_Mo!P288</f>
        <v>0</v>
      </c>
      <c r="X3" s="19">
        <f>Wheat_Mo!P303</f>
        <v>0</v>
      </c>
      <c r="Y3" s="19">
        <f>Wheat_Mo!P318</f>
        <v>0</v>
      </c>
      <c r="Z3" s="19">
        <f>Wheat_Mo!P333</f>
        <v>0</v>
      </c>
      <c r="AA3" s="19">
        <f>Wheat_Mo!P348</f>
        <v>0</v>
      </c>
    </row>
    <row r="4" spans="1:27" x14ac:dyDescent="0.3">
      <c r="A4" s="2" t="s">
        <v>0</v>
      </c>
      <c r="B4" s="3" t="s">
        <v>30</v>
      </c>
      <c r="C4" s="12" t="s">
        <v>29</v>
      </c>
      <c r="D4" s="19">
        <f>Wheat_Mo!P4</f>
        <v>19.1433</v>
      </c>
      <c r="E4" s="19">
        <f>Wheat_Mo!P19</f>
        <v>20.127600000000001</v>
      </c>
      <c r="F4" s="19">
        <f>Wheat_Mo!P34</f>
        <v>17.203499999999998</v>
      </c>
      <c r="G4" s="19">
        <f>Wheat_Mo!P49</f>
        <v>35.813799830281333</v>
      </c>
      <c r="H4" s="19">
        <f>Wheat_Mo!P64</f>
        <v>53.201237813578068</v>
      </c>
      <c r="I4" s="19">
        <f>Wheat_Mo!P79</f>
        <v>20274.900000000001</v>
      </c>
      <c r="J4" s="19">
        <f>Wheat_Mo!P94</f>
        <v>6223.2000000000007</v>
      </c>
      <c r="K4" s="19">
        <f>Wheat_Mo!P109</f>
        <v>17570.199999999997</v>
      </c>
      <c r="L4" s="19">
        <f>Wheat_Mo!P124</f>
        <v>114.97000000000001</v>
      </c>
      <c r="M4" s="19">
        <f>Wheat_Mo!P139</f>
        <v>80.138999999999996</v>
      </c>
      <c r="N4" s="19">
        <f>Wheat_Mo!P154</f>
        <v>2532.5000000000005</v>
      </c>
      <c r="O4" s="19">
        <f>Wheat_Mo!P169</f>
        <v>645.99999999999989</v>
      </c>
      <c r="P4" s="19">
        <f>Wheat_Mo!P184</f>
        <v>356.69999999999993</v>
      </c>
      <c r="Q4" s="19">
        <f>Wheat_Mo!P199</f>
        <v>0</v>
      </c>
      <c r="R4" s="19">
        <f>Wheat_Mo!P214</f>
        <v>3022.3000000000006</v>
      </c>
      <c r="S4" s="19">
        <f>Wheat_Mo!P229</f>
        <v>3256.0000000000005</v>
      </c>
      <c r="T4" s="19">
        <f>Wheat_Mo!P244</f>
        <v>4807.8999999999996</v>
      </c>
      <c r="U4" s="19">
        <f>Wheat_Mo!P259</f>
        <v>5608.1439999999866</v>
      </c>
      <c r="V4" s="19">
        <f>Wheat_Mo!P274</f>
        <v>3662.7649999999689</v>
      </c>
      <c r="W4" s="19">
        <f>Wheat_Mo!P289</f>
        <v>0</v>
      </c>
      <c r="X4" s="19">
        <f>Wheat_Mo!P304</f>
        <v>0</v>
      </c>
      <c r="Y4" s="19">
        <f>Wheat_Mo!P319</f>
        <v>0</v>
      </c>
      <c r="Z4" s="19">
        <f>Wheat_Mo!P334</f>
        <v>0</v>
      </c>
      <c r="AA4" s="19">
        <f>Wheat_Mo!P349</f>
        <v>0</v>
      </c>
    </row>
    <row r="5" spans="1:27" x14ac:dyDescent="0.3">
      <c r="A5" s="2" t="s">
        <v>0</v>
      </c>
      <c r="B5" s="3" t="s">
        <v>31</v>
      </c>
      <c r="C5" s="12" t="s">
        <v>32</v>
      </c>
      <c r="D5" s="19">
        <f t="shared" ref="D5:AA5" si="0">IF(D3&lt;&gt;0,D4/D3,"")</f>
        <v>0.96820740545926298</v>
      </c>
      <c r="E5" s="19">
        <f t="shared" si="0"/>
        <v>1.0759567427713066</v>
      </c>
      <c r="F5" s="19">
        <f t="shared" si="0"/>
        <v>0.98723172271318715</v>
      </c>
      <c r="G5" s="19">
        <f t="shared" si="0"/>
        <v>1.2884563103088276</v>
      </c>
      <c r="H5" s="19">
        <f t="shared" si="0"/>
        <v>0.97069084823271767</v>
      </c>
      <c r="I5" s="19">
        <f t="shared" si="0"/>
        <v>0.94081752922233108</v>
      </c>
      <c r="J5" s="19">
        <f t="shared" si="0"/>
        <v>0.21053824573452162</v>
      </c>
      <c r="K5" s="19">
        <f t="shared" si="0"/>
        <v>1.124751942847632</v>
      </c>
      <c r="L5" s="19">
        <f t="shared" si="0"/>
        <v>4.9826644708329733</v>
      </c>
      <c r="M5" s="19">
        <f t="shared" si="0"/>
        <v>0.91441122774988581</v>
      </c>
      <c r="N5" s="19">
        <f t="shared" si="0"/>
        <v>0.95732214409919114</v>
      </c>
      <c r="O5" s="19">
        <f t="shared" si="0"/>
        <v>1.6395939086294413</v>
      </c>
      <c r="P5" s="19">
        <f t="shared" si="0"/>
        <v>0.91531947652040047</v>
      </c>
      <c r="Q5" s="19" t="str">
        <f t="shared" si="0"/>
        <v/>
      </c>
      <c r="R5" s="19">
        <f t="shared" si="0"/>
        <v>0.97055234425176673</v>
      </c>
      <c r="S5" s="19">
        <f t="shared" si="0"/>
        <v>1.0017536842752979</v>
      </c>
      <c r="T5" s="19">
        <f t="shared" si="0"/>
        <v>1.0433584340617605</v>
      </c>
      <c r="U5" s="19">
        <f t="shared" si="0"/>
        <v>0.87300283158233949</v>
      </c>
      <c r="V5" s="19">
        <f t="shared" si="0"/>
        <v>0.70157509212235392</v>
      </c>
      <c r="W5" s="19" t="str">
        <f t="shared" si="0"/>
        <v/>
      </c>
      <c r="X5" s="19" t="str">
        <f t="shared" si="0"/>
        <v/>
      </c>
      <c r="Y5" s="19" t="str">
        <f t="shared" si="0"/>
        <v/>
      </c>
      <c r="Z5" s="19" t="str">
        <f t="shared" si="0"/>
        <v/>
      </c>
      <c r="AA5" s="19" t="str">
        <f t="shared" si="0"/>
        <v/>
      </c>
    </row>
    <row r="6" spans="1:27" x14ac:dyDescent="0.3">
      <c r="A6" s="2" t="s">
        <v>0</v>
      </c>
      <c r="B6" s="3" t="s">
        <v>33</v>
      </c>
      <c r="C6" s="12" t="s">
        <v>34</v>
      </c>
      <c r="D6" s="19">
        <f>Wheat_Mo!O6</f>
        <v>0</v>
      </c>
      <c r="E6" s="19">
        <f>Wheat_Mo!O21</f>
        <v>0</v>
      </c>
      <c r="F6" s="19">
        <f>Wheat_Mo!O36</f>
        <v>0</v>
      </c>
      <c r="G6" s="19">
        <f>Wheat_Mo!O51</f>
        <v>0</v>
      </c>
      <c r="H6" s="19">
        <f>Wheat_Mo!O66</f>
        <v>0</v>
      </c>
      <c r="I6" s="19">
        <f>Wheat_Mo!O81</f>
        <v>0</v>
      </c>
      <c r="J6" s="19">
        <f>Wheat_Mo!O96</f>
        <v>908.9</v>
      </c>
      <c r="K6" s="19">
        <f>Wheat_Mo!O111</f>
        <v>1993.1</v>
      </c>
      <c r="L6" s="19">
        <f>Wheat_Mo!O126</f>
        <v>2.8849999999999998</v>
      </c>
      <c r="M6" s="19">
        <f>Wheat_Mo!O141</f>
        <v>217.82499999999999</v>
      </c>
      <c r="N6" s="19">
        <f>Wheat_Mo!O156</f>
        <v>233.55</v>
      </c>
      <c r="O6" s="19">
        <f>Wheat_Mo!O171</f>
        <v>42.75</v>
      </c>
      <c r="P6" s="19">
        <f>Wheat_Mo!O186</f>
        <v>0</v>
      </c>
      <c r="Q6" s="19">
        <f>Wheat_Mo!O201</f>
        <v>0</v>
      </c>
      <c r="R6" s="19">
        <f>Wheat_Mo!O216</f>
        <v>287.55000000000013</v>
      </c>
      <c r="S6" s="19">
        <f>Wheat_Mo!O231</f>
        <v>286.07499999999999</v>
      </c>
      <c r="T6" s="19">
        <f>Wheat_Mo!O246</f>
        <v>475.72500000000002</v>
      </c>
      <c r="U6" s="19">
        <f>Wheat_Mo!O261</f>
        <v>4641.6959999999708</v>
      </c>
      <c r="V6" s="19">
        <f>Wheat_Mo!O276</f>
        <v>4721.0779999999977</v>
      </c>
      <c r="W6" s="19">
        <f>Wheat_Mo!O291</f>
        <v>0</v>
      </c>
      <c r="X6" s="19">
        <f>Wheat_Mo!O306</f>
        <v>0</v>
      </c>
      <c r="Y6" s="19">
        <f>Wheat_Mo!O321</f>
        <v>0</v>
      </c>
      <c r="Z6" s="19">
        <f>Wheat_Mo!O336</f>
        <v>0</v>
      </c>
      <c r="AA6" s="19">
        <f>Wheat_Mo!O351</f>
        <v>0</v>
      </c>
    </row>
    <row r="7" spans="1:27" x14ac:dyDescent="0.3">
      <c r="A7" s="2" t="s">
        <v>0</v>
      </c>
      <c r="B7" s="7"/>
      <c r="C7" s="7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</row>
    <row r="8" spans="1:27" x14ac:dyDescent="0.3">
      <c r="A8" s="2" t="s">
        <v>0</v>
      </c>
      <c r="B8" s="8" t="s">
        <v>35</v>
      </c>
      <c r="C8" s="2" t="s">
        <v>36</v>
      </c>
      <c r="D8" s="19">
        <f>Wheat_Mo!P8</f>
        <v>19.111000000000001</v>
      </c>
      <c r="E8" s="19">
        <f>Wheat_Mo!P23</f>
        <v>21.0167</v>
      </c>
      <c r="F8" s="19">
        <f>Wheat_Mo!P38</f>
        <v>17.900200000000002</v>
      </c>
      <c r="G8" s="19">
        <f>Wheat_Mo!P53</f>
        <v>36.36210728415314</v>
      </c>
      <c r="H8" s="19">
        <f>Wheat_Mo!P68</f>
        <v>56.090804246863037</v>
      </c>
      <c r="I8" s="19">
        <f>Wheat_Mo!P83</f>
        <v>24249.4</v>
      </c>
      <c r="J8" s="19">
        <f>Wheat_Mo!P98</f>
        <v>14948.599999999997</v>
      </c>
      <c r="K8" s="19">
        <f>Wheat_Mo!P113</f>
        <v>12352.299999999997</v>
      </c>
      <c r="L8" s="19">
        <f>Wheat_Mo!P128</f>
        <v>49.984000000000002</v>
      </c>
      <c r="M8" s="19">
        <f>Wheat_Mo!P143</f>
        <v>2742</v>
      </c>
      <c r="N8" s="19">
        <f>Wheat_Mo!P158</f>
        <v>2781.8</v>
      </c>
      <c r="O8" s="19">
        <f>Wheat_Mo!P173</f>
        <v>783.00000000000011</v>
      </c>
      <c r="P8" s="19">
        <f>Wheat_Mo!P188</f>
        <v>0</v>
      </c>
      <c r="Q8" s="19">
        <f>Wheat_Mo!P203</f>
        <v>0</v>
      </c>
      <c r="R8" s="19">
        <f>Wheat_Mo!P218</f>
        <v>3539.3999999999992</v>
      </c>
      <c r="S8" s="19">
        <f>Wheat_Mo!P233</f>
        <v>3674.4999999999995</v>
      </c>
      <c r="T8" s="19">
        <f>Wheat_Mo!P248</f>
        <v>4654.2000000000007</v>
      </c>
      <c r="U8" s="19">
        <f>Wheat_Mo!P263</f>
        <v>5793.6879999999946</v>
      </c>
      <c r="V8" s="19">
        <f>Wheat_Mo!P278</f>
        <v>0</v>
      </c>
      <c r="W8" s="19"/>
      <c r="X8" s="19">
        <f>Wheat_Mo!P308</f>
        <v>0</v>
      </c>
      <c r="Y8" s="19">
        <f>Wheat_Mo!P323</f>
        <v>0</v>
      </c>
      <c r="Z8" s="19">
        <f>Wheat_Mo!P338</f>
        <v>0</v>
      </c>
      <c r="AA8" s="19">
        <f>Wheat_Mo!P353</f>
        <v>0</v>
      </c>
    </row>
    <row r="9" spans="1:27" x14ac:dyDescent="0.3">
      <c r="A9" s="2" t="s">
        <v>0</v>
      </c>
      <c r="B9" s="8" t="s">
        <v>37</v>
      </c>
      <c r="C9" s="2" t="s">
        <v>36</v>
      </c>
      <c r="D9" s="19">
        <f>Wheat_Mo!P9</f>
        <v>19.257100000000001</v>
      </c>
      <c r="E9" s="19">
        <f>Wheat_Mo!P24</f>
        <v>20.409099999999999</v>
      </c>
      <c r="F9" s="19">
        <f>Wheat_Mo!P39</f>
        <v>16.415900000000001</v>
      </c>
      <c r="G9" s="19">
        <f>Wheat_Mo!P54</f>
        <v>45.198135983279187</v>
      </c>
      <c r="H9" s="19">
        <f>Wheat_Mo!P69</f>
        <v>52.100725270758787</v>
      </c>
      <c r="I9" s="19">
        <f>Wheat_Mo!P84</f>
        <v>22258.7</v>
      </c>
      <c r="J9" s="19">
        <f>Wheat_Mo!P99</f>
        <v>12682.099999999999</v>
      </c>
      <c r="K9" s="19">
        <f>Wheat_Mo!P114</f>
        <v>20476.099999999995</v>
      </c>
      <c r="L9" s="19">
        <f>Wheat_Mo!P129</f>
        <v>153.56699999999998</v>
      </c>
      <c r="M9" s="19">
        <f>Wheat_Mo!P144</f>
        <v>2702.9999999999995</v>
      </c>
      <c r="N9" s="19">
        <f>Wheat_Mo!P159</f>
        <v>2870.6</v>
      </c>
      <c r="O9" s="19">
        <f>Wheat_Mo!P174</f>
        <v>879</v>
      </c>
      <c r="P9" s="19">
        <f>Wheat_Mo!P189</f>
        <v>0</v>
      </c>
      <c r="Q9" s="19">
        <f>Wheat_Mo!P204</f>
        <v>0</v>
      </c>
      <c r="R9" s="19">
        <f>Wheat_Mo!P219</f>
        <v>3286.3999999999992</v>
      </c>
      <c r="S9" s="19">
        <f>Wheat_Mo!P234</f>
        <v>4343.8</v>
      </c>
      <c r="T9" s="19">
        <f>Wheat_Mo!P249</f>
        <v>5194.2999999999993</v>
      </c>
      <c r="U9" s="19">
        <f>Wheat_Mo!P264</f>
        <v>4445.7970000000041</v>
      </c>
      <c r="V9" s="19">
        <f>Wheat_Mo!P279</f>
        <v>0</v>
      </c>
      <c r="W9" s="19">
        <f>Wheat_Mo!P294</f>
        <v>0</v>
      </c>
      <c r="X9" s="19">
        <f>Wheat_Mo!P309</f>
        <v>0</v>
      </c>
      <c r="Y9" s="19">
        <f>Wheat_Mo!P324</f>
        <v>0</v>
      </c>
      <c r="Z9" s="19">
        <f>Wheat_Mo!P339</f>
        <v>0</v>
      </c>
      <c r="AA9" s="19">
        <f>Wheat_Mo!P354</f>
        <v>0</v>
      </c>
    </row>
    <row r="10" spans="1:27" x14ac:dyDescent="0.3">
      <c r="A10" s="2" t="s">
        <v>0</v>
      </c>
      <c r="B10" s="8" t="s">
        <v>38</v>
      </c>
      <c r="C10" s="2" t="s">
        <v>36</v>
      </c>
      <c r="D10" s="19">
        <f>Wheat_Mo!P10</f>
        <v>17.984100000000002</v>
      </c>
      <c r="E10" s="19">
        <f>Wheat_Mo!P25</f>
        <v>15.974500000000001</v>
      </c>
      <c r="F10" s="19">
        <f>Wheat_Mo!P40</f>
        <v>17.038599999999999</v>
      </c>
      <c r="G10" s="19">
        <f>Wheat_Mo!P55</f>
        <v>43.12395547900816</v>
      </c>
      <c r="H10" s="19">
        <f>Wheat_Mo!P70</f>
        <v>54.352308783854802</v>
      </c>
      <c r="I10" s="19">
        <f>Wheat_Mo!P85</f>
        <v>24378.1</v>
      </c>
      <c r="J10" s="19">
        <f>Wheat_Mo!P100</f>
        <v>14966.399999999998</v>
      </c>
      <c r="K10" s="19">
        <f>Wheat_Mo!P115</f>
        <v>21783.800000000003</v>
      </c>
      <c r="L10" s="19">
        <f>Wheat_Mo!P130</f>
        <v>95.713999999999999</v>
      </c>
      <c r="M10" s="19">
        <f>Wheat_Mo!P145</f>
        <v>2628.3000000000006</v>
      </c>
      <c r="N10" s="19">
        <f>Wheat_Mo!P160</f>
        <v>2866.3</v>
      </c>
      <c r="O10" s="19">
        <f>Wheat_Mo!P175</f>
        <v>801</v>
      </c>
      <c r="P10" s="19">
        <f>Wheat_Mo!P190</f>
        <v>0</v>
      </c>
      <c r="Q10" s="19">
        <f>Wheat_Mo!P205</f>
        <v>0</v>
      </c>
      <c r="R10" s="19">
        <f>Wheat_Mo!P220</f>
        <v>3426.7000000000003</v>
      </c>
      <c r="S10" s="19">
        <f>Wheat_Mo!P235</f>
        <v>4521.3999999999996</v>
      </c>
      <c r="T10" s="19">
        <f>Wheat_Mo!P250</f>
        <v>4785.5</v>
      </c>
      <c r="U10" s="19">
        <f>Wheat_Mo!P265</f>
        <v>3985.235999999994</v>
      </c>
      <c r="V10" s="19">
        <f>Wheat_Mo!P280</f>
        <v>0</v>
      </c>
      <c r="W10" s="19">
        <f>Wheat_Mo!P295</f>
        <v>0</v>
      </c>
      <c r="X10" s="19">
        <f>Wheat_Mo!P310</f>
        <v>0</v>
      </c>
      <c r="Y10" s="19">
        <f>Wheat_Mo!P325</f>
        <v>0</v>
      </c>
      <c r="Z10" s="19">
        <f>Wheat_Mo!P340</f>
        <v>0</v>
      </c>
      <c r="AA10" s="19">
        <f>Wheat_Mo!P355</f>
        <v>0</v>
      </c>
    </row>
    <row r="11" spans="1:27" x14ac:dyDescent="0.3">
      <c r="A11" s="2" t="s">
        <v>0</v>
      </c>
      <c r="B11" s="7"/>
      <c r="C11" s="7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</row>
    <row r="12" spans="1:27" x14ac:dyDescent="0.3">
      <c r="A12" s="2" t="s">
        <v>0</v>
      </c>
      <c r="B12" s="8" t="s">
        <v>39</v>
      </c>
      <c r="C12" s="2" t="s">
        <v>36</v>
      </c>
      <c r="D12" s="19">
        <f>Wheat_Mo!P12</f>
        <v>19.067799999999998</v>
      </c>
      <c r="E12" s="19">
        <f>Wheat_Mo!P27</f>
        <v>18.1311</v>
      </c>
      <c r="F12" s="19">
        <f>Wheat_Mo!P42</f>
        <v>19.1602</v>
      </c>
      <c r="G12" s="19">
        <f>Wheat_Mo!P57</f>
        <v>45.09990960153457</v>
      </c>
      <c r="H12" s="19">
        <f>Wheat_Mo!P72</f>
        <v>18837</v>
      </c>
      <c r="I12" s="19">
        <f>Wheat_Mo!P87</f>
        <v>26567.1</v>
      </c>
      <c r="J12" s="19">
        <f>Wheat_Mo!P102</f>
        <v>12880.9</v>
      </c>
      <c r="K12" s="19">
        <f>Wheat_Mo!P117</f>
        <v>172.65199999999999</v>
      </c>
      <c r="L12" s="19">
        <f>Wheat_Mo!P132</f>
        <v>76.11399999999999</v>
      </c>
      <c r="M12" s="19">
        <f>Wheat_Mo!P147</f>
        <v>2569.8000000000006</v>
      </c>
      <c r="N12" s="19">
        <f>Wheat_Mo!P162</f>
        <v>2944.5</v>
      </c>
      <c r="O12" s="19">
        <f>Wheat_Mo!P177</f>
        <v>730.00000000000011</v>
      </c>
      <c r="P12" s="19">
        <f>Wheat_Mo!P192</f>
        <v>0</v>
      </c>
      <c r="Q12" s="19">
        <f>Wheat_Mo!P207</f>
        <v>0</v>
      </c>
      <c r="R12" s="19">
        <f>Wheat_Mo!P222</f>
        <v>3309.4000000000005</v>
      </c>
      <c r="S12" s="19">
        <f>Wheat_Mo!P237</f>
        <v>2775.8000000000006</v>
      </c>
      <c r="T12" s="19">
        <f>Wheat_Mo!P252</f>
        <v>3874.3999999999996</v>
      </c>
      <c r="U12" s="19">
        <f>Wheat_Mo!P267</f>
        <v>6197.4869999999837</v>
      </c>
      <c r="V12" s="19">
        <f>Wheat_Mo!P282</f>
        <v>0</v>
      </c>
      <c r="W12" s="19">
        <f>Wheat_Mo!P297</f>
        <v>0</v>
      </c>
      <c r="X12" s="19">
        <f>Wheat_Mo!P312</f>
        <v>0</v>
      </c>
      <c r="Y12" s="19">
        <f>Wheat_Mo!P327</f>
        <v>0</v>
      </c>
      <c r="Z12" s="19">
        <f>Wheat_Mo!P342</f>
        <v>0</v>
      </c>
      <c r="AA12" s="19">
        <f>Wheat_Mo!P357</f>
        <v>0</v>
      </c>
    </row>
    <row r="13" spans="1:27" x14ac:dyDescent="0.3">
      <c r="A13" s="2" t="s">
        <v>0</v>
      </c>
      <c r="B13" s="8" t="s">
        <v>40</v>
      </c>
      <c r="C13" s="2" t="s">
        <v>36</v>
      </c>
      <c r="D13" s="19">
        <f>Wheat_Mo!P13</f>
        <v>21.2865</v>
      </c>
      <c r="E13" s="19">
        <f>Wheat_Mo!P28</f>
        <v>17.607399999999998</v>
      </c>
      <c r="F13" s="19">
        <f>Wheat_Mo!P43</f>
        <v>19.083200000000001</v>
      </c>
      <c r="G13" s="19">
        <f>Wheat_Mo!P58</f>
        <v>44.116780938579858</v>
      </c>
      <c r="H13" s="19">
        <f>Wheat_Mo!P73</f>
        <v>19994.099999999999</v>
      </c>
      <c r="I13" s="19">
        <f>Wheat_Mo!P88</f>
        <v>27652.799999999999</v>
      </c>
      <c r="J13" s="19">
        <f>Wheat_Mo!P103</f>
        <v>13916.200000000004</v>
      </c>
      <c r="K13" s="19">
        <f>Wheat_Mo!P118</f>
        <v>16.312000000000001</v>
      </c>
      <c r="L13" s="19">
        <f>Wheat_Mo!P133</f>
        <v>95.117999999999995</v>
      </c>
      <c r="M13" s="19">
        <f>Wheat_Mo!P148</f>
        <v>2539.1</v>
      </c>
      <c r="N13" s="19">
        <f>Wheat_Mo!P163</f>
        <v>109</v>
      </c>
      <c r="O13" s="19">
        <f>Wheat_Mo!P178</f>
        <v>563</v>
      </c>
      <c r="P13" s="19">
        <f>Wheat_Mo!P193</f>
        <v>0</v>
      </c>
      <c r="Q13" s="19">
        <f>Wheat_Mo!P208</f>
        <v>0</v>
      </c>
      <c r="R13" s="19">
        <f>Wheat_Mo!P223</f>
        <v>3262.5000000000009</v>
      </c>
      <c r="S13" s="19">
        <f>Wheat_Mo!P238</f>
        <v>3917.1000000000004</v>
      </c>
      <c r="T13" s="19">
        <f>Wheat_Mo!P253</f>
        <v>4683.8</v>
      </c>
      <c r="U13" s="19">
        <f>Wheat_Mo!P268</f>
        <v>4151.0009999999747</v>
      </c>
      <c r="V13" s="19">
        <f>Wheat_Mo!P283</f>
        <v>0</v>
      </c>
      <c r="W13" s="19">
        <f>Wheat_Mo!P298</f>
        <v>0</v>
      </c>
      <c r="X13" s="19">
        <f>Wheat_Mo!P313</f>
        <v>0</v>
      </c>
      <c r="Y13" s="19">
        <f>Wheat_Mo!P328</f>
        <v>0</v>
      </c>
      <c r="Z13" s="19">
        <f>Wheat_Mo!P343</f>
        <v>0</v>
      </c>
      <c r="AA13" s="19">
        <f>Wheat_Mo!P358</f>
        <v>0</v>
      </c>
    </row>
    <row r="14" spans="1:27" x14ac:dyDescent="0.3">
      <c r="A14" s="2" t="s">
        <v>0</v>
      </c>
      <c r="B14" s="8" t="s">
        <v>41</v>
      </c>
      <c r="C14" s="2" t="s">
        <v>36</v>
      </c>
      <c r="D14" s="19">
        <f>Wheat_Mo!P14</f>
        <v>19.607800000000001</v>
      </c>
      <c r="E14" s="19">
        <f>Wheat_Mo!P29</f>
        <v>20.174499999999998</v>
      </c>
      <c r="F14" s="19">
        <f>Wheat_Mo!P44</f>
        <v>17.218081999999999</v>
      </c>
      <c r="G14" s="19">
        <f>Wheat_Mo!P59</f>
        <v>54.751124923062171</v>
      </c>
      <c r="H14" s="19">
        <f>Wheat_Mo!P74</f>
        <v>19833.5</v>
      </c>
      <c r="I14" s="19">
        <f>Wheat_Mo!P89</f>
        <v>28866</v>
      </c>
      <c r="J14" s="19">
        <f>Wheat_Mo!P104</f>
        <v>15332.699999999999</v>
      </c>
      <c r="K14" s="19">
        <f>Wheat_Mo!P119</f>
        <v>13.274000000000001</v>
      </c>
      <c r="L14" s="19">
        <f>Wheat_Mo!P134</f>
        <v>178.63700000000003</v>
      </c>
      <c r="M14" s="19">
        <f>Wheat_Mo!P149</f>
        <v>2491.3999999999992</v>
      </c>
      <c r="N14" s="19">
        <f>Wheat_Mo!P164</f>
        <v>119</v>
      </c>
      <c r="O14" s="19">
        <f>Wheat_Mo!P179</f>
        <v>499.50000000000011</v>
      </c>
      <c r="P14" s="19">
        <f>Wheat_Mo!P194</f>
        <v>0</v>
      </c>
      <c r="Q14" s="19">
        <f>Wheat_Mo!P209</f>
        <v>2796.3999999999992</v>
      </c>
      <c r="R14" s="19">
        <f>Wheat_Mo!P224</f>
        <v>3211.7</v>
      </c>
      <c r="S14" s="19">
        <f>Wheat_Mo!P239</f>
        <v>3297.8</v>
      </c>
      <c r="T14" s="19">
        <f>Wheat_Mo!P254</f>
        <v>3798.599999999999</v>
      </c>
      <c r="U14" s="19">
        <f>Wheat_Mo!P269</f>
        <v>5181.8939999999493</v>
      </c>
      <c r="V14" s="19">
        <f>Wheat_Mo!P284</f>
        <v>0</v>
      </c>
      <c r="W14" s="19">
        <f>Wheat_Mo!P299</f>
        <v>0</v>
      </c>
      <c r="X14" s="19">
        <f>Wheat_Mo!P314</f>
        <v>0</v>
      </c>
      <c r="Y14" s="19">
        <f>Wheat_Mo!P329</f>
        <v>0</v>
      </c>
      <c r="Z14" s="19">
        <f>Wheat_Mo!P344</f>
        <v>0</v>
      </c>
      <c r="AA14" s="19">
        <f>Wheat_Mo!P359</f>
        <v>0</v>
      </c>
    </row>
    <row r="15" spans="1:27" x14ac:dyDescent="0.3">
      <c r="A15" s="2" t="s">
        <v>0</v>
      </c>
      <c r="B15" s="8" t="s">
        <v>42</v>
      </c>
      <c r="C15" s="2" t="s">
        <v>36</v>
      </c>
      <c r="D15" s="19">
        <f>Wheat_Mo!P15</f>
        <v>18.397300000000001</v>
      </c>
      <c r="E15" s="19">
        <f>Wheat_Mo!P30</f>
        <v>16.581199999999999</v>
      </c>
      <c r="F15" s="19">
        <f>Wheat_Mo!P45</f>
        <v>19.055099999999999</v>
      </c>
      <c r="G15" s="19">
        <f>Wheat_Mo!P60</f>
        <v>47.100414899589261</v>
      </c>
      <c r="H15" s="19">
        <f>Wheat_Mo!P75</f>
        <v>21919.200000000001</v>
      </c>
      <c r="I15" s="19">
        <f>Wheat_Mo!P90</f>
        <v>19389.66</v>
      </c>
      <c r="J15" s="19">
        <f>Wheat_Mo!P105</f>
        <v>18426.400000000005</v>
      </c>
      <c r="K15" s="19">
        <f>Wheat_Mo!P120</f>
        <v>22.732000000000003</v>
      </c>
      <c r="L15" s="19">
        <f>Wheat_Mo!P135</f>
        <v>128.71099999999998</v>
      </c>
      <c r="M15" s="19">
        <f>Wheat_Mo!P150</f>
        <v>2503.3999999999996</v>
      </c>
      <c r="N15" s="19">
        <f>Wheat_Mo!P165</f>
        <v>134</v>
      </c>
      <c r="O15" s="19">
        <f>Wheat_Mo!P180</f>
        <v>565.30000000000018</v>
      </c>
      <c r="P15" s="19">
        <f>Wheat_Mo!P195</f>
        <v>0</v>
      </c>
      <c r="Q15" s="19">
        <f>Wheat_Mo!P210</f>
        <v>2774.9999999999995</v>
      </c>
      <c r="R15" s="19">
        <f>Wheat_Mo!P225</f>
        <v>3293.6000000000004</v>
      </c>
      <c r="S15" s="19">
        <f>Wheat_Mo!P240</f>
        <v>3321.7</v>
      </c>
      <c r="T15" s="19">
        <f>Wheat_Mo!P255</f>
        <v>4106.5519999999997</v>
      </c>
      <c r="U15" s="19">
        <f>Wheat_Mo!P270</f>
        <v>5336.1079999999638</v>
      </c>
      <c r="V15" s="19">
        <f>Wheat_Mo!P285</f>
        <v>0</v>
      </c>
      <c r="W15" s="19">
        <f>Wheat_Mo!P300</f>
        <v>0</v>
      </c>
      <c r="X15" s="19">
        <f>Wheat_Mo!P315</f>
        <v>0</v>
      </c>
      <c r="Y15" s="19">
        <f>Wheat_Mo!P330</f>
        <v>0</v>
      </c>
      <c r="Z15" s="19">
        <f>Wheat_Mo!P345</f>
        <v>0</v>
      </c>
      <c r="AA15" s="19">
        <f>Wheat_Mo!P360</f>
        <v>0</v>
      </c>
    </row>
    <row r="16" spans="1:27" x14ac:dyDescent="0.3">
      <c r="A16" s="2" t="s">
        <v>0</v>
      </c>
      <c r="B16" s="7"/>
      <c r="C16" s="7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</row>
    <row r="17" spans="1:27" x14ac:dyDescent="0.3">
      <c r="A17" s="2" t="s">
        <v>0</v>
      </c>
      <c r="B17" s="8" t="s">
        <v>43</v>
      </c>
      <c r="C17" s="2" t="s">
        <v>36</v>
      </c>
      <c r="D17" s="19">
        <f>Wheat_Mo!P17</f>
        <v>17.346299999999999</v>
      </c>
      <c r="E17" s="19">
        <f>Wheat_Mo!P32</f>
        <v>18.361899999999999</v>
      </c>
      <c r="F17" s="19">
        <f>Wheat_Mo!P47</f>
        <v>19.982399999999998</v>
      </c>
      <c r="G17" s="19">
        <f>Wheat_Mo!P62</f>
        <v>54.565487909283071</v>
      </c>
      <c r="H17" s="19">
        <f>Wheat_Mo!P77</f>
        <v>23099.9</v>
      </c>
      <c r="I17" s="19">
        <f>Wheat_Mo!P92</f>
        <v>29166.662</v>
      </c>
      <c r="J17" s="19">
        <f>Wheat_Mo!P107</f>
        <v>17190.8</v>
      </c>
      <c r="K17" s="19">
        <f>Wheat_Mo!P122</f>
        <v>20.478000000000002</v>
      </c>
      <c r="L17" s="19">
        <f>Wheat_Mo!P137</f>
        <v>63.798999999999999</v>
      </c>
      <c r="M17" s="19">
        <f>Wheat_Mo!P152</f>
        <v>2474.9</v>
      </c>
      <c r="N17" s="19">
        <f>Wheat_Mo!P167</f>
        <v>411</v>
      </c>
      <c r="O17" s="19">
        <f>Wheat_Mo!P182</f>
        <v>379.70000000000005</v>
      </c>
      <c r="P17" s="19">
        <f>Wheat_Mo!P197</f>
        <v>0</v>
      </c>
      <c r="Q17" s="19">
        <f>Wheat_Mo!P212</f>
        <v>2920</v>
      </c>
      <c r="R17" s="19">
        <f>Wheat_Mo!P227</f>
        <v>3265.1</v>
      </c>
      <c r="S17" s="19">
        <f>Wheat_Mo!P242</f>
        <v>4498.8999999999996</v>
      </c>
      <c r="T17" s="19">
        <f>Wheat_Mo!P257</f>
        <v>5435.0379999999914</v>
      </c>
      <c r="U17" s="19">
        <f>Wheat_Mo!P272</f>
        <v>4843.0629999999637</v>
      </c>
      <c r="V17" s="19">
        <f>Wheat_Mo!P287</f>
        <v>0</v>
      </c>
      <c r="W17" s="19">
        <f>Wheat_Mo!P302</f>
        <v>0</v>
      </c>
      <c r="X17" s="19">
        <f>Wheat_Mo!P317</f>
        <v>0</v>
      </c>
      <c r="Y17" s="19">
        <f>Wheat_Mo!P332</f>
        <v>0</v>
      </c>
      <c r="Z17" s="19">
        <f>Wheat_Mo!P347</f>
        <v>0</v>
      </c>
      <c r="AA17" s="19">
        <f>Wheat_Mo!P362</f>
        <v>0</v>
      </c>
    </row>
    <row r="18" spans="1:27" x14ac:dyDescent="0.3">
      <c r="A18" s="2" t="s">
        <v>0</v>
      </c>
      <c r="B18" s="3" t="s">
        <v>44</v>
      </c>
      <c r="C18" s="12" t="s">
        <v>32</v>
      </c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</row>
    <row r="19" spans="1:27" x14ac:dyDescent="0.3">
      <c r="A19" s="2" t="s">
        <v>0</v>
      </c>
      <c r="B19" s="3" t="s">
        <v>45</v>
      </c>
      <c r="C19" s="12" t="s">
        <v>46</v>
      </c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</row>
    <row r="20" spans="1:27" x14ac:dyDescent="0.3">
      <c r="A20" s="2" t="s">
        <v>0</v>
      </c>
      <c r="B20" s="11" t="s">
        <v>47</v>
      </c>
      <c r="C20" s="15" t="s">
        <v>36</v>
      </c>
      <c r="D20" s="22">
        <f t="shared" ref="D20:AA20" si="1">D8+D10+D9-D12-D13-D14-D15-D17</f>
        <v>-39.353499999999997</v>
      </c>
      <c r="E20" s="22">
        <f t="shared" si="1"/>
        <v>-33.455799999999996</v>
      </c>
      <c r="F20" s="22">
        <f t="shared" si="1"/>
        <v>-43.14428199999999</v>
      </c>
      <c r="G20" s="22">
        <f t="shared" si="1"/>
        <v>-120.94951952560845</v>
      </c>
      <c r="H20" s="22">
        <f t="shared" si="1"/>
        <v>-103521.15616169851</v>
      </c>
      <c r="I20" s="22">
        <f t="shared" si="1"/>
        <v>-60756.021999999997</v>
      </c>
      <c r="J20" s="22">
        <f t="shared" si="1"/>
        <v>-35149.900000000023</v>
      </c>
      <c r="K20" s="22">
        <f t="shared" si="1"/>
        <v>54366.751999999993</v>
      </c>
      <c r="L20" s="22">
        <f t="shared" si="1"/>
        <v>-243.114</v>
      </c>
      <c r="M20" s="22">
        <f t="shared" si="1"/>
        <v>-4505.2999999999993</v>
      </c>
      <c r="N20" s="22">
        <f t="shared" si="1"/>
        <v>4801.2000000000007</v>
      </c>
      <c r="O20" s="22">
        <f t="shared" si="1"/>
        <v>-274.50000000000034</v>
      </c>
      <c r="P20" s="22">
        <f t="shared" si="1"/>
        <v>0</v>
      </c>
      <c r="Q20" s="22">
        <f t="shared" si="1"/>
        <v>-8491.3999999999978</v>
      </c>
      <c r="R20" s="22">
        <f t="shared" si="1"/>
        <v>-6089.8000000000029</v>
      </c>
      <c r="S20" s="22">
        <f t="shared" si="1"/>
        <v>-5271.6</v>
      </c>
      <c r="T20" s="22">
        <f t="shared" si="1"/>
        <v>-7264.3899999999903</v>
      </c>
      <c r="U20" s="22">
        <f t="shared" si="1"/>
        <v>-11484.831999999842</v>
      </c>
      <c r="V20" s="22">
        <f t="shared" si="1"/>
        <v>0</v>
      </c>
      <c r="W20" s="22">
        <f t="shared" si="1"/>
        <v>0</v>
      </c>
      <c r="X20" s="22">
        <f t="shared" si="1"/>
        <v>0</v>
      </c>
      <c r="Y20" s="22">
        <f t="shared" si="1"/>
        <v>0</v>
      </c>
      <c r="Z20" s="22">
        <f t="shared" si="1"/>
        <v>0</v>
      </c>
      <c r="AA20" s="22">
        <f t="shared" si="1"/>
        <v>0</v>
      </c>
    </row>
  </sheetData>
  <mergeCells count="1">
    <mergeCell ref="A1:C1"/>
  </mergeCells>
  <conditionalFormatting sqref="D20:AA20">
    <cfRule type="cellIs" dxfId="63" priority="1" operator="equal">
      <formula>0</formula>
    </cfRule>
    <cfRule type="cellIs" dxfId="62" priority="2" operator="notEqual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20"/>
  <sheetViews>
    <sheetView workbookViewId="0"/>
  </sheetViews>
  <sheetFormatPr defaultRowHeight="14.4" x14ac:dyDescent="0.3"/>
  <cols>
    <col min="1" max="1" width="18" customWidth="1"/>
    <col min="2" max="2" width="28" customWidth="1"/>
    <col min="3" max="3" width="10" customWidth="1"/>
    <col min="4" max="27" width="7" customWidth="1"/>
  </cols>
  <sheetData>
    <row r="1" spans="1:27" ht="15.6" customHeight="1" x14ac:dyDescent="0.3">
      <c r="A1" s="57" t="s">
        <v>89</v>
      </c>
      <c r="B1" s="58"/>
      <c r="C1" s="58"/>
    </row>
    <row r="2" spans="1:27" ht="26.4" customHeight="1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  <c r="W2" s="1" t="s">
        <v>23</v>
      </c>
      <c r="X2" s="1" t="s">
        <v>24</v>
      </c>
      <c r="Y2" s="1" t="s">
        <v>25</v>
      </c>
      <c r="Z2" s="1" t="s">
        <v>26</v>
      </c>
      <c r="AA2" s="1" t="s">
        <v>27</v>
      </c>
    </row>
    <row r="3" spans="1:27" x14ac:dyDescent="0.3">
      <c r="A3" s="2" t="s">
        <v>89</v>
      </c>
      <c r="B3" s="3" t="s">
        <v>28</v>
      </c>
      <c r="C3" s="12" t="s">
        <v>29</v>
      </c>
      <c r="D3" s="9">
        <f>Durum_Mo!P3</f>
        <v>0</v>
      </c>
      <c r="E3" s="9">
        <f>Durum_Mo!P18</f>
        <v>0</v>
      </c>
      <c r="F3" s="9">
        <f>Durum_Mo!P33</f>
        <v>0</v>
      </c>
      <c r="G3" s="9">
        <f>Durum_Mo!P48</f>
        <v>0</v>
      </c>
      <c r="H3" s="9">
        <f>Durum_Mo!P63</f>
        <v>0</v>
      </c>
      <c r="I3" s="9">
        <f>Durum_Mo!P78</f>
        <v>0</v>
      </c>
      <c r="J3" s="9">
        <f>Durum_Mo!P93</f>
        <v>0</v>
      </c>
      <c r="K3" s="9">
        <f>Durum_Mo!P108</f>
        <v>0</v>
      </c>
      <c r="L3" s="9">
        <f>Durum_Mo!P123</f>
        <v>0</v>
      </c>
      <c r="M3" s="9">
        <f>Durum_Mo!P138</f>
        <v>0</v>
      </c>
      <c r="N3" s="9">
        <f>Durum_Mo!P153</f>
        <v>0</v>
      </c>
      <c r="O3" s="9">
        <f>Durum_Mo!P168</f>
        <v>0</v>
      </c>
      <c r="P3" s="9">
        <f>Durum_Mo!P183</f>
        <v>0</v>
      </c>
      <c r="Q3" s="9">
        <f>Durum_Mo!P198</f>
        <v>0</v>
      </c>
      <c r="R3" s="9">
        <f>Durum_Mo!P213</f>
        <v>0</v>
      </c>
      <c r="S3" s="9">
        <f>Durum_Mo!P228</f>
        <v>0</v>
      </c>
      <c r="T3" s="9">
        <f>Durum_Mo!P243</f>
        <v>0</v>
      </c>
      <c r="U3" s="9">
        <f>Durum_Mo!P258</f>
        <v>0</v>
      </c>
      <c r="V3" s="9">
        <f>Durum_Mo!P273</f>
        <v>0</v>
      </c>
      <c r="W3" s="9">
        <f>Durum_Mo!P288</f>
        <v>0</v>
      </c>
      <c r="X3" s="9">
        <f>Durum_Mo!P303</f>
        <v>0</v>
      </c>
      <c r="Y3" s="9">
        <f>Durum_Mo!P318</f>
        <v>0</v>
      </c>
      <c r="Z3" s="9">
        <f>Durum_Mo!P333</f>
        <v>0</v>
      </c>
      <c r="AA3" s="9">
        <f>Durum_Mo!P348</f>
        <v>0</v>
      </c>
    </row>
    <row r="4" spans="1:27" x14ac:dyDescent="0.3">
      <c r="A4" s="2" t="s">
        <v>89</v>
      </c>
      <c r="B4" s="3" t="s">
        <v>30</v>
      </c>
      <c r="C4" s="12" t="s">
        <v>29</v>
      </c>
      <c r="D4" s="9">
        <f>Durum_Mo!P4</f>
        <v>0</v>
      </c>
      <c r="E4" s="9">
        <f>Durum_Mo!P19</f>
        <v>0</v>
      </c>
      <c r="F4" s="9">
        <f>Durum_Mo!P34</f>
        <v>0</v>
      </c>
      <c r="G4" s="9">
        <f>Durum_Mo!P49</f>
        <v>0</v>
      </c>
      <c r="H4" s="9">
        <f>Durum_Mo!P64</f>
        <v>0</v>
      </c>
      <c r="I4" s="9">
        <f>Durum_Mo!P79</f>
        <v>0</v>
      </c>
      <c r="J4" s="9">
        <f>Durum_Mo!P94</f>
        <v>0</v>
      </c>
      <c r="K4" s="9">
        <f>Durum_Mo!P109</f>
        <v>0</v>
      </c>
      <c r="L4" s="9">
        <f>Durum_Mo!P124</f>
        <v>0</v>
      </c>
      <c r="M4" s="9">
        <f>Durum_Mo!P139</f>
        <v>0</v>
      </c>
      <c r="N4" s="9">
        <f>Durum_Mo!P154</f>
        <v>0</v>
      </c>
      <c r="O4" s="9">
        <f>Durum_Mo!P169</f>
        <v>0</v>
      </c>
      <c r="P4" s="9">
        <f>Durum_Mo!P184</f>
        <v>0</v>
      </c>
      <c r="Q4" s="9">
        <f>Durum_Mo!P199</f>
        <v>0</v>
      </c>
      <c r="R4" s="9">
        <f>Durum_Mo!P214</f>
        <v>0</v>
      </c>
      <c r="S4" s="9">
        <f>Durum_Mo!P229</f>
        <v>0</v>
      </c>
      <c r="T4" s="9">
        <f>Durum_Mo!P244</f>
        <v>0</v>
      </c>
      <c r="U4" s="9">
        <f>Durum_Mo!P259</f>
        <v>0</v>
      </c>
      <c r="V4" s="9">
        <f>Durum_Mo!P274</f>
        <v>0</v>
      </c>
      <c r="W4" s="9">
        <f>Durum_Mo!P289</f>
        <v>0</v>
      </c>
      <c r="X4" s="9">
        <f>Durum_Mo!P304</f>
        <v>0</v>
      </c>
      <c r="Y4" s="9">
        <f>Durum_Mo!P319</f>
        <v>0</v>
      </c>
      <c r="Z4" s="9">
        <f>Durum_Mo!P334</f>
        <v>0</v>
      </c>
      <c r="AA4" s="9">
        <f>Durum_Mo!P349</f>
        <v>0</v>
      </c>
    </row>
    <row r="5" spans="1:27" x14ac:dyDescent="0.3">
      <c r="A5" s="2" t="s">
        <v>89</v>
      </c>
      <c r="B5" s="3" t="s">
        <v>31</v>
      </c>
      <c r="C5" s="12" t="s">
        <v>32</v>
      </c>
      <c r="D5" s="13" t="str">
        <f t="shared" ref="D5:AA5" si="0">IF(D3&lt;&gt;0,D4/D3,"")</f>
        <v/>
      </c>
      <c r="E5" s="13" t="str">
        <f t="shared" si="0"/>
        <v/>
      </c>
      <c r="F5" s="13" t="str">
        <f t="shared" si="0"/>
        <v/>
      </c>
      <c r="G5" s="13" t="str">
        <f t="shared" si="0"/>
        <v/>
      </c>
      <c r="H5" s="13" t="str">
        <f t="shared" si="0"/>
        <v/>
      </c>
      <c r="I5" s="13" t="str">
        <f t="shared" si="0"/>
        <v/>
      </c>
      <c r="J5" s="13" t="str">
        <f t="shared" si="0"/>
        <v/>
      </c>
      <c r="K5" s="13" t="str">
        <f t="shared" si="0"/>
        <v/>
      </c>
      <c r="L5" s="13" t="str">
        <f t="shared" si="0"/>
        <v/>
      </c>
      <c r="M5" s="13" t="str">
        <f t="shared" si="0"/>
        <v/>
      </c>
      <c r="N5" s="13" t="str">
        <f t="shared" si="0"/>
        <v/>
      </c>
      <c r="O5" s="13" t="str">
        <f t="shared" si="0"/>
        <v/>
      </c>
      <c r="P5" s="13" t="str">
        <f t="shared" si="0"/>
        <v/>
      </c>
      <c r="Q5" s="13" t="str">
        <f t="shared" si="0"/>
        <v/>
      </c>
      <c r="R5" s="13" t="str">
        <f t="shared" si="0"/>
        <v/>
      </c>
      <c r="S5" s="13" t="str">
        <f t="shared" si="0"/>
        <v/>
      </c>
      <c r="T5" s="13" t="str">
        <f t="shared" si="0"/>
        <v/>
      </c>
      <c r="U5" s="13" t="str">
        <f t="shared" si="0"/>
        <v/>
      </c>
      <c r="V5" s="13" t="str">
        <f t="shared" si="0"/>
        <v/>
      </c>
      <c r="W5" s="13" t="str">
        <f t="shared" si="0"/>
        <v/>
      </c>
      <c r="X5" s="13" t="str">
        <f t="shared" si="0"/>
        <v/>
      </c>
      <c r="Y5" s="13" t="str">
        <f t="shared" si="0"/>
        <v/>
      </c>
      <c r="Z5" s="13" t="str">
        <f t="shared" si="0"/>
        <v/>
      </c>
      <c r="AA5" s="13" t="str">
        <f t="shared" si="0"/>
        <v/>
      </c>
    </row>
    <row r="6" spans="1:27" x14ac:dyDescent="0.3">
      <c r="A6" s="2" t="s">
        <v>89</v>
      </c>
      <c r="B6" s="3" t="s">
        <v>33</v>
      </c>
      <c r="C6" s="12" t="s">
        <v>34</v>
      </c>
      <c r="D6" s="14">
        <f>Durum_Mo!O6</f>
        <v>0</v>
      </c>
      <c r="E6" s="14">
        <f>Durum_Mo!O21</f>
        <v>0</v>
      </c>
      <c r="F6" s="14">
        <f>Durum_Mo!O36</f>
        <v>0</v>
      </c>
      <c r="G6" s="14">
        <f>Durum_Mo!O51</f>
        <v>0</v>
      </c>
      <c r="H6" s="14">
        <f>Durum_Mo!O66</f>
        <v>0</v>
      </c>
      <c r="I6" s="14">
        <f>Durum_Mo!O81</f>
        <v>0</v>
      </c>
      <c r="J6" s="14">
        <f>Durum_Mo!O96</f>
        <v>0</v>
      </c>
      <c r="K6" s="14">
        <f>Durum_Mo!O111</f>
        <v>0</v>
      </c>
      <c r="L6" s="14">
        <f>Durum_Mo!O126</f>
        <v>0</v>
      </c>
      <c r="M6" s="14">
        <f>Durum_Mo!O141</f>
        <v>0</v>
      </c>
      <c r="N6" s="14">
        <f>Durum_Mo!O156</f>
        <v>0</v>
      </c>
      <c r="O6" s="14">
        <f>Durum_Mo!O171</f>
        <v>0</v>
      </c>
      <c r="P6" s="14">
        <f>Durum_Mo!O186</f>
        <v>0</v>
      </c>
      <c r="Q6" s="14">
        <f>Durum_Mo!O201</f>
        <v>0</v>
      </c>
      <c r="R6" s="14">
        <f>Durum_Mo!O216</f>
        <v>0</v>
      </c>
      <c r="S6" s="14">
        <f>Durum_Mo!O231</f>
        <v>0</v>
      </c>
      <c r="T6" s="14">
        <f>Durum_Mo!O246</f>
        <v>0</v>
      </c>
      <c r="U6" s="14">
        <f>Durum_Mo!O261</f>
        <v>0</v>
      </c>
      <c r="V6" s="14">
        <f>Durum_Mo!O276</f>
        <v>0</v>
      </c>
      <c r="W6" s="14">
        <f>Durum_Mo!O291</f>
        <v>0</v>
      </c>
      <c r="X6" s="14">
        <f>Durum_Mo!O306</f>
        <v>0</v>
      </c>
      <c r="Y6" s="14">
        <f>Durum_Mo!O321</f>
        <v>0</v>
      </c>
      <c r="Z6" s="14">
        <f>Durum_Mo!O336</f>
        <v>0</v>
      </c>
      <c r="AA6" s="14">
        <f>Durum_Mo!O351</f>
        <v>0</v>
      </c>
    </row>
    <row r="7" spans="1:27" x14ac:dyDescent="0.3">
      <c r="A7" s="2" t="s">
        <v>89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</row>
    <row r="8" spans="1:27" x14ac:dyDescent="0.3">
      <c r="A8" s="2" t="s">
        <v>89</v>
      </c>
      <c r="B8" s="8" t="s">
        <v>35</v>
      </c>
      <c r="C8" s="2" t="s">
        <v>36</v>
      </c>
      <c r="D8" s="9">
        <f>Durum_Mo!P8</f>
        <v>14.7</v>
      </c>
      <c r="E8" s="9">
        <f>Durum_Mo!P23</f>
        <v>2.2999999999999998</v>
      </c>
      <c r="F8" s="9">
        <f>Durum_Mo!P38</f>
        <v>1.6</v>
      </c>
      <c r="G8" s="9">
        <f>Durum_Mo!P53</f>
        <v>7.2</v>
      </c>
      <c r="H8" s="9">
        <f>Durum_Mo!P68</f>
        <v>1.6</v>
      </c>
      <c r="I8" s="9">
        <f>Durum_Mo!P83</f>
        <v>6.9</v>
      </c>
      <c r="J8" s="9">
        <f>Durum_Mo!P98</f>
        <v>5.6999999999999993</v>
      </c>
      <c r="K8" s="9">
        <f>Durum_Mo!P113</f>
        <v>5.5</v>
      </c>
      <c r="L8" s="9">
        <f>Durum_Mo!P128</f>
        <v>93.4</v>
      </c>
      <c r="M8" s="9">
        <f>Durum_Mo!P143</f>
        <v>43</v>
      </c>
      <c r="N8" s="9">
        <f>Durum_Mo!P158</f>
        <v>104.8</v>
      </c>
      <c r="O8" s="9">
        <f>Durum_Mo!P173</f>
        <v>9.3000000000000007</v>
      </c>
      <c r="P8" s="9">
        <f>Durum_Mo!P188</f>
        <v>17.099999999999998</v>
      </c>
      <c r="Q8" s="9">
        <f>Durum_Mo!P203</f>
        <v>32.1</v>
      </c>
      <c r="R8" s="9">
        <f>Durum_Mo!P218</f>
        <v>18.3</v>
      </c>
      <c r="S8" s="9">
        <f>Durum_Mo!P233</f>
        <v>11.3</v>
      </c>
      <c r="T8" s="9">
        <f>Durum_Mo!P248</f>
        <v>41.5</v>
      </c>
      <c r="U8" s="9">
        <f>Durum_Mo!P263</f>
        <v>236.5</v>
      </c>
      <c r="V8" s="9">
        <f>Durum_Mo!P278</f>
        <v>32.6</v>
      </c>
      <c r="W8" s="9">
        <f>Durum_Mo!P293</f>
        <v>22.1</v>
      </c>
      <c r="X8" s="9">
        <f>Durum_Mo!P308</f>
        <v>2.6</v>
      </c>
      <c r="Y8" s="9">
        <f>Durum_Mo!P323</f>
        <v>10.3</v>
      </c>
      <c r="Z8" s="9">
        <f>Durum_Mo!P338</f>
        <v>7.1</v>
      </c>
      <c r="AA8" s="9">
        <f>Durum_Mo!P353</f>
        <v>0</v>
      </c>
    </row>
    <row r="9" spans="1:27" x14ac:dyDescent="0.3">
      <c r="A9" s="2" t="s">
        <v>89</v>
      </c>
      <c r="B9" s="8" t="s">
        <v>37</v>
      </c>
      <c r="C9" s="2" t="s">
        <v>36</v>
      </c>
      <c r="D9" s="9">
        <f>Durum_Mo!P9</f>
        <v>11630.7</v>
      </c>
      <c r="E9" s="9">
        <f>Durum_Mo!P24</f>
        <v>12634.800000000001</v>
      </c>
      <c r="F9" s="9">
        <f>Durum_Mo!P39</f>
        <v>14404.199999999999</v>
      </c>
      <c r="G9" s="9">
        <f>Durum_Mo!P54</f>
        <v>17743.800000000003</v>
      </c>
      <c r="H9" s="9">
        <f>Durum_Mo!P69</f>
        <v>10038.599999999999</v>
      </c>
      <c r="I9" s="9">
        <f>Durum_Mo!P84</f>
        <v>11044.2</v>
      </c>
      <c r="J9" s="9">
        <f>Durum_Mo!P99</f>
        <v>16557.900000000001</v>
      </c>
      <c r="K9" s="9">
        <f>Durum_Mo!P114</f>
        <v>16198.800000000001</v>
      </c>
      <c r="L9" s="9">
        <f>Durum_Mo!P129</f>
        <v>9074.0999999999985</v>
      </c>
      <c r="M9" s="9">
        <f>Durum_Mo!P144</f>
        <v>12516.300000000001</v>
      </c>
      <c r="N9" s="9">
        <f>Durum_Mo!P159</f>
        <v>13879.800000000001</v>
      </c>
      <c r="O9" s="9">
        <f>Durum_Mo!P174</f>
        <v>19513.5</v>
      </c>
      <c r="P9" s="9">
        <f>Durum_Mo!P189</f>
        <v>15578.099999999999</v>
      </c>
      <c r="Q9" s="9">
        <f>Durum_Mo!P204</f>
        <v>16166.099999999999</v>
      </c>
      <c r="R9" s="9">
        <f>Durum_Mo!P219</f>
        <v>23285.4</v>
      </c>
      <c r="S9" s="9">
        <f>Durum_Mo!P234</f>
        <v>14886.599999999999</v>
      </c>
      <c r="T9" s="9">
        <f>Durum_Mo!P249</f>
        <v>17354.400000000001</v>
      </c>
      <c r="U9" s="9">
        <f>Durum_Mo!P264</f>
        <v>15051</v>
      </c>
      <c r="V9" s="9">
        <f>Durum_Mo!P279</f>
        <v>19713.599999999999</v>
      </c>
      <c r="W9" s="9">
        <f>Durum_Mo!P294</f>
        <v>9097.5</v>
      </c>
      <c r="X9" s="9">
        <f>Durum_Mo!P309</f>
        <v>17371.199999999997</v>
      </c>
      <c r="Y9" s="9">
        <f>Durum_Mo!P324</f>
        <v>12740.699999999999</v>
      </c>
      <c r="Z9" s="9">
        <f>Durum_Mo!P339</f>
        <v>19140.900000000001</v>
      </c>
      <c r="AA9" s="9">
        <f>Durum_Mo!P354</f>
        <v>0</v>
      </c>
    </row>
    <row r="10" spans="1:27" x14ac:dyDescent="0.3">
      <c r="A10" s="2" t="s">
        <v>89</v>
      </c>
      <c r="B10" s="8" t="s">
        <v>38</v>
      </c>
      <c r="C10" s="2" t="s">
        <v>36</v>
      </c>
      <c r="D10" s="9">
        <f>Durum_Mo!P10</f>
        <v>69.37166666666667</v>
      </c>
      <c r="E10" s="9">
        <f>Durum_Mo!P25</f>
        <v>62.434999999999995</v>
      </c>
      <c r="F10" s="9">
        <f>Durum_Mo!P40</f>
        <v>63.29</v>
      </c>
      <c r="G10" s="9">
        <f>Durum_Mo!P55</f>
        <v>61.936666666666667</v>
      </c>
      <c r="H10" s="9">
        <f>Durum_Mo!P70</f>
        <v>64.568333333333328</v>
      </c>
      <c r="I10" s="9">
        <f>Durum_Mo!P85</f>
        <v>56.203333333333347</v>
      </c>
      <c r="J10" s="9">
        <f>Durum_Mo!P100</f>
        <v>59.365000000000009</v>
      </c>
      <c r="K10" s="9">
        <f>Durum_Mo!P115</f>
        <v>65.504999999999995</v>
      </c>
      <c r="L10" s="9">
        <f>Durum_Mo!P130</f>
        <v>63.263333333333328</v>
      </c>
      <c r="M10" s="9">
        <f>Durum_Mo!P145</f>
        <v>58.081666666666671</v>
      </c>
      <c r="N10" s="9">
        <f>Durum_Mo!P160</f>
        <v>57.916666666666671</v>
      </c>
      <c r="O10" s="9">
        <f>Durum_Mo!P175</f>
        <v>59.168333333333337</v>
      </c>
      <c r="P10" s="9">
        <f>Durum_Mo!P190</f>
        <v>50.04</v>
      </c>
      <c r="Q10" s="9">
        <f>Durum_Mo!P205</f>
        <v>52.376666666666679</v>
      </c>
      <c r="R10" s="9">
        <f>Durum_Mo!P220</f>
        <v>43.588333333333331</v>
      </c>
      <c r="S10" s="9">
        <f>Durum_Mo!P235</f>
        <v>50.371666666666655</v>
      </c>
      <c r="T10" s="9">
        <f>Durum_Mo!P250</f>
        <v>51.108333333333327</v>
      </c>
      <c r="U10" s="9">
        <f>Durum_Mo!P265</f>
        <v>54.166666666666671</v>
      </c>
      <c r="V10" s="9">
        <f>Durum_Mo!P280</f>
        <v>49.594999999999999</v>
      </c>
      <c r="W10" s="9">
        <f>Durum_Mo!P295</f>
        <v>52.734999999999999</v>
      </c>
      <c r="X10" s="9">
        <f>Durum_Mo!P310</f>
        <v>49.37166666666667</v>
      </c>
      <c r="Y10" s="9">
        <f>Durum_Mo!P325</f>
        <v>48.043333333333329</v>
      </c>
      <c r="Z10" s="9">
        <f>Durum_Mo!P340</f>
        <v>50.623333333333328</v>
      </c>
      <c r="AA10" s="9">
        <f>Durum_Mo!P355</f>
        <v>0</v>
      </c>
    </row>
    <row r="11" spans="1:27" x14ac:dyDescent="0.3">
      <c r="A11" s="2" t="s">
        <v>89</v>
      </c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</row>
    <row r="12" spans="1:27" x14ac:dyDescent="0.3">
      <c r="A12" s="2" t="s">
        <v>89</v>
      </c>
      <c r="B12" s="8" t="s">
        <v>39</v>
      </c>
      <c r="C12" s="2" t="s">
        <v>36</v>
      </c>
      <c r="D12" s="9">
        <f>Durum_Mo!P12</f>
        <v>10805.708333333334</v>
      </c>
      <c r="E12" s="9">
        <f>Durum_Mo!P27</f>
        <v>11579.628333333334</v>
      </c>
      <c r="F12" s="9">
        <f>Durum_Mo!P42</f>
        <v>12861.066666666666</v>
      </c>
      <c r="G12" s="9">
        <f>Durum_Mo!P57</f>
        <v>15844.656666666668</v>
      </c>
      <c r="H12" s="9">
        <f>Durum_Mo!P72</f>
        <v>10923.428333333333</v>
      </c>
      <c r="I12" s="9">
        <f>Durum_Mo!P87</f>
        <v>10661.126666666667</v>
      </c>
      <c r="J12" s="9">
        <f>Durum_Mo!P102</f>
        <v>14398.196666666667</v>
      </c>
      <c r="K12" s="9">
        <f>Durum_Mo!P117</f>
        <v>14503.09666666667</v>
      </c>
      <c r="L12" s="9">
        <f>Durum_Mo!P132</f>
        <v>9439.4650000000001</v>
      </c>
      <c r="M12" s="9">
        <f>Durum_Mo!P147</f>
        <v>11694.338333333333</v>
      </c>
      <c r="N12" s="9">
        <f>Durum_Mo!P162</f>
        <v>13252.671666666667</v>
      </c>
      <c r="O12" s="9">
        <f>Durum_Mo!P177</f>
        <v>17577.985000000001</v>
      </c>
      <c r="P12" s="9">
        <f>Durum_Mo!P192</f>
        <v>15029.968333333334</v>
      </c>
      <c r="Q12" s="9">
        <f>Durum_Mo!P207</f>
        <v>14867.915000000001</v>
      </c>
      <c r="R12" s="9">
        <f>Durum_Mo!P222</f>
        <v>21386.720000000001</v>
      </c>
      <c r="S12" s="9">
        <f>Durum_Mo!P237</f>
        <v>14097.536666666663</v>
      </c>
      <c r="T12" s="9">
        <f>Durum_Mo!P252</f>
        <v>15852.236666666668</v>
      </c>
      <c r="U12" s="9">
        <f>Durum_Mo!P267</f>
        <v>15005.278333333335</v>
      </c>
      <c r="V12" s="9">
        <f>Durum_Mo!P282</f>
        <v>18157.303333333333</v>
      </c>
      <c r="W12" s="9">
        <f>Durum_Mo!P297</f>
        <v>8635.7149999999983</v>
      </c>
      <c r="X12" s="9">
        <f>Durum_Mo!P312</f>
        <v>16023.635</v>
      </c>
      <c r="Y12" s="9">
        <f>Durum_Mo!P327</f>
        <v>11690.798333333332</v>
      </c>
      <c r="Z12" s="9">
        <f>Durum_Mo!P342</f>
        <v>17785.511666666665</v>
      </c>
      <c r="AA12" s="9">
        <f>Durum_Mo!P357</f>
        <v>0</v>
      </c>
    </row>
    <row r="13" spans="1:27" x14ac:dyDescent="0.3">
      <c r="A13" s="2" t="s">
        <v>89</v>
      </c>
      <c r="B13" s="8" t="s">
        <v>40</v>
      </c>
      <c r="C13" s="2" t="s">
        <v>36</v>
      </c>
      <c r="D13" s="9">
        <f>Durum_Mo!P13</f>
        <v>706.62</v>
      </c>
      <c r="E13" s="9">
        <f>Durum_Mo!P28</f>
        <v>829.53666666666663</v>
      </c>
      <c r="F13" s="9">
        <f>Durum_Mo!P43</f>
        <v>768.64333333333332</v>
      </c>
      <c r="G13" s="9">
        <f>Durum_Mo!P58</f>
        <v>1057.9066666666668</v>
      </c>
      <c r="H13" s="9">
        <f>Durum_Mo!P73</f>
        <v>1068.8033333333333</v>
      </c>
      <c r="I13" s="9">
        <f>Durum_Mo!P88</f>
        <v>781.87</v>
      </c>
      <c r="J13" s="9">
        <f>Durum_Mo!P103</f>
        <v>911.63833333333332</v>
      </c>
      <c r="K13" s="9">
        <f>Durum_Mo!P118</f>
        <v>944.89833333333343</v>
      </c>
      <c r="L13" s="9">
        <f>Durum_Mo!P133</f>
        <v>792.67166666666674</v>
      </c>
      <c r="M13" s="9">
        <f>Durum_Mo!P148</f>
        <v>886.78</v>
      </c>
      <c r="N13" s="9">
        <f>Durum_Mo!P163</f>
        <v>1033.2116666666666</v>
      </c>
      <c r="O13" s="9">
        <f>Durum_Mo!P178</f>
        <v>1273.6466666666665</v>
      </c>
      <c r="P13" s="9">
        <f>Durum_Mo!P193</f>
        <v>1277.9916666666666</v>
      </c>
      <c r="Q13" s="9">
        <f>Durum_Mo!P208</f>
        <v>1153.7083333333335</v>
      </c>
      <c r="R13" s="9">
        <f>Durum_Mo!P223</f>
        <v>1145.6916666666666</v>
      </c>
      <c r="S13" s="9">
        <f>Durum_Mo!P238</f>
        <v>1101.8916666666664</v>
      </c>
      <c r="T13" s="9">
        <f>Durum_Mo!P253</f>
        <v>1136.355</v>
      </c>
      <c r="U13" s="9">
        <f>Durum_Mo!P268</f>
        <v>1323.7550000000001</v>
      </c>
      <c r="V13" s="9">
        <f>Durum_Mo!P283</f>
        <v>1462.9016666666666</v>
      </c>
      <c r="W13" s="9">
        <f>Durum_Mo!P298</f>
        <v>657.65</v>
      </c>
      <c r="X13" s="9">
        <f>Durum_Mo!P313</f>
        <v>1315.0933333333332</v>
      </c>
      <c r="Y13" s="9">
        <f>Durum_Mo!P328</f>
        <v>915.45833333333337</v>
      </c>
      <c r="Z13" s="9">
        <f>Durum_Mo!P343</f>
        <v>1468.865</v>
      </c>
      <c r="AA13" s="9">
        <f>Durum_Mo!P358</f>
        <v>0</v>
      </c>
    </row>
    <row r="14" spans="1:27" x14ac:dyDescent="0.3">
      <c r="A14" s="2" t="s">
        <v>89</v>
      </c>
      <c r="B14" s="8" t="s">
        <v>41</v>
      </c>
      <c r="C14" s="2" t="s">
        <v>36</v>
      </c>
      <c r="D14" s="9">
        <f>Durum_Mo!P14</f>
        <v>8407.4</v>
      </c>
      <c r="E14" s="9">
        <f>Durum_Mo!P29</f>
        <v>8819.4</v>
      </c>
      <c r="F14" s="9">
        <f>Durum_Mo!P44</f>
        <v>11480.6</v>
      </c>
      <c r="G14" s="9">
        <f>Durum_Mo!P59</f>
        <v>14873.1</v>
      </c>
      <c r="H14" s="9">
        <f>Durum_Mo!P74</f>
        <v>8483.6999999999989</v>
      </c>
      <c r="I14" s="9">
        <f>Durum_Mo!P89</f>
        <v>5851.5999999999995</v>
      </c>
      <c r="J14" s="9">
        <f>Durum_Mo!P104</f>
        <v>10778.5</v>
      </c>
      <c r="K14" s="9">
        <f>Durum_Mo!P119</f>
        <v>12965.8</v>
      </c>
      <c r="L14" s="9">
        <f>Durum_Mo!P134</f>
        <v>8287</v>
      </c>
      <c r="M14" s="9">
        <f>Durum_Mo!P149</f>
        <v>8568.1</v>
      </c>
      <c r="N14" s="9">
        <f>Durum_Mo!P164</f>
        <v>8054.4</v>
      </c>
      <c r="O14" s="9">
        <f>Durum_Mo!P179</f>
        <v>10980</v>
      </c>
      <c r="P14" s="9">
        <f>Durum_Mo!P194</f>
        <v>7620.7000000000007</v>
      </c>
      <c r="Q14" s="9">
        <f>Durum_Mo!P209</f>
        <v>8036.1</v>
      </c>
      <c r="R14" s="9">
        <f>Durum_Mo!P224</f>
        <v>12046.4</v>
      </c>
      <c r="S14" s="9">
        <f>Durum_Mo!P239</f>
        <v>9621.1</v>
      </c>
      <c r="T14" s="9">
        <f>Durum_Mo!P254</f>
        <v>11509</v>
      </c>
      <c r="U14" s="9">
        <f>Durum_Mo!P269</f>
        <v>8702.7999999999993</v>
      </c>
      <c r="V14" s="9">
        <f>Durum_Mo!P284</f>
        <v>8622.9</v>
      </c>
      <c r="W14" s="9">
        <f>Durum_Mo!P299</f>
        <v>5023.6000000000004</v>
      </c>
      <c r="X14" s="9">
        <f>Durum_Mo!P314</f>
        <v>6971</v>
      </c>
      <c r="Y14" s="9">
        <f>Durum_Mo!P329</f>
        <v>6145.5</v>
      </c>
      <c r="Z14" s="9">
        <f>Durum_Mo!P344</f>
        <v>7896.4</v>
      </c>
      <c r="AA14" s="9">
        <f>Durum_Mo!P359</f>
        <v>0</v>
      </c>
    </row>
    <row r="15" spans="1:27" x14ac:dyDescent="0.3">
      <c r="A15" s="2" t="s">
        <v>89</v>
      </c>
      <c r="B15" s="8" t="s">
        <v>42</v>
      </c>
      <c r="C15" s="2" t="s">
        <v>36</v>
      </c>
      <c r="D15" s="9">
        <f>Durum_Mo!P15</f>
        <v>0</v>
      </c>
      <c r="E15" s="9">
        <f>Durum_Mo!P30</f>
        <v>0</v>
      </c>
      <c r="F15" s="9">
        <f>Durum_Mo!P45</f>
        <v>0</v>
      </c>
      <c r="G15" s="9">
        <f>Durum_Mo!P60</f>
        <v>0</v>
      </c>
      <c r="H15" s="9">
        <f>Durum_Mo!P75</f>
        <v>0</v>
      </c>
      <c r="I15" s="9">
        <f>Durum_Mo!P90</f>
        <v>0</v>
      </c>
      <c r="J15" s="9">
        <f>Durum_Mo!P105</f>
        <v>0</v>
      </c>
      <c r="K15" s="9">
        <f>Durum_Mo!P120</f>
        <v>0</v>
      </c>
      <c r="L15" s="9">
        <f>Durum_Mo!P135</f>
        <v>0</v>
      </c>
      <c r="M15" s="9">
        <f>Durum_Mo!P150</f>
        <v>0</v>
      </c>
      <c r="N15" s="9">
        <f>Durum_Mo!P165</f>
        <v>0</v>
      </c>
      <c r="O15" s="9">
        <f>Durum_Mo!P180</f>
        <v>0</v>
      </c>
      <c r="P15" s="9">
        <f>Durum_Mo!P195</f>
        <v>0</v>
      </c>
      <c r="Q15" s="9">
        <f>Durum_Mo!P210</f>
        <v>0</v>
      </c>
      <c r="R15" s="9">
        <f>Durum_Mo!P225</f>
        <v>0</v>
      </c>
      <c r="S15" s="9">
        <f>Durum_Mo!P240</f>
        <v>0</v>
      </c>
      <c r="T15" s="9">
        <f>Durum_Mo!P255</f>
        <v>0</v>
      </c>
      <c r="U15" s="9">
        <f>Durum_Mo!P270</f>
        <v>0</v>
      </c>
      <c r="V15" s="9">
        <f>Durum_Mo!P285</f>
        <v>0</v>
      </c>
      <c r="W15" s="9">
        <f>Durum_Mo!P300</f>
        <v>0</v>
      </c>
      <c r="X15" s="9">
        <f>Durum_Mo!P315</f>
        <v>0</v>
      </c>
      <c r="Y15" s="9">
        <f>Durum_Mo!P330</f>
        <v>0</v>
      </c>
      <c r="Z15" s="9">
        <f>Durum_Mo!P345</f>
        <v>0</v>
      </c>
      <c r="AA15" s="9">
        <f>Durum_Mo!P360</f>
        <v>0</v>
      </c>
    </row>
    <row r="16" spans="1:27" x14ac:dyDescent="0.3">
      <c r="A16" s="2" t="s">
        <v>89</v>
      </c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</row>
    <row r="17" spans="1:27" x14ac:dyDescent="0.3">
      <c r="A17" s="2" t="s">
        <v>89</v>
      </c>
      <c r="B17" s="8" t="s">
        <v>43</v>
      </c>
      <c r="C17" s="2" t="s">
        <v>36</v>
      </c>
      <c r="D17" s="9">
        <f>Durum_Mo!P17</f>
        <v>0</v>
      </c>
      <c r="E17" s="9">
        <f>Durum_Mo!P32</f>
        <v>9.0949470177292824E-13</v>
      </c>
      <c r="F17" s="9">
        <f>Durum_Mo!P47</f>
        <v>-9.0949470177292824E-13</v>
      </c>
      <c r="G17" s="9">
        <f>Durum_Mo!P62</f>
        <v>-4.5474735088646412E-13</v>
      </c>
      <c r="H17" s="9">
        <f>Durum_Mo!P77</f>
        <v>6.8212102632969618E-13</v>
      </c>
      <c r="I17" s="9">
        <f>Durum_Mo!P92</f>
        <v>-1.2505552149377763E-12</v>
      </c>
      <c r="J17" s="9">
        <f>Durum_Mo!P107</f>
        <v>1.5916157281026242E-12</v>
      </c>
      <c r="K17" s="9">
        <f>Durum_Mo!P122</f>
        <v>0</v>
      </c>
      <c r="L17" s="9">
        <f>Durum_Mo!P137</f>
        <v>-4.5474735088646412E-13</v>
      </c>
      <c r="M17" s="9">
        <f>Durum_Mo!P152</f>
        <v>-9.0949470177292824E-13</v>
      </c>
      <c r="N17" s="9">
        <f>Durum_Mo!P167</f>
        <v>6.8212102632969618E-13</v>
      </c>
      <c r="O17" s="9">
        <f>Durum_Mo!P182</f>
        <v>9.0949470177292824E-13</v>
      </c>
      <c r="P17" s="9">
        <f>Durum_Mo!P197</f>
        <v>5.6843418860807995E-13</v>
      </c>
      <c r="Q17" s="9">
        <f>Durum_Mo!P212</f>
        <v>2.2737367544323211E-13</v>
      </c>
      <c r="R17" s="9">
        <f>Durum_Mo!P227</f>
        <v>6.8212102632969618E-13</v>
      </c>
      <c r="S17" s="9">
        <f>Durum_Mo!P242</f>
        <v>0</v>
      </c>
      <c r="T17" s="9">
        <f>Durum_Mo!P257</f>
        <v>2.2737367544323206E-13</v>
      </c>
      <c r="U17" s="9">
        <f>Durum_Mo!P272</f>
        <v>-1.5916157281026244E-12</v>
      </c>
      <c r="V17" s="9">
        <f>Durum_Mo!P287</f>
        <v>3.4106051316484809E-13</v>
      </c>
      <c r="W17" s="9">
        <f>Durum_Mo!P302</f>
        <v>-3.4106051316484809E-13</v>
      </c>
      <c r="X17" s="9">
        <f>Durum_Mo!P317</f>
        <v>-4.5474735088646412E-13</v>
      </c>
      <c r="Y17" s="9">
        <f>Durum_Mo!P332</f>
        <v>0</v>
      </c>
      <c r="Z17" s="9">
        <f>Durum_Mo!P347</f>
        <v>3.4106051316484809E-13</v>
      </c>
      <c r="AA17" s="9">
        <f>Durum_Mo!P362</f>
        <v>0</v>
      </c>
    </row>
    <row r="18" spans="1:27" x14ac:dyDescent="0.3">
      <c r="A18" s="2" t="s">
        <v>89</v>
      </c>
      <c r="B18" s="3" t="s">
        <v>44</v>
      </c>
      <c r="C18" s="12" t="s">
        <v>32</v>
      </c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</row>
    <row r="19" spans="1:27" x14ac:dyDescent="0.3">
      <c r="A19" s="2" t="s">
        <v>89</v>
      </c>
      <c r="B19" s="3" t="s">
        <v>45</v>
      </c>
      <c r="C19" s="12" t="s">
        <v>46</v>
      </c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</row>
    <row r="20" spans="1:27" x14ac:dyDescent="0.3">
      <c r="A20" s="2" t="s">
        <v>89</v>
      </c>
      <c r="B20" s="11" t="s">
        <v>47</v>
      </c>
      <c r="C20" s="15" t="s">
        <v>36</v>
      </c>
      <c r="D20" s="16">
        <f t="shared" ref="D20:AA20" si="1">D8+D10+D9-D12-D13-D14-D15-D17</f>
        <v>-8204.9566666666669</v>
      </c>
      <c r="E20" s="16">
        <f t="shared" si="1"/>
        <v>-8529.0299999999988</v>
      </c>
      <c r="F20" s="16">
        <f t="shared" si="1"/>
        <v>-10641.220000000001</v>
      </c>
      <c r="G20" s="16">
        <f t="shared" si="1"/>
        <v>-13962.726666666666</v>
      </c>
      <c r="H20" s="16">
        <f t="shared" si="1"/>
        <v>-10371.163333333334</v>
      </c>
      <c r="I20" s="16">
        <f t="shared" si="1"/>
        <v>-6187.2933333333322</v>
      </c>
      <c r="J20" s="16">
        <f t="shared" si="1"/>
        <v>-9465.3700000000008</v>
      </c>
      <c r="K20" s="16">
        <f t="shared" si="1"/>
        <v>-12143.990000000002</v>
      </c>
      <c r="L20" s="16">
        <f t="shared" si="1"/>
        <v>-9288.3733333333348</v>
      </c>
      <c r="M20" s="16">
        <f t="shared" si="1"/>
        <v>-8531.8366666666661</v>
      </c>
      <c r="N20" s="16">
        <f t="shared" si="1"/>
        <v>-8297.7666666666646</v>
      </c>
      <c r="O20" s="16">
        <f t="shared" si="1"/>
        <v>-10249.663333333334</v>
      </c>
      <c r="P20" s="16">
        <f t="shared" si="1"/>
        <v>-8283.4200000000037</v>
      </c>
      <c r="Q20" s="16">
        <f t="shared" si="1"/>
        <v>-7807.1466666666693</v>
      </c>
      <c r="R20" s="16">
        <f t="shared" si="1"/>
        <v>-11231.523333333334</v>
      </c>
      <c r="S20" s="16">
        <f t="shared" si="1"/>
        <v>-9872.2566666666644</v>
      </c>
      <c r="T20" s="16">
        <f t="shared" si="1"/>
        <v>-11050.583333333332</v>
      </c>
      <c r="U20" s="16">
        <f t="shared" si="1"/>
        <v>-9690.1666666666661</v>
      </c>
      <c r="V20" s="16">
        <f t="shared" si="1"/>
        <v>-8447.3100000000013</v>
      </c>
      <c r="W20" s="16">
        <f t="shared" si="1"/>
        <v>-5144.6299999999992</v>
      </c>
      <c r="X20" s="16">
        <f t="shared" si="1"/>
        <v>-6886.5566666666673</v>
      </c>
      <c r="Y20" s="16">
        <f t="shared" si="1"/>
        <v>-5952.7133333333322</v>
      </c>
      <c r="Z20" s="16">
        <f t="shared" si="1"/>
        <v>-7952.1533333333318</v>
      </c>
      <c r="AA20" s="16">
        <f t="shared" si="1"/>
        <v>0</v>
      </c>
    </row>
  </sheetData>
  <mergeCells count="1">
    <mergeCell ref="A1:C1"/>
  </mergeCells>
  <conditionalFormatting sqref="D20:AA20">
    <cfRule type="cellIs" dxfId="61" priority="1" operator="equal">
      <formula>0</formula>
    </cfRule>
    <cfRule type="cellIs" dxfId="60" priority="2" operator="notEqual">
      <formula>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A20"/>
  <sheetViews>
    <sheetView workbookViewId="0">
      <selection activeCell="F12" sqref="F12"/>
    </sheetView>
  </sheetViews>
  <sheetFormatPr defaultRowHeight="14.4" x14ac:dyDescent="0.3"/>
  <cols>
    <col min="1" max="1" width="18" customWidth="1"/>
    <col min="2" max="2" width="28" customWidth="1"/>
    <col min="3" max="3" width="10" customWidth="1"/>
    <col min="4" max="27" width="7" customWidth="1"/>
  </cols>
  <sheetData>
    <row r="1" spans="1:27" ht="15.6" customHeight="1" x14ac:dyDescent="0.3">
      <c r="A1" s="57" t="s">
        <v>90</v>
      </c>
      <c r="B1" s="58"/>
      <c r="C1" s="58"/>
    </row>
    <row r="2" spans="1:27" ht="26.4" customHeight="1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  <c r="W2" s="1" t="s">
        <v>23</v>
      </c>
      <c r="X2" s="1" t="s">
        <v>24</v>
      </c>
      <c r="Y2" s="1" t="s">
        <v>25</v>
      </c>
      <c r="Z2" s="1" t="s">
        <v>26</v>
      </c>
      <c r="AA2" s="1" t="s">
        <v>27</v>
      </c>
    </row>
    <row r="3" spans="1:27" x14ac:dyDescent="0.3">
      <c r="A3" s="2" t="s">
        <v>90</v>
      </c>
      <c r="B3" s="3" t="s">
        <v>28</v>
      </c>
      <c r="C3" s="12" t="s">
        <v>29</v>
      </c>
      <c r="D3" s="9">
        <f>Canola_Mo!P3</f>
        <v>0</v>
      </c>
      <c r="E3" s="9">
        <f>Canola_Mo!P18</f>
        <v>0</v>
      </c>
      <c r="F3" s="9">
        <f>Canola_Mo!P33</f>
        <v>0</v>
      </c>
      <c r="G3" s="9">
        <f>Canola_Mo!P48</f>
        <v>0</v>
      </c>
      <c r="H3" s="9">
        <f>Canola_Mo!P63</f>
        <v>0</v>
      </c>
      <c r="I3" s="9">
        <f>Canola_Mo!P78</f>
        <v>0</v>
      </c>
      <c r="J3" s="9">
        <f>Canola_Mo!P93</f>
        <v>0</v>
      </c>
      <c r="K3" s="9">
        <f>Canola_Mo!P108</f>
        <v>0</v>
      </c>
      <c r="L3" s="9">
        <f>Canola_Mo!P123</f>
        <v>0</v>
      </c>
      <c r="M3" s="9">
        <f>Canola_Mo!P138</f>
        <v>0</v>
      </c>
      <c r="N3" s="9">
        <f>Canola_Mo!P153</f>
        <v>0</v>
      </c>
      <c r="O3" s="9">
        <f>Canola_Mo!P168</f>
        <v>0</v>
      </c>
      <c r="P3" s="9">
        <f>Canola_Mo!P183</f>
        <v>0</v>
      </c>
      <c r="Q3" s="9">
        <f>Canola_Mo!P198</f>
        <v>0</v>
      </c>
      <c r="R3" s="9">
        <f>Canola_Mo!P213</f>
        <v>0</v>
      </c>
      <c r="S3" s="9">
        <f>Canola_Mo!P228</f>
        <v>0</v>
      </c>
      <c r="T3" s="9">
        <f>Canola_Mo!P243</f>
        <v>0</v>
      </c>
      <c r="U3" s="9">
        <f>Canola_Mo!P258</f>
        <v>0</v>
      </c>
      <c r="V3" s="9">
        <f>Canola_Mo!P273</f>
        <v>0</v>
      </c>
      <c r="W3" s="9">
        <f>Canola_Mo!P288</f>
        <v>0</v>
      </c>
      <c r="X3" s="9">
        <f>Canola_Mo!P303</f>
        <v>0</v>
      </c>
      <c r="Y3" s="9">
        <f>Canola_Mo!P318</f>
        <v>0</v>
      </c>
      <c r="Z3" s="9">
        <f>Canola_Mo!P333</f>
        <v>0</v>
      </c>
      <c r="AA3" s="9">
        <f>Canola_Mo!P348</f>
        <v>0</v>
      </c>
    </row>
    <row r="4" spans="1:27" x14ac:dyDescent="0.3">
      <c r="A4" s="2" t="s">
        <v>90</v>
      </c>
      <c r="B4" s="3" t="s">
        <v>30</v>
      </c>
      <c r="C4" s="12" t="s">
        <v>29</v>
      </c>
      <c r="D4" s="9">
        <f>Canola_Mo!P4</f>
        <v>0</v>
      </c>
      <c r="E4" s="9">
        <f>Canola_Mo!P19</f>
        <v>0</v>
      </c>
      <c r="F4" s="9">
        <f>Canola_Mo!P34</f>
        <v>0</v>
      </c>
      <c r="G4" s="9">
        <f>Canola_Mo!P49</f>
        <v>0</v>
      </c>
      <c r="H4" s="9">
        <f>Canola_Mo!P64</f>
        <v>0</v>
      </c>
      <c r="I4" s="9">
        <f>Canola_Mo!P79</f>
        <v>0</v>
      </c>
      <c r="J4" s="9">
        <f>Canola_Mo!P94</f>
        <v>0</v>
      </c>
      <c r="K4" s="9">
        <f>Canola_Mo!P109</f>
        <v>0</v>
      </c>
      <c r="L4" s="9">
        <f>Canola_Mo!P124</f>
        <v>0</v>
      </c>
      <c r="M4" s="9">
        <f>Canola_Mo!P139</f>
        <v>0</v>
      </c>
      <c r="N4" s="9">
        <f>Canola_Mo!P154</f>
        <v>0</v>
      </c>
      <c r="O4" s="9">
        <f>Canola_Mo!P169</f>
        <v>0</v>
      </c>
      <c r="P4" s="9">
        <f>Canola_Mo!P184</f>
        <v>0</v>
      </c>
      <c r="Q4" s="9">
        <f>Canola_Mo!P199</f>
        <v>0</v>
      </c>
      <c r="R4" s="9">
        <f>Canola_Mo!P214</f>
        <v>0</v>
      </c>
      <c r="S4" s="9">
        <f>Canola_Mo!P229</f>
        <v>0</v>
      </c>
      <c r="T4" s="9">
        <f>Canola_Mo!P244</f>
        <v>0</v>
      </c>
      <c r="U4" s="9">
        <f>Canola_Mo!P259</f>
        <v>0</v>
      </c>
      <c r="V4" s="9">
        <f>Canola_Mo!P274</f>
        <v>0</v>
      </c>
      <c r="W4" s="9">
        <f>Canola_Mo!P289</f>
        <v>0</v>
      </c>
      <c r="X4" s="9">
        <f>Canola_Mo!P304</f>
        <v>0</v>
      </c>
      <c r="Y4" s="9">
        <f>Canola_Mo!P319</f>
        <v>0</v>
      </c>
      <c r="Z4" s="9">
        <f>Canola_Mo!P334</f>
        <v>0</v>
      </c>
      <c r="AA4" s="9">
        <f>Canola_Mo!P349</f>
        <v>0</v>
      </c>
    </row>
    <row r="5" spans="1:27" x14ac:dyDescent="0.3">
      <c r="A5" s="2" t="s">
        <v>90</v>
      </c>
      <c r="B5" s="3" t="s">
        <v>31</v>
      </c>
      <c r="C5" s="12" t="s">
        <v>32</v>
      </c>
      <c r="D5" s="13" t="str">
        <f t="shared" ref="D5:AA5" si="0">IF(D3&lt;&gt;0,D4/D3,"")</f>
        <v/>
      </c>
      <c r="E5" s="13" t="str">
        <f t="shared" si="0"/>
        <v/>
      </c>
      <c r="F5" s="13" t="str">
        <f t="shared" si="0"/>
        <v/>
      </c>
      <c r="G5" s="13" t="str">
        <f t="shared" si="0"/>
        <v/>
      </c>
      <c r="H5" s="13" t="str">
        <f t="shared" si="0"/>
        <v/>
      </c>
      <c r="I5" s="13" t="str">
        <f t="shared" si="0"/>
        <v/>
      </c>
      <c r="J5" s="13" t="str">
        <f t="shared" si="0"/>
        <v/>
      </c>
      <c r="K5" s="13" t="str">
        <f t="shared" si="0"/>
        <v/>
      </c>
      <c r="L5" s="13" t="str">
        <f t="shared" si="0"/>
        <v/>
      </c>
      <c r="M5" s="13" t="str">
        <f t="shared" si="0"/>
        <v/>
      </c>
      <c r="N5" s="13" t="str">
        <f t="shared" si="0"/>
        <v/>
      </c>
      <c r="O5" s="13" t="str">
        <f t="shared" si="0"/>
        <v/>
      </c>
      <c r="P5" s="13" t="str">
        <f t="shared" si="0"/>
        <v/>
      </c>
      <c r="Q5" s="13" t="str">
        <f t="shared" si="0"/>
        <v/>
      </c>
      <c r="R5" s="13" t="str">
        <f t="shared" si="0"/>
        <v/>
      </c>
      <c r="S5" s="13" t="str">
        <f t="shared" si="0"/>
        <v/>
      </c>
      <c r="T5" s="13" t="str">
        <f t="shared" si="0"/>
        <v/>
      </c>
      <c r="U5" s="13" t="str">
        <f t="shared" si="0"/>
        <v/>
      </c>
      <c r="V5" s="13" t="str">
        <f t="shared" si="0"/>
        <v/>
      </c>
      <c r="W5" s="13" t="str">
        <f t="shared" si="0"/>
        <v/>
      </c>
      <c r="X5" s="13" t="str">
        <f t="shared" si="0"/>
        <v/>
      </c>
      <c r="Y5" s="13" t="str">
        <f t="shared" si="0"/>
        <v/>
      </c>
      <c r="Z5" s="13" t="str">
        <f t="shared" si="0"/>
        <v/>
      </c>
      <c r="AA5" s="13" t="str">
        <f t="shared" si="0"/>
        <v/>
      </c>
    </row>
    <row r="6" spans="1:27" x14ac:dyDescent="0.3">
      <c r="A6" s="2" t="s">
        <v>90</v>
      </c>
      <c r="B6" s="3" t="s">
        <v>33</v>
      </c>
      <c r="C6" s="12" t="s">
        <v>34</v>
      </c>
      <c r="D6" s="14">
        <f>Canola_Mo!O6</f>
        <v>0</v>
      </c>
      <c r="E6" s="14">
        <f>Canola_Mo!O21</f>
        <v>0</v>
      </c>
      <c r="F6" s="14">
        <f>Canola_Mo!O36</f>
        <v>0</v>
      </c>
      <c r="G6" s="14">
        <f>Canola_Mo!O51</f>
        <v>0</v>
      </c>
      <c r="H6" s="14">
        <f>Canola_Mo!O66</f>
        <v>0</v>
      </c>
      <c r="I6" s="14">
        <f>Canola_Mo!O81</f>
        <v>0</v>
      </c>
      <c r="J6" s="14">
        <f>Canola_Mo!O96</f>
        <v>0</v>
      </c>
      <c r="K6" s="14">
        <f>Canola_Mo!O111</f>
        <v>0</v>
      </c>
      <c r="L6" s="14">
        <f>Canola_Mo!O126</f>
        <v>0</v>
      </c>
      <c r="M6" s="14">
        <f>Canola_Mo!O141</f>
        <v>0</v>
      </c>
      <c r="N6" s="14">
        <f>Canola_Mo!O156</f>
        <v>0</v>
      </c>
      <c r="O6" s="14">
        <f>Canola_Mo!O171</f>
        <v>0</v>
      </c>
      <c r="P6" s="14">
        <f>Canola_Mo!O186</f>
        <v>0</v>
      </c>
      <c r="Q6" s="14">
        <f>Canola_Mo!O201</f>
        <v>0</v>
      </c>
      <c r="R6" s="14">
        <f>Canola_Mo!O216</f>
        <v>0</v>
      </c>
      <c r="S6" s="14">
        <f>Canola_Mo!O231</f>
        <v>0</v>
      </c>
      <c r="T6" s="14">
        <f>Canola_Mo!O246</f>
        <v>0</v>
      </c>
      <c r="U6" s="14">
        <f>Canola_Mo!O261</f>
        <v>0</v>
      </c>
      <c r="V6" s="14">
        <f>Canola_Mo!O276</f>
        <v>0</v>
      </c>
      <c r="W6" s="14">
        <f>Canola_Mo!O291</f>
        <v>0</v>
      </c>
      <c r="X6" s="14">
        <f>Canola_Mo!O306</f>
        <v>0</v>
      </c>
      <c r="Y6" s="14">
        <f>Canola_Mo!O321</f>
        <v>0</v>
      </c>
      <c r="Z6" s="14">
        <f>Canola_Mo!O336</f>
        <v>0</v>
      </c>
      <c r="AA6" s="14">
        <f>Canola_Mo!O351</f>
        <v>0</v>
      </c>
    </row>
    <row r="7" spans="1:27" x14ac:dyDescent="0.3">
      <c r="A7" s="2" t="s">
        <v>90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</row>
    <row r="8" spans="1:27" x14ac:dyDescent="0.3">
      <c r="A8" s="2" t="s">
        <v>90</v>
      </c>
      <c r="B8" s="8" t="s">
        <v>35</v>
      </c>
      <c r="C8" s="2" t="s">
        <v>36</v>
      </c>
      <c r="D8" s="9">
        <f>Canola_Mo!P8</f>
        <v>239.6</v>
      </c>
      <c r="E8" s="9">
        <f>Canola_Mo!P23</f>
        <v>242.6</v>
      </c>
      <c r="F8" s="9">
        <f>Canola_Mo!P38</f>
        <v>107.6</v>
      </c>
      <c r="G8" s="9">
        <f>Canola_Mo!P53</f>
        <v>139.5</v>
      </c>
      <c r="H8" s="9">
        <f>Canola_Mo!P68</f>
        <v>203</v>
      </c>
      <c r="I8" s="9">
        <f>Canola_Mo!P83</f>
        <v>178.8</v>
      </c>
      <c r="J8" s="9">
        <f>Canola_Mo!P98</f>
        <v>120.5</v>
      </c>
      <c r="K8" s="9">
        <f>Canola_Mo!P113</f>
        <v>127.9</v>
      </c>
      <c r="L8" s="9">
        <f>Canola_Mo!P128</f>
        <v>223.7</v>
      </c>
      <c r="M8" s="9">
        <f>Canola_Mo!P143</f>
        <v>96.6</v>
      </c>
      <c r="N8" s="9">
        <f>Canola_Mo!P158</f>
        <v>127.6</v>
      </c>
      <c r="O8" s="9">
        <f>Canola_Mo!P173</f>
        <v>66.099999999999994</v>
      </c>
      <c r="P8" s="9">
        <f>Canola_Mo!P188</f>
        <v>76.599999999999994</v>
      </c>
      <c r="Q8" s="9">
        <f>Canola_Mo!P203</f>
        <v>105</v>
      </c>
      <c r="R8" s="9">
        <f>Canola_Mo!P218</f>
        <v>94.5</v>
      </c>
      <c r="S8" s="9">
        <f>Canola_Mo!P233</f>
        <v>108</v>
      </c>
      <c r="T8" s="9">
        <f>Canola_Mo!P248</f>
        <v>146.5</v>
      </c>
      <c r="U8" s="9">
        <f>Canola_Mo!P263</f>
        <v>132.5</v>
      </c>
      <c r="V8" s="9">
        <f>Canola_Mo!P278</f>
        <v>125.1</v>
      </c>
      <c r="W8" s="9">
        <f>Canola_Mo!P293</f>
        <v>104.7</v>
      </c>
      <c r="X8" s="9">
        <f>Canola_Mo!P308</f>
        <v>151.30000000000001</v>
      </c>
      <c r="Y8" s="9">
        <f>Canola_Mo!P323</f>
        <v>276.10000000000002</v>
      </c>
      <c r="Z8" s="9">
        <f>Canola_Mo!P338</f>
        <v>130.9</v>
      </c>
      <c r="AA8" s="9">
        <f>Canola_Mo!P353</f>
        <v>0</v>
      </c>
    </row>
    <row r="9" spans="1:27" x14ac:dyDescent="0.3">
      <c r="A9" s="2" t="s">
        <v>90</v>
      </c>
      <c r="B9" s="8" t="s">
        <v>37</v>
      </c>
      <c r="C9" s="2" t="s">
        <v>36</v>
      </c>
      <c r="D9" s="9">
        <f>Canola_Mo!P9</f>
        <v>5354.3770000000004</v>
      </c>
      <c r="E9" s="9">
        <f>Canola_Mo!P24</f>
        <v>8040.2269999999999</v>
      </c>
      <c r="F9" s="9">
        <f>Canola_Mo!P39</f>
        <v>8813.3719999999994</v>
      </c>
      <c r="G9" s="9">
        <f>Canola_Mo!P54</f>
        <v>10810.186</v>
      </c>
      <c r="H9" s="9">
        <f>Canola_Mo!P69</f>
        <v>10422.269</v>
      </c>
      <c r="I9" s="9">
        <f>Canola_Mo!P84</f>
        <v>11205.519</v>
      </c>
      <c r="J9" s="9">
        <f>Canola_Mo!P99</f>
        <v>14325.129000000001</v>
      </c>
      <c r="K9" s="9">
        <f>Canola_Mo!P114</f>
        <v>14783.971000000001</v>
      </c>
      <c r="L9" s="9">
        <f>Canola_Mo!P129</f>
        <v>15310.095000000001</v>
      </c>
      <c r="M9" s="9">
        <f>Canola_Mo!P144</f>
        <v>17474.063000000002</v>
      </c>
      <c r="N9" s="9">
        <f>Canola_Mo!P159</f>
        <v>16567.434000000001</v>
      </c>
      <c r="O9" s="9">
        <f>Canola_Mo!P174</f>
        <v>21294.013999999999</v>
      </c>
      <c r="P9" s="9">
        <f>Canola_Mo!P189</f>
        <v>19308.624</v>
      </c>
      <c r="Q9" s="9">
        <f>Canola_Mo!P204</f>
        <v>21646.225999999999</v>
      </c>
      <c r="R9" s="9">
        <f>Canola_Mo!P219</f>
        <v>23288.920000000002</v>
      </c>
      <c r="S9" s="9">
        <f>Canola_Mo!P234</f>
        <v>25221.42</v>
      </c>
      <c r="T9" s="9">
        <f>Canola_Mo!P249</f>
        <v>24397.469000000001</v>
      </c>
      <c r="U9" s="9">
        <f>Canola_Mo!P264</f>
        <v>23991.072</v>
      </c>
      <c r="V9" s="9">
        <f>Canola_Mo!P279</f>
        <v>23650.531000000003</v>
      </c>
      <c r="W9" s="9">
        <f>Canola_Mo!P294</f>
        <v>17496.346999999998</v>
      </c>
      <c r="X9" s="9">
        <f>Canola_Mo!P309</f>
        <v>22597.471999999998</v>
      </c>
      <c r="Y9" s="9">
        <f>Canola_Mo!P324</f>
        <v>23735.092999999997</v>
      </c>
      <c r="Z9" s="9">
        <f>Canola_Mo!P339</f>
        <v>23651.995999999999</v>
      </c>
      <c r="AA9" s="9">
        <f>Canola_Mo!P354</f>
        <v>0</v>
      </c>
    </row>
    <row r="10" spans="1:27" x14ac:dyDescent="0.3">
      <c r="A10" s="2" t="s">
        <v>90</v>
      </c>
      <c r="B10" s="8" t="s">
        <v>38</v>
      </c>
      <c r="C10" s="2" t="s">
        <v>36</v>
      </c>
      <c r="D10" s="9">
        <f>Canola_Mo!P10</f>
        <v>0</v>
      </c>
      <c r="E10" s="9">
        <f>Canola_Mo!P25</f>
        <v>0</v>
      </c>
      <c r="F10" s="9">
        <f>Canola_Mo!P40</f>
        <v>0</v>
      </c>
      <c r="G10" s="9">
        <f>Canola_Mo!P55</f>
        <v>0</v>
      </c>
      <c r="H10" s="9">
        <f>Canola_Mo!P70</f>
        <v>0</v>
      </c>
      <c r="I10" s="9">
        <f>Canola_Mo!P85</f>
        <v>0</v>
      </c>
      <c r="J10" s="9">
        <f>Canola_Mo!P100</f>
        <v>0</v>
      </c>
      <c r="K10" s="9">
        <f>Canola_Mo!P115</f>
        <v>0</v>
      </c>
      <c r="L10" s="9">
        <f>Canola_Mo!P130</f>
        <v>0</v>
      </c>
      <c r="M10" s="9">
        <f>Canola_Mo!P145</f>
        <v>0</v>
      </c>
      <c r="N10" s="9">
        <f>Canola_Mo!P160</f>
        <v>0</v>
      </c>
      <c r="O10" s="9">
        <f>Canola_Mo!P175</f>
        <v>0</v>
      </c>
      <c r="P10" s="9">
        <f>Canola_Mo!P190</f>
        <v>0</v>
      </c>
      <c r="Q10" s="9">
        <f>Canola_Mo!P205</f>
        <v>0</v>
      </c>
      <c r="R10" s="9">
        <f>Canola_Mo!P220</f>
        <v>0</v>
      </c>
      <c r="S10" s="9">
        <f>Canola_Mo!P235</f>
        <v>0</v>
      </c>
      <c r="T10" s="9">
        <f>Canola_Mo!P250</f>
        <v>0</v>
      </c>
      <c r="U10" s="9">
        <f>Canola_Mo!P265</f>
        <v>0</v>
      </c>
      <c r="V10" s="9">
        <f>Canola_Mo!P280</f>
        <v>0</v>
      </c>
      <c r="W10" s="9">
        <f>Canola_Mo!P295</f>
        <v>0</v>
      </c>
      <c r="X10" s="9">
        <f>Canola_Mo!P310</f>
        <v>0</v>
      </c>
      <c r="Y10" s="9">
        <f>Canola_Mo!P325</f>
        <v>0</v>
      </c>
      <c r="Z10" s="9">
        <f>Canola_Mo!P340</f>
        <v>0</v>
      </c>
      <c r="AA10" s="9">
        <f>Canola_Mo!P355</f>
        <v>0</v>
      </c>
    </row>
    <row r="11" spans="1:27" x14ac:dyDescent="0.3">
      <c r="A11" s="2" t="s">
        <v>90</v>
      </c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</row>
    <row r="12" spans="1:27" x14ac:dyDescent="0.3">
      <c r="A12" s="2" t="s">
        <v>90</v>
      </c>
      <c r="B12" s="8" t="s">
        <v>39</v>
      </c>
      <c r="C12" s="2" t="s">
        <v>36</v>
      </c>
      <c r="D12" s="9">
        <f>Canola_Mo!P12</f>
        <v>31755.050000000003</v>
      </c>
      <c r="E12" s="9">
        <f>Canola_Mo!P27</f>
        <v>38009.199999999997</v>
      </c>
      <c r="F12" s="9">
        <f>Canola_Mo!P42</f>
        <v>41541.500000000015</v>
      </c>
      <c r="G12" s="9">
        <f>Canola_Mo!P57</f>
        <v>43311.199999999997</v>
      </c>
      <c r="H12" s="9">
        <f>Canola_Mo!P72</f>
        <v>46545.55000000001</v>
      </c>
      <c r="I12" s="9">
        <f>Canola_Mo!P87</f>
        <v>50653.75</v>
      </c>
      <c r="J12" s="9">
        <f>Canola_Mo!P102</f>
        <v>52915.199999999997</v>
      </c>
      <c r="K12" s="9">
        <f>Canola_Mo!P117</f>
        <v>56944.200000000004</v>
      </c>
      <c r="L12" s="9">
        <f>Canola_Mo!P132</f>
        <v>69879.55</v>
      </c>
      <c r="M12" s="9">
        <f>Canola_Mo!P147</f>
        <v>84234.95</v>
      </c>
      <c r="N12" s="9">
        <f>Canola_Mo!P162</f>
        <v>85450.3</v>
      </c>
      <c r="O12" s="9">
        <f>Canola_Mo!P177</f>
        <v>83634.64999999998</v>
      </c>
      <c r="P12" s="9">
        <f>Canola_Mo!P192</f>
        <v>89486.449999999953</v>
      </c>
      <c r="Q12" s="9">
        <f>Canola_Mo!P207</f>
        <v>11934.725999999999</v>
      </c>
      <c r="R12" s="9">
        <f>Canola_Mo!P222</f>
        <v>13116.119999999999</v>
      </c>
      <c r="S12" s="9">
        <f>Canola_Mo!P237</f>
        <v>13252.52</v>
      </c>
      <c r="T12" s="9">
        <f>Canola_Mo!P252</f>
        <v>13542.869000000001</v>
      </c>
      <c r="U12" s="9">
        <f>Canola_Mo!P267</f>
        <v>15084.072</v>
      </c>
      <c r="V12" s="9">
        <f>Canola_Mo!P282</f>
        <v>14845.631000000001</v>
      </c>
      <c r="W12" s="9">
        <f>Canola_Mo!P297</f>
        <v>12647.947</v>
      </c>
      <c r="X12" s="9">
        <f>Canola_Mo!P312</f>
        <v>14420.272000000001</v>
      </c>
      <c r="Y12" s="9">
        <f>Canola_Mo!P327</f>
        <v>15904.692999999999</v>
      </c>
      <c r="Z12" s="9">
        <f>Canola_Mo!P342</f>
        <v>16031.096000000001</v>
      </c>
      <c r="AA12" s="9">
        <f>Canola_Mo!P357</f>
        <v>0</v>
      </c>
    </row>
    <row r="13" spans="1:27" x14ac:dyDescent="0.3">
      <c r="A13" s="2" t="s">
        <v>90</v>
      </c>
      <c r="B13" s="8" t="s">
        <v>91</v>
      </c>
      <c r="C13" s="2" t="s">
        <v>36</v>
      </c>
      <c r="D13" s="9">
        <f>Canola_Mo!P13</f>
        <v>2394.4</v>
      </c>
      <c r="E13" s="9">
        <f>Canola_Mo!P28</f>
        <v>3754.3</v>
      </c>
      <c r="F13" s="9">
        <f>Canola_Mo!P43</f>
        <v>3411.9</v>
      </c>
      <c r="G13" s="9">
        <f>Canola_Mo!P58</f>
        <v>5408.7</v>
      </c>
      <c r="H13" s="9">
        <f>Canola_Mo!P73</f>
        <v>5476.9</v>
      </c>
      <c r="I13" s="9">
        <f>Canola_Mo!P88</f>
        <v>5661.1</v>
      </c>
      <c r="J13" s="9">
        <f>Canola_Mo!P103</f>
        <v>7907.9</v>
      </c>
      <c r="K13" s="9">
        <f>Canola_Mo!P118</f>
        <v>7162.5</v>
      </c>
      <c r="L13" s="9">
        <f>Canola_Mo!P133</f>
        <v>7104.6</v>
      </c>
      <c r="M13" s="9">
        <f>Canola_Mo!P148</f>
        <v>8699</v>
      </c>
      <c r="N13" s="9">
        <f>Canola_Mo!P163</f>
        <v>7301.9</v>
      </c>
      <c r="O13" s="9">
        <f>Canola_Mo!P178</f>
        <v>9095.6</v>
      </c>
      <c r="P13" s="9">
        <f>Canola_Mo!P193</f>
        <v>9163.2999999999993</v>
      </c>
      <c r="Q13" s="9">
        <f>Canola_Mo!P208</f>
        <v>10299</v>
      </c>
      <c r="R13" s="9">
        <f>Canola_Mo!P223</f>
        <v>11016.4</v>
      </c>
      <c r="S13" s="9">
        <f>Canola_Mo!P238</f>
        <v>10782.9</v>
      </c>
      <c r="T13" s="9">
        <f>Canola_Mo!P253</f>
        <v>9202</v>
      </c>
      <c r="U13" s="9">
        <f>Canola_Mo!P268</f>
        <v>10039.700000000001</v>
      </c>
      <c r="V13" s="9">
        <f>Canola_Mo!P283</f>
        <v>10588.6</v>
      </c>
      <c r="W13" s="9">
        <f>Canola_Mo!P298</f>
        <v>5245</v>
      </c>
      <c r="X13" s="9">
        <f>Canola_Mo!P313</f>
        <v>7950.1</v>
      </c>
      <c r="Y13" s="9">
        <f>Canola_Mo!P328</f>
        <v>6744.2</v>
      </c>
      <c r="Z13" s="9">
        <f>Canola_Mo!P343</f>
        <v>9379.2999999999993</v>
      </c>
      <c r="AA13" s="9">
        <f>Canola_Mo!P358</f>
        <v>0</v>
      </c>
    </row>
    <row r="14" spans="1:27" x14ac:dyDescent="0.3">
      <c r="A14" s="2" t="s">
        <v>90</v>
      </c>
      <c r="B14" s="8" t="s">
        <v>41</v>
      </c>
      <c r="C14" s="2" t="s">
        <v>36</v>
      </c>
      <c r="D14" s="9">
        <f>Canola_Mo!P14</f>
        <v>-346.85633333333385</v>
      </c>
      <c r="E14" s="9">
        <f>Canola_Mo!P29</f>
        <v>-1198.7466666666669</v>
      </c>
      <c r="F14" s="9">
        <f>Canola_Mo!P44</f>
        <v>-1230.5213333333331</v>
      </c>
      <c r="G14" s="9">
        <f>Canola_Mo!P59</f>
        <v>266.61166666666509</v>
      </c>
      <c r="H14" s="9">
        <f>Canola_Mo!P74</f>
        <v>111.92833333333283</v>
      </c>
      <c r="I14" s="9">
        <f>Canola_Mo!P89</f>
        <v>-605.54466666666713</v>
      </c>
      <c r="J14" s="9">
        <f>Canola_Mo!P104</f>
        <v>-912.37199999999984</v>
      </c>
      <c r="K14" s="9">
        <f>Canola_Mo!P119</f>
        <v>405.60099999999966</v>
      </c>
      <c r="L14" s="9">
        <f>Canola_Mo!P134</f>
        <v>-49.264666666666926</v>
      </c>
      <c r="M14" s="9">
        <f>Canola_Mo!P149</f>
        <v>-3465.6693333333328</v>
      </c>
      <c r="N14" s="9">
        <f>Canola_Mo!P164</f>
        <v>-5916.135666666667</v>
      </c>
      <c r="O14" s="9">
        <f>Canola_Mo!P179</f>
        <v>-3088.9553333333333</v>
      </c>
      <c r="P14" s="9">
        <f>Canola_Mo!P194</f>
        <v>-1331.4023333333298</v>
      </c>
      <c r="Q14" s="9">
        <f>Canola_Mo!P209</f>
        <v>3125.8050000000003</v>
      </c>
      <c r="R14" s="9">
        <f>Canola_Mo!P224</f>
        <v>2326.1999999999998</v>
      </c>
      <c r="S14" s="9">
        <f>Canola_Mo!P239</f>
        <v>3729.1959999999999</v>
      </c>
      <c r="T14" s="9">
        <f>Canola_Mo!P254</f>
        <v>5649.4290000000001</v>
      </c>
      <c r="U14" s="9">
        <f>Canola_Mo!P269</f>
        <v>4485.58</v>
      </c>
      <c r="V14" s="9">
        <f>Canola_Mo!P284</f>
        <v>2975.165</v>
      </c>
      <c r="W14" s="9">
        <f>Canola_Mo!P299</f>
        <v>2580.5100000000002</v>
      </c>
      <c r="X14" s="9">
        <f>Canola_Mo!P314</f>
        <v>2830.694</v>
      </c>
      <c r="Y14" s="9">
        <f>Canola_Mo!P329</f>
        <v>4141.5479999999998</v>
      </c>
      <c r="Z14" s="9">
        <f>Canola_Mo!P344</f>
        <v>2838.835</v>
      </c>
      <c r="AA14" s="9">
        <f>Canola_Mo!P359</f>
        <v>0</v>
      </c>
    </row>
    <row r="15" spans="1:27" x14ac:dyDescent="0.3">
      <c r="A15" s="2" t="s">
        <v>90</v>
      </c>
      <c r="B15" s="8" t="s">
        <v>42</v>
      </c>
      <c r="C15" s="2" t="s">
        <v>36</v>
      </c>
      <c r="D15" s="9">
        <f>Canola_Mo!P15</f>
        <v>0</v>
      </c>
      <c r="E15" s="9">
        <f>Canola_Mo!P30</f>
        <v>0</v>
      </c>
      <c r="F15" s="9">
        <f>Canola_Mo!P45</f>
        <v>0</v>
      </c>
      <c r="G15" s="9">
        <f>Canola_Mo!P60</f>
        <v>0</v>
      </c>
      <c r="H15" s="9">
        <f>Canola_Mo!P75</f>
        <v>0</v>
      </c>
      <c r="I15" s="9">
        <f>Canola_Mo!P90</f>
        <v>0</v>
      </c>
      <c r="J15" s="9">
        <f>Canola_Mo!P105</f>
        <v>0</v>
      </c>
      <c r="K15" s="9">
        <f>Canola_Mo!P120</f>
        <v>0</v>
      </c>
      <c r="L15" s="9">
        <f>Canola_Mo!P135</f>
        <v>0</v>
      </c>
      <c r="M15" s="9">
        <f>Canola_Mo!P150</f>
        <v>0</v>
      </c>
      <c r="N15" s="9">
        <f>Canola_Mo!P165</f>
        <v>0</v>
      </c>
      <c r="O15" s="9">
        <f>Canola_Mo!P180</f>
        <v>0</v>
      </c>
      <c r="P15" s="9">
        <f>Canola_Mo!P195</f>
        <v>0</v>
      </c>
      <c r="Q15" s="9">
        <f>Canola_Mo!P210</f>
        <v>0</v>
      </c>
      <c r="R15" s="9">
        <f>Canola_Mo!P225</f>
        <v>0</v>
      </c>
      <c r="S15" s="9">
        <f>Canola_Mo!P240</f>
        <v>0</v>
      </c>
      <c r="T15" s="9">
        <f>Canola_Mo!P255</f>
        <v>0</v>
      </c>
      <c r="U15" s="9">
        <f>Canola_Mo!P270</f>
        <v>0</v>
      </c>
      <c r="V15" s="9">
        <f>Canola_Mo!P285</f>
        <v>0</v>
      </c>
      <c r="W15" s="9">
        <f>Canola_Mo!P300</f>
        <v>0</v>
      </c>
      <c r="X15" s="9">
        <f>Canola_Mo!P315</f>
        <v>0</v>
      </c>
      <c r="Y15" s="9">
        <f>Canola_Mo!P330</f>
        <v>0</v>
      </c>
      <c r="Z15" s="9">
        <f>Canola_Mo!P345</f>
        <v>0</v>
      </c>
      <c r="AA15" s="9">
        <f>Canola_Mo!P360</f>
        <v>0</v>
      </c>
    </row>
    <row r="16" spans="1:27" x14ac:dyDescent="0.3">
      <c r="A16" s="2" t="s">
        <v>90</v>
      </c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</row>
    <row r="17" spans="1:27" x14ac:dyDescent="0.3">
      <c r="A17" s="2" t="s">
        <v>90</v>
      </c>
      <c r="B17" s="8" t="s">
        <v>43</v>
      </c>
      <c r="C17" s="2" t="s">
        <v>36</v>
      </c>
      <c r="D17" s="9">
        <f>Canola_Mo!P17</f>
        <v>-25709.416666666672</v>
      </c>
      <c r="E17" s="9">
        <f>Canola_Mo!P32</f>
        <v>-30493.526333333335</v>
      </c>
      <c r="F17" s="9">
        <f>Canola_Mo!P47</f>
        <v>-33584.70666666668</v>
      </c>
      <c r="G17" s="9">
        <f>Canola_Mo!P62</f>
        <v>-34863.625666666674</v>
      </c>
      <c r="H17" s="9">
        <f>Canola_Mo!P77</f>
        <v>-37495.109333333334</v>
      </c>
      <c r="I17" s="9">
        <f>Canola_Mo!P92</f>
        <v>-40759.78633333333</v>
      </c>
      <c r="J17" s="9">
        <f>Canola_Mo!P107</f>
        <v>-42542.098999999995</v>
      </c>
      <c r="K17" s="9">
        <f>Canola_Mo!P122</f>
        <v>-45713.429999999993</v>
      </c>
      <c r="L17" s="9">
        <f>Canola_Mo!P137</f>
        <v>-55903.690333333332</v>
      </c>
      <c r="M17" s="9">
        <f>Canola_Mo!P152</f>
        <v>-67526.017666666681</v>
      </c>
      <c r="N17" s="9">
        <f>Canola_Mo!P167</f>
        <v>-68726.23033333334</v>
      </c>
      <c r="O17" s="9">
        <f>Canola_Mo!P182</f>
        <v>-67104.980666666655</v>
      </c>
      <c r="P17" s="9">
        <f>Canola_Mo!P197</f>
        <v>-71917.123666666637</v>
      </c>
      <c r="Q17" s="9">
        <f>Canola_Mo!P212</f>
        <v>-8.3844042819691822E-13</v>
      </c>
      <c r="R17" s="9">
        <f>Canola_Mo!P227</f>
        <v>8.0291329140891321E-13</v>
      </c>
      <c r="S17" s="9">
        <f>Canola_Mo!P242</f>
        <v>-9.6633812063373625E-13</v>
      </c>
      <c r="T17" s="9">
        <f>Canola_Mo!P257</f>
        <v>-8.3844042819691822E-13</v>
      </c>
      <c r="U17" s="9">
        <f>Canola_Mo!P272</f>
        <v>4.6895820560166612E-13</v>
      </c>
      <c r="V17" s="9">
        <f>Canola_Mo!P287</f>
        <v>-2.8421709430404007E-14</v>
      </c>
      <c r="W17" s="9">
        <f>Canola_Mo!P302</f>
        <v>3.979039320256561E-13</v>
      </c>
      <c r="X17" s="9">
        <f>Canola_Mo!P317</f>
        <v>2.8421709430404007E-14</v>
      </c>
      <c r="Y17" s="9">
        <f>Canola_Mo!P332</f>
        <v>1.4210854715202001E-14</v>
      </c>
      <c r="Z17" s="9">
        <f>Canola_Mo!P347</f>
        <v>-6.3948846218409017E-13</v>
      </c>
      <c r="AA17" s="9">
        <f>Canola_Mo!P362</f>
        <v>0</v>
      </c>
    </row>
    <row r="18" spans="1:27" x14ac:dyDescent="0.3">
      <c r="A18" s="2" t="s">
        <v>90</v>
      </c>
      <c r="B18" s="3" t="s">
        <v>44</v>
      </c>
      <c r="C18" s="12" t="s">
        <v>32</v>
      </c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</row>
    <row r="19" spans="1:27" x14ac:dyDescent="0.3">
      <c r="A19" s="2" t="s">
        <v>90</v>
      </c>
      <c r="B19" s="3" t="s">
        <v>45</v>
      </c>
      <c r="C19" s="12" t="s">
        <v>46</v>
      </c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</row>
    <row r="20" spans="1:27" x14ac:dyDescent="0.3">
      <c r="A20" s="2" t="s">
        <v>90</v>
      </c>
      <c r="B20" s="11" t="s">
        <v>47</v>
      </c>
      <c r="C20" s="15" t="s">
        <v>36</v>
      </c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</row>
  </sheetData>
  <mergeCells count="1">
    <mergeCell ref="A1:C1"/>
  </mergeCells>
  <conditionalFormatting sqref="D20:AA20">
    <cfRule type="cellIs" dxfId="59" priority="1" operator="equal">
      <formula>0</formula>
    </cfRule>
    <cfRule type="cellIs" dxfId="58" priority="2" operator="notEqual">
      <formula>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A20"/>
  <sheetViews>
    <sheetView workbookViewId="0"/>
  </sheetViews>
  <sheetFormatPr defaultRowHeight="14.4" x14ac:dyDescent="0.3"/>
  <cols>
    <col min="1" max="1" width="18" customWidth="1"/>
    <col min="2" max="2" width="28" customWidth="1"/>
    <col min="3" max="3" width="10" customWidth="1"/>
    <col min="4" max="27" width="7" customWidth="1"/>
  </cols>
  <sheetData>
    <row r="1" spans="1:27" ht="15.6" customHeight="1" x14ac:dyDescent="0.3">
      <c r="A1" s="57" t="s">
        <v>92</v>
      </c>
      <c r="B1" s="58"/>
      <c r="C1" s="58"/>
    </row>
    <row r="2" spans="1:27" ht="26.4" customHeight="1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  <c r="W2" s="1" t="s">
        <v>23</v>
      </c>
      <c r="X2" s="1" t="s">
        <v>24</v>
      </c>
      <c r="Y2" s="1" t="s">
        <v>25</v>
      </c>
      <c r="Z2" s="1" t="s">
        <v>26</v>
      </c>
      <c r="AA2" s="1" t="s">
        <v>27</v>
      </c>
    </row>
    <row r="3" spans="1:27" x14ac:dyDescent="0.3">
      <c r="A3" s="2" t="s">
        <v>92</v>
      </c>
      <c r="B3" s="3" t="s">
        <v>28</v>
      </c>
      <c r="C3" s="12" t="s">
        <v>29</v>
      </c>
      <c r="D3" s="9">
        <f>Barley_Mo!P3</f>
        <v>0</v>
      </c>
      <c r="E3" s="9">
        <f>Barley_Mo!P18</f>
        <v>0</v>
      </c>
      <c r="F3" s="9">
        <f>Barley_Mo!P33</f>
        <v>0</v>
      </c>
      <c r="G3" s="9">
        <f>Barley_Mo!P48</f>
        <v>0</v>
      </c>
      <c r="H3" s="9">
        <f>Barley_Mo!P63</f>
        <v>0</v>
      </c>
      <c r="I3" s="9">
        <f>Barley_Mo!P78</f>
        <v>0</v>
      </c>
      <c r="J3" s="9">
        <f>Barley_Mo!P93</f>
        <v>0</v>
      </c>
      <c r="K3" s="9">
        <f>Barley_Mo!P108</f>
        <v>0</v>
      </c>
      <c r="L3" s="9">
        <f>Barley_Mo!P123</f>
        <v>0</v>
      </c>
      <c r="M3" s="9">
        <f>Barley_Mo!P138</f>
        <v>0</v>
      </c>
      <c r="N3" s="9">
        <f>Barley_Mo!P153</f>
        <v>0</v>
      </c>
      <c r="O3" s="9">
        <f>Barley_Mo!P168</f>
        <v>0</v>
      </c>
      <c r="P3" s="9">
        <f>Barley_Mo!P183</f>
        <v>0</v>
      </c>
      <c r="Q3" s="9">
        <f>Barley_Mo!P198</f>
        <v>0</v>
      </c>
      <c r="R3" s="9">
        <f>Barley_Mo!P213</f>
        <v>0</v>
      </c>
      <c r="S3" s="9">
        <f>Barley_Mo!P228</f>
        <v>0</v>
      </c>
      <c r="T3" s="9">
        <f>Barley_Mo!P243</f>
        <v>0</v>
      </c>
      <c r="U3" s="9">
        <f>Barley_Mo!P258</f>
        <v>0</v>
      </c>
      <c r="V3" s="9">
        <f>Barley_Mo!P273</f>
        <v>0</v>
      </c>
      <c r="W3" s="9">
        <f>Barley_Mo!P288</f>
        <v>0</v>
      </c>
      <c r="X3" s="9">
        <f>Barley_Mo!P303</f>
        <v>0</v>
      </c>
      <c r="Y3" s="9">
        <f>Barley_Mo!P318</f>
        <v>0</v>
      </c>
      <c r="Z3" s="9">
        <f>Barley_Mo!P333</f>
        <v>0</v>
      </c>
      <c r="AA3" s="9">
        <f>Barley_Mo!P348</f>
        <v>0</v>
      </c>
    </row>
    <row r="4" spans="1:27" x14ac:dyDescent="0.3">
      <c r="A4" s="2" t="s">
        <v>92</v>
      </c>
      <c r="B4" s="3" t="s">
        <v>30</v>
      </c>
      <c r="C4" s="12" t="s">
        <v>29</v>
      </c>
      <c r="D4" s="9">
        <f>Barley_Mo!P4</f>
        <v>0</v>
      </c>
      <c r="E4" s="9">
        <f>Barley_Mo!P19</f>
        <v>0</v>
      </c>
      <c r="F4" s="9">
        <f>Barley_Mo!P34</f>
        <v>0</v>
      </c>
      <c r="G4" s="9">
        <f>Barley_Mo!P49</f>
        <v>0</v>
      </c>
      <c r="H4" s="9">
        <f>Barley_Mo!P64</f>
        <v>0</v>
      </c>
      <c r="I4" s="9">
        <f>Barley_Mo!P79</f>
        <v>0</v>
      </c>
      <c r="J4" s="9">
        <f>Barley_Mo!P94</f>
        <v>0</v>
      </c>
      <c r="K4" s="9">
        <f>Barley_Mo!P109</f>
        <v>0</v>
      </c>
      <c r="L4" s="9">
        <f>Barley_Mo!P124</f>
        <v>0</v>
      </c>
      <c r="M4" s="9">
        <f>Barley_Mo!P139</f>
        <v>0</v>
      </c>
      <c r="N4" s="9">
        <f>Barley_Mo!P154</f>
        <v>0</v>
      </c>
      <c r="O4" s="9">
        <f>Barley_Mo!P169</f>
        <v>0</v>
      </c>
      <c r="P4" s="9">
        <f>Barley_Mo!P184</f>
        <v>0</v>
      </c>
      <c r="Q4" s="9">
        <f>Barley_Mo!P199</f>
        <v>0</v>
      </c>
      <c r="R4" s="9">
        <f>Barley_Mo!P214</f>
        <v>0</v>
      </c>
      <c r="S4" s="9">
        <f>Barley_Mo!P229</f>
        <v>0</v>
      </c>
      <c r="T4" s="9">
        <f>Barley_Mo!P244</f>
        <v>0</v>
      </c>
      <c r="U4" s="9">
        <f>Barley_Mo!P259</f>
        <v>0</v>
      </c>
      <c r="V4" s="9">
        <f>Barley_Mo!P274</f>
        <v>0</v>
      </c>
      <c r="W4" s="9">
        <f>Barley_Mo!P289</f>
        <v>0</v>
      </c>
      <c r="X4" s="9">
        <f>Barley_Mo!P304</f>
        <v>0</v>
      </c>
      <c r="Y4" s="9">
        <f>Barley_Mo!P319</f>
        <v>0</v>
      </c>
      <c r="Z4" s="9">
        <f>Barley_Mo!P334</f>
        <v>0</v>
      </c>
      <c r="AA4" s="9">
        <f>Barley_Mo!P349</f>
        <v>0</v>
      </c>
    </row>
    <row r="5" spans="1:27" x14ac:dyDescent="0.3">
      <c r="A5" s="2" t="s">
        <v>92</v>
      </c>
      <c r="B5" s="3" t="s">
        <v>31</v>
      </c>
      <c r="C5" s="12" t="s">
        <v>32</v>
      </c>
      <c r="D5" s="13" t="str">
        <f t="shared" ref="D5:AA5" si="0">IF(D3&lt;&gt;0,D4/D3,"")</f>
        <v/>
      </c>
      <c r="E5" s="13" t="str">
        <f t="shared" si="0"/>
        <v/>
      </c>
      <c r="F5" s="13" t="str">
        <f t="shared" si="0"/>
        <v/>
      </c>
      <c r="G5" s="13" t="str">
        <f t="shared" si="0"/>
        <v/>
      </c>
      <c r="H5" s="13" t="str">
        <f t="shared" si="0"/>
        <v/>
      </c>
      <c r="I5" s="13" t="str">
        <f t="shared" si="0"/>
        <v/>
      </c>
      <c r="J5" s="13" t="str">
        <f t="shared" si="0"/>
        <v/>
      </c>
      <c r="K5" s="13" t="str">
        <f t="shared" si="0"/>
        <v/>
      </c>
      <c r="L5" s="13" t="str">
        <f t="shared" si="0"/>
        <v/>
      </c>
      <c r="M5" s="13" t="str">
        <f t="shared" si="0"/>
        <v/>
      </c>
      <c r="N5" s="13" t="str">
        <f t="shared" si="0"/>
        <v/>
      </c>
      <c r="O5" s="13" t="str">
        <f t="shared" si="0"/>
        <v/>
      </c>
      <c r="P5" s="13" t="str">
        <f t="shared" si="0"/>
        <v/>
      </c>
      <c r="Q5" s="13" t="str">
        <f t="shared" si="0"/>
        <v/>
      </c>
      <c r="R5" s="13" t="str">
        <f t="shared" si="0"/>
        <v/>
      </c>
      <c r="S5" s="13" t="str">
        <f t="shared" si="0"/>
        <v/>
      </c>
      <c r="T5" s="13" t="str">
        <f t="shared" si="0"/>
        <v/>
      </c>
      <c r="U5" s="13" t="str">
        <f t="shared" si="0"/>
        <v/>
      </c>
      <c r="V5" s="13" t="str">
        <f t="shared" si="0"/>
        <v/>
      </c>
      <c r="W5" s="13" t="str">
        <f t="shared" si="0"/>
        <v/>
      </c>
      <c r="X5" s="13" t="str">
        <f t="shared" si="0"/>
        <v/>
      </c>
      <c r="Y5" s="13" t="str">
        <f t="shared" si="0"/>
        <v/>
      </c>
      <c r="Z5" s="13" t="str">
        <f t="shared" si="0"/>
        <v/>
      </c>
      <c r="AA5" s="13" t="str">
        <f t="shared" si="0"/>
        <v/>
      </c>
    </row>
    <row r="6" spans="1:27" x14ac:dyDescent="0.3">
      <c r="A6" s="2" t="s">
        <v>92</v>
      </c>
      <c r="B6" s="3" t="s">
        <v>33</v>
      </c>
      <c r="C6" s="12" t="s">
        <v>34</v>
      </c>
      <c r="D6" s="14">
        <f>Barley_Mo!O6</f>
        <v>0</v>
      </c>
      <c r="E6" s="14">
        <f>Barley_Mo!O21</f>
        <v>0</v>
      </c>
      <c r="F6" s="14">
        <f>Barley_Mo!O36</f>
        <v>0</v>
      </c>
      <c r="G6" s="14">
        <f>Barley_Mo!O51</f>
        <v>0</v>
      </c>
      <c r="H6" s="14">
        <f>Barley_Mo!O66</f>
        <v>0</v>
      </c>
      <c r="I6" s="14">
        <f>Barley_Mo!O81</f>
        <v>0</v>
      </c>
      <c r="J6" s="14">
        <f>Barley_Mo!O96</f>
        <v>0</v>
      </c>
      <c r="K6" s="14">
        <f>Barley_Mo!O111</f>
        <v>0</v>
      </c>
      <c r="L6" s="14">
        <f>Barley_Mo!O126</f>
        <v>0</v>
      </c>
      <c r="M6" s="14">
        <f>Barley_Mo!O141</f>
        <v>0</v>
      </c>
      <c r="N6" s="14">
        <f>Barley_Mo!O156</f>
        <v>0</v>
      </c>
      <c r="O6" s="14">
        <f>Barley_Mo!O171</f>
        <v>0</v>
      </c>
      <c r="P6" s="14">
        <f>Barley_Mo!O186</f>
        <v>0</v>
      </c>
      <c r="Q6" s="14">
        <f>Barley_Mo!O201</f>
        <v>0</v>
      </c>
      <c r="R6" s="14">
        <f>Barley_Mo!O216</f>
        <v>0</v>
      </c>
      <c r="S6" s="14">
        <f>Barley_Mo!O231</f>
        <v>0</v>
      </c>
      <c r="T6" s="14">
        <f>Barley_Mo!O246</f>
        <v>0</v>
      </c>
      <c r="U6" s="14">
        <f>Barley_Mo!O261</f>
        <v>0</v>
      </c>
      <c r="V6" s="14">
        <f>Barley_Mo!O276</f>
        <v>0</v>
      </c>
      <c r="W6" s="14">
        <f>Barley_Mo!O291</f>
        <v>0</v>
      </c>
      <c r="X6" s="14">
        <f>Barley_Mo!O306</f>
        <v>0</v>
      </c>
      <c r="Y6" s="14">
        <f>Barley_Mo!O321</f>
        <v>0</v>
      </c>
      <c r="Z6" s="14">
        <f>Barley_Mo!O336</f>
        <v>0</v>
      </c>
      <c r="AA6" s="14">
        <f>Barley_Mo!O351</f>
        <v>0</v>
      </c>
    </row>
    <row r="7" spans="1:27" x14ac:dyDescent="0.3">
      <c r="A7" s="2" t="s">
        <v>92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</row>
    <row r="8" spans="1:27" x14ac:dyDescent="0.3">
      <c r="A8" s="2" t="s">
        <v>92</v>
      </c>
      <c r="B8" s="8" t="s">
        <v>35</v>
      </c>
      <c r="C8" s="2" t="s">
        <v>36</v>
      </c>
      <c r="D8" s="9">
        <f>Barley_Mo!P8</f>
        <v>258.8</v>
      </c>
      <c r="E8" s="9">
        <f>Barley_Mo!P23</f>
        <v>35.5</v>
      </c>
      <c r="F8" s="9">
        <f>Barley_Mo!P38</f>
        <v>82.6</v>
      </c>
      <c r="G8" s="9">
        <f>Barley_Mo!P53</f>
        <v>45.8</v>
      </c>
      <c r="H8" s="9">
        <f>Barley_Mo!P68</f>
        <v>43.6</v>
      </c>
      <c r="I8" s="9">
        <f>Barley_Mo!P83</f>
        <v>57.8</v>
      </c>
      <c r="J8" s="9">
        <f>Barley_Mo!P98</f>
        <v>41.7</v>
      </c>
      <c r="K8" s="9">
        <f>Barley_Mo!P113</f>
        <v>42.4</v>
      </c>
      <c r="L8" s="9">
        <f>Barley_Mo!P128</f>
        <v>42.7</v>
      </c>
      <c r="M8" s="9">
        <f>Barley_Mo!P143</f>
        <v>13.5</v>
      </c>
      <c r="N8" s="9">
        <f>Barley_Mo!P158</f>
        <v>19</v>
      </c>
      <c r="O8" s="9">
        <f>Barley_Mo!P173</f>
        <v>9</v>
      </c>
      <c r="P8" s="9">
        <f>Barley_Mo!P188</f>
        <v>136.1</v>
      </c>
      <c r="Q8" s="9">
        <f>Barley_Mo!P203</f>
        <v>160.9</v>
      </c>
      <c r="R8" s="9">
        <f>Barley_Mo!P218</f>
        <v>63.6</v>
      </c>
      <c r="S8" s="9">
        <f>Barley_Mo!P233</f>
        <v>58.7</v>
      </c>
      <c r="T8" s="9">
        <f>Barley_Mo!P248</f>
        <v>42.8</v>
      </c>
      <c r="U8" s="9">
        <f>Barley_Mo!P263</f>
        <v>63.1</v>
      </c>
      <c r="V8" s="9">
        <f>Barley_Mo!P278</f>
        <v>293.89999999999998</v>
      </c>
      <c r="W8" s="9">
        <f>Barley_Mo!P293</f>
        <v>227.9</v>
      </c>
      <c r="X8" s="9">
        <f>Barley_Mo!P308</f>
        <v>25.1</v>
      </c>
      <c r="Y8" s="9">
        <f>Barley_Mo!P323</f>
        <v>117.3</v>
      </c>
      <c r="Z8" s="9">
        <f>Barley_Mo!P338</f>
        <v>168.7</v>
      </c>
      <c r="AA8" s="9">
        <f>Barley_Mo!P353</f>
        <v>0</v>
      </c>
    </row>
    <row r="9" spans="1:27" x14ac:dyDescent="0.3">
      <c r="A9" s="2" t="s">
        <v>92</v>
      </c>
      <c r="B9" s="8" t="s">
        <v>37</v>
      </c>
      <c r="C9" s="2" t="s">
        <v>36</v>
      </c>
      <c r="D9" s="9">
        <f>Barley_Mo!P9</f>
        <v>7467.7</v>
      </c>
      <c r="E9" s="9">
        <f>Barley_Mo!P24</f>
        <v>12164.2</v>
      </c>
      <c r="F9" s="9">
        <f>Barley_Mo!P39</f>
        <v>12556.7</v>
      </c>
      <c r="G9" s="9">
        <f>Barley_Mo!P54</f>
        <v>11677.6</v>
      </c>
      <c r="H9" s="9">
        <f>Barley_Mo!P69</f>
        <v>9573.1</v>
      </c>
      <c r="I9" s="9">
        <f>Barley_Mo!P84</f>
        <v>10909.8</v>
      </c>
      <c r="J9" s="9">
        <f>Barley_Mo!P99</f>
        <v>11785.8</v>
      </c>
      <c r="K9" s="9">
        <f>Barley_Mo!P114</f>
        <v>9528.2000000000007</v>
      </c>
      <c r="L9" s="9">
        <f>Barley_Mo!P129</f>
        <v>7627.2</v>
      </c>
      <c r="M9" s="9">
        <f>Barley_Mo!P144</f>
        <v>7891.5</v>
      </c>
      <c r="N9" s="9">
        <f>Barley_Mo!P159</f>
        <v>8012.3</v>
      </c>
      <c r="O9" s="9">
        <f>Barley_Mo!P174</f>
        <v>10281.6</v>
      </c>
      <c r="P9" s="9">
        <f>Barley_Mo!P189</f>
        <v>7116.8</v>
      </c>
      <c r="Q9" s="9">
        <f>Barley_Mo!P204</f>
        <v>8256.6</v>
      </c>
      <c r="R9" s="9">
        <f>Barley_Mo!P219</f>
        <v>8839.4</v>
      </c>
      <c r="S9" s="9">
        <f>Barley_Mo!P234</f>
        <v>7891.3</v>
      </c>
      <c r="T9" s="9">
        <f>Barley_Mo!P249</f>
        <v>8379.7000000000007</v>
      </c>
      <c r="U9" s="9">
        <f>Barley_Mo!P264</f>
        <v>10382.6</v>
      </c>
      <c r="V9" s="9">
        <f>Barley_Mo!P279</f>
        <v>10740.6</v>
      </c>
      <c r="W9" s="9">
        <f>Barley_Mo!P294</f>
        <v>6983.9</v>
      </c>
      <c r="X9" s="9">
        <f>Barley_Mo!P309</f>
        <v>9986.7000000000007</v>
      </c>
      <c r="Y9" s="9">
        <f>Barley_Mo!P324</f>
        <v>8905.4</v>
      </c>
      <c r="Z9" s="9">
        <f>Barley_Mo!P339</f>
        <v>8143.9</v>
      </c>
      <c r="AA9" s="9">
        <f>Barley_Mo!P354</f>
        <v>0</v>
      </c>
    </row>
    <row r="10" spans="1:27" x14ac:dyDescent="0.3">
      <c r="A10" s="2" t="s">
        <v>92</v>
      </c>
      <c r="B10" s="8" t="s">
        <v>38</v>
      </c>
      <c r="C10" s="2" t="s">
        <v>36</v>
      </c>
      <c r="D10" s="9">
        <f>Barley_Mo!P10</f>
        <v>6.1</v>
      </c>
      <c r="E10" s="9">
        <f>Barley_Mo!P25</f>
        <v>9</v>
      </c>
      <c r="F10" s="9">
        <f>Barley_Mo!P40</f>
        <v>9.5</v>
      </c>
      <c r="G10" s="9">
        <f>Barley_Mo!P55</f>
        <v>13.5</v>
      </c>
      <c r="H10" s="9">
        <f>Barley_Mo!P70</f>
        <v>21.5</v>
      </c>
      <c r="I10" s="9">
        <f>Barley_Mo!P85</f>
        <v>15.7</v>
      </c>
      <c r="J10" s="9">
        <f>Barley_Mo!P100</f>
        <v>15.6</v>
      </c>
      <c r="K10" s="9">
        <f>Barley_Mo!P115</f>
        <v>10.1</v>
      </c>
      <c r="L10" s="9">
        <f>Barley_Mo!P130</f>
        <v>27.9</v>
      </c>
      <c r="M10" s="9">
        <f>Barley_Mo!P145</f>
        <v>23.6</v>
      </c>
      <c r="N10" s="9">
        <f>Barley_Mo!P160</f>
        <v>24.9</v>
      </c>
      <c r="O10" s="9">
        <f>Barley_Mo!P175</f>
        <v>23.9</v>
      </c>
      <c r="P10" s="9">
        <f>Barley_Mo!P190</f>
        <v>18.399999999999999</v>
      </c>
      <c r="Q10" s="9">
        <f>Barley_Mo!P205</f>
        <v>10.199999999999999</v>
      </c>
      <c r="R10" s="9">
        <f>Barley_Mo!P220</f>
        <v>17.5</v>
      </c>
      <c r="S10" s="9">
        <f>Barley_Mo!P235</f>
        <v>21.1</v>
      </c>
      <c r="T10" s="9">
        <f>Barley_Mo!P250</f>
        <v>16.3</v>
      </c>
      <c r="U10" s="9">
        <f>Barley_Mo!P265</f>
        <v>18.3</v>
      </c>
      <c r="V10" s="9">
        <f>Barley_Mo!P280</f>
        <v>18.600000000000001</v>
      </c>
      <c r="W10" s="9">
        <f>Barley_Mo!P295</f>
        <v>17.7</v>
      </c>
      <c r="X10" s="9">
        <f>Barley_Mo!P310</f>
        <v>18.5</v>
      </c>
      <c r="Y10" s="9">
        <f>Barley_Mo!P325</f>
        <v>18.600000000000001</v>
      </c>
      <c r="Z10" s="9">
        <f>Barley_Mo!P340</f>
        <v>18.600000000000001</v>
      </c>
      <c r="AA10" s="9">
        <f>Barley_Mo!P355</f>
        <v>0</v>
      </c>
    </row>
    <row r="11" spans="1:27" x14ac:dyDescent="0.3">
      <c r="A11" s="2" t="s">
        <v>92</v>
      </c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</row>
    <row r="12" spans="1:27" x14ac:dyDescent="0.3">
      <c r="A12" s="2" t="s">
        <v>92</v>
      </c>
      <c r="B12" s="8" t="s">
        <v>39</v>
      </c>
      <c r="C12" s="2" t="s">
        <v>36</v>
      </c>
      <c r="D12" s="9">
        <f>Barley_Mo!P12</f>
        <v>7036.5999999999995</v>
      </c>
      <c r="E12" s="9">
        <f>Barley_Mo!P27</f>
        <v>8804.7999999999993</v>
      </c>
      <c r="F12" s="9">
        <f>Barley_Mo!P42</f>
        <v>9175.9</v>
      </c>
      <c r="G12" s="9">
        <f>Barley_Mo!P57</f>
        <v>8727.9000000000015</v>
      </c>
      <c r="H12" s="9">
        <f>Barley_Mo!P72</f>
        <v>9195.1</v>
      </c>
      <c r="I12" s="9">
        <f>Barley_Mo!P87</f>
        <v>6822.6999999999989</v>
      </c>
      <c r="J12" s="9">
        <f>Barley_Mo!P102</f>
        <v>7874.1999999999989</v>
      </c>
      <c r="K12" s="9">
        <f>Barley_Mo!P117</f>
        <v>7748.3000000000011</v>
      </c>
      <c r="L12" s="9">
        <f>Barley_Mo!P132</f>
        <v>6497.9</v>
      </c>
      <c r="M12" s="9">
        <f>Barley_Mo!P147</f>
        <v>6033</v>
      </c>
      <c r="N12" s="9">
        <f>Barley_Mo!P162</f>
        <v>5925.0000000000009</v>
      </c>
      <c r="O12" s="9">
        <f>Barley_Mo!P177</f>
        <v>6827</v>
      </c>
      <c r="P12" s="9">
        <f>Barley_Mo!P192</f>
        <v>5335.4999999999991</v>
      </c>
      <c r="Q12" s="9">
        <f>Barley_Mo!P207</f>
        <v>6063.4999999999991</v>
      </c>
      <c r="R12" s="9">
        <f>Barley_Mo!P222</f>
        <v>5809.5000000000009</v>
      </c>
      <c r="S12" s="9">
        <f>Barley_Mo!P237</f>
        <v>5943.1000000000022</v>
      </c>
      <c r="T12" s="9">
        <f>Barley_Mo!P252</f>
        <v>5429.0999999999995</v>
      </c>
      <c r="U12" s="9">
        <f>Barley_Mo!P267</f>
        <v>7122.1000000000013</v>
      </c>
      <c r="V12" s="9">
        <f>Barley_Mo!P282</f>
        <v>6704.3</v>
      </c>
      <c r="W12" s="9">
        <f>Barley_Mo!P297</f>
        <v>4422.2999999999993</v>
      </c>
      <c r="X12" s="9">
        <f>Barley_Mo!P312</f>
        <v>5851.9000000000005</v>
      </c>
      <c r="Y12" s="9">
        <f>Barley_Mo!P327</f>
        <v>5426.6999999999989</v>
      </c>
      <c r="Z12" s="9">
        <f>Barley_Mo!P342</f>
        <v>5280.4000000000005</v>
      </c>
      <c r="AA12" s="9">
        <f>Barley_Mo!P357</f>
        <v>0</v>
      </c>
    </row>
    <row r="13" spans="1:27" x14ac:dyDescent="0.3">
      <c r="A13" s="2" t="s">
        <v>92</v>
      </c>
      <c r="B13" s="8" t="s">
        <v>40</v>
      </c>
      <c r="C13" s="2" t="s">
        <v>36</v>
      </c>
      <c r="D13" s="9">
        <f>Barley_Mo!P13</f>
        <v>945</v>
      </c>
      <c r="E13" s="9">
        <f>Barley_Mo!P28</f>
        <v>2480.8000000000002</v>
      </c>
      <c r="F13" s="9">
        <f>Barley_Mo!P43</f>
        <v>1863.2</v>
      </c>
      <c r="G13" s="9">
        <f>Barley_Mo!P58</f>
        <v>2975.1</v>
      </c>
      <c r="H13" s="9">
        <f>Barley_Mo!P73</f>
        <v>2028.3</v>
      </c>
      <c r="I13" s="9">
        <f>Barley_Mo!P88</f>
        <v>3911.2</v>
      </c>
      <c r="J13" s="9">
        <f>Barley_Mo!P103</f>
        <v>2398.6999999999998</v>
      </c>
      <c r="K13" s="9">
        <f>Barley_Mo!P118</f>
        <v>2149.1999999999998</v>
      </c>
      <c r="L13" s="9">
        <f>Barley_Mo!P133</f>
        <v>2016.7</v>
      </c>
      <c r="M13" s="9">
        <f>Barley_Mo!P148</f>
        <v>2058.6</v>
      </c>
      <c r="N13" s="9">
        <f>Barley_Mo!P163</f>
        <v>2184.3000000000002</v>
      </c>
      <c r="O13" s="9">
        <f>Barley_Mo!P178</f>
        <v>2390.9</v>
      </c>
      <c r="P13" s="9">
        <f>Barley_Mo!P193</f>
        <v>2463</v>
      </c>
      <c r="Q13" s="9">
        <f>Barley_Mo!P208</f>
        <v>1992.3</v>
      </c>
      <c r="R13" s="9">
        <f>Barley_Mo!P223</f>
        <v>2322.6999999999998</v>
      </c>
      <c r="S13" s="9">
        <f>Barley_Mo!P238</f>
        <v>2822.7</v>
      </c>
      <c r="T13" s="9">
        <f>Barley_Mo!P253</f>
        <v>3058</v>
      </c>
      <c r="U13" s="9">
        <f>Barley_Mo!P268</f>
        <v>2951.7</v>
      </c>
      <c r="V13" s="9">
        <f>Barley_Mo!P283</f>
        <v>4277.3999999999996</v>
      </c>
      <c r="W13" s="9">
        <f>Barley_Mo!P298</f>
        <v>2673.2</v>
      </c>
      <c r="X13" s="9">
        <f>Barley_Mo!P313</f>
        <v>3889.6</v>
      </c>
      <c r="Y13" s="9">
        <f>Barley_Mo!P328</f>
        <v>3063.2</v>
      </c>
      <c r="Z13" s="9">
        <f>Barley_Mo!P343</f>
        <v>2842.2</v>
      </c>
      <c r="AA13" s="9">
        <f>Barley_Mo!P358</f>
        <v>0</v>
      </c>
    </row>
    <row r="14" spans="1:27" x14ac:dyDescent="0.3">
      <c r="A14" s="2" t="s">
        <v>92</v>
      </c>
      <c r="B14" s="8" t="s">
        <v>41</v>
      </c>
      <c r="C14" s="2" t="s">
        <v>36</v>
      </c>
      <c r="D14" s="9">
        <f>Barley_Mo!P14</f>
        <v>1474.8</v>
      </c>
      <c r="E14" s="9">
        <f>Barley_Mo!P29</f>
        <v>2102</v>
      </c>
      <c r="F14" s="9">
        <f>Barley_Mo!P44</f>
        <v>3435.1</v>
      </c>
      <c r="G14" s="9">
        <f>Barley_Mo!P59</f>
        <v>3288.7</v>
      </c>
      <c r="H14" s="9">
        <f>Barley_Mo!P74</f>
        <v>1490.7</v>
      </c>
      <c r="I14" s="9">
        <f>Barley_Mo!P89</f>
        <v>1568.4</v>
      </c>
      <c r="J14" s="9">
        <f>Barley_Mo!P104</f>
        <v>2963.6</v>
      </c>
      <c r="K14" s="9">
        <f>Barley_Mo!P119</f>
        <v>2501.6</v>
      </c>
      <c r="L14" s="9">
        <f>Barley_Mo!P134</f>
        <v>1501.9</v>
      </c>
      <c r="M14" s="9">
        <f>Barley_Mo!P149</f>
        <v>1195.4000000000001</v>
      </c>
      <c r="N14" s="9">
        <f>Barley_Mo!P164</f>
        <v>983.4</v>
      </c>
      <c r="O14" s="9">
        <f>Barley_Mo!P179</f>
        <v>1942</v>
      </c>
      <c r="P14" s="9">
        <f>Barley_Mo!P194</f>
        <v>1217.3</v>
      </c>
      <c r="Q14" s="9">
        <f>Barley_Mo!P209</f>
        <v>1442.7</v>
      </c>
      <c r="R14" s="9">
        <f>Barley_Mo!P224</f>
        <v>2121.8000000000002</v>
      </c>
      <c r="S14" s="9">
        <f>Barley_Mo!P239</f>
        <v>1244.4000000000001</v>
      </c>
      <c r="T14" s="9">
        <f>Barley_Mo!P254</f>
        <v>862.6</v>
      </c>
      <c r="U14" s="9">
        <f>Barley_Mo!P269</f>
        <v>956.5</v>
      </c>
      <c r="V14" s="9">
        <f>Barley_Mo!P284</f>
        <v>710.8</v>
      </c>
      <c r="W14" s="9">
        <f>Barley_Mo!P299</f>
        <v>542.79999999999995</v>
      </c>
      <c r="X14" s="9">
        <f>Barley_Mo!P314</f>
        <v>708.5</v>
      </c>
      <c r="Y14" s="9">
        <f>Barley_Mo!P329</f>
        <v>1151.5999999999999</v>
      </c>
      <c r="Z14" s="9">
        <f>Barley_Mo!P344</f>
        <v>1248.7</v>
      </c>
      <c r="AA14" s="9">
        <f>Barley_Mo!P359</f>
        <v>0</v>
      </c>
    </row>
    <row r="15" spans="1:27" x14ac:dyDescent="0.3">
      <c r="A15" s="2" t="s">
        <v>92</v>
      </c>
      <c r="B15" s="8" t="s">
        <v>42</v>
      </c>
      <c r="C15" s="2" t="s">
        <v>36</v>
      </c>
      <c r="D15" s="9">
        <f>Barley_Mo!P15</f>
        <v>0</v>
      </c>
      <c r="E15" s="9">
        <f>Barley_Mo!P30</f>
        <v>0</v>
      </c>
      <c r="F15" s="9">
        <f>Barley_Mo!P45</f>
        <v>0</v>
      </c>
      <c r="G15" s="9">
        <f>Barley_Mo!P60</f>
        <v>0</v>
      </c>
      <c r="H15" s="9">
        <f>Barley_Mo!P75</f>
        <v>0</v>
      </c>
      <c r="I15" s="9">
        <f>Barley_Mo!P90</f>
        <v>0</v>
      </c>
      <c r="J15" s="9">
        <f>Barley_Mo!P105</f>
        <v>0</v>
      </c>
      <c r="K15" s="9">
        <f>Barley_Mo!P120</f>
        <v>0</v>
      </c>
      <c r="L15" s="9">
        <f>Barley_Mo!P135</f>
        <v>0</v>
      </c>
      <c r="M15" s="9">
        <f>Barley_Mo!P150</f>
        <v>0</v>
      </c>
      <c r="N15" s="9">
        <f>Barley_Mo!P165</f>
        <v>0</v>
      </c>
      <c r="O15" s="9">
        <f>Barley_Mo!P180</f>
        <v>0</v>
      </c>
      <c r="P15" s="9">
        <f>Barley_Mo!P195</f>
        <v>0</v>
      </c>
      <c r="Q15" s="9">
        <f>Barley_Mo!P210</f>
        <v>0</v>
      </c>
      <c r="R15" s="9">
        <f>Barley_Mo!P225</f>
        <v>0</v>
      </c>
      <c r="S15" s="9">
        <f>Barley_Mo!P240</f>
        <v>0</v>
      </c>
      <c r="T15" s="9">
        <f>Barley_Mo!P255</f>
        <v>0</v>
      </c>
      <c r="U15" s="9">
        <f>Barley_Mo!P270</f>
        <v>0</v>
      </c>
      <c r="V15" s="9">
        <f>Barley_Mo!P285</f>
        <v>0</v>
      </c>
      <c r="W15" s="9">
        <f>Barley_Mo!P300</f>
        <v>0</v>
      </c>
      <c r="X15" s="9">
        <f>Barley_Mo!P315</f>
        <v>0</v>
      </c>
      <c r="Y15" s="9">
        <f>Barley_Mo!P330</f>
        <v>0</v>
      </c>
      <c r="Z15" s="9">
        <f>Barley_Mo!P345</f>
        <v>0</v>
      </c>
      <c r="AA15" s="9">
        <f>Barley_Mo!P360</f>
        <v>0</v>
      </c>
    </row>
    <row r="16" spans="1:27" x14ac:dyDescent="0.3">
      <c r="A16" s="2" t="s">
        <v>92</v>
      </c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</row>
    <row r="17" spans="1:27" x14ac:dyDescent="0.3">
      <c r="A17" s="2" t="s">
        <v>92</v>
      </c>
      <c r="B17" s="8" t="s">
        <v>43</v>
      </c>
      <c r="C17" s="2" t="s">
        <v>36</v>
      </c>
      <c r="D17" s="9">
        <f>Barley_Mo!P17</f>
        <v>2.2737367544323211E-13</v>
      </c>
      <c r="E17" s="9">
        <f>Barley_Mo!P32</f>
        <v>9.0949470177292824E-13</v>
      </c>
      <c r="F17" s="9">
        <f>Barley_Mo!P47</f>
        <v>1.364242052659392E-12</v>
      </c>
      <c r="G17" s="9">
        <f>Barley_Mo!P62</f>
        <v>-4.5474735088646412E-13</v>
      </c>
      <c r="H17" s="9">
        <f>Barley_Mo!P77</f>
        <v>1.8189894035458561E-12</v>
      </c>
      <c r="I17" s="9">
        <f>Barley_Mo!P92</f>
        <v>4.5474735088646412E-13</v>
      </c>
      <c r="J17" s="9">
        <f>Barley_Mo!P107</f>
        <v>1.364242052659392E-12</v>
      </c>
      <c r="K17" s="9">
        <f>Barley_Mo!P122</f>
        <v>-4.5474735088646412E-13</v>
      </c>
      <c r="L17" s="9">
        <f>Barley_Mo!P137</f>
        <v>2.2737367544323211E-13</v>
      </c>
      <c r="M17" s="9">
        <f>Barley_Mo!P152</f>
        <v>0</v>
      </c>
      <c r="N17" s="9">
        <f>Barley_Mo!P167</f>
        <v>-3.4106051316484809E-13</v>
      </c>
      <c r="O17" s="9">
        <f>Barley_Mo!P182</f>
        <v>-4.5474735088646412E-13</v>
      </c>
      <c r="P17" s="9">
        <f>Barley_Mo!P197</f>
        <v>2.2737367544323211E-13</v>
      </c>
      <c r="Q17" s="9">
        <f>Barley_Mo!P212</f>
        <v>-9.0949470177292824E-13</v>
      </c>
      <c r="R17" s="9">
        <f>Barley_Mo!P227</f>
        <v>-9.0949470177292824E-13</v>
      </c>
      <c r="S17" s="9">
        <f>Barley_Mo!P242</f>
        <v>-1.364242052659392E-12</v>
      </c>
      <c r="T17" s="9">
        <f>Barley_Mo!P257</f>
        <v>1.2505552149377769E-12</v>
      </c>
      <c r="U17" s="9">
        <f>Barley_Mo!P272</f>
        <v>0</v>
      </c>
      <c r="V17" s="9">
        <f>Barley_Mo!P287</f>
        <v>2.2737367544323211E-13</v>
      </c>
      <c r="W17" s="9">
        <f>Barley_Mo!P302</f>
        <v>2.2737367544323211E-13</v>
      </c>
      <c r="X17" s="9">
        <f>Barley_Mo!P317</f>
        <v>-4.5474735088646412E-13</v>
      </c>
      <c r="Y17" s="9">
        <f>Barley_Mo!P332</f>
        <v>-4.5474735088646412E-13</v>
      </c>
      <c r="Z17" s="9">
        <f>Barley_Mo!P347</f>
        <v>6.8212102632969618E-13</v>
      </c>
      <c r="AA17" s="9">
        <f>Barley_Mo!P362</f>
        <v>0</v>
      </c>
    </row>
    <row r="18" spans="1:27" x14ac:dyDescent="0.3">
      <c r="A18" s="2" t="s">
        <v>92</v>
      </c>
      <c r="B18" s="3" t="s">
        <v>44</v>
      </c>
      <c r="C18" s="12" t="s">
        <v>32</v>
      </c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</row>
    <row r="19" spans="1:27" x14ac:dyDescent="0.3">
      <c r="A19" s="2" t="s">
        <v>92</v>
      </c>
      <c r="B19" s="3" t="s">
        <v>45</v>
      </c>
      <c r="C19" s="12" t="s">
        <v>46</v>
      </c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</row>
    <row r="20" spans="1:27" x14ac:dyDescent="0.3">
      <c r="A20" s="2" t="s">
        <v>92</v>
      </c>
      <c r="B20" s="11" t="s">
        <v>47</v>
      </c>
      <c r="C20" s="15" t="s">
        <v>36</v>
      </c>
      <c r="D20" s="16">
        <f t="shared" ref="D20:AA20" si="1">D8+D10+D9-D12-D13-D14-D15-D17</f>
        <v>-1723.8000000000002</v>
      </c>
      <c r="E20" s="16">
        <f t="shared" si="1"/>
        <v>-1178.8999999999996</v>
      </c>
      <c r="F20" s="16">
        <f t="shared" si="1"/>
        <v>-1825.3999999999999</v>
      </c>
      <c r="G20" s="16">
        <f t="shared" si="1"/>
        <v>-3254.8000000000011</v>
      </c>
      <c r="H20" s="16">
        <f t="shared" si="1"/>
        <v>-3075.9000000000015</v>
      </c>
      <c r="I20" s="16">
        <f t="shared" si="1"/>
        <v>-1319</v>
      </c>
      <c r="J20" s="16">
        <f t="shared" si="1"/>
        <v>-1393.4000000000015</v>
      </c>
      <c r="K20" s="16">
        <f t="shared" si="1"/>
        <v>-2818.3999999999996</v>
      </c>
      <c r="L20" s="16">
        <f t="shared" si="1"/>
        <v>-2318.6999999999998</v>
      </c>
      <c r="M20" s="16">
        <f t="shared" si="1"/>
        <v>-1358.3999999999996</v>
      </c>
      <c r="N20" s="16">
        <f t="shared" si="1"/>
        <v>-1036.5000000000009</v>
      </c>
      <c r="O20" s="16">
        <f t="shared" si="1"/>
        <v>-845.39999999999964</v>
      </c>
      <c r="P20" s="16">
        <f t="shared" si="1"/>
        <v>-1744.4999999999991</v>
      </c>
      <c r="Q20" s="16">
        <f t="shared" si="1"/>
        <v>-1070.7999999999975</v>
      </c>
      <c r="R20" s="16">
        <f t="shared" si="1"/>
        <v>-1333.5</v>
      </c>
      <c r="S20" s="16">
        <f t="shared" si="1"/>
        <v>-2039.1000000000004</v>
      </c>
      <c r="T20" s="16">
        <f t="shared" si="1"/>
        <v>-910.89999999999964</v>
      </c>
      <c r="U20" s="16">
        <f t="shared" si="1"/>
        <v>-566.30000000000109</v>
      </c>
      <c r="V20" s="16">
        <f t="shared" si="1"/>
        <v>-639.39999999999964</v>
      </c>
      <c r="W20" s="16">
        <f t="shared" si="1"/>
        <v>-408.79999999999927</v>
      </c>
      <c r="X20" s="16">
        <f t="shared" si="1"/>
        <v>-419.69999999999891</v>
      </c>
      <c r="Y20" s="16">
        <f t="shared" si="1"/>
        <v>-600.19999999999891</v>
      </c>
      <c r="Z20" s="16">
        <f t="shared" si="1"/>
        <v>-1040.1000000000022</v>
      </c>
      <c r="AA20" s="16">
        <f t="shared" si="1"/>
        <v>0</v>
      </c>
    </row>
  </sheetData>
  <mergeCells count="1">
    <mergeCell ref="A1:C1"/>
  </mergeCells>
  <conditionalFormatting sqref="D20:AA20">
    <cfRule type="cellIs" dxfId="57" priority="1" operator="equal">
      <formula>0</formula>
    </cfRule>
    <cfRule type="cellIs" dxfId="56" priority="2" operator="notEqual">
      <formula>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A20"/>
  <sheetViews>
    <sheetView workbookViewId="0"/>
  </sheetViews>
  <sheetFormatPr defaultRowHeight="14.4" x14ac:dyDescent="0.3"/>
  <cols>
    <col min="1" max="1" width="18" customWidth="1"/>
    <col min="2" max="2" width="28" customWidth="1"/>
    <col min="3" max="3" width="10" customWidth="1"/>
    <col min="4" max="27" width="7" customWidth="1"/>
  </cols>
  <sheetData>
    <row r="1" spans="1:27" ht="15.6" customHeight="1" x14ac:dyDescent="0.3">
      <c r="A1" s="57" t="s">
        <v>93</v>
      </c>
      <c r="B1" s="58"/>
      <c r="C1" s="58"/>
    </row>
    <row r="2" spans="1:27" ht="26.4" customHeight="1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  <c r="W2" s="1" t="s">
        <v>23</v>
      </c>
      <c r="X2" s="1" t="s">
        <v>24</v>
      </c>
      <c r="Y2" s="1" t="s">
        <v>25</v>
      </c>
      <c r="Z2" s="1" t="s">
        <v>26</v>
      </c>
      <c r="AA2" s="1" t="s">
        <v>27</v>
      </c>
    </row>
    <row r="3" spans="1:27" x14ac:dyDescent="0.3">
      <c r="A3" s="2" t="s">
        <v>93</v>
      </c>
      <c r="B3" s="3" t="s">
        <v>28</v>
      </c>
      <c r="C3" s="12" t="s">
        <v>29</v>
      </c>
      <c r="D3" s="9">
        <f>Oats_Mo!P3</f>
        <v>0</v>
      </c>
      <c r="E3" s="9">
        <f>Oats_Mo!P18</f>
        <v>0</v>
      </c>
      <c r="F3" s="9">
        <f>Oats_Mo!P33</f>
        <v>0</v>
      </c>
      <c r="G3" s="9">
        <f>Oats_Mo!P48</f>
        <v>0</v>
      </c>
      <c r="H3" s="9">
        <f>Oats_Mo!P63</f>
        <v>0</v>
      </c>
      <c r="I3" s="9">
        <f>Oats_Mo!P78</f>
        <v>0</v>
      </c>
      <c r="J3" s="9">
        <f>Oats_Mo!P93</f>
        <v>0</v>
      </c>
      <c r="K3" s="9">
        <f>Oats_Mo!P108</f>
        <v>0</v>
      </c>
      <c r="L3" s="9">
        <f>Oats_Mo!P123</f>
        <v>0</v>
      </c>
      <c r="M3" s="9">
        <f>Oats_Mo!P138</f>
        <v>0</v>
      </c>
      <c r="N3" s="9">
        <f>Oats_Mo!P153</f>
        <v>0</v>
      </c>
      <c r="O3" s="9">
        <f>Oats_Mo!P168</f>
        <v>0</v>
      </c>
      <c r="P3" s="9">
        <f>Oats_Mo!P183</f>
        <v>0</v>
      </c>
      <c r="Q3" s="9">
        <f>Oats_Mo!P198</f>
        <v>0</v>
      </c>
      <c r="R3" s="9">
        <f>Oats_Mo!P213</f>
        <v>0</v>
      </c>
      <c r="S3" s="9">
        <f>Oats_Mo!P228</f>
        <v>0</v>
      </c>
      <c r="T3" s="9">
        <f>Oats_Mo!P243</f>
        <v>0</v>
      </c>
      <c r="U3" s="9">
        <f>Oats_Mo!P258</f>
        <v>0</v>
      </c>
      <c r="V3" s="9">
        <f>Oats_Mo!P273</f>
        <v>0</v>
      </c>
      <c r="W3" s="9">
        <f>Oats_Mo!P288</f>
        <v>0</v>
      </c>
      <c r="X3" s="9">
        <f>Oats_Mo!P303</f>
        <v>0</v>
      </c>
      <c r="Y3" s="9">
        <f>Oats_Mo!P318</f>
        <v>0</v>
      </c>
      <c r="Z3" s="9">
        <f>Oats_Mo!P333</f>
        <v>0</v>
      </c>
      <c r="AA3" s="9">
        <f>Oats_Mo!P348</f>
        <v>0</v>
      </c>
    </row>
    <row r="4" spans="1:27" x14ac:dyDescent="0.3">
      <c r="A4" s="2" t="s">
        <v>93</v>
      </c>
      <c r="B4" s="3" t="s">
        <v>30</v>
      </c>
      <c r="C4" s="12" t="s">
        <v>29</v>
      </c>
      <c r="D4" s="9">
        <f>Oats_Mo!P4</f>
        <v>0</v>
      </c>
      <c r="E4" s="9">
        <f>Oats_Mo!P19</f>
        <v>0</v>
      </c>
      <c r="F4" s="9">
        <f>Oats_Mo!P34</f>
        <v>0</v>
      </c>
      <c r="G4" s="9">
        <f>Oats_Mo!P49</f>
        <v>0</v>
      </c>
      <c r="H4" s="9">
        <f>Oats_Mo!P64</f>
        <v>0</v>
      </c>
      <c r="I4" s="9">
        <f>Oats_Mo!P79</f>
        <v>0</v>
      </c>
      <c r="J4" s="9">
        <f>Oats_Mo!P94</f>
        <v>0</v>
      </c>
      <c r="K4" s="9">
        <f>Oats_Mo!P109</f>
        <v>0</v>
      </c>
      <c r="L4" s="9">
        <f>Oats_Mo!P124</f>
        <v>0</v>
      </c>
      <c r="M4" s="9">
        <f>Oats_Mo!P139</f>
        <v>0</v>
      </c>
      <c r="N4" s="9">
        <f>Oats_Mo!P154</f>
        <v>0</v>
      </c>
      <c r="O4" s="9">
        <f>Oats_Mo!P169</f>
        <v>0</v>
      </c>
      <c r="P4" s="9">
        <f>Oats_Mo!P184</f>
        <v>0</v>
      </c>
      <c r="Q4" s="9">
        <f>Oats_Mo!P199</f>
        <v>0</v>
      </c>
      <c r="R4" s="9">
        <f>Oats_Mo!P214</f>
        <v>0</v>
      </c>
      <c r="S4" s="9">
        <f>Oats_Mo!P229</f>
        <v>0</v>
      </c>
      <c r="T4" s="9">
        <f>Oats_Mo!P244</f>
        <v>0</v>
      </c>
      <c r="U4" s="9">
        <f>Oats_Mo!P259</f>
        <v>0</v>
      </c>
      <c r="V4" s="9">
        <f>Oats_Mo!P274</f>
        <v>0</v>
      </c>
      <c r="W4" s="9">
        <f>Oats_Mo!P289</f>
        <v>0</v>
      </c>
      <c r="X4" s="9">
        <f>Oats_Mo!P304</f>
        <v>0</v>
      </c>
      <c r="Y4" s="9">
        <f>Oats_Mo!P319</f>
        <v>0</v>
      </c>
      <c r="Z4" s="9">
        <f>Oats_Mo!P334</f>
        <v>0</v>
      </c>
      <c r="AA4" s="9">
        <f>Oats_Mo!P349</f>
        <v>0</v>
      </c>
    </row>
    <row r="5" spans="1:27" x14ac:dyDescent="0.3">
      <c r="A5" s="2" t="s">
        <v>93</v>
      </c>
      <c r="B5" s="3" t="s">
        <v>31</v>
      </c>
      <c r="C5" s="12" t="s">
        <v>32</v>
      </c>
      <c r="D5" s="13" t="str">
        <f t="shared" ref="D5:AA5" si="0">IF(D3&lt;&gt;0,D4/D3,"")</f>
        <v/>
      </c>
      <c r="E5" s="13" t="str">
        <f t="shared" si="0"/>
        <v/>
      </c>
      <c r="F5" s="13" t="str">
        <f t="shared" si="0"/>
        <v/>
      </c>
      <c r="G5" s="13" t="str">
        <f t="shared" si="0"/>
        <v/>
      </c>
      <c r="H5" s="13" t="str">
        <f t="shared" si="0"/>
        <v/>
      </c>
      <c r="I5" s="13" t="str">
        <f t="shared" si="0"/>
        <v/>
      </c>
      <c r="J5" s="13" t="str">
        <f t="shared" si="0"/>
        <v/>
      </c>
      <c r="K5" s="13" t="str">
        <f t="shared" si="0"/>
        <v/>
      </c>
      <c r="L5" s="13" t="str">
        <f t="shared" si="0"/>
        <v/>
      </c>
      <c r="M5" s="13" t="str">
        <f t="shared" si="0"/>
        <v/>
      </c>
      <c r="N5" s="13" t="str">
        <f t="shared" si="0"/>
        <v/>
      </c>
      <c r="O5" s="13" t="str">
        <f t="shared" si="0"/>
        <v/>
      </c>
      <c r="P5" s="13" t="str">
        <f t="shared" si="0"/>
        <v/>
      </c>
      <c r="Q5" s="13" t="str">
        <f t="shared" si="0"/>
        <v/>
      </c>
      <c r="R5" s="13" t="str">
        <f t="shared" si="0"/>
        <v/>
      </c>
      <c r="S5" s="13" t="str">
        <f t="shared" si="0"/>
        <v/>
      </c>
      <c r="T5" s="13" t="str">
        <f t="shared" si="0"/>
        <v/>
      </c>
      <c r="U5" s="13" t="str">
        <f t="shared" si="0"/>
        <v/>
      </c>
      <c r="V5" s="13" t="str">
        <f t="shared" si="0"/>
        <v/>
      </c>
      <c r="W5" s="13" t="str">
        <f t="shared" si="0"/>
        <v/>
      </c>
      <c r="X5" s="13" t="str">
        <f t="shared" si="0"/>
        <v/>
      </c>
      <c r="Y5" s="13" t="str">
        <f t="shared" si="0"/>
        <v/>
      </c>
      <c r="Z5" s="13" t="str">
        <f t="shared" si="0"/>
        <v/>
      </c>
      <c r="AA5" s="13" t="str">
        <f t="shared" si="0"/>
        <v/>
      </c>
    </row>
    <row r="6" spans="1:27" x14ac:dyDescent="0.3">
      <c r="A6" s="2" t="s">
        <v>93</v>
      </c>
      <c r="B6" s="3" t="s">
        <v>33</v>
      </c>
      <c r="C6" s="12" t="s">
        <v>34</v>
      </c>
      <c r="D6" s="14">
        <f>Oats_Mo!O6</f>
        <v>0</v>
      </c>
      <c r="E6" s="14">
        <f>Oats_Mo!O21</f>
        <v>0</v>
      </c>
      <c r="F6" s="14">
        <f>Oats_Mo!O36</f>
        <v>0</v>
      </c>
      <c r="G6" s="14">
        <f>Oats_Mo!O51</f>
        <v>0</v>
      </c>
      <c r="H6" s="14">
        <f>Oats_Mo!O66</f>
        <v>0</v>
      </c>
      <c r="I6" s="14">
        <f>Oats_Mo!O81</f>
        <v>0</v>
      </c>
      <c r="J6" s="14">
        <f>Oats_Mo!O96</f>
        <v>0</v>
      </c>
      <c r="K6" s="14">
        <f>Oats_Mo!O111</f>
        <v>0</v>
      </c>
      <c r="L6" s="14">
        <f>Oats_Mo!O126</f>
        <v>0</v>
      </c>
      <c r="M6" s="14">
        <f>Oats_Mo!O141</f>
        <v>0</v>
      </c>
      <c r="N6" s="14">
        <f>Oats_Mo!O156</f>
        <v>0</v>
      </c>
      <c r="O6" s="14">
        <f>Oats_Mo!O171</f>
        <v>0</v>
      </c>
      <c r="P6" s="14">
        <f>Oats_Mo!O186</f>
        <v>0</v>
      </c>
      <c r="Q6" s="14">
        <f>Oats_Mo!O201</f>
        <v>0</v>
      </c>
      <c r="R6" s="14">
        <f>Oats_Mo!O216</f>
        <v>0</v>
      </c>
      <c r="S6" s="14">
        <f>Oats_Mo!O231</f>
        <v>0</v>
      </c>
      <c r="T6" s="14">
        <f>Oats_Mo!O246</f>
        <v>0</v>
      </c>
      <c r="U6" s="14">
        <f>Oats_Mo!O261</f>
        <v>0</v>
      </c>
      <c r="V6" s="14">
        <f>Oats_Mo!O276</f>
        <v>0</v>
      </c>
      <c r="W6" s="14">
        <f>Oats_Mo!O291</f>
        <v>0</v>
      </c>
      <c r="X6" s="14">
        <f>Oats_Mo!O306</f>
        <v>0</v>
      </c>
      <c r="Y6" s="14">
        <f>Oats_Mo!O321</f>
        <v>0</v>
      </c>
      <c r="Z6" s="14">
        <f>Oats_Mo!O336</f>
        <v>0</v>
      </c>
      <c r="AA6" s="14">
        <f>Oats_Mo!O351</f>
        <v>0</v>
      </c>
    </row>
    <row r="7" spans="1:27" x14ac:dyDescent="0.3">
      <c r="A7" s="2" t="s">
        <v>93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</row>
    <row r="8" spans="1:27" x14ac:dyDescent="0.3">
      <c r="A8" s="2" t="s">
        <v>93</v>
      </c>
      <c r="B8" s="8" t="s">
        <v>35</v>
      </c>
      <c r="C8" s="2" t="s">
        <v>36</v>
      </c>
      <c r="D8" s="9">
        <f>Oats_Mo!P8</f>
        <v>20.7</v>
      </c>
      <c r="E8" s="9">
        <f>Oats_Mo!P23</f>
        <v>18.899999999999999</v>
      </c>
      <c r="F8" s="9">
        <f>Oats_Mo!P38</f>
        <v>25.7</v>
      </c>
      <c r="G8" s="9">
        <f>Oats_Mo!P53</f>
        <v>20.2</v>
      </c>
      <c r="H8" s="9">
        <f>Oats_Mo!P68</f>
        <v>17.5</v>
      </c>
      <c r="I8" s="9">
        <f>Oats_Mo!P83</f>
        <v>16.7</v>
      </c>
      <c r="J8" s="9">
        <f>Oats_Mo!P98</f>
        <v>17.399999999999999</v>
      </c>
      <c r="K8" s="9">
        <f>Oats_Mo!P113</f>
        <v>16.5</v>
      </c>
      <c r="L8" s="9">
        <f>Oats_Mo!P128</f>
        <v>25.1</v>
      </c>
      <c r="M8" s="9">
        <f>Oats_Mo!P143</f>
        <v>12.1</v>
      </c>
      <c r="N8" s="9">
        <f>Oats_Mo!P158</f>
        <v>18.399999999999999</v>
      </c>
      <c r="O8" s="9">
        <f>Oats_Mo!P173</f>
        <v>29.6</v>
      </c>
      <c r="P8" s="9">
        <f>Oats_Mo!P188</f>
        <v>19.3</v>
      </c>
      <c r="Q8" s="9">
        <f>Oats_Mo!P203</f>
        <v>19.7</v>
      </c>
      <c r="R8" s="9">
        <f>Oats_Mo!P218</f>
        <v>20.9</v>
      </c>
      <c r="S8" s="9">
        <f>Oats_Mo!P233</f>
        <v>13.8</v>
      </c>
      <c r="T8" s="9">
        <f>Oats_Mo!P248</f>
        <v>10.5</v>
      </c>
      <c r="U8" s="9">
        <f>Oats_Mo!P263</f>
        <v>13.6</v>
      </c>
      <c r="V8" s="9">
        <f>Oats_Mo!P278</f>
        <v>17.100000000000001</v>
      </c>
      <c r="W8" s="9">
        <f>Oats_Mo!P293</f>
        <v>25</v>
      </c>
      <c r="X8" s="9">
        <f>Oats_Mo!P308</f>
        <v>24.6</v>
      </c>
      <c r="Y8" s="9">
        <f>Oats_Mo!P323</f>
        <v>15.3</v>
      </c>
      <c r="Z8" s="9">
        <f>Oats_Mo!P338</f>
        <v>15.9</v>
      </c>
      <c r="AA8" s="9">
        <f>Oats_Mo!P353</f>
        <v>0</v>
      </c>
    </row>
    <row r="9" spans="1:27" x14ac:dyDescent="0.3">
      <c r="A9" s="2" t="s">
        <v>93</v>
      </c>
      <c r="B9" s="8" t="s">
        <v>37</v>
      </c>
      <c r="C9" s="2" t="s">
        <v>36</v>
      </c>
      <c r="D9" s="9">
        <f>Oats_Mo!P9</f>
        <v>2910.7</v>
      </c>
      <c r="E9" s="9">
        <f>Oats_Mo!P24</f>
        <v>3376.7</v>
      </c>
      <c r="F9" s="9">
        <f>Oats_Mo!P39</f>
        <v>3467.2</v>
      </c>
      <c r="G9" s="9">
        <f>Oats_Mo!P54</f>
        <v>3282.7</v>
      </c>
      <c r="H9" s="9">
        <f>Oats_Mo!P69</f>
        <v>3852.2</v>
      </c>
      <c r="I9" s="9">
        <f>Oats_Mo!P84</f>
        <v>4618.3999999999996</v>
      </c>
      <c r="J9" s="9">
        <f>Oats_Mo!P99</f>
        <v>4272.6000000000004</v>
      </c>
      <c r="K9" s="9">
        <f>Oats_Mo!P114</f>
        <v>2911.5</v>
      </c>
      <c r="L9" s="9">
        <f>Oats_Mo!P129</f>
        <v>2451.4</v>
      </c>
      <c r="M9" s="9">
        <f>Oats_Mo!P144</f>
        <v>3157.6</v>
      </c>
      <c r="N9" s="9">
        <f>Oats_Mo!P159</f>
        <v>2829.6</v>
      </c>
      <c r="O9" s="9">
        <f>Oats_Mo!P174</f>
        <v>3927.6</v>
      </c>
      <c r="P9" s="9">
        <f>Oats_Mo!P189</f>
        <v>2976.8</v>
      </c>
      <c r="Q9" s="9">
        <f>Oats_Mo!P204</f>
        <v>3425</v>
      </c>
      <c r="R9" s="9">
        <f>Oats_Mo!P219</f>
        <v>3231.2</v>
      </c>
      <c r="S9" s="9">
        <f>Oats_Mo!P234</f>
        <v>3733</v>
      </c>
      <c r="T9" s="9">
        <f>Oats_Mo!P249</f>
        <v>3436</v>
      </c>
      <c r="U9" s="9">
        <f>Oats_Mo!P264</f>
        <v>4227.3</v>
      </c>
      <c r="V9" s="9">
        <f>Oats_Mo!P279</f>
        <v>4575.8</v>
      </c>
      <c r="W9" s="9">
        <f>Oats_Mo!P294</f>
        <v>2898.6</v>
      </c>
      <c r="X9" s="9">
        <f>Oats_Mo!P309</f>
        <v>5226.5</v>
      </c>
      <c r="Y9" s="9">
        <f>Oats_Mo!P324</f>
        <v>2643.1</v>
      </c>
      <c r="Z9" s="9">
        <f>Oats_Mo!P339</f>
        <v>3357.6</v>
      </c>
      <c r="AA9" s="9">
        <f>Oats_Mo!P354</f>
        <v>0</v>
      </c>
    </row>
    <row r="10" spans="1:27" x14ac:dyDescent="0.3">
      <c r="A10" s="2" t="s">
        <v>93</v>
      </c>
      <c r="B10" s="8" t="s">
        <v>38</v>
      </c>
      <c r="C10" s="2" t="s">
        <v>36</v>
      </c>
      <c r="D10" s="9">
        <f>Oats_Mo!P10</f>
        <v>132.1</v>
      </c>
      <c r="E10" s="9">
        <f>Oats_Mo!P25</f>
        <v>139.80000000000001</v>
      </c>
      <c r="F10" s="9">
        <f>Oats_Mo!P40</f>
        <v>117.5</v>
      </c>
      <c r="G10" s="9">
        <f>Oats_Mo!P55</f>
        <v>78.7</v>
      </c>
      <c r="H10" s="9">
        <f>Oats_Mo!P70</f>
        <v>92.1</v>
      </c>
      <c r="I10" s="9">
        <f>Oats_Mo!P85</f>
        <v>70.2</v>
      </c>
      <c r="J10" s="9">
        <f>Oats_Mo!P100</f>
        <v>69.3</v>
      </c>
      <c r="K10" s="9">
        <f>Oats_Mo!P115</f>
        <v>59.8</v>
      </c>
      <c r="L10" s="9">
        <f>Oats_Mo!P130</f>
        <v>86.2</v>
      </c>
      <c r="M10" s="9">
        <f>Oats_Mo!P145</f>
        <v>123.3</v>
      </c>
      <c r="N10" s="9">
        <f>Oats_Mo!P160</f>
        <v>117.2</v>
      </c>
      <c r="O10" s="9">
        <f>Oats_Mo!P175</f>
        <v>83.5</v>
      </c>
      <c r="P10" s="9">
        <f>Oats_Mo!P190</f>
        <v>147</v>
      </c>
      <c r="Q10" s="9">
        <f>Oats_Mo!P205</f>
        <v>184.3</v>
      </c>
      <c r="R10" s="9">
        <f>Oats_Mo!P220</f>
        <v>125.2</v>
      </c>
      <c r="S10" s="9">
        <f>Oats_Mo!P235</f>
        <v>112.2</v>
      </c>
      <c r="T10" s="9">
        <f>Oats_Mo!P250</f>
        <v>122.4</v>
      </c>
      <c r="U10" s="9">
        <f>Oats_Mo!P265</f>
        <v>143.4</v>
      </c>
      <c r="V10" s="9">
        <f>Oats_Mo!P280</f>
        <v>104.1</v>
      </c>
      <c r="W10" s="9">
        <f>Oats_Mo!P295</f>
        <v>97.6</v>
      </c>
      <c r="X10" s="9">
        <f>Oats_Mo!P310</f>
        <v>90.3</v>
      </c>
      <c r="Y10" s="9">
        <f>Oats_Mo!P325</f>
        <v>78.8</v>
      </c>
      <c r="Z10" s="9">
        <f>Oats_Mo!P340</f>
        <v>75.2</v>
      </c>
      <c r="AA10" s="9">
        <f>Oats_Mo!P355</f>
        <v>0</v>
      </c>
    </row>
    <row r="11" spans="1:27" x14ac:dyDescent="0.3">
      <c r="A11" s="2" t="s">
        <v>93</v>
      </c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</row>
    <row r="12" spans="1:27" x14ac:dyDescent="0.3">
      <c r="A12" s="2" t="s">
        <v>93</v>
      </c>
      <c r="B12" s="8" t="s">
        <v>39</v>
      </c>
      <c r="C12" s="2" t="s">
        <v>36</v>
      </c>
      <c r="D12" s="9">
        <f>Oats_Mo!P12</f>
        <v>1448.4</v>
      </c>
      <c r="E12" s="9">
        <f>Oats_Mo!P27</f>
        <v>1434</v>
      </c>
      <c r="F12" s="9">
        <f>Oats_Mo!P42</f>
        <v>1514.2</v>
      </c>
      <c r="G12" s="9">
        <f>Oats_Mo!P57</f>
        <v>1457.4999999999991</v>
      </c>
      <c r="H12" s="9">
        <f>Oats_Mo!P72</f>
        <v>1789</v>
      </c>
      <c r="I12" s="9">
        <f>Oats_Mo!P87</f>
        <v>1366.5</v>
      </c>
      <c r="J12" s="9">
        <f>Oats_Mo!P102</f>
        <v>1212.5999999999999</v>
      </c>
      <c r="K12" s="9">
        <f>Oats_Mo!P117</f>
        <v>1158.0999999999999</v>
      </c>
      <c r="L12" s="9">
        <f>Oats_Mo!P132</f>
        <v>884.79999999999961</v>
      </c>
      <c r="M12" s="9">
        <f>Oats_Mo!P147</f>
        <v>780.19999999999936</v>
      </c>
      <c r="N12" s="9">
        <f>Oats_Mo!P162</f>
        <v>916.30000000000041</v>
      </c>
      <c r="O12" s="9">
        <f>Oats_Mo!P177</f>
        <v>1007.2</v>
      </c>
      <c r="P12" s="9">
        <f>Oats_Mo!P192</f>
        <v>888.4000000000002</v>
      </c>
      <c r="Q12" s="9">
        <f>Oats_Mo!P207</f>
        <v>760.79999999999927</v>
      </c>
      <c r="R12" s="9">
        <f>Oats_Mo!P222</f>
        <v>1084.299999999999</v>
      </c>
      <c r="S12" s="9">
        <f>Oats_Mo!P237</f>
        <v>1191.5</v>
      </c>
      <c r="T12" s="9">
        <f>Oats_Mo!P252</f>
        <v>1230.9000000000001</v>
      </c>
      <c r="U12" s="9">
        <f>Oats_Mo!P267</f>
        <v>1458.1</v>
      </c>
      <c r="V12" s="9">
        <f>Oats_Mo!P282</f>
        <v>1286.200000000001</v>
      </c>
      <c r="W12" s="9">
        <f>Oats_Mo!P297</f>
        <v>835.80000000000007</v>
      </c>
      <c r="X12" s="9">
        <f>Oats_Mo!P312</f>
        <v>1320.5</v>
      </c>
      <c r="Y12" s="9">
        <f>Oats_Mo!P327</f>
        <v>1046.5</v>
      </c>
      <c r="Z12" s="9">
        <f>Oats_Mo!P342</f>
        <v>896.60000000000014</v>
      </c>
      <c r="AA12" s="9">
        <f>Oats_Mo!P357</f>
        <v>0</v>
      </c>
    </row>
    <row r="13" spans="1:27" x14ac:dyDescent="0.3">
      <c r="A13" s="2" t="s">
        <v>93</v>
      </c>
      <c r="B13" s="8" t="s">
        <v>40</v>
      </c>
      <c r="C13" s="2" t="s">
        <v>36</v>
      </c>
      <c r="D13" s="9">
        <f>Oats_Mo!P13</f>
        <v>1189.8</v>
      </c>
      <c r="E13" s="9">
        <f>Oats_Mo!P28</f>
        <v>1557.6</v>
      </c>
      <c r="F13" s="9">
        <f>Oats_Mo!P43</f>
        <v>1674.9</v>
      </c>
      <c r="G13" s="9">
        <f>Oats_Mo!P58</f>
        <v>1869.4</v>
      </c>
      <c r="H13" s="9">
        <f>Oats_Mo!P73</f>
        <v>2304.1</v>
      </c>
      <c r="I13" s="9">
        <f>Oats_Mo!P88</f>
        <v>2805.1</v>
      </c>
      <c r="J13" s="9">
        <f>Oats_Mo!P103</f>
        <v>2430.4</v>
      </c>
      <c r="K13" s="9">
        <f>Oats_Mo!P118</f>
        <v>2075.5</v>
      </c>
      <c r="L13" s="9">
        <f>Oats_Mo!P133</f>
        <v>1934.7</v>
      </c>
      <c r="M13" s="9">
        <f>Oats_Mo!P148</f>
        <v>2194.3000000000002</v>
      </c>
      <c r="N13" s="9">
        <f>Oats_Mo!P163</f>
        <v>2173.1999999999998</v>
      </c>
      <c r="O13" s="9">
        <f>Oats_Mo!P178</f>
        <v>2243.3000000000002</v>
      </c>
      <c r="P13" s="9">
        <f>Oats_Mo!P193</f>
        <v>2328.8000000000002</v>
      </c>
      <c r="Q13" s="9">
        <f>Oats_Mo!P208</f>
        <v>2233.5</v>
      </c>
      <c r="R13" s="9">
        <f>Oats_Mo!P223</f>
        <v>2306.1</v>
      </c>
      <c r="S13" s="9">
        <f>Oats_Mo!P238</f>
        <v>2368.1999999999998</v>
      </c>
      <c r="T13" s="9">
        <f>Oats_Mo!P253</f>
        <v>2474.6999999999998</v>
      </c>
      <c r="U13" s="9">
        <f>Oats_Mo!P268</f>
        <v>2610.6999999999998</v>
      </c>
      <c r="V13" s="9">
        <f>Oats_Mo!P283</f>
        <v>2971.7</v>
      </c>
      <c r="W13" s="9">
        <f>Oats_Mo!P298</f>
        <v>2314.1</v>
      </c>
      <c r="X13" s="9">
        <f>Oats_Mo!P313</f>
        <v>2669.9</v>
      </c>
      <c r="Y13" s="9">
        <f>Oats_Mo!P328</f>
        <v>2365.6999999999998</v>
      </c>
      <c r="Z13" s="9">
        <f>Oats_Mo!P343</f>
        <v>2565.4</v>
      </c>
      <c r="AA13" s="9">
        <f>Oats_Mo!P358</f>
        <v>0</v>
      </c>
    </row>
    <row r="14" spans="1:27" x14ac:dyDescent="0.3">
      <c r="A14" s="2" t="s">
        <v>93</v>
      </c>
      <c r="B14" s="8" t="s">
        <v>41</v>
      </c>
      <c r="C14" s="2" t="s">
        <v>36</v>
      </c>
      <c r="D14" s="9">
        <f>Oats_Mo!P14</f>
        <v>523.9</v>
      </c>
      <c r="E14" s="9">
        <f>Oats_Mo!P29</f>
        <v>788.1</v>
      </c>
      <c r="F14" s="9">
        <f>Oats_Mo!P44</f>
        <v>974.4</v>
      </c>
      <c r="G14" s="9">
        <f>Oats_Mo!P59</f>
        <v>871.7</v>
      </c>
      <c r="H14" s="9">
        <f>Oats_Mo!P74</f>
        <v>556.20000000000005</v>
      </c>
      <c r="I14" s="9">
        <f>Oats_Mo!P89</f>
        <v>949.5</v>
      </c>
      <c r="J14" s="9">
        <f>Oats_Mo!P104</f>
        <v>1527.2</v>
      </c>
      <c r="K14" s="9">
        <f>Oats_Mo!P119</f>
        <v>1161.8</v>
      </c>
      <c r="L14" s="9">
        <f>Oats_Mo!P134</f>
        <v>732.6</v>
      </c>
      <c r="M14" s="9">
        <f>Oats_Mo!P149</f>
        <v>804.5</v>
      </c>
      <c r="N14" s="9">
        <f>Oats_Mo!P164</f>
        <v>445.8</v>
      </c>
      <c r="O14" s="9">
        <f>Oats_Mo!P179</f>
        <v>1069</v>
      </c>
      <c r="P14" s="9">
        <f>Oats_Mo!P194</f>
        <v>700.9</v>
      </c>
      <c r="Q14" s="9">
        <f>Oats_Mo!P209</f>
        <v>967</v>
      </c>
      <c r="R14" s="9">
        <f>Oats_Mo!P224</f>
        <v>703.5</v>
      </c>
      <c r="S14" s="9">
        <f>Oats_Mo!P239</f>
        <v>778.4</v>
      </c>
      <c r="T14" s="9">
        <f>Oats_Mo!P254</f>
        <v>396.9</v>
      </c>
      <c r="U14" s="9">
        <f>Oats_Mo!P269</f>
        <v>425.6</v>
      </c>
      <c r="V14" s="9">
        <f>Oats_Mo!P284</f>
        <v>656.5</v>
      </c>
      <c r="W14" s="9">
        <f>Oats_Mo!P299</f>
        <v>332.6</v>
      </c>
      <c r="X14" s="9">
        <f>Oats_Mo!P314</f>
        <v>1503</v>
      </c>
      <c r="Y14" s="9">
        <f>Oats_Mo!P329</f>
        <v>670.4</v>
      </c>
      <c r="Z14" s="9">
        <f>Oats_Mo!P344</f>
        <v>506.7</v>
      </c>
      <c r="AA14" s="9">
        <f>Oats_Mo!P359</f>
        <v>0</v>
      </c>
    </row>
    <row r="15" spans="1:27" x14ac:dyDescent="0.3">
      <c r="A15" s="2" t="s">
        <v>93</v>
      </c>
      <c r="B15" s="8" t="s">
        <v>42</v>
      </c>
      <c r="C15" s="2" t="s">
        <v>36</v>
      </c>
      <c r="D15" s="9">
        <f>Oats_Mo!P15</f>
        <v>0</v>
      </c>
      <c r="E15" s="9">
        <f>Oats_Mo!P30</f>
        <v>0</v>
      </c>
      <c r="F15" s="9">
        <f>Oats_Mo!P45</f>
        <v>0</v>
      </c>
      <c r="G15" s="9">
        <f>Oats_Mo!P60</f>
        <v>0</v>
      </c>
      <c r="H15" s="9">
        <f>Oats_Mo!P75</f>
        <v>0</v>
      </c>
      <c r="I15" s="9">
        <f>Oats_Mo!P90</f>
        <v>0</v>
      </c>
      <c r="J15" s="9">
        <f>Oats_Mo!P105</f>
        <v>0</v>
      </c>
      <c r="K15" s="9">
        <f>Oats_Mo!P120</f>
        <v>0</v>
      </c>
      <c r="L15" s="9">
        <f>Oats_Mo!P135</f>
        <v>0</v>
      </c>
      <c r="M15" s="9">
        <f>Oats_Mo!P150</f>
        <v>0</v>
      </c>
      <c r="N15" s="9">
        <f>Oats_Mo!P165</f>
        <v>0</v>
      </c>
      <c r="O15" s="9">
        <f>Oats_Mo!P180</f>
        <v>0</v>
      </c>
      <c r="P15" s="9">
        <f>Oats_Mo!P195</f>
        <v>0</v>
      </c>
      <c r="Q15" s="9">
        <f>Oats_Mo!P210</f>
        <v>0</v>
      </c>
      <c r="R15" s="9">
        <f>Oats_Mo!P225</f>
        <v>0</v>
      </c>
      <c r="S15" s="9">
        <f>Oats_Mo!P240</f>
        <v>0</v>
      </c>
      <c r="T15" s="9">
        <f>Oats_Mo!P255</f>
        <v>0</v>
      </c>
      <c r="U15" s="9">
        <f>Oats_Mo!P270</f>
        <v>0</v>
      </c>
      <c r="V15" s="9">
        <f>Oats_Mo!P285</f>
        <v>0</v>
      </c>
      <c r="W15" s="9">
        <f>Oats_Mo!P300</f>
        <v>0</v>
      </c>
      <c r="X15" s="9">
        <f>Oats_Mo!P315</f>
        <v>0</v>
      </c>
      <c r="Y15" s="9">
        <f>Oats_Mo!P330</f>
        <v>0</v>
      </c>
      <c r="Z15" s="9">
        <f>Oats_Mo!P345</f>
        <v>0</v>
      </c>
      <c r="AA15" s="9">
        <f>Oats_Mo!P360</f>
        <v>0</v>
      </c>
    </row>
    <row r="16" spans="1:27" x14ac:dyDescent="0.3">
      <c r="A16" s="2" t="s">
        <v>93</v>
      </c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</row>
    <row r="17" spans="1:27" x14ac:dyDescent="0.3">
      <c r="A17" s="2" t="s">
        <v>93</v>
      </c>
      <c r="B17" s="8" t="s">
        <v>43</v>
      </c>
      <c r="C17" s="2" t="s">
        <v>36</v>
      </c>
      <c r="D17" s="9">
        <f>Oats_Mo!P17</f>
        <v>-1.1368683772161611E-13</v>
      </c>
      <c r="E17" s="9">
        <f>Oats_Mo!P32</f>
        <v>-5.6843418860808015E-13</v>
      </c>
      <c r="F17" s="9">
        <f>Oats_Mo!P47</f>
        <v>1.1368683772161611E-13</v>
      </c>
      <c r="G17" s="9">
        <f>Oats_Mo!P62</f>
        <v>2.2737367544323211E-13</v>
      </c>
      <c r="H17" s="9">
        <f>Oats_Mo!P77</f>
        <v>-6.8212102632969618E-13</v>
      </c>
      <c r="I17" s="9">
        <f>Oats_Mo!P92</f>
        <v>0</v>
      </c>
      <c r="J17" s="9">
        <f>Oats_Mo!P107</f>
        <v>2.2737367544323211E-13</v>
      </c>
      <c r="K17" s="9">
        <f>Oats_Mo!P122</f>
        <v>2.2737367544323211E-13</v>
      </c>
      <c r="L17" s="9">
        <f>Oats_Mo!P137</f>
        <v>1.1368683772161611E-13</v>
      </c>
      <c r="M17" s="9">
        <f>Oats_Mo!P152</f>
        <v>0</v>
      </c>
      <c r="N17" s="9">
        <f>Oats_Mo!P167</f>
        <v>1.7053025658242399E-13</v>
      </c>
      <c r="O17" s="9">
        <f>Oats_Mo!P182</f>
        <v>0</v>
      </c>
      <c r="P17" s="9">
        <f>Oats_Mo!P197</f>
        <v>1.1368683772161611E-13</v>
      </c>
      <c r="Q17" s="9">
        <f>Oats_Mo!P212</f>
        <v>0</v>
      </c>
      <c r="R17" s="9">
        <f>Oats_Mo!P227</f>
        <v>0</v>
      </c>
      <c r="S17" s="9">
        <f>Oats_Mo!P242</f>
        <v>1.1368683772161611E-13</v>
      </c>
      <c r="T17" s="9">
        <f>Oats_Mo!P257</f>
        <v>5.6843418860808015E-13</v>
      </c>
      <c r="U17" s="9">
        <f>Oats_Mo!P272</f>
        <v>3.4106051316484809E-13</v>
      </c>
      <c r="V17" s="9">
        <f>Oats_Mo!P287</f>
        <v>-4.5474735088646412E-13</v>
      </c>
      <c r="W17" s="9">
        <f>Oats_Mo!P302</f>
        <v>-1.1368683772161611E-13</v>
      </c>
      <c r="X17" s="9">
        <f>Oats_Mo!P317</f>
        <v>-4.5474735088646412E-13</v>
      </c>
      <c r="Y17" s="9">
        <f>Oats_Mo!P332</f>
        <v>1.1368683772161611E-13</v>
      </c>
      <c r="Z17" s="9">
        <f>Oats_Mo!P347</f>
        <v>2.8421709430404012E-13</v>
      </c>
      <c r="AA17" s="9">
        <f>Oats_Mo!P362</f>
        <v>0</v>
      </c>
    </row>
    <row r="18" spans="1:27" x14ac:dyDescent="0.3">
      <c r="A18" s="2" t="s">
        <v>93</v>
      </c>
      <c r="B18" s="3" t="s">
        <v>44</v>
      </c>
      <c r="C18" s="12" t="s">
        <v>32</v>
      </c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</row>
    <row r="19" spans="1:27" x14ac:dyDescent="0.3">
      <c r="A19" s="2" t="s">
        <v>93</v>
      </c>
      <c r="B19" s="3" t="s">
        <v>45</v>
      </c>
      <c r="C19" s="12" t="s">
        <v>46</v>
      </c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</row>
    <row r="20" spans="1:27" x14ac:dyDescent="0.3">
      <c r="A20" s="2" t="s">
        <v>93</v>
      </c>
      <c r="B20" s="11" t="s">
        <v>47</v>
      </c>
      <c r="C20" s="15" t="s">
        <v>36</v>
      </c>
      <c r="D20" s="16">
        <f t="shared" ref="D20:AA20" si="1">D8+D10+D9-D12-D13-D14-D15-D17</f>
        <v>-98.599999999999909</v>
      </c>
      <c r="E20" s="16">
        <f t="shared" si="1"/>
        <v>-244.29999999999973</v>
      </c>
      <c r="F20" s="16">
        <f t="shared" si="1"/>
        <v>-553.10000000000036</v>
      </c>
      <c r="G20" s="16">
        <f t="shared" si="1"/>
        <v>-816.99999999999955</v>
      </c>
      <c r="H20" s="16">
        <f t="shared" si="1"/>
        <v>-687.49999999999955</v>
      </c>
      <c r="I20" s="16">
        <f t="shared" si="1"/>
        <v>-415.80000000000064</v>
      </c>
      <c r="J20" s="16">
        <f t="shared" si="1"/>
        <v>-810.90000000000009</v>
      </c>
      <c r="K20" s="16">
        <f t="shared" si="1"/>
        <v>-1407.6</v>
      </c>
      <c r="L20" s="16">
        <f t="shared" si="1"/>
        <v>-989.39999999999964</v>
      </c>
      <c r="M20" s="16">
        <f t="shared" si="1"/>
        <v>-485.99999999999955</v>
      </c>
      <c r="N20" s="16">
        <f t="shared" si="1"/>
        <v>-570.10000000000036</v>
      </c>
      <c r="O20" s="16">
        <f t="shared" si="1"/>
        <v>-278.80000000000018</v>
      </c>
      <c r="P20" s="16">
        <f t="shared" si="1"/>
        <v>-775</v>
      </c>
      <c r="Q20" s="16">
        <f t="shared" si="1"/>
        <v>-332.29999999999927</v>
      </c>
      <c r="R20" s="16">
        <f t="shared" si="1"/>
        <v>-716.599999999999</v>
      </c>
      <c r="S20" s="16">
        <f t="shared" si="1"/>
        <v>-479.09999999999991</v>
      </c>
      <c r="T20" s="16">
        <f t="shared" si="1"/>
        <v>-533.60000000000036</v>
      </c>
      <c r="U20" s="16">
        <f t="shared" si="1"/>
        <v>-110.09999999999991</v>
      </c>
      <c r="V20" s="16">
        <f t="shared" si="1"/>
        <v>-217.40000000000009</v>
      </c>
      <c r="W20" s="16">
        <f t="shared" si="1"/>
        <v>-461.30000000000018</v>
      </c>
      <c r="X20" s="16">
        <f t="shared" si="1"/>
        <v>-152</v>
      </c>
      <c r="Y20" s="16">
        <f t="shared" si="1"/>
        <v>-1345.4</v>
      </c>
      <c r="Z20" s="16">
        <f t="shared" si="1"/>
        <v>-520.00000000000091</v>
      </c>
      <c r="AA20" s="16">
        <f t="shared" si="1"/>
        <v>0</v>
      </c>
    </row>
  </sheetData>
  <mergeCells count="1">
    <mergeCell ref="A1:C1"/>
  </mergeCells>
  <conditionalFormatting sqref="D20:AA20">
    <cfRule type="cellIs" dxfId="55" priority="1" operator="equal">
      <formula>0</formula>
    </cfRule>
    <cfRule type="cellIs" dxfId="54" priority="2" operator="notEqual">
      <formula>0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434"/>
  <sheetViews>
    <sheetView workbookViewId="0"/>
  </sheetViews>
  <sheetFormatPr defaultRowHeight="14.4" x14ac:dyDescent="0.3"/>
  <cols>
    <col min="1" max="1" width="18" customWidth="1"/>
    <col min="2" max="2" width="28" customWidth="1"/>
    <col min="3" max="3" width="10" customWidth="1"/>
    <col min="4" max="15" width="7" customWidth="1"/>
    <col min="16" max="16" width="10" customWidth="1"/>
  </cols>
  <sheetData>
    <row r="1" spans="1:16" ht="15.6" customHeight="1" x14ac:dyDescent="0.3">
      <c r="A1" s="57" t="s">
        <v>94</v>
      </c>
      <c r="B1" s="58"/>
      <c r="C1" s="58"/>
    </row>
    <row r="2" spans="1:16" x14ac:dyDescent="0.3">
      <c r="A2" s="1" t="s">
        <v>1</v>
      </c>
      <c r="B2" s="1" t="s">
        <v>2</v>
      </c>
      <c r="C2" s="1" t="s">
        <v>48</v>
      </c>
      <c r="D2" s="1" t="s">
        <v>95</v>
      </c>
      <c r="E2" s="1" t="s">
        <v>96</v>
      </c>
      <c r="F2" s="1" t="s">
        <v>97</v>
      </c>
      <c r="G2" s="1" t="s">
        <v>98</v>
      </c>
      <c r="H2" s="1" t="s">
        <v>99</v>
      </c>
      <c r="I2" s="1" t="s">
        <v>100</v>
      </c>
      <c r="J2" s="1" t="s">
        <v>101</v>
      </c>
      <c r="K2" s="1" t="s">
        <v>102</v>
      </c>
      <c r="L2" s="1" t="s">
        <v>103</v>
      </c>
      <c r="M2" s="1" t="s">
        <v>104</v>
      </c>
      <c r="N2" s="1" t="s">
        <v>105</v>
      </c>
      <c r="O2" s="1" t="s">
        <v>106</v>
      </c>
      <c r="P2" s="1" t="s">
        <v>107</v>
      </c>
    </row>
    <row r="3" spans="1:16" x14ac:dyDescent="0.3">
      <c r="A3" s="2" t="s">
        <v>94</v>
      </c>
      <c r="B3" s="3" t="s">
        <v>28</v>
      </c>
      <c r="C3" s="2" t="s">
        <v>4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>
        <f>SUM(D3:O3)</f>
        <v>0</v>
      </c>
    </row>
    <row r="4" spans="1:16" x14ac:dyDescent="0.3">
      <c r="A4" s="2" t="s">
        <v>94</v>
      </c>
      <c r="B4" s="3" t="s">
        <v>30</v>
      </c>
      <c r="C4" s="2" t="s">
        <v>4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>
        <f>SUM(D4:O4)</f>
        <v>0</v>
      </c>
    </row>
    <row r="5" spans="1:16" x14ac:dyDescent="0.3">
      <c r="A5" s="2" t="s">
        <v>94</v>
      </c>
      <c r="B5" s="3" t="s">
        <v>31</v>
      </c>
      <c r="C5" s="2" t="s">
        <v>4</v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>
        <f>SUM(D5:O5)</f>
        <v>0</v>
      </c>
    </row>
    <row r="6" spans="1:16" x14ac:dyDescent="0.3">
      <c r="A6" s="2" t="s">
        <v>94</v>
      </c>
      <c r="B6" s="3" t="s">
        <v>33</v>
      </c>
      <c r="C6" s="2" t="s">
        <v>4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>
        <f>SUM(D6:O6)</f>
        <v>0</v>
      </c>
    </row>
    <row r="7" spans="1:16" x14ac:dyDescent="0.3">
      <c r="A7" s="2" t="s">
        <v>94</v>
      </c>
      <c r="B7" s="7"/>
      <c r="C7" s="2" t="s">
        <v>4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</row>
    <row r="8" spans="1:16" x14ac:dyDescent="0.3">
      <c r="A8" s="2" t="s">
        <v>94</v>
      </c>
      <c r="B8" s="8" t="s">
        <v>35</v>
      </c>
      <c r="C8" s="2" t="s">
        <v>4</v>
      </c>
      <c r="D8" s="9"/>
      <c r="E8" s="9"/>
      <c r="F8" s="9"/>
      <c r="G8" s="9"/>
      <c r="H8" s="9"/>
      <c r="I8" s="9"/>
      <c r="J8" s="9"/>
      <c r="K8" s="9"/>
      <c r="L8" s="9"/>
      <c r="M8" s="9"/>
      <c r="N8" s="9">
        <v>171.8</v>
      </c>
      <c r="O8" s="9"/>
      <c r="P8" s="10">
        <f>SUM(D8:O8)</f>
        <v>171.8</v>
      </c>
    </row>
    <row r="9" spans="1:16" x14ac:dyDescent="0.3">
      <c r="A9" s="2" t="s">
        <v>94</v>
      </c>
      <c r="B9" s="8" t="s">
        <v>37</v>
      </c>
      <c r="C9" s="2" t="s">
        <v>4</v>
      </c>
      <c r="D9" s="9"/>
      <c r="E9" s="9"/>
      <c r="F9" s="9"/>
      <c r="G9" s="9"/>
      <c r="H9" s="9"/>
      <c r="I9" s="9"/>
      <c r="J9" s="9"/>
      <c r="K9" s="9"/>
      <c r="L9" s="9"/>
      <c r="M9" s="9"/>
      <c r="N9" s="9">
        <v>651</v>
      </c>
      <c r="O9" s="9"/>
      <c r="P9" s="10">
        <f>SUM(D9:O9)</f>
        <v>651</v>
      </c>
    </row>
    <row r="10" spans="1:16" x14ac:dyDescent="0.3">
      <c r="A10" s="2" t="s">
        <v>94</v>
      </c>
      <c r="B10" s="8" t="s">
        <v>38</v>
      </c>
      <c r="C10" s="2" t="s">
        <v>4</v>
      </c>
      <c r="D10" s="9"/>
      <c r="E10" s="9"/>
      <c r="F10" s="9"/>
      <c r="G10" s="9"/>
      <c r="H10" s="9"/>
      <c r="I10" s="9"/>
      <c r="J10" s="9"/>
      <c r="K10" s="9"/>
      <c r="L10" s="9"/>
      <c r="M10" s="9"/>
      <c r="N10" s="9">
        <v>2335.6999999999998</v>
      </c>
      <c r="O10" s="9"/>
      <c r="P10" s="10">
        <f>SUM(D10:O10)</f>
        <v>2335.6999999999998</v>
      </c>
    </row>
    <row r="11" spans="1:16" x14ac:dyDescent="0.3">
      <c r="A11" s="2" t="s">
        <v>94</v>
      </c>
      <c r="B11" s="7"/>
      <c r="C11" s="2" t="s">
        <v>4</v>
      </c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</row>
    <row r="12" spans="1:16" x14ac:dyDescent="0.3">
      <c r="A12" s="2" t="s">
        <v>94</v>
      </c>
      <c r="B12" s="8" t="s">
        <v>39</v>
      </c>
      <c r="C12" s="2" t="s">
        <v>4</v>
      </c>
      <c r="D12" s="9"/>
      <c r="E12" s="9"/>
      <c r="F12" s="9"/>
      <c r="G12" s="9"/>
      <c r="H12" s="9"/>
      <c r="I12" s="9"/>
      <c r="J12" s="9"/>
      <c r="K12" s="9"/>
      <c r="L12" s="9"/>
      <c r="M12" s="9"/>
      <c r="N12" s="9">
        <v>418.8</v>
      </c>
      <c r="O12" s="9"/>
      <c r="P12" s="10">
        <f>SUM(D12:O12)</f>
        <v>418.8</v>
      </c>
    </row>
    <row r="13" spans="1:16" x14ac:dyDescent="0.3">
      <c r="A13" s="2" t="s">
        <v>94</v>
      </c>
      <c r="B13" s="8" t="s">
        <v>91</v>
      </c>
      <c r="C13" s="2" t="s">
        <v>4</v>
      </c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10">
        <f>SUM(D13:O13)</f>
        <v>0</v>
      </c>
    </row>
    <row r="14" spans="1:16" x14ac:dyDescent="0.3">
      <c r="A14" s="2" t="s">
        <v>94</v>
      </c>
      <c r="B14" s="8" t="s">
        <v>41</v>
      </c>
      <c r="C14" s="2" t="s">
        <v>4</v>
      </c>
      <c r="D14" s="9"/>
      <c r="E14" s="9"/>
      <c r="F14" s="9"/>
      <c r="G14" s="9"/>
      <c r="H14" s="9"/>
      <c r="I14" s="9"/>
      <c r="J14" s="9"/>
      <c r="K14" s="9"/>
      <c r="L14" s="9"/>
      <c r="M14" s="9"/>
      <c r="N14" s="9">
        <v>1871.5</v>
      </c>
      <c r="O14" s="9"/>
      <c r="P14" s="10">
        <f>SUM(D14:O14)</f>
        <v>1871.5</v>
      </c>
    </row>
    <row r="15" spans="1:16" x14ac:dyDescent="0.3">
      <c r="A15" s="2" t="s">
        <v>94</v>
      </c>
      <c r="B15" s="8" t="s">
        <v>42</v>
      </c>
      <c r="C15" s="2" t="s">
        <v>4</v>
      </c>
      <c r="D15" s="9"/>
      <c r="E15" s="9"/>
      <c r="F15" s="9"/>
      <c r="G15" s="9"/>
      <c r="H15" s="9"/>
      <c r="I15" s="9"/>
      <c r="J15" s="9"/>
      <c r="K15" s="9"/>
      <c r="L15" s="9"/>
      <c r="M15" s="9"/>
      <c r="N15" s="9">
        <v>723.2</v>
      </c>
      <c r="O15" s="9"/>
      <c r="P15" s="10">
        <f>SUM(D15:O15)</f>
        <v>723.2</v>
      </c>
    </row>
    <row r="16" spans="1:16" x14ac:dyDescent="0.3">
      <c r="A16" s="2" t="s">
        <v>94</v>
      </c>
      <c r="B16" s="7"/>
      <c r="C16" s="2" t="s">
        <v>4</v>
      </c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</row>
    <row r="17" spans="1:16" x14ac:dyDescent="0.3">
      <c r="A17" s="2" t="s">
        <v>94</v>
      </c>
      <c r="B17" s="8" t="s">
        <v>43</v>
      </c>
      <c r="C17" s="2" t="s">
        <v>4</v>
      </c>
      <c r="D17" s="9"/>
      <c r="E17" s="9"/>
      <c r="F17" s="9"/>
      <c r="G17" s="9"/>
      <c r="H17" s="9"/>
      <c r="I17" s="9"/>
      <c r="J17" s="9"/>
      <c r="K17" s="9"/>
      <c r="L17" s="9"/>
      <c r="M17" s="9"/>
      <c r="N17" s="9">
        <v>145</v>
      </c>
      <c r="O17" s="9"/>
      <c r="P17" s="10">
        <f t="shared" ref="P17:P24" si="0">SUM(D17:O17)</f>
        <v>145</v>
      </c>
    </row>
    <row r="18" spans="1:16" x14ac:dyDescent="0.3">
      <c r="A18" s="2" t="s">
        <v>94</v>
      </c>
      <c r="B18" s="3" t="s">
        <v>44</v>
      </c>
      <c r="C18" s="2" t="s">
        <v>4</v>
      </c>
      <c r="D18" s="5"/>
      <c r="E18" s="5"/>
      <c r="F18" s="5"/>
      <c r="G18" s="5"/>
      <c r="H18" s="5"/>
      <c r="I18" s="5"/>
      <c r="J18" s="5"/>
      <c r="K18" s="5"/>
      <c r="L18" s="5"/>
      <c r="M18" s="5"/>
      <c r="N18" s="5">
        <v>4.8116807698689229E-2</v>
      </c>
      <c r="O18" s="5"/>
      <c r="P18" s="5">
        <f t="shared" si="0"/>
        <v>4.8116807698689229E-2</v>
      </c>
    </row>
    <row r="19" spans="1:16" x14ac:dyDescent="0.3">
      <c r="A19" s="2" t="s">
        <v>94</v>
      </c>
      <c r="B19" s="3" t="s">
        <v>45</v>
      </c>
      <c r="C19" s="2" t="s">
        <v>4</v>
      </c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>
        <v>17.562634810021571</v>
      </c>
      <c r="O19" s="10"/>
      <c r="P19" s="10">
        <f t="shared" si="0"/>
        <v>17.562634810021571</v>
      </c>
    </row>
    <row r="20" spans="1:16" x14ac:dyDescent="0.3">
      <c r="A20" s="2" t="s">
        <v>94</v>
      </c>
      <c r="B20" s="11" t="s">
        <v>47</v>
      </c>
      <c r="C20" s="2" t="s">
        <v>4</v>
      </c>
      <c r="D20" s="9"/>
      <c r="E20" s="9"/>
      <c r="F20" s="9"/>
      <c r="G20" s="9"/>
      <c r="H20" s="9"/>
      <c r="I20" s="9"/>
      <c r="J20" s="9"/>
      <c r="K20" s="9"/>
      <c r="L20" s="9"/>
      <c r="M20" s="9"/>
      <c r="N20" s="9">
        <v>-2.2737367544323211E-13</v>
      </c>
      <c r="O20" s="9"/>
      <c r="P20" s="10">
        <f t="shared" si="0"/>
        <v>-2.2737367544323211E-13</v>
      </c>
    </row>
    <row r="21" spans="1:16" x14ac:dyDescent="0.3">
      <c r="A21" s="2" t="s">
        <v>94</v>
      </c>
      <c r="B21" s="3" t="s">
        <v>28</v>
      </c>
      <c r="C21" s="2" t="s">
        <v>5</v>
      </c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>
        <f t="shared" si="0"/>
        <v>0</v>
      </c>
    </row>
    <row r="22" spans="1:16" x14ac:dyDescent="0.3">
      <c r="A22" s="2" t="s">
        <v>94</v>
      </c>
      <c r="B22" s="3" t="s">
        <v>30</v>
      </c>
      <c r="C22" s="2" t="s">
        <v>5</v>
      </c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>
        <f t="shared" si="0"/>
        <v>0</v>
      </c>
    </row>
    <row r="23" spans="1:16" x14ac:dyDescent="0.3">
      <c r="A23" s="2" t="s">
        <v>94</v>
      </c>
      <c r="B23" s="3" t="s">
        <v>31</v>
      </c>
      <c r="C23" s="2" t="s">
        <v>5</v>
      </c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>
        <f t="shared" si="0"/>
        <v>0</v>
      </c>
    </row>
    <row r="24" spans="1:16" x14ac:dyDescent="0.3">
      <c r="A24" s="2" t="s">
        <v>94</v>
      </c>
      <c r="B24" s="3" t="s">
        <v>33</v>
      </c>
      <c r="C24" s="2" t="s">
        <v>5</v>
      </c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>
        <f t="shared" si="0"/>
        <v>0</v>
      </c>
    </row>
    <row r="25" spans="1:16" x14ac:dyDescent="0.3">
      <c r="A25" s="2" t="s">
        <v>94</v>
      </c>
      <c r="B25" s="7"/>
      <c r="C25" s="2" t="s">
        <v>5</v>
      </c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</row>
    <row r="26" spans="1:16" x14ac:dyDescent="0.3">
      <c r="A26" s="2" t="s">
        <v>94</v>
      </c>
      <c r="B26" s="8" t="s">
        <v>35</v>
      </c>
      <c r="C26" s="2" t="s">
        <v>5</v>
      </c>
      <c r="D26" s="9"/>
      <c r="E26" s="9"/>
      <c r="F26" s="9"/>
      <c r="G26" s="9"/>
      <c r="H26" s="9"/>
      <c r="I26" s="9"/>
      <c r="J26" s="9"/>
      <c r="K26" s="9"/>
      <c r="L26" s="9"/>
      <c r="M26" s="9"/>
      <c r="N26" s="9">
        <v>145</v>
      </c>
      <c r="O26" s="9"/>
      <c r="P26" s="10">
        <f>SUM(D26:O26)</f>
        <v>145</v>
      </c>
    </row>
    <row r="27" spans="1:16" x14ac:dyDescent="0.3">
      <c r="A27" s="2" t="s">
        <v>94</v>
      </c>
      <c r="B27" s="8" t="s">
        <v>37</v>
      </c>
      <c r="C27" s="2" t="s">
        <v>5</v>
      </c>
      <c r="D27" s="9"/>
      <c r="E27" s="9"/>
      <c r="F27" s="9"/>
      <c r="G27" s="9"/>
      <c r="H27" s="9"/>
      <c r="I27" s="9"/>
      <c r="J27" s="9"/>
      <c r="K27" s="9"/>
      <c r="L27" s="9"/>
      <c r="M27" s="9"/>
      <c r="N27" s="9">
        <v>586.70000000000005</v>
      </c>
      <c r="O27" s="9"/>
      <c r="P27" s="10">
        <f>SUM(D27:O27)</f>
        <v>586.70000000000005</v>
      </c>
    </row>
    <row r="28" spans="1:16" x14ac:dyDescent="0.3">
      <c r="A28" s="2" t="s">
        <v>94</v>
      </c>
      <c r="B28" s="8" t="s">
        <v>38</v>
      </c>
      <c r="C28" s="2" t="s">
        <v>5</v>
      </c>
      <c r="D28" s="9"/>
      <c r="E28" s="9"/>
      <c r="F28" s="9"/>
      <c r="G28" s="9"/>
      <c r="H28" s="9"/>
      <c r="I28" s="9"/>
      <c r="J28" s="9"/>
      <c r="K28" s="9"/>
      <c r="L28" s="9"/>
      <c r="M28" s="9"/>
      <c r="N28" s="9">
        <v>2273.3000000000002</v>
      </c>
      <c r="O28" s="9"/>
      <c r="P28" s="10">
        <f>SUM(D28:O28)</f>
        <v>2273.3000000000002</v>
      </c>
    </row>
    <row r="29" spans="1:16" x14ac:dyDescent="0.3">
      <c r="A29" s="2" t="s">
        <v>94</v>
      </c>
      <c r="B29" s="7"/>
      <c r="C29" s="2" t="s">
        <v>5</v>
      </c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</row>
    <row r="30" spans="1:16" x14ac:dyDescent="0.3">
      <c r="A30" s="2" t="s">
        <v>94</v>
      </c>
      <c r="B30" s="8" t="s">
        <v>39</v>
      </c>
      <c r="C30" s="2" t="s">
        <v>5</v>
      </c>
      <c r="D30" s="9"/>
      <c r="E30" s="9"/>
      <c r="F30" s="9"/>
      <c r="G30" s="9"/>
      <c r="H30" s="9"/>
      <c r="I30" s="9"/>
      <c r="J30" s="9"/>
      <c r="K30" s="9"/>
      <c r="L30" s="9"/>
      <c r="M30" s="9"/>
      <c r="N30" s="9">
        <v>324.10000000000002</v>
      </c>
      <c r="O30" s="9"/>
      <c r="P30" s="10">
        <f>SUM(D30:O30)</f>
        <v>324.10000000000002</v>
      </c>
    </row>
    <row r="31" spans="1:16" x14ac:dyDescent="0.3">
      <c r="A31" s="2" t="s">
        <v>94</v>
      </c>
      <c r="B31" s="8" t="s">
        <v>91</v>
      </c>
      <c r="C31" s="2" t="s">
        <v>5</v>
      </c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10">
        <f>SUM(D31:O31)</f>
        <v>0</v>
      </c>
    </row>
    <row r="32" spans="1:16" x14ac:dyDescent="0.3">
      <c r="A32" s="2" t="s">
        <v>94</v>
      </c>
      <c r="B32" s="8" t="s">
        <v>41</v>
      </c>
      <c r="C32" s="2" t="s">
        <v>5</v>
      </c>
      <c r="D32" s="9"/>
      <c r="E32" s="9"/>
      <c r="F32" s="9"/>
      <c r="G32" s="9"/>
      <c r="H32" s="9"/>
      <c r="I32" s="9"/>
      <c r="J32" s="9"/>
      <c r="K32" s="9"/>
      <c r="L32" s="9"/>
      <c r="M32" s="9"/>
      <c r="N32" s="9">
        <v>1627.3</v>
      </c>
      <c r="O32" s="9"/>
      <c r="P32" s="10">
        <f>SUM(D32:O32)</f>
        <v>1627.3</v>
      </c>
    </row>
    <row r="33" spans="1:16" x14ac:dyDescent="0.3">
      <c r="A33" s="2" t="s">
        <v>94</v>
      </c>
      <c r="B33" s="8" t="s">
        <v>42</v>
      </c>
      <c r="C33" s="2" t="s">
        <v>5</v>
      </c>
      <c r="D33" s="9"/>
      <c r="E33" s="9"/>
      <c r="F33" s="9"/>
      <c r="G33" s="9"/>
      <c r="H33" s="9"/>
      <c r="I33" s="9"/>
      <c r="J33" s="9"/>
      <c r="K33" s="9"/>
      <c r="L33" s="9"/>
      <c r="M33" s="9"/>
      <c r="N33" s="9">
        <v>913.6</v>
      </c>
      <c r="O33" s="9"/>
      <c r="P33" s="10">
        <f>SUM(D33:O33)</f>
        <v>913.6</v>
      </c>
    </row>
    <row r="34" spans="1:16" x14ac:dyDescent="0.3">
      <c r="A34" s="2" t="s">
        <v>94</v>
      </c>
      <c r="B34" s="7"/>
      <c r="C34" s="2" t="s">
        <v>5</v>
      </c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</row>
    <row r="35" spans="1:16" x14ac:dyDescent="0.3">
      <c r="A35" s="2" t="s">
        <v>94</v>
      </c>
      <c r="B35" s="8" t="s">
        <v>43</v>
      </c>
      <c r="C35" s="2" t="s">
        <v>5</v>
      </c>
      <c r="D35" s="9"/>
      <c r="E35" s="9"/>
      <c r="F35" s="9"/>
      <c r="G35" s="9"/>
      <c r="H35" s="9"/>
      <c r="I35" s="9"/>
      <c r="J35" s="9"/>
      <c r="K35" s="9"/>
      <c r="L35" s="9"/>
      <c r="M35" s="9"/>
      <c r="N35" s="9">
        <v>140</v>
      </c>
      <c r="O35" s="9"/>
      <c r="P35" s="10">
        <f t="shared" ref="P35:P42" si="1">SUM(D35:O35)</f>
        <v>140</v>
      </c>
    </row>
    <row r="36" spans="1:16" x14ac:dyDescent="0.3">
      <c r="A36" s="2" t="s">
        <v>94</v>
      </c>
      <c r="B36" s="3" t="s">
        <v>44</v>
      </c>
      <c r="C36" s="2" t="s">
        <v>5</v>
      </c>
      <c r="D36" s="5"/>
      <c r="E36" s="5"/>
      <c r="F36" s="5"/>
      <c r="G36" s="5"/>
      <c r="H36" s="5"/>
      <c r="I36" s="5"/>
      <c r="J36" s="5"/>
      <c r="K36" s="5"/>
      <c r="L36" s="5"/>
      <c r="M36" s="5"/>
      <c r="N36" s="5">
        <v>4.8865619546247817E-2</v>
      </c>
      <c r="O36" s="5"/>
      <c r="P36" s="5">
        <f t="shared" si="1"/>
        <v>4.8865619546247817E-2</v>
      </c>
    </row>
    <row r="37" spans="1:16" x14ac:dyDescent="0.3">
      <c r="A37" s="2" t="s">
        <v>94</v>
      </c>
      <c r="B37" s="3" t="s">
        <v>45</v>
      </c>
      <c r="C37" s="2" t="s">
        <v>5</v>
      </c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>
        <v>17.835951134380451</v>
      </c>
      <c r="O37" s="10"/>
      <c r="P37" s="10">
        <f t="shared" si="1"/>
        <v>17.835951134380451</v>
      </c>
    </row>
    <row r="38" spans="1:16" x14ac:dyDescent="0.3">
      <c r="A38" s="2" t="s">
        <v>94</v>
      </c>
      <c r="B38" s="11" t="s">
        <v>47</v>
      </c>
      <c r="C38" s="2" t="s">
        <v>5</v>
      </c>
      <c r="D38" s="9"/>
      <c r="E38" s="9"/>
      <c r="F38" s="9"/>
      <c r="G38" s="9"/>
      <c r="H38" s="9"/>
      <c r="I38" s="9"/>
      <c r="J38" s="9"/>
      <c r="K38" s="9"/>
      <c r="L38" s="9"/>
      <c r="M38" s="9"/>
      <c r="N38" s="9">
        <v>1.13686837721616E-13</v>
      </c>
      <c r="O38" s="9"/>
      <c r="P38" s="10">
        <f t="shared" si="1"/>
        <v>1.13686837721616E-13</v>
      </c>
    </row>
    <row r="39" spans="1:16" x14ac:dyDescent="0.3">
      <c r="A39" s="2" t="s">
        <v>94</v>
      </c>
      <c r="B39" s="3" t="s">
        <v>28</v>
      </c>
      <c r="C39" s="2" t="s">
        <v>6</v>
      </c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>
        <f t="shared" si="1"/>
        <v>0</v>
      </c>
    </row>
    <row r="40" spans="1:16" x14ac:dyDescent="0.3">
      <c r="A40" s="2" t="s">
        <v>94</v>
      </c>
      <c r="B40" s="3" t="s">
        <v>30</v>
      </c>
      <c r="C40" s="2" t="s">
        <v>6</v>
      </c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>
        <f t="shared" si="1"/>
        <v>0</v>
      </c>
    </row>
    <row r="41" spans="1:16" x14ac:dyDescent="0.3">
      <c r="A41" s="2" t="s">
        <v>94</v>
      </c>
      <c r="B41" s="3" t="s">
        <v>31</v>
      </c>
      <c r="C41" s="2" t="s">
        <v>6</v>
      </c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>
        <f t="shared" si="1"/>
        <v>0</v>
      </c>
    </row>
    <row r="42" spans="1:16" x14ac:dyDescent="0.3">
      <c r="A42" s="2" t="s">
        <v>94</v>
      </c>
      <c r="B42" s="3" t="s">
        <v>33</v>
      </c>
      <c r="C42" s="2" t="s">
        <v>6</v>
      </c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>
        <f t="shared" si="1"/>
        <v>0</v>
      </c>
    </row>
    <row r="43" spans="1:16" x14ac:dyDescent="0.3">
      <c r="A43" s="2" t="s">
        <v>94</v>
      </c>
      <c r="B43" s="7"/>
      <c r="C43" s="2" t="s">
        <v>6</v>
      </c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</row>
    <row r="44" spans="1:16" x14ac:dyDescent="0.3">
      <c r="A44" s="2" t="s">
        <v>94</v>
      </c>
      <c r="B44" s="8" t="s">
        <v>35</v>
      </c>
      <c r="C44" s="2" t="s">
        <v>6</v>
      </c>
      <c r="D44" s="9"/>
      <c r="E44" s="9"/>
      <c r="F44" s="9"/>
      <c r="G44" s="9"/>
      <c r="H44" s="9"/>
      <c r="I44" s="9"/>
      <c r="J44" s="9"/>
      <c r="K44" s="9"/>
      <c r="L44" s="9"/>
      <c r="M44" s="9"/>
      <c r="N44" s="9">
        <v>140</v>
      </c>
      <c r="O44" s="9"/>
      <c r="P44" s="10">
        <f>SUM(D44:O44)</f>
        <v>140</v>
      </c>
    </row>
    <row r="45" spans="1:16" x14ac:dyDescent="0.3">
      <c r="A45" s="2" t="s">
        <v>94</v>
      </c>
      <c r="B45" s="8" t="s">
        <v>37</v>
      </c>
      <c r="C45" s="2" t="s">
        <v>6</v>
      </c>
      <c r="D45" s="9"/>
      <c r="E45" s="9"/>
      <c r="F45" s="9"/>
      <c r="G45" s="9"/>
      <c r="H45" s="9"/>
      <c r="I45" s="9"/>
      <c r="J45" s="9"/>
      <c r="K45" s="9"/>
      <c r="L45" s="9"/>
      <c r="M45" s="9"/>
      <c r="N45" s="9">
        <v>393.4</v>
      </c>
      <c r="O45" s="9"/>
      <c r="P45" s="10">
        <f>SUM(D45:O45)</f>
        <v>393.4</v>
      </c>
    </row>
    <row r="46" spans="1:16" x14ac:dyDescent="0.3">
      <c r="A46" s="2" t="s">
        <v>94</v>
      </c>
      <c r="B46" s="8" t="s">
        <v>38</v>
      </c>
      <c r="C46" s="2" t="s">
        <v>6</v>
      </c>
      <c r="D46" s="9"/>
      <c r="E46" s="9"/>
      <c r="F46" s="9"/>
      <c r="G46" s="9"/>
      <c r="H46" s="9"/>
      <c r="I46" s="9"/>
      <c r="J46" s="9"/>
      <c r="K46" s="9"/>
      <c r="L46" s="9"/>
      <c r="M46" s="9"/>
      <c r="N46" s="9">
        <v>3043.9</v>
      </c>
      <c r="O46" s="9"/>
      <c r="P46" s="10">
        <f>SUM(D46:O46)</f>
        <v>3043.9</v>
      </c>
    </row>
    <row r="47" spans="1:16" x14ac:dyDescent="0.3">
      <c r="A47" s="2" t="s">
        <v>94</v>
      </c>
      <c r="B47" s="7"/>
      <c r="C47" s="2" t="s">
        <v>6</v>
      </c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</row>
    <row r="48" spans="1:16" x14ac:dyDescent="0.3">
      <c r="A48" s="2" t="s">
        <v>94</v>
      </c>
      <c r="B48" s="8" t="s">
        <v>39</v>
      </c>
      <c r="C48" s="2" t="s">
        <v>6</v>
      </c>
      <c r="D48" s="9"/>
      <c r="E48" s="9"/>
      <c r="F48" s="9"/>
      <c r="G48" s="9"/>
      <c r="H48" s="9"/>
      <c r="I48" s="9"/>
      <c r="J48" s="9"/>
      <c r="K48" s="9"/>
      <c r="L48" s="9"/>
      <c r="M48" s="9"/>
      <c r="N48" s="9">
        <v>453.2</v>
      </c>
      <c r="O48" s="9"/>
      <c r="P48" s="10">
        <f>SUM(D48:O48)</f>
        <v>453.2</v>
      </c>
    </row>
    <row r="49" spans="1:16" x14ac:dyDescent="0.3">
      <c r="A49" s="2" t="s">
        <v>94</v>
      </c>
      <c r="B49" s="8" t="s">
        <v>91</v>
      </c>
      <c r="C49" s="2" t="s">
        <v>6</v>
      </c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10">
        <f>SUM(D49:O49)</f>
        <v>0</v>
      </c>
    </row>
    <row r="50" spans="1:16" x14ac:dyDescent="0.3">
      <c r="A50" s="2" t="s">
        <v>94</v>
      </c>
      <c r="B50" s="8" t="s">
        <v>41</v>
      </c>
      <c r="C50" s="2" t="s">
        <v>6</v>
      </c>
      <c r="D50" s="9"/>
      <c r="E50" s="9"/>
      <c r="F50" s="9"/>
      <c r="G50" s="9"/>
      <c r="H50" s="9"/>
      <c r="I50" s="9"/>
      <c r="J50" s="9"/>
      <c r="K50" s="9"/>
      <c r="L50" s="9"/>
      <c r="M50" s="9"/>
      <c r="N50" s="9">
        <v>1732.2</v>
      </c>
      <c r="O50" s="9"/>
      <c r="P50" s="10">
        <f>SUM(D50:O50)</f>
        <v>1732.2</v>
      </c>
    </row>
    <row r="51" spans="1:16" x14ac:dyDescent="0.3">
      <c r="A51" s="2" t="s">
        <v>94</v>
      </c>
      <c r="B51" s="8" t="s">
        <v>42</v>
      </c>
      <c r="C51" s="2" t="s">
        <v>6</v>
      </c>
      <c r="D51" s="9"/>
      <c r="E51" s="9"/>
      <c r="F51" s="9"/>
      <c r="G51" s="9"/>
      <c r="H51" s="9"/>
      <c r="I51" s="9"/>
      <c r="J51" s="9"/>
      <c r="K51" s="9"/>
      <c r="L51" s="9"/>
      <c r="M51" s="9"/>
      <c r="N51" s="9">
        <v>1121.9000000000001</v>
      </c>
      <c r="O51" s="9"/>
      <c r="P51" s="10">
        <f>SUM(D51:O51)</f>
        <v>1121.9000000000001</v>
      </c>
    </row>
    <row r="52" spans="1:16" x14ac:dyDescent="0.3">
      <c r="A52" s="2" t="s">
        <v>94</v>
      </c>
      <c r="B52" s="7"/>
      <c r="C52" s="2" t="s">
        <v>6</v>
      </c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</row>
    <row r="53" spans="1:16" x14ac:dyDescent="0.3">
      <c r="A53" s="2" t="s">
        <v>94</v>
      </c>
      <c r="B53" s="8" t="s">
        <v>43</v>
      </c>
      <c r="C53" s="2" t="s">
        <v>6</v>
      </c>
      <c r="D53" s="9"/>
      <c r="E53" s="9"/>
      <c r="F53" s="9"/>
      <c r="G53" s="9"/>
      <c r="H53" s="9"/>
      <c r="I53" s="9"/>
      <c r="J53" s="9"/>
      <c r="K53" s="9"/>
      <c r="L53" s="9"/>
      <c r="M53" s="9"/>
      <c r="N53" s="9">
        <v>270</v>
      </c>
      <c r="O53" s="9"/>
      <c r="P53" s="10">
        <f t="shared" ref="P53:P60" si="2">SUM(D53:O53)</f>
        <v>270</v>
      </c>
    </row>
    <row r="54" spans="1:16" x14ac:dyDescent="0.3">
      <c r="A54" s="2" t="s">
        <v>94</v>
      </c>
      <c r="B54" s="3" t="s">
        <v>44</v>
      </c>
      <c r="C54" s="2" t="s">
        <v>6</v>
      </c>
      <c r="D54" s="5"/>
      <c r="E54" s="5"/>
      <c r="F54" s="5"/>
      <c r="G54" s="5"/>
      <c r="H54" s="5"/>
      <c r="I54" s="5"/>
      <c r="J54" s="5"/>
      <c r="K54" s="5"/>
      <c r="L54" s="5"/>
      <c r="M54" s="5"/>
      <c r="N54" s="5">
        <v>8.1637589574577452E-2</v>
      </c>
      <c r="O54" s="5"/>
      <c r="P54" s="5">
        <f t="shared" si="2"/>
        <v>8.1637589574577452E-2</v>
      </c>
    </row>
    <row r="55" spans="1:16" x14ac:dyDescent="0.3">
      <c r="A55" s="2" t="s">
        <v>94</v>
      </c>
      <c r="B55" s="3" t="s">
        <v>45</v>
      </c>
      <c r="C55" s="2" t="s">
        <v>6</v>
      </c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>
        <v>29.797720194720771</v>
      </c>
      <c r="O55" s="10"/>
      <c r="P55" s="10">
        <f t="shared" si="2"/>
        <v>29.797720194720771</v>
      </c>
    </row>
    <row r="56" spans="1:16" x14ac:dyDescent="0.3">
      <c r="A56" s="2" t="s">
        <v>94</v>
      </c>
      <c r="B56" s="11" t="s">
        <v>47</v>
      </c>
      <c r="C56" s="2" t="s">
        <v>6</v>
      </c>
      <c r="D56" s="9"/>
      <c r="E56" s="9"/>
      <c r="F56" s="9"/>
      <c r="G56" s="9"/>
      <c r="H56" s="9"/>
      <c r="I56" s="9"/>
      <c r="J56" s="9"/>
      <c r="K56" s="9"/>
      <c r="L56" s="9"/>
      <c r="M56" s="9"/>
      <c r="N56" s="9">
        <v>2.2737367544323211E-13</v>
      </c>
      <c r="O56" s="9"/>
      <c r="P56" s="10">
        <f t="shared" si="2"/>
        <v>2.2737367544323211E-13</v>
      </c>
    </row>
    <row r="57" spans="1:16" x14ac:dyDescent="0.3">
      <c r="A57" s="2" t="s">
        <v>94</v>
      </c>
      <c r="B57" s="3" t="s">
        <v>28</v>
      </c>
      <c r="C57" s="2" t="s">
        <v>7</v>
      </c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>
        <f t="shared" si="2"/>
        <v>0</v>
      </c>
    </row>
    <row r="58" spans="1:16" x14ac:dyDescent="0.3">
      <c r="A58" s="2" t="s">
        <v>94</v>
      </c>
      <c r="B58" s="3" t="s">
        <v>30</v>
      </c>
      <c r="C58" s="2" t="s">
        <v>7</v>
      </c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>
        <f t="shared" si="2"/>
        <v>0</v>
      </c>
    </row>
    <row r="59" spans="1:16" x14ac:dyDescent="0.3">
      <c r="A59" s="2" t="s">
        <v>94</v>
      </c>
      <c r="B59" s="3" t="s">
        <v>31</v>
      </c>
      <c r="C59" s="2" t="s">
        <v>7</v>
      </c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>
        <f t="shared" si="2"/>
        <v>0</v>
      </c>
    </row>
    <row r="60" spans="1:16" x14ac:dyDescent="0.3">
      <c r="A60" s="2" t="s">
        <v>94</v>
      </c>
      <c r="B60" s="3" t="s">
        <v>33</v>
      </c>
      <c r="C60" s="2" t="s">
        <v>7</v>
      </c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>
        <f t="shared" si="2"/>
        <v>0</v>
      </c>
    </row>
    <row r="61" spans="1:16" x14ac:dyDescent="0.3">
      <c r="A61" s="2" t="s">
        <v>94</v>
      </c>
      <c r="B61" s="7"/>
      <c r="C61" s="2" t="s">
        <v>7</v>
      </c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</row>
    <row r="62" spans="1:16" x14ac:dyDescent="0.3">
      <c r="A62" s="2" t="s">
        <v>94</v>
      </c>
      <c r="B62" s="8" t="s">
        <v>35</v>
      </c>
      <c r="C62" s="2" t="s">
        <v>7</v>
      </c>
      <c r="D62" s="9"/>
      <c r="E62" s="9"/>
      <c r="F62" s="9"/>
      <c r="G62" s="9"/>
      <c r="H62" s="9"/>
      <c r="I62" s="9"/>
      <c r="J62" s="9"/>
      <c r="K62" s="9"/>
      <c r="L62" s="9"/>
      <c r="M62" s="9"/>
      <c r="N62" s="9">
        <v>270</v>
      </c>
      <c r="O62" s="9"/>
      <c r="P62" s="10">
        <f>SUM(D62:O62)</f>
        <v>270</v>
      </c>
    </row>
    <row r="63" spans="1:16" x14ac:dyDescent="0.3">
      <c r="A63" s="2" t="s">
        <v>94</v>
      </c>
      <c r="B63" s="8" t="s">
        <v>37</v>
      </c>
      <c r="C63" s="2" t="s">
        <v>7</v>
      </c>
      <c r="D63" s="9"/>
      <c r="E63" s="9"/>
      <c r="F63" s="9"/>
      <c r="G63" s="9"/>
      <c r="H63" s="9"/>
      <c r="I63" s="9"/>
      <c r="J63" s="9"/>
      <c r="K63" s="9"/>
      <c r="L63" s="9"/>
      <c r="M63" s="9"/>
      <c r="N63" s="9">
        <v>339.2</v>
      </c>
      <c r="O63" s="9"/>
      <c r="P63" s="10">
        <f>SUM(D63:O63)</f>
        <v>339.2</v>
      </c>
    </row>
    <row r="64" spans="1:16" x14ac:dyDescent="0.3">
      <c r="A64" s="2" t="s">
        <v>94</v>
      </c>
      <c r="B64" s="8" t="s">
        <v>38</v>
      </c>
      <c r="C64" s="2" t="s">
        <v>7</v>
      </c>
      <c r="D64" s="9"/>
      <c r="E64" s="9"/>
      <c r="F64" s="9"/>
      <c r="G64" s="9"/>
      <c r="H64" s="9"/>
      <c r="I64" s="9"/>
      <c r="J64" s="9"/>
      <c r="K64" s="9"/>
      <c r="L64" s="9"/>
      <c r="M64" s="9"/>
      <c r="N64" s="9">
        <v>3155.6</v>
      </c>
      <c r="O64" s="9"/>
      <c r="P64" s="10">
        <f>SUM(D64:O64)</f>
        <v>3155.6</v>
      </c>
    </row>
    <row r="65" spans="1:16" x14ac:dyDescent="0.3">
      <c r="A65" s="2" t="s">
        <v>94</v>
      </c>
      <c r="B65" s="7"/>
      <c r="C65" s="2" t="s">
        <v>7</v>
      </c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</row>
    <row r="66" spans="1:16" x14ac:dyDescent="0.3">
      <c r="A66" s="2" t="s">
        <v>94</v>
      </c>
      <c r="B66" s="8" t="s">
        <v>39</v>
      </c>
      <c r="C66" s="2" t="s">
        <v>7</v>
      </c>
      <c r="D66" s="9"/>
      <c r="E66" s="9"/>
      <c r="F66" s="9"/>
      <c r="G66" s="9"/>
      <c r="H66" s="9"/>
      <c r="I66" s="9"/>
      <c r="J66" s="9"/>
      <c r="K66" s="9"/>
      <c r="L66" s="9"/>
      <c r="M66" s="9"/>
      <c r="N66" s="9">
        <v>334.4</v>
      </c>
      <c r="O66" s="9"/>
      <c r="P66" s="10">
        <f>SUM(D66:O66)</f>
        <v>334.4</v>
      </c>
    </row>
    <row r="67" spans="1:16" x14ac:dyDescent="0.3">
      <c r="A67" s="2" t="s">
        <v>94</v>
      </c>
      <c r="B67" s="8" t="s">
        <v>91</v>
      </c>
      <c r="C67" s="2" t="s">
        <v>7</v>
      </c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10">
        <f>SUM(D67:O67)</f>
        <v>0</v>
      </c>
    </row>
    <row r="68" spans="1:16" x14ac:dyDescent="0.3">
      <c r="A68" s="2" t="s">
        <v>94</v>
      </c>
      <c r="B68" s="8" t="s">
        <v>41</v>
      </c>
      <c r="C68" s="2" t="s">
        <v>7</v>
      </c>
      <c r="D68" s="9"/>
      <c r="E68" s="9"/>
      <c r="F68" s="9"/>
      <c r="G68" s="9"/>
      <c r="H68" s="9"/>
      <c r="I68" s="9"/>
      <c r="J68" s="9"/>
      <c r="K68" s="9"/>
      <c r="L68" s="9"/>
      <c r="M68" s="9"/>
      <c r="N68" s="9">
        <v>1619.2</v>
      </c>
      <c r="O68" s="9"/>
      <c r="P68" s="10">
        <f>SUM(D68:O68)</f>
        <v>1619.2</v>
      </c>
    </row>
    <row r="69" spans="1:16" x14ac:dyDescent="0.3">
      <c r="A69" s="2" t="s">
        <v>94</v>
      </c>
      <c r="B69" s="8" t="s">
        <v>42</v>
      </c>
      <c r="C69" s="2" t="s">
        <v>7</v>
      </c>
      <c r="D69" s="9"/>
      <c r="E69" s="9"/>
      <c r="F69" s="9"/>
      <c r="G69" s="9"/>
      <c r="H69" s="9"/>
      <c r="I69" s="9"/>
      <c r="J69" s="9"/>
      <c r="K69" s="9"/>
      <c r="L69" s="9"/>
      <c r="M69" s="9"/>
      <c r="N69" s="9">
        <v>1316.2</v>
      </c>
      <c r="O69" s="9"/>
      <c r="P69" s="10">
        <f>SUM(D69:O69)</f>
        <v>1316.2</v>
      </c>
    </row>
    <row r="70" spans="1:16" x14ac:dyDescent="0.3">
      <c r="A70" s="2" t="s">
        <v>94</v>
      </c>
      <c r="B70" s="7"/>
      <c r="C70" s="2" t="s">
        <v>7</v>
      </c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</row>
    <row r="71" spans="1:16" x14ac:dyDescent="0.3">
      <c r="A71" s="2" t="s">
        <v>94</v>
      </c>
      <c r="B71" s="8" t="s">
        <v>43</v>
      </c>
      <c r="C71" s="2" t="s">
        <v>7</v>
      </c>
      <c r="D71" s="9"/>
      <c r="E71" s="9"/>
      <c r="F71" s="9"/>
      <c r="G71" s="9"/>
      <c r="H71" s="9"/>
      <c r="I71" s="9"/>
      <c r="J71" s="9"/>
      <c r="K71" s="9"/>
      <c r="L71" s="9"/>
      <c r="M71" s="9"/>
      <c r="N71" s="9">
        <v>495</v>
      </c>
      <c r="O71" s="9"/>
      <c r="P71" s="10">
        <f t="shared" ref="P71:P78" si="3">SUM(D71:O71)</f>
        <v>495</v>
      </c>
    </row>
    <row r="72" spans="1:16" x14ac:dyDescent="0.3">
      <c r="A72" s="2" t="s">
        <v>94</v>
      </c>
      <c r="B72" s="3" t="s">
        <v>44</v>
      </c>
      <c r="C72" s="2" t="s">
        <v>7</v>
      </c>
      <c r="D72" s="5"/>
      <c r="E72" s="5"/>
      <c r="F72" s="5"/>
      <c r="G72" s="5"/>
      <c r="H72" s="5"/>
      <c r="I72" s="5"/>
      <c r="J72" s="5"/>
      <c r="K72" s="5"/>
      <c r="L72" s="5"/>
      <c r="M72" s="5"/>
      <c r="N72" s="5">
        <v>0.15138540583521931</v>
      </c>
      <c r="O72" s="5"/>
      <c r="P72" s="5">
        <f t="shared" si="3"/>
        <v>0.15138540583521931</v>
      </c>
    </row>
    <row r="73" spans="1:16" x14ac:dyDescent="0.3">
      <c r="A73" s="2" t="s">
        <v>94</v>
      </c>
      <c r="B73" s="3" t="s">
        <v>45</v>
      </c>
      <c r="C73" s="2" t="s">
        <v>7</v>
      </c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>
        <v>55.25567312985504</v>
      </c>
      <c r="O73" s="10"/>
      <c r="P73" s="10">
        <f t="shared" si="3"/>
        <v>55.25567312985504</v>
      </c>
    </row>
    <row r="74" spans="1:16" x14ac:dyDescent="0.3">
      <c r="A74" s="2" t="s">
        <v>94</v>
      </c>
      <c r="B74" s="11" t="s">
        <v>47</v>
      </c>
      <c r="C74" s="2" t="s">
        <v>7</v>
      </c>
      <c r="D74" s="9"/>
      <c r="E74" s="9"/>
      <c r="F74" s="9"/>
      <c r="G74" s="9"/>
      <c r="H74" s="9"/>
      <c r="I74" s="9"/>
      <c r="J74" s="9"/>
      <c r="K74" s="9"/>
      <c r="L74" s="9"/>
      <c r="M74" s="9"/>
      <c r="N74" s="9">
        <v>-2.2737367544323211E-13</v>
      </c>
      <c r="O74" s="9"/>
      <c r="P74" s="10">
        <f t="shared" si="3"/>
        <v>-2.2737367544323211E-13</v>
      </c>
    </row>
    <row r="75" spans="1:16" x14ac:dyDescent="0.3">
      <c r="A75" s="2" t="s">
        <v>94</v>
      </c>
      <c r="B75" s="3" t="s">
        <v>28</v>
      </c>
      <c r="C75" s="2" t="s">
        <v>8</v>
      </c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>
        <f t="shared" si="3"/>
        <v>0</v>
      </c>
    </row>
    <row r="76" spans="1:16" x14ac:dyDescent="0.3">
      <c r="A76" s="2" t="s">
        <v>94</v>
      </c>
      <c r="B76" s="3" t="s">
        <v>30</v>
      </c>
      <c r="C76" s="2" t="s">
        <v>8</v>
      </c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>
        <f t="shared" si="3"/>
        <v>0</v>
      </c>
    </row>
    <row r="77" spans="1:16" x14ac:dyDescent="0.3">
      <c r="A77" s="2" t="s">
        <v>94</v>
      </c>
      <c r="B77" s="3" t="s">
        <v>31</v>
      </c>
      <c r="C77" s="2" t="s">
        <v>8</v>
      </c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>
        <f t="shared" si="3"/>
        <v>0</v>
      </c>
    </row>
    <row r="78" spans="1:16" x14ac:dyDescent="0.3">
      <c r="A78" s="2" t="s">
        <v>94</v>
      </c>
      <c r="B78" s="3" t="s">
        <v>33</v>
      </c>
      <c r="C78" s="2" t="s">
        <v>8</v>
      </c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>
        <f t="shared" si="3"/>
        <v>0</v>
      </c>
    </row>
    <row r="79" spans="1:16" x14ac:dyDescent="0.3">
      <c r="A79" s="2" t="s">
        <v>94</v>
      </c>
      <c r="B79" s="7"/>
      <c r="C79" s="2" t="s">
        <v>8</v>
      </c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</row>
    <row r="80" spans="1:16" x14ac:dyDescent="0.3">
      <c r="A80" s="2" t="s">
        <v>94</v>
      </c>
      <c r="B80" s="8" t="s">
        <v>35</v>
      </c>
      <c r="C80" s="2" t="s">
        <v>8</v>
      </c>
      <c r="D80" s="9"/>
      <c r="E80" s="9"/>
      <c r="F80" s="9"/>
      <c r="G80" s="9"/>
      <c r="H80" s="9"/>
      <c r="I80" s="9"/>
      <c r="J80" s="9"/>
      <c r="K80" s="9"/>
      <c r="L80" s="9"/>
      <c r="M80" s="9"/>
      <c r="N80" s="9">
        <v>495</v>
      </c>
      <c r="O80" s="9"/>
      <c r="P80" s="10">
        <f>SUM(D80:O80)</f>
        <v>495</v>
      </c>
    </row>
    <row r="81" spans="1:16" x14ac:dyDescent="0.3">
      <c r="A81" s="2" t="s">
        <v>94</v>
      </c>
      <c r="B81" s="8" t="s">
        <v>37</v>
      </c>
      <c r="C81" s="2" t="s">
        <v>8</v>
      </c>
      <c r="D81" s="9"/>
      <c r="E81" s="9"/>
      <c r="F81" s="9"/>
      <c r="G81" s="9"/>
      <c r="H81" s="9"/>
      <c r="I81" s="9"/>
      <c r="J81" s="9"/>
      <c r="K81" s="9"/>
      <c r="L81" s="9"/>
      <c r="M81" s="9"/>
      <c r="N81" s="9">
        <v>240.7</v>
      </c>
      <c r="O81" s="9"/>
      <c r="P81" s="10">
        <f>SUM(D81:O81)</f>
        <v>240.7</v>
      </c>
    </row>
    <row r="82" spans="1:16" x14ac:dyDescent="0.3">
      <c r="A82" s="2" t="s">
        <v>94</v>
      </c>
      <c r="B82" s="8" t="s">
        <v>38</v>
      </c>
      <c r="C82" s="2" t="s">
        <v>8</v>
      </c>
      <c r="D82" s="9"/>
      <c r="E82" s="9"/>
      <c r="F82" s="9"/>
      <c r="G82" s="9"/>
      <c r="H82" s="9"/>
      <c r="I82" s="9"/>
      <c r="J82" s="9"/>
      <c r="K82" s="9"/>
      <c r="L82" s="9"/>
      <c r="M82" s="9"/>
      <c r="N82" s="9">
        <v>3465.5</v>
      </c>
      <c r="O82" s="9"/>
      <c r="P82" s="10">
        <f>SUM(D82:O82)</f>
        <v>3465.5</v>
      </c>
    </row>
    <row r="83" spans="1:16" x14ac:dyDescent="0.3">
      <c r="A83" s="2" t="s">
        <v>94</v>
      </c>
      <c r="B83" s="7"/>
      <c r="C83" s="2" t="s">
        <v>8</v>
      </c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</row>
    <row r="84" spans="1:16" x14ac:dyDescent="0.3">
      <c r="A84" s="2" t="s">
        <v>94</v>
      </c>
      <c r="B84" s="8" t="s">
        <v>39</v>
      </c>
      <c r="C84" s="2" t="s">
        <v>8</v>
      </c>
      <c r="D84" s="9"/>
      <c r="E84" s="9"/>
      <c r="F84" s="9"/>
      <c r="G84" s="9"/>
      <c r="H84" s="9"/>
      <c r="I84" s="9"/>
      <c r="J84" s="9"/>
      <c r="K84" s="9"/>
      <c r="L84" s="9"/>
      <c r="M84" s="9"/>
      <c r="N84" s="9">
        <v>355.9</v>
      </c>
      <c r="O84" s="9"/>
      <c r="P84" s="10">
        <f>SUM(D84:O84)</f>
        <v>355.9</v>
      </c>
    </row>
    <row r="85" spans="1:16" x14ac:dyDescent="0.3">
      <c r="A85" s="2" t="s">
        <v>94</v>
      </c>
      <c r="B85" s="8" t="s">
        <v>91</v>
      </c>
      <c r="C85" s="2" t="s">
        <v>8</v>
      </c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10">
        <f>SUM(D85:O85)</f>
        <v>0</v>
      </c>
    </row>
    <row r="86" spans="1:16" x14ac:dyDescent="0.3">
      <c r="A86" s="2" t="s">
        <v>94</v>
      </c>
      <c r="B86" s="8" t="s">
        <v>41</v>
      </c>
      <c r="C86" s="2" t="s">
        <v>8</v>
      </c>
      <c r="D86" s="9"/>
      <c r="E86" s="9"/>
      <c r="F86" s="9"/>
      <c r="G86" s="9"/>
      <c r="H86" s="9"/>
      <c r="I86" s="9"/>
      <c r="J86" s="9"/>
      <c r="K86" s="9"/>
      <c r="L86" s="9"/>
      <c r="M86" s="9"/>
      <c r="N86" s="9">
        <v>1634.7</v>
      </c>
      <c r="O86" s="9"/>
      <c r="P86" s="10">
        <f>SUM(D86:O86)</f>
        <v>1634.7</v>
      </c>
    </row>
    <row r="87" spans="1:16" x14ac:dyDescent="0.3">
      <c r="A87" s="2" t="s">
        <v>94</v>
      </c>
      <c r="B87" s="8" t="s">
        <v>42</v>
      </c>
      <c r="C87" s="2" t="s">
        <v>8</v>
      </c>
      <c r="D87" s="9"/>
      <c r="E87" s="9"/>
      <c r="F87" s="9"/>
      <c r="G87" s="9"/>
      <c r="H87" s="9"/>
      <c r="I87" s="9"/>
      <c r="J87" s="9"/>
      <c r="K87" s="9"/>
      <c r="L87" s="9"/>
      <c r="M87" s="9"/>
      <c r="N87" s="9">
        <v>1740.6</v>
      </c>
      <c r="O87" s="9"/>
      <c r="P87" s="10">
        <f>SUM(D87:O87)</f>
        <v>1740.6</v>
      </c>
    </row>
    <row r="88" spans="1:16" x14ac:dyDescent="0.3">
      <c r="A88" s="2" t="s">
        <v>94</v>
      </c>
      <c r="B88" s="7"/>
      <c r="C88" s="2" t="s">
        <v>8</v>
      </c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</row>
    <row r="89" spans="1:16" x14ac:dyDescent="0.3">
      <c r="A89" s="2" t="s">
        <v>94</v>
      </c>
      <c r="B89" s="8" t="s">
        <v>43</v>
      </c>
      <c r="C89" s="2" t="s">
        <v>8</v>
      </c>
      <c r="D89" s="9"/>
      <c r="E89" s="9"/>
      <c r="F89" s="9"/>
      <c r="G89" s="9"/>
      <c r="H89" s="9"/>
      <c r="I89" s="9"/>
      <c r="J89" s="9"/>
      <c r="K89" s="9"/>
      <c r="L89" s="9"/>
      <c r="M89" s="9"/>
      <c r="N89" s="9">
        <v>470</v>
      </c>
      <c r="O89" s="9"/>
      <c r="P89" s="10">
        <f t="shared" ref="P89:P96" si="4">SUM(D89:O89)</f>
        <v>470</v>
      </c>
    </row>
    <row r="90" spans="1:16" x14ac:dyDescent="0.3">
      <c r="A90" s="2" t="s">
        <v>94</v>
      </c>
      <c r="B90" s="3" t="s">
        <v>44</v>
      </c>
      <c r="C90" s="2" t="s">
        <v>8</v>
      </c>
      <c r="D90" s="5"/>
      <c r="E90" s="5"/>
      <c r="F90" s="5"/>
      <c r="G90" s="5"/>
      <c r="H90" s="5"/>
      <c r="I90" s="5"/>
      <c r="J90" s="5"/>
      <c r="K90" s="5"/>
      <c r="L90" s="5"/>
      <c r="M90" s="5"/>
      <c r="N90" s="5">
        <v>0.12596483704974271</v>
      </c>
      <c r="O90" s="5"/>
      <c r="P90" s="5">
        <f t="shared" si="4"/>
        <v>0.12596483704974271</v>
      </c>
    </row>
    <row r="91" spans="1:16" x14ac:dyDescent="0.3">
      <c r="A91" s="2" t="s">
        <v>94</v>
      </c>
      <c r="B91" s="3" t="s">
        <v>45</v>
      </c>
      <c r="C91" s="2" t="s">
        <v>8</v>
      </c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>
        <v>45.977165523156089</v>
      </c>
      <c r="O91" s="10"/>
      <c r="P91" s="10">
        <f t="shared" si="4"/>
        <v>45.977165523156089</v>
      </c>
    </row>
    <row r="92" spans="1:16" x14ac:dyDescent="0.3">
      <c r="A92" s="2" t="s">
        <v>94</v>
      </c>
      <c r="B92" s="11" t="s">
        <v>47</v>
      </c>
      <c r="C92" s="2" t="s">
        <v>8</v>
      </c>
      <c r="D92" s="9"/>
      <c r="E92" s="9"/>
      <c r="F92" s="9"/>
      <c r="G92" s="9"/>
      <c r="H92" s="9"/>
      <c r="I92" s="9"/>
      <c r="J92" s="9"/>
      <c r="K92" s="9"/>
      <c r="L92" s="9"/>
      <c r="M92" s="9"/>
      <c r="N92" s="9">
        <v>0</v>
      </c>
      <c r="O92" s="9"/>
      <c r="P92" s="10">
        <f t="shared" si="4"/>
        <v>0</v>
      </c>
    </row>
    <row r="93" spans="1:16" x14ac:dyDescent="0.3">
      <c r="A93" s="2" t="s">
        <v>94</v>
      </c>
      <c r="B93" s="3" t="s">
        <v>28</v>
      </c>
      <c r="C93" s="2" t="s">
        <v>9</v>
      </c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>
        <f t="shared" si="4"/>
        <v>0</v>
      </c>
    </row>
    <row r="94" spans="1:16" x14ac:dyDescent="0.3">
      <c r="A94" s="2" t="s">
        <v>94</v>
      </c>
      <c r="B94" s="3" t="s">
        <v>30</v>
      </c>
      <c r="C94" s="2" t="s">
        <v>9</v>
      </c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>
        <f t="shared" si="4"/>
        <v>0</v>
      </c>
    </row>
    <row r="95" spans="1:16" x14ac:dyDescent="0.3">
      <c r="A95" s="2" t="s">
        <v>94</v>
      </c>
      <c r="B95" s="3" t="s">
        <v>31</v>
      </c>
      <c r="C95" s="2" t="s">
        <v>9</v>
      </c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>
        <f t="shared" si="4"/>
        <v>0</v>
      </c>
    </row>
    <row r="96" spans="1:16" x14ac:dyDescent="0.3">
      <c r="A96" s="2" t="s">
        <v>94</v>
      </c>
      <c r="B96" s="3" t="s">
        <v>33</v>
      </c>
      <c r="C96" s="2" t="s">
        <v>9</v>
      </c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>
        <f t="shared" si="4"/>
        <v>0</v>
      </c>
    </row>
    <row r="97" spans="1:16" x14ac:dyDescent="0.3">
      <c r="A97" s="2" t="s">
        <v>94</v>
      </c>
      <c r="B97" s="7"/>
      <c r="C97" s="2" t="s">
        <v>9</v>
      </c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</row>
    <row r="98" spans="1:16" x14ac:dyDescent="0.3">
      <c r="A98" s="2" t="s">
        <v>94</v>
      </c>
      <c r="B98" s="8" t="s">
        <v>35</v>
      </c>
      <c r="C98" s="2" t="s">
        <v>9</v>
      </c>
      <c r="D98" s="9"/>
      <c r="E98" s="9"/>
      <c r="F98" s="9"/>
      <c r="G98" s="9"/>
      <c r="H98" s="9"/>
      <c r="I98" s="9"/>
      <c r="J98" s="9"/>
      <c r="K98" s="9"/>
      <c r="L98" s="9"/>
      <c r="M98" s="9"/>
      <c r="N98" s="9">
        <v>470</v>
      </c>
      <c r="O98" s="9"/>
      <c r="P98" s="10">
        <f>SUM(D98:O98)</f>
        <v>470</v>
      </c>
    </row>
    <row r="99" spans="1:16" x14ac:dyDescent="0.3">
      <c r="A99" s="2" t="s">
        <v>94</v>
      </c>
      <c r="B99" s="8" t="s">
        <v>37</v>
      </c>
      <c r="C99" s="2" t="s">
        <v>9</v>
      </c>
      <c r="D99" s="9"/>
      <c r="E99" s="9"/>
      <c r="F99" s="9"/>
      <c r="G99" s="9"/>
      <c r="H99" s="9"/>
      <c r="I99" s="9"/>
      <c r="J99" s="9"/>
      <c r="K99" s="9"/>
      <c r="L99" s="9"/>
      <c r="M99" s="9"/>
      <c r="N99" s="9">
        <v>336.8</v>
      </c>
      <c r="O99" s="9"/>
      <c r="P99" s="10">
        <f>SUM(D99:O99)</f>
        <v>336.8</v>
      </c>
    </row>
    <row r="100" spans="1:16" x14ac:dyDescent="0.3">
      <c r="A100" s="2" t="s">
        <v>94</v>
      </c>
      <c r="B100" s="8" t="s">
        <v>38</v>
      </c>
      <c r="C100" s="2" t="s">
        <v>9</v>
      </c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>
        <v>2686.2</v>
      </c>
      <c r="O100" s="9"/>
      <c r="P100" s="10">
        <f>SUM(D100:O100)</f>
        <v>2686.2</v>
      </c>
    </row>
    <row r="101" spans="1:16" x14ac:dyDescent="0.3">
      <c r="A101" s="2" t="s">
        <v>94</v>
      </c>
      <c r="B101" s="7"/>
      <c r="C101" s="2" t="s">
        <v>9</v>
      </c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</row>
    <row r="102" spans="1:16" x14ac:dyDescent="0.3">
      <c r="A102" s="2" t="s">
        <v>94</v>
      </c>
      <c r="B102" s="8" t="s">
        <v>39</v>
      </c>
      <c r="C102" s="2" t="s">
        <v>9</v>
      </c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>
        <v>208.2</v>
      </c>
      <c r="O102" s="9"/>
      <c r="P102" s="10">
        <f>SUM(D102:O102)</f>
        <v>208.2</v>
      </c>
    </row>
    <row r="103" spans="1:16" x14ac:dyDescent="0.3">
      <c r="A103" s="2" t="s">
        <v>94</v>
      </c>
      <c r="B103" s="8" t="s">
        <v>91</v>
      </c>
      <c r="C103" s="2" t="s">
        <v>9</v>
      </c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10">
        <f>SUM(D103:O103)</f>
        <v>0</v>
      </c>
    </row>
    <row r="104" spans="1:16" x14ac:dyDescent="0.3">
      <c r="A104" s="2" t="s">
        <v>94</v>
      </c>
      <c r="B104" s="8" t="s">
        <v>41</v>
      </c>
      <c r="C104" s="2" t="s">
        <v>9</v>
      </c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>
        <v>1473.1</v>
      </c>
      <c r="O104" s="9"/>
      <c r="P104" s="10">
        <f>SUM(D104:O104)</f>
        <v>1473.1</v>
      </c>
    </row>
    <row r="105" spans="1:16" x14ac:dyDescent="0.3">
      <c r="A105" s="2" t="s">
        <v>94</v>
      </c>
      <c r="B105" s="8" t="s">
        <v>42</v>
      </c>
      <c r="C105" s="2" t="s">
        <v>9</v>
      </c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>
        <v>1695.7</v>
      </c>
      <c r="O105" s="9"/>
      <c r="P105" s="10">
        <f>SUM(D105:O105)</f>
        <v>1695.7</v>
      </c>
    </row>
    <row r="106" spans="1:16" x14ac:dyDescent="0.3">
      <c r="A106" s="2" t="s">
        <v>94</v>
      </c>
      <c r="B106" s="7"/>
      <c r="C106" s="2" t="s">
        <v>9</v>
      </c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</row>
    <row r="107" spans="1:16" x14ac:dyDescent="0.3">
      <c r="A107" s="2" t="s">
        <v>94</v>
      </c>
      <c r="B107" s="8" t="s">
        <v>43</v>
      </c>
      <c r="C107" s="2" t="s">
        <v>9</v>
      </c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>
        <v>116</v>
      </c>
      <c r="O107" s="9"/>
      <c r="P107" s="10">
        <f t="shared" ref="P107:P114" si="5">SUM(D107:O107)</f>
        <v>116</v>
      </c>
    </row>
    <row r="108" spans="1:16" x14ac:dyDescent="0.3">
      <c r="A108" s="2" t="s">
        <v>94</v>
      </c>
      <c r="B108" s="3" t="s">
        <v>44</v>
      </c>
      <c r="C108" s="2" t="s">
        <v>9</v>
      </c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>
        <v>3.4350014806040857E-2</v>
      </c>
      <c r="O108" s="5"/>
      <c r="P108" s="5">
        <f t="shared" si="5"/>
        <v>3.4350014806040857E-2</v>
      </c>
    </row>
    <row r="109" spans="1:16" x14ac:dyDescent="0.3">
      <c r="A109" s="2" t="s">
        <v>94</v>
      </c>
      <c r="B109" s="3" t="s">
        <v>45</v>
      </c>
      <c r="C109" s="2" t="s">
        <v>9</v>
      </c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>
        <v>12.537755404204921</v>
      </c>
      <c r="O109" s="10"/>
      <c r="P109" s="10">
        <f t="shared" si="5"/>
        <v>12.537755404204921</v>
      </c>
    </row>
    <row r="110" spans="1:16" x14ac:dyDescent="0.3">
      <c r="A110" s="2" t="s">
        <v>94</v>
      </c>
      <c r="B110" s="11" t="s">
        <v>47</v>
      </c>
      <c r="C110" s="2" t="s">
        <v>9</v>
      </c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>
        <v>2.2737367544323211E-13</v>
      </c>
      <c r="O110" s="9"/>
      <c r="P110" s="10">
        <f t="shared" si="5"/>
        <v>2.2737367544323211E-13</v>
      </c>
    </row>
    <row r="111" spans="1:16" x14ac:dyDescent="0.3">
      <c r="A111" s="2" t="s">
        <v>94</v>
      </c>
      <c r="B111" s="3" t="s">
        <v>28</v>
      </c>
      <c r="C111" s="2" t="s">
        <v>10</v>
      </c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>
        <f t="shared" si="5"/>
        <v>0</v>
      </c>
    </row>
    <row r="112" spans="1:16" x14ac:dyDescent="0.3">
      <c r="A112" s="2" t="s">
        <v>94</v>
      </c>
      <c r="B112" s="3" t="s">
        <v>30</v>
      </c>
      <c r="C112" s="2" t="s">
        <v>10</v>
      </c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>
        <f t="shared" si="5"/>
        <v>0</v>
      </c>
    </row>
    <row r="113" spans="1:16" x14ac:dyDescent="0.3">
      <c r="A113" s="2" t="s">
        <v>94</v>
      </c>
      <c r="B113" s="3" t="s">
        <v>31</v>
      </c>
      <c r="C113" s="2" t="s">
        <v>10</v>
      </c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>
        <f t="shared" si="5"/>
        <v>0</v>
      </c>
    </row>
    <row r="114" spans="1:16" x14ac:dyDescent="0.3">
      <c r="A114" s="2" t="s">
        <v>94</v>
      </c>
      <c r="B114" s="3" t="s">
        <v>33</v>
      </c>
      <c r="C114" s="2" t="s">
        <v>10</v>
      </c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>
        <f t="shared" si="5"/>
        <v>0</v>
      </c>
    </row>
    <row r="115" spans="1:16" x14ac:dyDescent="0.3">
      <c r="A115" s="2" t="s">
        <v>94</v>
      </c>
      <c r="B115" s="7"/>
      <c r="C115" s="2" t="s">
        <v>10</v>
      </c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</row>
    <row r="116" spans="1:16" x14ac:dyDescent="0.3">
      <c r="A116" s="2" t="s">
        <v>94</v>
      </c>
      <c r="B116" s="8" t="s">
        <v>35</v>
      </c>
      <c r="C116" s="2" t="s">
        <v>10</v>
      </c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>
        <v>116</v>
      </c>
      <c r="O116" s="9"/>
      <c r="P116" s="10">
        <f>SUM(D116:O116)</f>
        <v>116</v>
      </c>
    </row>
    <row r="117" spans="1:16" x14ac:dyDescent="0.3">
      <c r="A117" s="2" t="s">
        <v>94</v>
      </c>
      <c r="B117" s="8" t="s">
        <v>37</v>
      </c>
      <c r="C117" s="2" t="s">
        <v>10</v>
      </c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>
        <v>350.4</v>
      </c>
      <c r="O117" s="9"/>
      <c r="P117" s="10">
        <f>SUM(D117:O117)</f>
        <v>350.4</v>
      </c>
    </row>
    <row r="118" spans="1:16" x14ac:dyDescent="0.3">
      <c r="A118" s="2" t="s">
        <v>94</v>
      </c>
      <c r="B118" s="8" t="s">
        <v>38</v>
      </c>
      <c r="C118" s="2" t="s">
        <v>10</v>
      </c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>
        <v>3335.9</v>
      </c>
      <c r="O118" s="9"/>
      <c r="P118" s="10">
        <f>SUM(D118:O118)</f>
        <v>3335.9</v>
      </c>
    </row>
    <row r="119" spans="1:16" x14ac:dyDescent="0.3">
      <c r="A119" s="2" t="s">
        <v>94</v>
      </c>
      <c r="B119" s="7"/>
      <c r="C119" s="2" t="s">
        <v>10</v>
      </c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</row>
    <row r="120" spans="1:16" x14ac:dyDescent="0.3">
      <c r="A120" s="2" t="s">
        <v>94</v>
      </c>
      <c r="B120" s="8" t="s">
        <v>39</v>
      </c>
      <c r="C120" s="2" t="s">
        <v>10</v>
      </c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>
        <v>266.2</v>
      </c>
      <c r="O120" s="9"/>
      <c r="P120" s="10">
        <f>SUM(D120:O120)</f>
        <v>266.2</v>
      </c>
    </row>
    <row r="121" spans="1:16" x14ac:dyDescent="0.3">
      <c r="A121" s="2" t="s">
        <v>94</v>
      </c>
      <c r="B121" s="8" t="s">
        <v>91</v>
      </c>
      <c r="C121" s="2" t="s">
        <v>10</v>
      </c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10">
        <f>SUM(D121:O121)</f>
        <v>0</v>
      </c>
    </row>
    <row r="122" spans="1:16" x14ac:dyDescent="0.3">
      <c r="A122" s="2" t="s">
        <v>94</v>
      </c>
      <c r="B122" s="8" t="s">
        <v>41</v>
      </c>
      <c r="C122" s="2" t="s">
        <v>10</v>
      </c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>
        <v>1427.9</v>
      </c>
      <c r="O122" s="9"/>
      <c r="P122" s="10">
        <f>SUM(D122:O122)</f>
        <v>1427.9</v>
      </c>
    </row>
    <row r="123" spans="1:16" x14ac:dyDescent="0.3">
      <c r="A123" s="2" t="s">
        <v>94</v>
      </c>
      <c r="B123" s="8" t="s">
        <v>42</v>
      </c>
      <c r="C123" s="2" t="s">
        <v>10</v>
      </c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>
        <v>1888.2</v>
      </c>
      <c r="O123" s="9"/>
      <c r="P123" s="10">
        <f>SUM(D123:O123)</f>
        <v>1888.2</v>
      </c>
    </row>
    <row r="124" spans="1:16" x14ac:dyDescent="0.3">
      <c r="A124" s="2" t="s">
        <v>94</v>
      </c>
      <c r="B124" s="7"/>
      <c r="C124" s="2" t="s">
        <v>10</v>
      </c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</row>
    <row r="125" spans="1:16" x14ac:dyDescent="0.3">
      <c r="A125" s="2" t="s">
        <v>94</v>
      </c>
      <c r="B125" s="8" t="s">
        <v>43</v>
      </c>
      <c r="C125" s="2" t="s">
        <v>10</v>
      </c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>
        <v>220</v>
      </c>
      <c r="O125" s="9"/>
      <c r="P125" s="10">
        <f t="shared" ref="P125:P132" si="6">SUM(D125:O125)</f>
        <v>220</v>
      </c>
    </row>
    <row r="126" spans="1:16" x14ac:dyDescent="0.3">
      <c r="A126" s="2" t="s">
        <v>94</v>
      </c>
      <c r="B126" s="3" t="s">
        <v>44</v>
      </c>
      <c r="C126" s="2" t="s">
        <v>10</v>
      </c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>
        <v>6.1413058649470997E-2</v>
      </c>
      <c r="O126" s="5"/>
      <c r="P126" s="5">
        <f t="shared" si="6"/>
        <v>6.1413058649470997E-2</v>
      </c>
    </row>
    <row r="127" spans="1:16" x14ac:dyDescent="0.3">
      <c r="A127" s="2" t="s">
        <v>94</v>
      </c>
      <c r="B127" s="3" t="s">
        <v>45</v>
      </c>
      <c r="C127" s="2" t="s">
        <v>10</v>
      </c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>
        <v>22.415766407056921</v>
      </c>
      <c r="O127" s="10"/>
      <c r="P127" s="10">
        <f t="shared" si="6"/>
        <v>22.415766407056921</v>
      </c>
    </row>
    <row r="128" spans="1:16" x14ac:dyDescent="0.3">
      <c r="A128" s="2" t="s">
        <v>94</v>
      </c>
      <c r="B128" s="11" t="s">
        <v>47</v>
      </c>
      <c r="C128" s="2" t="s">
        <v>10</v>
      </c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>
        <v>2.2737367544323211E-13</v>
      </c>
      <c r="O128" s="9"/>
      <c r="P128" s="10">
        <f t="shared" si="6"/>
        <v>2.2737367544323211E-13</v>
      </c>
    </row>
    <row r="129" spans="1:16" x14ac:dyDescent="0.3">
      <c r="A129" s="2" t="s">
        <v>94</v>
      </c>
      <c r="B129" s="3" t="s">
        <v>28</v>
      </c>
      <c r="C129" s="2" t="s">
        <v>11</v>
      </c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>
        <f t="shared" si="6"/>
        <v>0</v>
      </c>
    </row>
    <row r="130" spans="1:16" x14ac:dyDescent="0.3">
      <c r="A130" s="2" t="s">
        <v>94</v>
      </c>
      <c r="B130" s="3" t="s">
        <v>30</v>
      </c>
      <c r="C130" s="2" t="s">
        <v>11</v>
      </c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>
        <f t="shared" si="6"/>
        <v>0</v>
      </c>
    </row>
    <row r="131" spans="1:16" x14ac:dyDescent="0.3">
      <c r="A131" s="2" t="s">
        <v>94</v>
      </c>
      <c r="B131" s="3" t="s">
        <v>31</v>
      </c>
      <c r="C131" s="2" t="s">
        <v>11</v>
      </c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>
        <f t="shared" si="6"/>
        <v>0</v>
      </c>
    </row>
    <row r="132" spans="1:16" x14ac:dyDescent="0.3">
      <c r="A132" s="2" t="s">
        <v>94</v>
      </c>
      <c r="B132" s="3" t="s">
        <v>33</v>
      </c>
      <c r="C132" s="2" t="s">
        <v>11</v>
      </c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>
        <f t="shared" si="6"/>
        <v>0</v>
      </c>
    </row>
    <row r="133" spans="1:16" x14ac:dyDescent="0.3">
      <c r="A133" s="2" t="s">
        <v>94</v>
      </c>
      <c r="B133" s="7"/>
      <c r="C133" s="2" t="s">
        <v>11</v>
      </c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</row>
    <row r="134" spans="1:16" x14ac:dyDescent="0.3">
      <c r="A134" s="2" t="s">
        <v>94</v>
      </c>
      <c r="B134" s="8" t="s">
        <v>35</v>
      </c>
      <c r="C134" s="2" t="s">
        <v>11</v>
      </c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>
        <v>220</v>
      </c>
      <c r="O134" s="9"/>
      <c r="P134" s="10">
        <f>SUM(D134:O134)</f>
        <v>220</v>
      </c>
    </row>
    <row r="135" spans="1:16" x14ac:dyDescent="0.3">
      <c r="A135" s="2" t="s">
        <v>94</v>
      </c>
      <c r="B135" s="8" t="s">
        <v>37</v>
      </c>
      <c r="C135" s="2" t="s">
        <v>11</v>
      </c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>
        <v>371.7</v>
      </c>
      <c r="O135" s="9"/>
      <c r="P135" s="10">
        <f>SUM(D135:O135)</f>
        <v>371.7</v>
      </c>
    </row>
    <row r="136" spans="1:16" x14ac:dyDescent="0.3">
      <c r="A136" s="2" t="s">
        <v>94</v>
      </c>
      <c r="B136" s="8" t="s">
        <v>38</v>
      </c>
      <c r="C136" s="2" t="s">
        <v>11</v>
      </c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>
        <v>3581.6</v>
      </c>
      <c r="O136" s="9"/>
      <c r="P136" s="10">
        <f>SUM(D136:O136)</f>
        <v>3581.6</v>
      </c>
    </row>
    <row r="137" spans="1:16" x14ac:dyDescent="0.3">
      <c r="A137" s="2" t="s">
        <v>94</v>
      </c>
      <c r="B137" s="7"/>
      <c r="C137" s="2" t="s">
        <v>11</v>
      </c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</row>
    <row r="138" spans="1:16" x14ac:dyDescent="0.3">
      <c r="A138" s="2" t="s">
        <v>94</v>
      </c>
      <c r="B138" s="8" t="s">
        <v>39</v>
      </c>
      <c r="C138" s="2" t="s">
        <v>11</v>
      </c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>
        <v>306.7</v>
      </c>
      <c r="O138" s="9"/>
      <c r="P138" s="10">
        <f>SUM(D138:O138)</f>
        <v>306.7</v>
      </c>
    </row>
    <row r="139" spans="1:16" x14ac:dyDescent="0.3">
      <c r="A139" s="2" t="s">
        <v>94</v>
      </c>
      <c r="B139" s="8" t="s">
        <v>91</v>
      </c>
      <c r="C139" s="2" t="s">
        <v>11</v>
      </c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10">
        <f>SUM(D139:O139)</f>
        <v>0</v>
      </c>
    </row>
    <row r="140" spans="1:16" x14ac:dyDescent="0.3">
      <c r="A140" s="2" t="s">
        <v>94</v>
      </c>
      <c r="B140" s="8" t="s">
        <v>41</v>
      </c>
      <c r="C140" s="2" t="s">
        <v>11</v>
      </c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>
        <v>1450.3</v>
      </c>
      <c r="O140" s="9"/>
      <c r="P140" s="10">
        <f>SUM(D140:O140)</f>
        <v>1450.3</v>
      </c>
    </row>
    <row r="141" spans="1:16" x14ac:dyDescent="0.3">
      <c r="A141" s="2" t="s">
        <v>94</v>
      </c>
      <c r="B141" s="8" t="s">
        <v>42</v>
      </c>
      <c r="C141" s="2" t="s">
        <v>11</v>
      </c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>
        <v>2111.3000000000002</v>
      </c>
      <c r="O141" s="9"/>
      <c r="P141" s="10">
        <f>SUM(D141:O141)</f>
        <v>2111.3000000000002</v>
      </c>
    </row>
    <row r="142" spans="1:16" x14ac:dyDescent="0.3">
      <c r="A142" s="2" t="s">
        <v>94</v>
      </c>
      <c r="B142" s="7"/>
      <c r="C142" s="2" t="s">
        <v>11</v>
      </c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</row>
    <row r="143" spans="1:16" x14ac:dyDescent="0.3">
      <c r="A143" s="2" t="s">
        <v>94</v>
      </c>
      <c r="B143" s="8" t="s">
        <v>43</v>
      </c>
      <c r="C143" s="2" t="s">
        <v>11</v>
      </c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>
        <v>305</v>
      </c>
      <c r="O143" s="9"/>
      <c r="P143" s="10">
        <f t="shared" ref="P143:P150" si="7">SUM(D143:O143)</f>
        <v>305</v>
      </c>
    </row>
    <row r="144" spans="1:16" x14ac:dyDescent="0.3">
      <c r="A144" s="2" t="s">
        <v>94</v>
      </c>
      <c r="B144" s="3" t="s">
        <v>44</v>
      </c>
      <c r="C144" s="2" t="s">
        <v>11</v>
      </c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>
        <v>7.8846004704909128E-2</v>
      </c>
      <c r="O144" s="5"/>
      <c r="P144" s="5">
        <f t="shared" si="7"/>
        <v>7.8846004704909128E-2</v>
      </c>
    </row>
    <row r="145" spans="1:16" x14ac:dyDescent="0.3">
      <c r="A145" s="2" t="s">
        <v>94</v>
      </c>
      <c r="B145" s="3" t="s">
        <v>45</v>
      </c>
      <c r="C145" s="2" t="s">
        <v>11</v>
      </c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>
        <v>28.778791717291831</v>
      </c>
      <c r="O145" s="10"/>
      <c r="P145" s="10">
        <f t="shared" si="7"/>
        <v>28.778791717291831</v>
      </c>
    </row>
    <row r="146" spans="1:16" x14ac:dyDescent="0.3">
      <c r="A146" s="2" t="s">
        <v>94</v>
      </c>
      <c r="B146" s="11" t="s">
        <v>47</v>
      </c>
      <c r="C146" s="2" t="s">
        <v>11</v>
      </c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>
        <v>0</v>
      </c>
      <c r="O146" s="9"/>
      <c r="P146" s="10">
        <f t="shared" si="7"/>
        <v>0</v>
      </c>
    </row>
    <row r="147" spans="1:16" x14ac:dyDescent="0.3">
      <c r="A147" s="2" t="s">
        <v>94</v>
      </c>
      <c r="B147" s="3" t="s">
        <v>28</v>
      </c>
      <c r="C147" s="2" t="s">
        <v>12</v>
      </c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>
        <f t="shared" si="7"/>
        <v>0</v>
      </c>
    </row>
    <row r="148" spans="1:16" x14ac:dyDescent="0.3">
      <c r="A148" s="2" t="s">
        <v>94</v>
      </c>
      <c r="B148" s="3" t="s">
        <v>30</v>
      </c>
      <c r="C148" s="2" t="s">
        <v>12</v>
      </c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>
        <f t="shared" si="7"/>
        <v>0</v>
      </c>
    </row>
    <row r="149" spans="1:16" x14ac:dyDescent="0.3">
      <c r="A149" s="2" t="s">
        <v>94</v>
      </c>
      <c r="B149" s="3" t="s">
        <v>31</v>
      </c>
      <c r="C149" s="2" t="s">
        <v>12</v>
      </c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>
        <f t="shared" si="7"/>
        <v>0</v>
      </c>
    </row>
    <row r="150" spans="1:16" x14ac:dyDescent="0.3">
      <c r="A150" s="2" t="s">
        <v>94</v>
      </c>
      <c r="B150" s="3" t="s">
        <v>33</v>
      </c>
      <c r="C150" s="2" t="s">
        <v>12</v>
      </c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>
        <f t="shared" si="7"/>
        <v>0</v>
      </c>
    </row>
    <row r="151" spans="1:16" x14ac:dyDescent="0.3">
      <c r="A151" s="2" t="s">
        <v>94</v>
      </c>
      <c r="B151" s="7"/>
      <c r="C151" s="2" t="s">
        <v>12</v>
      </c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</row>
    <row r="152" spans="1:16" x14ac:dyDescent="0.3">
      <c r="A152" s="2" t="s">
        <v>94</v>
      </c>
      <c r="B152" s="8" t="s">
        <v>35</v>
      </c>
      <c r="C152" s="2" t="s">
        <v>12</v>
      </c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>
        <v>305</v>
      </c>
      <c r="O152" s="9"/>
      <c r="P152" s="10">
        <f>SUM(D152:O152)</f>
        <v>305</v>
      </c>
    </row>
    <row r="153" spans="1:16" x14ac:dyDescent="0.3">
      <c r="A153" s="2" t="s">
        <v>94</v>
      </c>
      <c r="B153" s="8" t="s">
        <v>37</v>
      </c>
      <c r="C153" s="2" t="s">
        <v>12</v>
      </c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>
        <v>266.3</v>
      </c>
      <c r="O153" s="9"/>
      <c r="P153" s="10">
        <f>SUM(D153:O153)</f>
        <v>266.3</v>
      </c>
    </row>
    <row r="154" spans="1:16" x14ac:dyDescent="0.3">
      <c r="A154" s="2" t="s">
        <v>94</v>
      </c>
      <c r="B154" s="8" t="s">
        <v>38</v>
      </c>
      <c r="C154" s="2" t="s">
        <v>12</v>
      </c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>
        <v>4444.6000000000004</v>
      </c>
      <c r="O154" s="9"/>
      <c r="P154" s="10">
        <f>SUM(D154:O154)</f>
        <v>4444.6000000000004</v>
      </c>
    </row>
    <row r="155" spans="1:16" x14ac:dyDescent="0.3">
      <c r="A155" s="2" t="s">
        <v>94</v>
      </c>
      <c r="B155" s="7"/>
      <c r="C155" s="2" t="s">
        <v>12</v>
      </c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</row>
    <row r="156" spans="1:16" x14ac:dyDescent="0.3">
      <c r="A156" s="2" t="s">
        <v>94</v>
      </c>
      <c r="B156" s="8" t="s">
        <v>39</v>
      </c>
      <c r="C156" s="2" t="s">
        <v>12</v>
      </c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>
        <v>354.8</v>
      </c>
      <c r="O156" s="9"/>
      <c r="P156" s="10">
        <f>SUM(D156:O156)</f>
        <v>354.8</v>
      </c>
    </row>
    <row r="157" spans="1:16" x14ac:dyDescent="0.3">
      <c r="A157" s="2" t="s">
        <v>94</v>
      </c>
      <c r="B157" s="8" t="s">
        <v>91</v>
      </c>
      <c r="C157" s="2" t="s">
        <v>12</v>
      </c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10">
        <f>SUM(D157:O157)</f>
        <v>0</v>
      </c>
    </row>
    <row r="158" spans="1:16" x14ac:dyDescent="0.3">
      <c r="A158" s="2" t="s">
        <v>94</v>
      </c>
      <c r="B158" s="8" t="s">
        <v>41</v>
      </c>
      <c r="C158" s="2" t="s">
        <v>12</v>
      </c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>
        <v>1611</v>
      </c>
      <c r="O158" s="9"/>
      <c r="P158" s="10">
        <f>SUM(D158:O158)</f>
        <v>1611</v>
      </c>
    </row>
    <row r="159" spans="1:16" x14ac:dyDescent="0.3">
      <c r="A159" s="2" t="s">
        <v>94</v>
      </c>
      <c r="B159" s="8" t="s">
        <v>42</v>
      </c>
      <c r="C159" s="2" t="s">
        <v>12</v>
      </c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>
        <v>2753.6</v>
      </c>
      <c r="O159" s="9"/>
      <c r="P159" s="10">
        <f>SUM(D159:O159)</f>
        <v>2753.6</v>
      </c>
    </row>
    <row r="160" spans="1:16" x14ac:dyDescent="0.3">
      <c r="A160" s="2" t="s">
        <v>94</v>
      </c>
      <c r="B160" s="7"/>
      <c r="C160" s="2" t="s">
        <v>12</v>
      </c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</row>
    <row r="161" spans="1:16" x14ac:dyDescent="0.3">
      <c r="A161" s="2" t="s">
        <v>94</v>
      </c>
      <c r="B161" s="8" t="s">
        <v>43</v>
      </c>
      <c r="C161" s="2" t="s">
        <v>12</v>
      </c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>
        <v>296.5</v>
      </c>
      <c r="O161" s="9"/>
      <c r="P161" s="10">
        <f t="shared" ref="P161:P168" si="8">SUM(D161:O161)</f>
        <v>296.5</v>
      </c>
    </row>
    <row r="162" spans="1:16" x14ac:dyDescent="0.3">
      <c r="A162" s="2" t="s">
        <v>94</v>
      </c>
      <c r="B162" s="3" t="s">
        <v>44</v>
      </c>
      <c r="C162" s="2" t="s">
        <v>12</v>
      </c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>
        <v>6.2825782938509128E-2</v>
      </c>
      <c r="O162" s="5"/>
      <c r="P162" s="5">
        <f t="shared" si="8"/>
        <v>6.2825782938509128E-2</v>
      </c>
    </row>
    <row r="163" spans="1:16" x14ac:dyDescent="0.3">
      <c r="A163" s="2" t="s">
        <v>94</v>
      </c>
      <c r="B163" s="3" t="s">
        <v>45</v>
      </c>
      <c r="C163" s="2" t="s">
        <v>12</v>
      </c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>
        <v>22.931410772555829</v>
      </c>
      <c r="O163" s="10"/>
      <c r="P163" s="10">
        <f t="shared" si="8"/>
        <v>22.931410772555829</v>
      </c>
    </row>
    <row r="164" spans="1:16" x14ac:dyDescent="0.3">
      <c r="A164" s="2" t="s">
        <v>94</v>
      </c>
      <c r="B164" s="11" t="s">
        <v>47</v>
      </c>
      <c r="C164" s="2" t="s">
        <v>12</v>
      </c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>
        <v>0</v>
      </c>
      <c r="O164" s="9"/>
      <c r="P164" s="10">
        <f t="shared" si="8"/>
        <v>0</v>
      </c>
    </row>
    <row r="165" spans="1:16" x14ac:dyDescent="0.3">
      <c r="A165" s="2" t="s">
        <v>94</v>
      </c>
      <c r="B165" s="3" t="s">
        <v>28</v>
      </c>
      <c r="C165" s="2" t="s">
        <v>13</v>
      </c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>
        <f t="shared" si="8"/>
        <v>0</v>
      </c>
    </row>
    <row r="166" spans="1:16" x14ac:dyDescent="0.3">
      <c r="A166" s="2" t="s">
        <v>94</v>
      </c>
      <c r="B166" s="3" t="s">
        <v>30</v>
      </c>
      <c r="C166" s="2" t="s">
        <v>13</v>
      </c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>
        <f t="shared" si="8"/>
        <v>0</v>
      </c>
    </row>
    <row r="167" spans="1:16" x14ac:dyDescent="0.3">
      <c r="A167" s="2" t="s">
        <v>94</v>
      </c>
      <c r="B167" s="3" t="s">
        <v>31</v>
      </c>
      <c r="C167" s="2" t="s">
        <v>13</v>
      </c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>
        <f t="shared" si="8"/>
        <v>0</v>
      </c>
    </row>
    <row r="168" spans="1:16" x14ac:dyDescent="0.3">
      <c r="A168" s="2" t="s">
        <v>94</v>
      </c>
      <c r="B168" s="3" t="s">
        <v>33</v>
      </c>
      <c r="C168" s="2" t="s">
        <v>13</v>
      </c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>
        <f t="shared" si="8"/>
        <v>0</v>
      </c>
    </row>
    <row r="169" spans="1:16" x14ac:dyDescent="0.3">
      <c r="A169" s="2" t="s">
        <v>94</v>
      </c>
      <c r="B169" s="7"/>
      <c r="C169" s="2" t="s">
        <v>13</v>
      </c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</row>
    <row r="170" spans="1:16" x14ac:dyDescent="0.3">
      <c r="A170" s="2" t="s">
        <v>94</v>
      </c>
      <c r="B170" s="8" t="s">
        <v>35</v>
      </c>
      <c r="C170" s="2" t="s">
        <v>13</v>
      </c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>
        <v>296.5</v>
      </c>
      <c r="O170" s="9"/>
      <c r="P170" s="10">
        <f>SUM(D170:O170)</f>
        <v>296.5</v>
      </c>
    </row>
    <row r="171" spans="1:16" x14ac:dyDescent="0.3">
      <c r="A171" s="2" t="s">
        <v>94</v>
      </c>
      <c r="B171" s="8" t="s">
        <v>37</v>
      </c>
      <c r="C171" s="2" t="s">
        <v>13</v>
      </c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>
        <v>232.5</v>
      </c>
      <c r="O171" s="9"/>
      <c r="P171" s="10">
        <f>SUM(D171:O171)</f>
        <v>232.5</v>
      </c>
    </row>
    <row r="172" spans="1:16" x14ac:dyDescent="0.3">
      <c r="A172" s="2" t="s">
        <v>94</v>
      </c>
      <c r="B172" s="8" t="s">
        <v>38</v>
      </c>
      <c r="C172" s="2" t="s">
        <v>13</v>
      </c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>
        <v>4466.5</v>
      </c>
      <c r="O172" s="9"/>
      <c r="P172" s="10">
        <f>SUM(D172:O172)</f>
        <v>4466.5</v>
      </c>
    </row>
    <row r="173" spans="1:16" x14ac:dyDescent="0.3">
      <c r="A173" s="2" t="s">
        <v>94</v>
      </c>
      <c r="B173" s="7"/>
      <c r="C173" s="2" t="s">
        <v>13</v>
      </c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</row>
    <row r="174" spans="1:16" x14ac:dyDescent="0.3">
      <c r="A174" s="2" t="s">
        <v>94</v>
      </c>
      <c r="B174" s="8" t="s">
        <v>39</v>
      </c>
      <c r="C174" s="2" t="s">
        <v>13</v>
      </c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>
        <v>438.3</v>
      </c>
      <c r="O174" s="9"/>
      <c r="P174" s="10">
        <f>SUM(D174:O174)</f>
        <v>438.3</v>
      </c>
    </row>
    <row r="175" spans="1:16" x14ac:dyDescent="0.3">
      <c r="A175" s="2" t="s">
        <v>94</v>
      </c>
      <c r="B175" s="8" t="s">
        <v>91</v>
      </c>
      <c r="C175" s="2" t="s">
        <v>13</v>
      </c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10">
        <f>SUM(D175:O175)</f>
        <v>0</v>
      </c>
    </row>
    <row r="176" spans="1:16" x14ac:dyDescent="0.3">
      <c r="A176" s="2" t="s">
        <v>94</v>
      </c>
      <c r="B176" s="8" t="s">
        <v>41</v>
      </c>
      <c r="C176" s="2" t="s">
        <v>13</v>
      </c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>
        <v>1584.5</v>
      </c>
      <c r="O176" s="9"/>
      <c r="P176" s="10">
        <f>SUM(D176:O176)</f>
        <v>1584.5</v>
      </c>
    </row>
    <row r="177" spans="1:16" x14ac:dyDescent="0.3">
      <c r="A177" s="2" t="s">
        <v>94</v>
      </c>
      <c r="B177" s="8" t="s">
        <v>42</v>
      </c>
      <c r="C177" s="2" t="s">
        <v>13</v>
      </c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>
        <v>2741.4</v>
      </c>
      <c r="O177" s="9"/>
      <c r="P177" s="10">
        <f>SUM(D177:O177)</f>
        <v>2741.4</v>
      </c>
    </row>
    <row r="178" spans="1:16" x14ac:dyDescent="0.3">
      <c r="A178" s="2" t="s">
        <v>94</v>
      </c>
      <c r="B178" s="7"/>
      <c r="C178" s="2" t="s">
        <v>13</v>
      </c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</row>
    <row r="179" spans="1:16" x14ac:dyDescent="0.3">
      <c r="A179" s="2" t="s">
        <v>94</v>
      </c>
      <c r="B179" s="8" t="s">
        <v>43</v>
      </c>
      <c r="C179" s="2" t="s">
        <v>13</v>
      </c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>
        <v>231.3</v>
      </c>
      <c r="O179" s="9"/>
      <c r="P179" s="10">
        <f t="shared" ref="P179:P186" si="9">SUM(D179:O179)</f>
        <v>231.3</v>
      </c>
    </row>
    <row r="180" spans="1:16" x14ac:dyDescent="0.3">
      <c r="A180" s="2" t="s">
        <v>94</v>
      </c>
      <c r="B180" s="3" t="s">
        <v>44</v>
      </c>
      <c r="C180" s="2" t="s">
        <v>13</v>
      </c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>
        <v>4.8549599093237063E-2</v>
      </c>
      <c r="O180" s="5"/>
      <c r="P180" s="5">
        <f t="shared" si="9"/>
        <v>4.8549599093237063E-2</v>
      </c>
    </row>
    <row r="181" spans="1:16" x14ac:dyDescent="0.3">
      <c r="A181" s="2" t="s">
        <v>94</v>
      </c>
      <c r="B181" s="3" t="s">
        <v>45</v>
      </c>
      <c r="C181" s="2" t="s">
        <v>13</v>
      </c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>
        <v>17.720603669031529</v>
      </c>
      <c r="O181" s="10"/>
      <c r="P181" s="10">
        <f t="shared" si="9"/>
        <v>17.720603669031529</v>
      </c>
    </row>
    <row r="182" spans="1:16" x14ac:dyDescent="0.3">
      <c r="A182" s="2" t="s">
        <v>94</v>
      </c>
      <c r="B182" s="11" t="s">
        <v>47</v>
      </c>
      <c r="C182" s="2" t="s">
        <v>13</v>
      </c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>
        <v>-2.8421709430404012E-13</v>
      </c>
      <c r="O182" s="9"/>
      <c r="P182" s="10">
        <f t="shared" si="9"/>
        <v>-2.8421709430404012E-13</v>
      </c>
    </row>
    <row r="183" spans="1:16" x14ac:dyDescent="0.3">
      <c r="A183" s="2" t="s">
        <v>94</v>
      </c>
      <c r="B183" s="3" t="s">
        <v>28</v>
      </c>
      <c r="C183" s="2" t="s">
        <v>14</v>
      </c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>
        <f t="shared" si="9"/>
        <v>0</v>
      </c>
    </row>
    <row r="184" spans="1:16" x14ac:dyDescent="0.3">
      <c r="A184" s="2" t="s">
        <v>94</v>
      </c>
      <c r="B184" s="3" t="s">
        <v>30</v>
      </c>
      <c r="C184" s="2" t="s">
        <v>14</v>
      </c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>
        <f t="shared" si="9"/>
        <v>0</v>
      </c>
    </row>
    <row r="185" spans="1:16" x14ac:dyDescent="0.3">
      <c r="A185" s="2" t="s">
        <v>94</v>
      </c>
      <c r="B185" s="3" t="s">
        <v>31</v>
      </c>
      <c r="C185" s="2" t="s">
        <v>14</v>
      </c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>
        <f t="shared" si="9"/>
        <v>0</v>
      </c>
    </row>
    <row r="186" spans="1:16" x14ac:dyDescent="0.3">
      <c r="A186" s="2" t="s">
        <v>94</v>
      </c>
      <c r="B186" s="3" t="s">
        <v>33</v>
      </c>
      <c r="C186" s="2" t="s">
        <v>14</v>
      </c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>
        <f t="shared" si="9"/>
        <v>0</v>
      </c>
    </row>
    <row r="187" spans="1:16" x14ac:dyDescent="0.3">
      <c r="A187" s="2" t="s">
        <v>94</v>
      </c>
      <c r="B187" s="7"/>
      <c r="C187" s="2" t="s">
        <v>14</v>
      </c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</row>
    <row r="188" spans="1:16" x14ac:dyDescent="0.3">
      <c r="A188" s="2" t="s">
        <v>94</v>
      </c>
      <c r="B188" s="8" t="s">
        <v>35</v>
      </c>
      <c r="C188" s="2" t="s">
        <v>14</v>
      </c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>
        <v>231.3</v>
      </c>
      <c r="O188" s="9"/>
      <c r="P188" s="10">
        <f>SUM(D188:O188)</f>
        <v>231.3</v>
      </c>
    </row>
    <row r="189" spans="1:16" x14ac:dyDescent="0.3">
      <c r="A189" s="2" t="s">
        <v>94</v>
      </c>
      <c r="B189" s="8" t="s">
        <v>37</v>
      </c>
      <c r="C189" s="2" t="s">
        <v>14</v>
      </c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>
        <v>257.60000000000002</v>
      </c>
      <c r="O189" s="9"/>
      <c r="P189" s="10">
        <f>SUM(D189:O189)</f>
        <v>257.60000000000002</v>
      </c>
    </row>
    <row r="190" spans="1:16" x14ac:dyDescent="0.3">
      <c r="A190" s="2" t="s">
        <v>94</v>
      </c>
      <c r="B190" s="8" t="s">
        <v>38</v>
      </c>
      <c r="C190" s="2" t="s">
        <v>14</v>
      </c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>
        <v>5086.3999999999996</v>
      </c>
      <c r="O190" s="9"/>
      <c r="P190" s="10">
        <f>SUM(D190:O190)</f>
        <v>5086.3999999999996</v>
      </c>
    </row>
    <row r="191" spans="1:16" x14ac:dyDescent="0.3">
      <c r="A191" s="2" t="s">
        <v>94</v>
      </c>
      <c r="B191" s="7"/>
      <c r="C191" s="2" t="s">
        <v>14</v>
      </c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</row>
    <row r="192" spans="1:16" x14ac:dyDescent="0.3">
      <c r="A192" s="2" t="s">
        <v>94</v>
      </c>
      <c r="B192" s="8" t="s">
        <v>39</v>
      </c>
      <c r="C192" s="2" t="s">
        <v>14</v>
      </c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>
        <v>359.1</v>
      </c>
      <c r="O192" s="9"/>
      <c r="P192" s="10">
        <f>SUM(D192:O192)</f>
        <v>359.1</v>
      </c>
    </row>
    <row r="193" spans="1:16" x14ac:dyDescent="0.3">
      <c r="A193" s="2" t="s">
        <v>94</v>
      </c>
      <c r="B193" s="8" t="s">
        <v>91</v>
      </c>
      <c r="C193" s="2" t="s">
        <v>14</v>
      </c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10">
        <f>SUM(D193:O193)</f>
        <v>0</v>
      </c>
    </row>
    <row r="194" spans="1:16" x14ac:dyDescent="0.3">
      <c r="A194" s="2" t="s">
        <v>94</v>
      </c>
      <c r="B194" s="8" t="s">
        <v>41</v>
      </c>
      <c r="C194" s="2" t="s">
        <v>14</v>
      </c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>
        <v>1727.1</v>
      </c>
      <c r="O194" s="9"/>
      <c r="P194" s="10">
        <f>SUM(D194:O194)</f>
        <v>1727.1</v>
      </c>
    </row>
    <row r="195" spans="1:16" x14ac:dyDescent="0.3">
      <c r="A195" s="2" t="s">
        <v>94</v>
      </c>
      <c r="B195" s="8" t="s">
        <v>42</v>
      </c>
      <c r="C195" s="2" t="s">
        <v>14</v>
      </c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>
        <v>3331.6</v>
      </c>
      <c r="O195" s="9"/>
      <c r="P195" s="10">
        <f>SUM(D195:O195)</f>
        <v>3331.6</v>
      </c>
    </row>
    <row r="196" spans="1:16" x14ac:dyDescent="0.3">
      <c r="A196" s="2" t="s">
        <v>94</v>
      </c>
      <c r="B196" s="7"/>
      <c r="C196" s="2" t="s">
        <v>14</v>
      </c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</row>
    <row r="197" spans="1:16" x14ac:dyDescent="0.3">
      <c r="A197" s="2" t="s">
        <v>94</v>
      </c>
      <c r="B197" s="8" t="s">
        <v>43</v>
      </c>
      <c r="C197" s="2" t="s">
        <v>14</v>
      </c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>
        <v>157.5</v>
      </c>
      <c r="O197" s="9"/>
      <c r="P197" s="10">
        <f t="shared" ref="P197:P204" si="10">SUM(D197:O197)</f>
        <v>157.5</v>
      </c>
    </row>
    <row r="198" spans="1:16" x14ac:dyDescent="0.3">
      <c r="A198" s="2" t="s">
        <v>94</v>
      </c>
      <c r="B198" s="3" t="s">
        <v>44</v>
      </c>
      <c r="C198" s="2" t="s">
        <v>14</v>
      </c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>
        <v>2.9070840562589979E-2</v>
      </c>
      <c r="O198" s="5"/>
      <c r="P198" s="5">
        <f t="shared" si="10"/>
        <v>2.9070840562589979E-2</v>
      </c>
    </row>
    <row r="199" spans="1:16" x14ac:dyDescent="0.3">
      <c r="A199" s="2" t="s">
        <v>94</v>
      </c>
      <c r="B199" s="3" t="s">
        <v>45</v>
      </c>
      <c r="C199" s="2" t="s">
        <v>14</v>
      </c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>
        <v>10.610856805345341</v>
      </c>
      <c r="O199" s="10"/>
      <c r="P199" s="10">
        <f t="shared" si="10"/>
        <v>10.610856805345341</v>
      </c>
    </row>
    <row r="200" spans="1:16" x14ac:dyDescent="0.3">
      <c r="A200" s="2" t="s">
        <v>94</v>
      </c>
      <c r="B200" s="11" t="s">
        <v>47</v>
      </c>
      <c r="C200" s="2" t="s">
        <v>14</v>
      </c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>
        <v>-4.5474735088646412E-13</v>
      </c>
      <c r="O200" s="9"/>
      <c r="P200" s="10">
        <f t="shared" si="10"/>
        <v>-4.5474735088646412E-13</v>
      </c>
    </row>
    <row r="201" spans="1:16" x14ac:dyDescent="0.3">
      <c r="A201" s="2" t="s">
        <v>94</v>
      </c>
      <c r="B201" s="3" t="s">
        <v>28</v>
      </c>
      <c r="C201" s="2" t="s">
        <v>15</v>
      </c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>
        <f t="shared" si="10"/>
        <v>0</v>
      </c>
    </row>
    <row r="202" spans="1:16" x14ac:dyDescent="0.3">
      <c r="A202" s="2" t="s">
        <v>94</v>
      </c>
      <c r="B202" s="3" t="s">
        <v>30</v>
      </c>
      <c r="C202" s="2" t="s">
        <v>15</v>
      </c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>
        <f t="shared" si="10"/>
        <v>0</v>
      </c>
    </row>
    <row r="203" spans="1:16" x14ac:dyDescent="0.3">
      <c r="A203" s="2" t="s">
        <v>94</v>
      </c>
      <c r="B203" s="3" t="s">
        <v>31</v>
      </c>
      <c r="C203" s="2" t="s">
        <v>15</v>
      </c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>
        <f t="shared" si="10"/>
        <v>0</v>
      </c>
    </row>
    <row r="204" spans="1:16" x14ac:dyDescent="0.3">
      <c r="A204" s="2" t="s">
        <v>94</v>
      </c>
      <c r="B204" s="3" t="s">
        <v>33</v>
      </c>
      <c r="C204" s="2" t="s">
        <v>15</v>
      </c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>
        <f t="shared" si="10"/>
        <v>0</v>
      </c>
    </row>
    <row r="205" spans="1:16" x14ac:dyDescent="0.3">
      <c r="A205" s="2" t="s">
        <v>94</v>
      </c>
      <c r="B205" s="7"/>
      <c r="C205" s="2" t="s">
        <v>15</v>
      </c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</row>
    <row r="206" spans="1:16" x14ac:dyDescent="0.3">
      <c r="A206" s="2" t="s">
        <v>94</v>
      </c>
      <c r="B206" s="8" t="s">
        <v>35</v>
      </c>
      <c r="C206" s="2" t="s">
        <v>15</v>
      </c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>
        <v>157.5</v>
      </c>
      <c r="O206" s="9"/>
      <c r="P206" s="10">
        <f>SUM(D206:O206)</f>
        <v>157.5</v>
      </c>
    </row>
    <row r="207" spans="1:16" x14ac:dyDescent="0.3">
      <c r="A207" s="2" t="s">
        <v>94</v>
      </c>
      <c r="B207" s="8" t="s">
        <v>37</v>
      </c>
      <c r="C207" s="2" t="s">
        <v>15</v>
      </c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>
        <v>343.1</v>
      </c>
      <c r="O207" s="9"/>
      <c r="P207" s="10">
        <f>SUM(D207:O207)</f>
        <v>343.1</v>
      </c>
    </row>
    <row r="208" spans="1:16" x14ac:dyDescent="0.3">
      <c r="A208" s="2" t="s">
        <v>94</v>
      </c>
      <c r="B208" s="8" t="s">
        <v>38</v>
      </c>
      <c r="C208" s="2" t="s">
        <v>15</v>
      </c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>
        <v>5355.9</v>
      </c>
      <c r="O208" s="9"/>
      <c r="P208" s="10">
        <f>SUM(D208:O208)</f>
        <v>5355.9</v>
      </c>
    </row>
    <row r="209" spans="1:16" x14ac:dyDescent="0.3">
      <c r="A209" s="2" t="s">
        <v>94</v>
      </c>
      <c r="B209" s="7"/>
      <c r="C209" s="2" t="s">
        <v>15</v>
      </c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</row>
    <row r="210" spans="1:16" x14ac:dyDescent="0.3">
      <c r="A210" s="2" t="s">
        <v>94</v>
      </c>
      <c r="B210" s="8" t="s">
        <v>39</v>
      </c>
      <c r="C210" s="2" t="s">
        <v>15</v>
      </c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>
        <v>434.8</v>
      </c>
      <c r="O210" s="9"/>
      <c r="P210" s="10">
        <f>SUM(D210:O210)</f>
        <v>434.8</v>
      </c>
    </row>
    <row r="211" spans="1:16" x14ac:dyDescent="0.3">
      <c r="A211" s="2" t="s">
        <v>94</v>
      </c>
      <c r="B211" s="8" t="s">
        <v>91</v>
      </c>
      <c r="C211" s="2" t="s">
        <v>15</v>
      </c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10">
        <f>SUM(D211:O211)</f>
        <v>0</v>
      </c>
    </row>
    <row r="212" spans="1:16" x14ac:dyDescent="0.3">
      <c r="A212" s="2" t="s">
        <v>94</v>
      </c>
      <c r="B212" s="8" t="s">
        <v>41</v>
      </c>
      <c r="C212" s="2" t="s">
        <v>15</v>
      </c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>
        <v>1757.1</v>
      </c>
      <c r="O212" s="9"/>
      <c r="P212" s="10">
        <f>SUM(D212:O212)</f>
        <v>1757.1</v>
      </c>
    </row>
    <row r="213" spans="1:16" x14ac:dyDescent="0.3">
      <c r="A213" s="2" t="s">
        <v>94</v>
      </c>
      <c r="B213" s="8" t="s">
        <v>42</v>
      </c>
      <c r="C213" s="2" t="s">
        <v>15</v>
      </c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>
        <v>3427.3</v>
      </c>
      <c r="O213" s="9"/>
      <c r="P213" s="10">
        <f>SUM(D213:O213)</f>
        <v>3427.3</v>
      </c>
    </row>
    <row r="214" spans="1:16" x14ac:dyDescent="0.3">
      <c r="A214" s="2" t="s">
        <v>94</v>
      </c>
      <c r="B214" s="7"/>
      <c r="C214" s="2" t="s">
        <v>15</v>
      </c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</row>
    <row r="215" spans="1:16" x14ac:dyDescent="0.3">
      <c r="A215" s="2" t="s">
        <v>94</v>
      </c>
      <c r="B215" s="8" t="s">
        <v>43</v>
      </c>
      <c r="C215" s="2" t="s">
        <v>15</v>
      </c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>
        <v>237.3</v>
      </c>
      <c r="O215" s="9"/>
      <c r="P215" s="10">
        <f t="shared" ref="P215:P222" si="11">SUM(D215:O215)</f>
        <v>237.3</v>
      </c>
    </row>
    <row r="216" spans="1:16" x14ac:dyDescent="0.3">
      <c r="A216" s="2" t="s">
        <v>94</v>
      </c>
      <c r="B216" s="3" t="s">
        <v>44</v>
      </c>
      <c r="C216" s="2" t="s">
        <v>15</v>
      </c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>
        <v>4.2230210706150337E-2</v>
      </c>
      <c r="O216" s="5"/>
      <c r="P216" s="5">
        <f t="shared" si="11"/>
        <v>4.2230210706150337E-2</v>
      </c>
    </row>
    <row r="217" spans="1:16" x14ac:dyDescent="0.3">
      <c r="A217" s="2" t="s">
        <v>94</v>
      </c>
      <c r="B217" s="3" t="s">
        <v>45</v>
      </c>
      <c r="C217" s="2" t="s">
        <v>15</v>
      </c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>
        <v>15.414026907744869</v>
      </c>
      <c r="O217" s="10"/>
      <c r="P217" s="10">
        <f t="shared" si="11"/>
        <v>15.414026907744869</v>
      </c>
    </row>
    <row r="218" spans="1:16" x14ac:dyDescent="0.3">
      <c r="A218" s="2" t="s">
        <v>94</v>
      </c>
      <c r="B218" s="11" t="s">
        <v>47</v>
      </c>
      <c r="C218" s="2" t="s">
        <v>15</v>
      </c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>
        <v>1.7053025658242399E-13</v>
      </c>
      <c r="O218" s="9"/>
      <c r="P218" s="10">
        <f t="shared" si="11"/>
        <v>1.7053025658242399E-13</v>
      </c>
    </row>
    <row r="219" spans="1:16" x14ac:dyDescent="0.3">
      <c r="A219" s="2" t="s">
        <v>94</v>
      </c>
      <c r="B219" s="3" t="s">
        <v>28</v>
      </c>
      <c r="C219" s="2" t="s">
        <v>16</v>
      </c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>
        <f t="shared" si="11"/>
        <v>0</v>
      </c>
    </row>
    <row r="220" spans="1:16" x14ac:dyDescent="0.3">
      <c r="A220" s="2" t="s">
        <v>94</v>
      </c>
      <c r="B220" s="3" t="s">
        <v>30</v>
      </c>
      <c r="C220" s="2" t="s">
        <v>16</v>
      </c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>
        <f t="shared" si="11"/>
        <v>0</v>
      </c>
    </row>
    <row r="221" spans="1:16" x14ac:dyDescent="0.3">
      <c r="A221" s="2" t="s">
        <v>94</v>
      </c>
      <c r="B221" s="3" t="s">
        <v>31</v>
      </c>
      <c r="C221" s="2" t="s">
        <v>16</v>
      </c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>
        <f t="shared" si="11"/>
        <v>0</v>
      </c>
    </row>
    <row r="222" spans="1:16" x14ac:dyDescent="0.3">
      <c r="A222" s="2" t="s">
        <v>94</v>
      </c>
      <c r="B222" s="3" t="s">
        <v>33</v>
      </c>
      <c r="C222" s="2" t="s">
        <v>16</v>
      </c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>
        <f t="shared" si="11"/>
        <v>0</v>
      </c>
    </row>
    <row r="223" spans="1:16" x14ac:dyDescent="0.3">
      <c r="A223" s="2" t="s">
        <v>94</v>
      </c>
      <c r="B223" s="7"/>
      <c r="C223" s="2" t="s">
        <v>16</v>
      </c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</row>
    <row r="224" spans="1:16" x14ac:dyDescent="0.3">
      <c r="A224" s="2" t="s">
        <v>94</v>
      </c>
      <c r="B224" s="8" t="s">
        <v>35</v>
      </c>
      <c r="C224" s="2" t="s">
        <v>16</v>
      </c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>
        <v>237.3</v>
      </c>
      <c r="O224" s="9">
        <v>14.135999999999999</v>
      </c>
      <c r="P224" s="10">
        <f>SUM(D224:O224)</f>
        <v>251.43600000000001</v>
      </c>
    </row>
    <row r="225" spans="1:16" x14ac:dyDescent="0.3">
      <c r="A225" s="2" t="s">
        <v>94</v>
      </c>
      <c r="B225" s="8" t="s">
        <v>37</v>
      </c>
      <c r="C225" s="2" t="s">
        <v>16</v>
      </c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>
        <v>331.2</v>
      </c>
      <c r="O225" s="9">
        <v>0</v>
      </c>
      <c r="P225" s="10">
        <f>SUM(D225:O225)</f>
        <v>331.2</v>
      </c>
    </row>
    <row r="226" spans="1:16" x14ac:dyDescent="0.3">
      <c r="A226" s="2" t="s">
        <v>94</v>
      </c>
      <c r="B226" s="8" t="s">
        <v>38</v>
      </c>
      <c r="C226" s="2" t="s">
        <v>16</v>
      </c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>
        <v>6044.8</v>
      </c>
      <c r="O226" s="9">
        <v>31.962</v>
      </c>
      <c r="P226" s="10">
        <f>SUM(D226:O226)</f>
        <v>6076.7620000000006</v>
      </c>
    </row>
    <row r="227" spans="1:16" x14ac:dyDescent="0.3">
      <c r="A227" s="2" t="s">
        <v>94</v>
      </c>
      <c r="B227" s="7"/>
      <c r="C227" s="2" t="s">
        <v>16</v>
      </c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</row>
    <row r="228" spans="1:16" x14ac:dyDescent="0.3">
      <c r="A228" s="2" t="s">
        <v>94</v>
      </c>
      <c r="B228" s="8" t="s">
        <v>39</v>
      </c>
      <c r="C228" s="2" t="s">
        <v>16</v>
      </c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>
        <v>333.8</v>
      </c>
      <c r="O228" s="9">
        <v>0</v>
      </c>
      <c r="P228" s="10">
        <f>SUM(D228:O228)</f>
        <v>333.8</v>
      </c>
    </row>
    <row r="229" spans="1:16" x14ac:dyDescent="0.3">
      <c r="A229" s="2" t="s">
        <v>94</v>
      </c>
      <c r="B229" s="8" t="s">
        <v>91</v>
      </c>
      <c r="C229" s="2" t="s">
        <v>16</v>
      </c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10">
        <f>SUM(D229:O229)</f>
        <v>0</v>
      </c>
    </row>
    <row r="230" spans="1:16" x14ac:dyDescent="0.3">
      <c r="A230" s="2" t="s">
        <v>94</v>
      </c>
      <c r="B230" s="8" t="s">
        <v>41</v>
      </c>
      <c r="C230" s="2" t="s">
        <v>16</v>
      </c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>
        <v>2017.5</v>
      </c>
      <c r="O230" s="9">
        <v>31.962</v>
      </c>
      <c r="P230" s="10">
        <f>SUM(D230:O230)</f>
        <v>2049.462</v>
      </c>
    </row>
    <row r="231" spans="1:16" x14ac:dyDescent="0.3">
      <c r="A231" s="2" t="s">
        <v>94</v>
      </c>
      <c r="B231" s="8" t="s">
        <v>42</v>
      </c>
      <c r="C231" s="2" t="s">
        <v>16</v>
      </c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>
        <v>3804.4</v>
      </c>
      <c r="O231" s="9">
        <v>0</v>
      </c>
      <c r="P231" s="10">
        <f>SUM(D231:O231)</f>
        <v>3804.4</v>
      </c>
    </row>
    <row r="232" spans="1:16" x14ac:dyDescent="0.3">
      <c r="A232" s="2" t="s">
        <v>94</v>
      </c>
      <c r="B232" s="7"/>
      <c r="C232" s="2" t="s">
        <v>16</v>
      </c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</row>
    <row r="233" spans="1:16" x14ac:dyDescent="0.3">
      <c r="A233" s="2" t="s">
        <v>94</v>
      </c>
      <c r="B233" s="8" t="s">
        <v>43</v>
      </c>
      <c r="C233" s="2" t="s">
        <v>16</v>
      </c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>
        <v>457.6</v>
      </c>
      <c r="O233" s="9">
        <v>14.135999999999999</v>
      </c>
      <c r="P233" s="10">
        <f t="shared" ref="P233:P240" si="12">SUM(D233:O233)</f>
        <v>471.73600000000005</v>
      </c>
    </row>
    <row r="234" spans="1:16" x14ac:dyDescent="0.3">
      <c r="A234" s="2" t="s">
        <v>94</v>
      </c>
      <c r="B234" s="3" t="s">
        <v>44</v>
      </c>
      <c r="C234" s="2" t="s">
        <v>16</v>
      </c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>
        <v>7.4337605796253869E-2</v>
      </c>
      <c r="O234" s="5">
        <v>0.44227520180213997</v>
      </c>
      <c r="P234" s="5">
        <f t="shared" si="12"/>
        <v>0.51661280759839379</v>
      </c>
    </row>
    <row r="235" spans="1:16" x14ac:dyDescent="0.3">
      <c r="A235" s="2" t="s">
        <v>94</v>
      </c>
      <c r="B235" s="3" t="s">
        <v>45</v>
      </c>
      <c r="C235" s="2" t="s">
        <v>16</v>
      </c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>
        <v>27.13322611563266</v>
      </c>
      <c r="O235" s="10">
        <v>161.43044865778111</v>
      </c>
      <c r="P235" s="10">
        <f t="shared" si="12"/>
        <v>188.56367477341377</v>
      </c>
    </row>
    <row r="236" spans="1:16" x14ac:dyDescent="0.3">
      <c r="A236" s="2" t="s">
        <v>94</v>
      </c>
      <c r="B236" s="11" t="s">
        <v>47</v>
      </c>
      <c r="C236" s="2" t="s">
        <v>16</v>
      </c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>
        <v>-1.13686837721616E-13</v>
      </c>
      <c r="O236" s="9">
        <v>0</v>
      </c>
      <c r="P236" s="10">
        <f t="shared" si="12"/>
        <v>-1.13686837721616E-13</v>
      </c>
    </row>
    <row r="237" spans="1:16" x14ac:dyDescent="0.3">
      <c r="A237" s="2" t="s">
        <v>94</v>
      </c>
      <c r="B237" s="3" t="s">
        <v>28</v>
      </c>
      <c r="C237" s="2" t="s">
        <v>17</v>
      </c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>
        <f t="shared" si="12"/>
        <v>0</v>
      </c>
    </row>
    <row r="238" spans="1:16" x14ac:dyDescent="0.3">
      <c r="A238" s="2" t="s">
        <v>94</v>
      </c>
      <c r="B238" s="3" t="s">
        <v>30</v>
      </c>
      <c r="C238" s="2" t="s">
        <v>17</v>
      </c>
      <c r="D238" s="4"/>
      <c r="E238" s="4"/>
      <c r="F238" s="4"/>
      <c r="G238" s="4"/>
      <c r="H238" s="4">
        <v>5.5147000000000004</v>
      </c>
      <c r="I238" s="4"/>
      <c r="J238" s="4"/>
      <c r="K238" s="4"/>
      <c r="L238" s="4"/>
      <c r="M238" s="4"/>
      <c r="N238" s="4"/>
      <c r="O238" s="4"/>
      <c r="P238" s="4">
        <f t="shared" si="12"/>
        <v>5.5147000000000004</v>
      </c>
    </row>
    <row r="239" spans="1:16" x14ac:dyDescent="0.3">
      <c r="A239" s="2" t="s">
        <v>94</v>
      </c>
      <c r="B239" s="3" t="s">
        <v>31</v>
      </c>
      <c r="C239" s="2" t="s">
        <v>17</v>
      </c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>
        <f t="shared" si="12"/>
        <v>0</v>
      </c>
    </row>
    <row r="240" spans="1:16" x14ac:dyDescent="0.3">
      <c r="A240" s="2" t="s">
        <v>94</v>
      </c>
      <c r="B240" s="3" t="s">
        <v>33</v>
      </c>
      <c r="C240" s="2" t="s">
        <v>17</v>
      </c>
      <c r="D240" s="6"/>
      <c r="E240" s="6"/>
      <c r="F240" s="6"/>
      <c r="G240" s="6"/>
      <c r="H240" s="6">
        <v>0.21807556186193261</v>
      </c>
      <c r="I240" s="6"/>
      <c r="J240" s="6"/>
      <c r="K240" s="6"/>
      <c r="L240" s="6"/>
      <c r="M240" s="6"/>
      <c r="N240" s="6"/>
      <c r="O240" s="6"/>
      <c r="P240" s="6">
        <f t="shared" si="12"/>
        <v>0.21807556186193261</v>
      </c>
    </row>
    <row r="241" spans="1:16" x14ac:dyDescent="0.3">
      <c r="A241" s="2" t="s">
        <v>94</v>
      </c>
      <c r="B241" s="7"/>
      <c r="C241" s="2" t="s">
        <v>17</v>
      </c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</row>
    <row r="242" spans="1:16" x14ac:dyDescent="0.3">
      <c r="A242" s="2" t="s">
        <v>94</v>
      </c>
      <c r="B242" s="8" t="s">
        <v>35</v>
      </c>
      <c r="C242" s="2" t="s">
        <v>17</v>
      </c>
      <c r="D242" s="9">
        <v>2.3420000000000001</v>
      </c>
      <c r="E242" s="9">
        <v>11.347</v>
      </c>
      <c r="F242" s="9">
        <v>30.238</v>
      </c>
      <c r="G242" s="9">
        <v>14.65</v>
      </c>
      <c r="H242" s="9">
        <v>14.526</v>
      </c>
      <c r="I242" s="9">
        <v>17.802</v>
      </c>
      <c r="J242" s="9">
        <v>9.2889999999999997</v>
      </c>
      <c r="K242" s="9">
        <v>9.0350000000000001</v>
      </c>
      <c r="L242" s="9">
        <v>6.83</v>
      </c>
      <c r="M242" s="9">
        <v>10.849</v>
      </c>
      <c r="N242" s="9">
        <v>457.6</v>
      </c>
      <c r="O242" s="9">
        <v>16.173999999999999</v>
      </c>
      <c r="P242" s="10">
        <f>SUM(D242:O242)</f>
        <v>600.68200000000002</v>
      </c>
    </row>
    <row r="243" spans="1:16" x14ac:dyDescent="0.3">
      <c r="A243" s="2" t="s">
        <v>94</v>
      </c>
      <c r="B243" s="8" t="s">
        <v>37</v>
      </c>
      <c r="C243" s="2" t="s">
        <v>17</v>
      </c>
      <c r="D243" s="9">
        <v>0</v>
      </c>
      <c r="E243" s="9">
        <v>0</v>
      </c>
      <c r="F243" s="9">
        <v>0</v>
      </c>
      <c r="G243" s="9">
        <v>0</v>
      </c>
      <c r="H243" s="9">
        <v>0</v>
      </c>
      <c r="I243" s="9">
        <v>0</v>
      </c>
      <c r="J243" s="9">
        <v>0</v>
      </c>
      <c r="K243" s="9">
        <v>0</v>
      </c>
      <c r="L243" s="9">
        <v>0</v>
      </c>
      <c r="M243" s="9">
        <v>0</v>
      </c>
      <c r="N243" s="9">
        <v>319</v>
      </c>
      <c r="O243" s="9">
        <v>0</v>
      </c>
      <c r="P243" s="10">
        <f>SUM(D243:O243)</f>
        <v>319</v>
      </c>
    </row>
    <row r="244" spans="1:16" x14ac:dyDescent="0.3">
      <c r="A244" s="2" t="s">
        <v>94</v>
      </c>
      <c r="B244" s="8" t="s">
        <v>38</v>
      </c>
      <c r="C244" s="2" t="s">
        <v>17</v>
      </c>
      <c r="D244" s="9">
        <v>22.547000000000001</v>
      </c>
      <c r="E244" s="9">
        <v>35.398000000000003</v>
      </c>
      <c r="F244" s="9">
        <v>35.213999999999999</v>
      </c>
      <c r="G244" s="9">
        <v>35.627000000000002</v>
      </c>
      <c r="H244" s="9">
        <v>32.729999999999997</v>
      </c>
      <c r="I244" s="9">
        <v>27.177</v>
      </c>
      <c r="J244" s="9">
        <v>27.898</v>
      </c>
      <c r="K244" s="9">
        <v>26.509</v>
      </c>
      <c r="L244" s="9">
        <v>25.821000000000002</v>
      </c>
      <c r="M244" s="9">
        <v>21.026</v>
      </c>
      <c r="N244" s="9">
        <v>6456.3</v>
      </c>
      <c r="O244" s="9">
        <v>29.957999999999998</v>
      </c>
      <c r="P244" s="10">
        <f>SUM(D244:O244)</f>
        <v>6776.2049999999999</v>
      </c>
    </row>
    <row r="245" spans="1:16" x14ac:dyDescent="0.3">
      <c r="A245" s="2" t="s">
        <v>94</v>
      </c>
      <c r="B245" s="7"/>
      <c r="C245" s="2" t="s">
        <v>17</v>
      </c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</row>
    <row r="246" spans="1:16" x14ac:dyDescent="0.3">
      <c r="A246" s="2" t="s">
        <v>94</v>
      </c>
      <c r="B246" s="8" t="s">
        <v>39</v>
      </c>
      <c r="C246" s="2" t="s">
        <v>17</v>
      </c>
      <c r="D246" s="9">
        <v>0</v>
      </c>
      <c r="E246" s="9">
        <v>0</v>
      </c>
      <c r="F246" s="9">
        <v>0</v>
      </c>
      <c r="G246" s="9">
        <v>0</v>
      </c>
      <c r="H246" s="9">
        <v>0</v>
      </c>
      <c r="I246" s="9">
        <v>0</v>
      </c>
      <c r="J246" s="9">
        <v>0</v>
      </c>
      <c r="K246" s="9">
        <v>0</v>
      </c>
      <c r="L246" s="9">
        <v>0</v>
      </c>
      <c r="M246" s="9">
        <v>0</v>
      </c>
      <c r="N246" s="9">
        <v>508.7</v>
      </c>
      <c r="O246" s="9">
        <v>0</v>
      </c>
      <c r="P246" s="10">
        <f>SUM(D246:O246)</f>
        <v>508.7</v>
      </c>
    </row>
    <row r="247" spans="1:16" x14ac:dyDescent="0.3">
      <c r="A247" s="2" t="s">
        <v>94</v>
      </c>
      <c r="B247" s="8" t="s">
        <v>91</v>
      </c>
      <c r="C247" s="2" t="s">
        <v>17</v>
      </c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10">
        <f>SUM(D247:O247)</f>
        <v>0</v>
      </c>
    </row>
    <row r="248" spans="1:16" x14ac:dyDescent="0.3">
      <c r="A248" s="2" t="s">
        <v>94</v>
      </c>
      <c r="B248" s="8" t="s">
        <v>41</v>
      </c>
      <c r="C248" s="2" t="s">
        <v>17</v>
      </c>
      <c r="D248" s="9">
        <v>22.547000000000001</v>
      </c>
      <c r="E248" s="9">
        <v>35.398000000000003</v>
      </c>
      <c r="F248" s="9">
        <v>35.213999999999999</v>
      </c>
      <c r="G248" s="9">
        <v>35.627000000000002</v>
      </c>
      <c r="H248" s="9">
        <v>32.729999999999997</v>
      </c>
      <c r="I248" s="9">
        <v>27.177</v>
      </c>
      <c r="J248" s="9">
        <v>27.898</v>
      </c>
      <c r="K248" s="9">
        <v>26.509</v>
      </c>
      <c r="L248" s="9">
        <v>25.821000000000009</v>
      </c>
      <c r="M248" s="9">
        <v>21.026</v>
      </c>
      <c r="N248" s="9">
        <v>2154</v>
      </c>
      <c r="O248" s="9">
        <v>29.957999999999998</v>
      </c>
      <c r="P248" s="10">
        <f>SUM(D248:O248)</f>
        <v>2473.9050000000002</v>
      </c>
    </row>
    <row r="249" spans="1:16" x14ac:dyDescent="0.3">
      <c r="A249" s="2" t="s">
        <v>94</v>
      </c>
      <c r="B249" s="8" t="s">
        <v>42</v>
      </c>
      <c r="C249" s="2" t="s">
        <v>17</v>
      </c>
      <c r="D249" s="9">
        <v>0</v>
      </c>
      <c r="E249" s="9">
        <v>0</v>
      </c>
      <c r="F249" s="9">
        <v>0</v>
      </c>
      <c r="G249" s="9">
        <v>0</v>
      </c>
      <c r="H249" s="9">
        <v>0</v>
      </c>
      <c r="I249" s="9">
        <v>0</v>
      </c>
      <c r="J249" s="9">
        <v>0</v>
      </c>
      <c r="K249" s="9">
        <v>0</v>
      </c>
      <c r="L249" s="9">
        <v>0</v>
      </c>
      <c r="M249" s="9">
        <v>0</v>
      </c>
      <c r="N249" s="9">
        <v>4190.6000000000004</v>
      </c>
      <c r="O249" s="9">
        <v>0</v>
      </c>
      <c r="P249" s="10">
        <f>SUM(D249:O249)</f>
        <v>4190.6000000000004</v>
      </c>
    </row>
    <row r="250" spans="1:16" x14ac:dyDescent="0.3">
      <c r="A250" s="2" t="s">
        <v>94</v>
      </c>
      <c r="B250" s="7"/>
      <c r="C250" s="2" t="s">
        <v>17</v>
      </c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</row>
    <row r="251" spans="1:16" x14ac:dyDescent="0.3">
      <c r="A251" s="2" t="s">
        <v>94</v>
      </c>
      <c r="B251" s="8" t="s">
        <v>43</v>
      </c>
      <c r="C251" s="2" t="s">
        <v>17</v>
      </c>
      <c r="D251" s="9">
        <v>2.3420000000000001</v>
      </c>
      <c r="E251" s="9">
        <v>11.347</v>
      </c>
      <c r="F251" s="9">
        <v>30.238</v>
      </c>
      <c r="G251" s="9">
        <v>14.65</v>
      </c>
      <c r="H251" s="9">
        <v>14.526</v>
      </c>
      <c r="I251" s="9">
        <v>17.802</v>
      </c>
      <c r="J251" s="9">
        <v>9.2889999999999997</v>
      </c>
      <c r="K251" s="9">
        <v>9.0350000000000001</v>
      </c>
      <c r="L251" s="9">
        <v>6.83</v>
      </c>
      <c r="M251" s="9">
        <v>10.849</v>
      </c>
      <c r="N251" s="9">
        <v>379.6</v>
      </c>
      <c r="O251" s="9">
        <v>16.173999999999999</v>
      </c>
      <c r="P251" s="10">
        <f t="shared" ref="P251:P258" si="13">SUM(D251:O251)</f>
        <v>522.68200000000002</v>
      </c>
    </row>
    <row r="252" spans="1:16" x14ac:dyDescent="0.3">
      <c r="A252" s="2" t="s">
        <v>94</v>
      </c>
      <c r="B252" s="3" t="s">
        <v>44</v>
      </c>
      <c r="C252" s="2" t="s">
        <v>17</v>
      </c>
      <c r="D252" s="5">
        <v>0.10387191200603189</v>
      </c>
      <c r="E252" s="5">
        <v>0.3205548336064184</v>
      </c>
      <c r="F252" s="5">
        <v>0.85869256545692052</v>
      </c>
      <c r="G252" s="5">
        <v>0.41120498498329922</v>
      </c>
      <c r="H252" s="5">
        <v>0.44381301558203479</v>
      </c>
      <c r="I252" s="5">
        <v>0.65503918754829449</v>
      </c>
      <c r="J252" s="5">
        <v>0.33296293641121227</v>
      </c>
      <c r="K252" s="5">
        <v>0.34082764344185001</v>
      </c>
      <c r="L252" s="5">
        <v>0.26451338058169699</v>
      </c>
      <c r="M252" s="5">
        <v>0.51598021497193947</v>
      </c>
      <c r="N252" s="5">
        <v>5.5389374461938042E-2</v>
      </c>
      <c r="O252" s="5">
        <v>0.53988917818278925</v>
      </c>
      <c r="P252" s="5">
        <f t="shared" si="13"/>
        <v>4.842739227234425</v>
      </c>
    </row>
    <row r="253" spans="1:16" x14ac:dyDescent="0.3">
      <c r="A253" s="2" t="s">
        <v>94</v>
      </c>
      <c r="B253" s="3" t="s">
        <v>45</v>
      </c>
      <c r="C253" s="2" t="s">
        <v>17</v>
      </c>
      <c r="D253" s="10">
        <v>37.913247882201617</v>
      </c>
      <c r="E253" s="10">
        <v>117.0025142663427</v>
      </c>
      <c r="F253" s="10">
        <v>313.42278639177601</v>
      </c>
      <c r="G253" s="10">
        <v>150.08981951890419</v>
      </c>
      <c r="H253" s="10">
        <v>161.9917506874427</v>
      </c>
      <c r="I253" s="10">
        <v>239.08930345512749</v>
      </c>
      <c r="J253" s="10">
        <v>121.5314717900925</v>
      </c>
      <c r="K253" s="10">
        <v>124.4020898562752</v>
      </c>
      <c r="L253" s="10">
        <v>96.547383912319418</v>
      </c>
      <c r="M253" s="10">
        <v>188.33277846475789</v>
      </c>
      <c r="N253" s="10">
        <v>20.217121678607381</v>
      </c>
      <c r="O253" s="10">
        <v>197.05955003671809</v>
      </c>
      <c r="P253" s="10">
        <f t="shared" si="13"/>
        <v>1767.5998179405651</v>
      </c>
    </row>
    <row r="254" spans="1:16" x14ac:dyDescent="0.3">
      <c r="A254" s="2" t="s">
        <v>94</v>
      </c>
      <c r="B254" s="11" t="s">
        <v>47</v>
      </c>
      <c r="C254" s="2" t="s">
        <v>17</v>
      </c>
      <c r="D254" s="9">
        <v>-1.332267629550188E-15</v>
      </c>
      <c r="E254" s="9">
        <v>1.7763568394002501E-15</v>
      </c>
      <c r="F254" s="9">
        <v>0</v>
      </c>
      <c r="G254" s="9">
        <v>-1.7763568394002501E-15</v>
      </c>
      <c r="H254" s="9">
        <v>-3.5527136788005009E-15</v>
      </c>
      <c r="I254" s="9">
        <v>0</v>
      </c>
      <c r="J254" s="9">
        <v>-1.7763568394002501E-15</v>
      </c>
      <c r="K254" s="9">
        <v>-3.5527136788005009E-15</v>
      </c>
      <c r="L254" s="9">
        <v>-1.7763568394002501E-15</v>
      </c>
      <c r="M254" s="9">
        <v>0</v>
      </c>
      <c r="N254" s="9">
        <v>3.4106051316484809E-13</v>
      </c>
      <c r="O254" s="9">
        <v>0</v>
      </c>
      <c r="P254" s="10">
        <f t="shared" si="13"/>
        <v>3.290701044988964E-13</v>
      </c>
    </row>
    <row r="255" spans="1:16" x14ac:dyDescent="0.3">
      <c r="A255" s="2" t="s">
        <v>94</v>
      </c>
      <c r="B255" s="3" t="s">
        <v>28</v>
      </c>
      <c r="C255" s="2" t="s">
        <v>18</v>
      </c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>
        <f t="shared" si="13"/>
        <v>0</v>
      </c>
    </row>
    <row r="256" spans="1:16" x14ac:dyDescent="0.3">
      <c r="A256" s="2" t="s">
        <v>94</v>
      </c>
      <c r="B256" s="3" t="s">
        <v>30</v>
      </c>
      <c r="C256" s="2" t="s">
        <v>18</v>
      </c>
      <c r="D256" s="4"/>
      <c r="E256" s="4"/>
      <c r="F256" s="4"/>
      <c r="G256" s="4"/>
      <c r="H256" s="4">
        <v>7.2519999999999998</v>
      </c>
      <c r="I256" s="4"/>
      <c r="J256" s="4"/>
      <c r="K256" s="4"/>
      <c r="L256" s="4"/>
      <c r="M256" s="4"/>
      <c r="N256" s="4"/>
      <c r="O256" s="4"/>
      <c r="P256" s="4">
        <f t="shared" si="13"/>
        <v>7.2519999999999998</v>
      </c>
    </row>
    <row r="257" spans="1:16" x14ac:dyDescent="0.3">
      <c r="A257" s="2" t="s">
        <v>94</v>
      </c>
      <c r="B257" s="3" t="s">
        <v>31</v>
      </c>
      <c r="C257" s="2" t="s">
        <v>18</v>
      </c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>
        <f t="shared" si="13"/>
        <v>0</v>
      </c>
    </row>
    <row r="258" spans="1:16" x14ac:dyDescent="0.3">
      <c r="A258" s="2" t="s">
        <v>94</v>
      </c>
      <c r="B258" s="3" t="s">
        <v>33</v>
      </c>
      <c r="C258" s="2" t="s">
        <v>18</v>
      </c>
      <c r="D258" s="6"/>
      <c r="E258" s="6"/>
      <c r="F258" s="6"/>
      <c r="G258" s="6"/>
      <c r="H258" s="6">
        <v>0.1535564417953667</v>
      </c>
      <c r="I258" s="6"/>
      <c r="J258" s="6"/>
      <c r="K258" s="6"/>
      <c r="L258" s="6"/>
      <c r="M258" s="6"/>
      <c r="N258" s="6"/>
      <c r="O258" s="6"/>
      <c r="P258" s="6">
        <f t="shared" si="13"/>
        <v>0.1535564417953667</v>
      </c>
    </row>
    <row r="259" spans="1:16" x14ac:dyDescent="0.3">
      <c r="A259" s="2" t="s">
        <v>94</v>
      </c>
      <c r="B259" s="7"/>
      <c r="C259" s="2" t="s">
        <v>18</v>
      </c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</row>
    <row r="260" spans="1:16" x14ac:dyDescent="0.3">
      <c r="A260" s="2" t="s">
        <v>94</v>
      </c>
      <c r="B260" s="8" t="s">
        <v>35</v>
      </c>
      <c r="C260" s="2" t="s">
        <v>18</v>
      </c>
      <c r="D260" s="9">
        <v>10.824</v>
      </c>
      <c r="E260" s="9">
        <v>8.82</v>
      </c>
      <c r="F260" s="9">
        <v>5.1100000000000003</v>
      </c>
      <c r="G260" s="9">
        <v>8.8849999999999998</v>
      </c>
      <c r="H260" s="9">
        <v>9.44</v>
      </c>
      <c r="I260" s="9">
        <v>10.051</v>
      </c>
      <c r="J260" s="9">
        <v>11.702999999999999</v>
      </c>
      <c r="K260" s="9">
        <v>9.1669999999999998</v>
      </c>
      <c r="L260" s="9">
        <v>5.9050000000000002</v>
      </c>
      <c r="M260" s="9">
        <v>5.7949999999999999</v>
      </c>
      <c r="N260" s="9">
        <v>379.6</v>
      </c>
      <c r="O260" s="9">
        <v>6.1310000000000002</v>
      </c>
      <c r="P260" s="10">
        <f>SUM(D260:O260)</f>
        <v>471.43100000000004</v>
      </c>
    </row>
    <row r="261" spans="1:16" x14ac:dyDescent="0.3">
      <c r="A261" s="2" t="s">
        <v>94</v>
      </c>
      <c r="B261" s="8" t="s">
        <v>37</v>
      </c>
      <c r="C261" s="2" t="s">
        <v>18</v>
      </c>
      <c r="D261" s="9">
        <v>0</v>
      </c>
      <c r="E261" s="9">
        <v>0</v>
      </c>
      <c r="F261" s="9">
        <v>0</v>
      </c>
      <c r="G261" s="9">
        <v>0</v>
      </c>
      <c r="H261" s="9">
        <v>0</v>
      </c>
      <c r="I261" s="9">
        <v>0</v>
      </c>
      <c r="J261" s="9">
        <v>0</v>
      </c>
      <c r="K261" s="9">
        <v>0</v>
      </c>
      <c r="L261" s="9">
        <v>0</v>
      </c>
      <c r="M261" s="9">
        <v>0</v>
      </c>
      <c r="N261" s="9">
        <v>482.4</v>
      </c>
      <c r="O261" s="9">
        <v>0</v>
      </c>
      <c r="P261" s="10">
        <f>SUM(D261:O261)</f>
        <v>482.4</v>
      </c>
    </row>
    <row r="262" spans="1:16" x14ac:dyDescent="0.3">
      <c r="A262" s="2" t="s">
        <v>94</v>
      </c>
      <c r="B262" s="8" t="s">
        <v>38</v>
      </c>
      <c r="C262" s="2" t="s">
        <v>18</v>
      </c>
      <c r="D262" s="9">
        <v>27.59</v>
      </c>
      <c r="E262" s="9">
        <v>34.472999999999999</v>
      </c>
      <c r="F262" s="9">
        <v>33.113</v>
      </c>
      <c r="G262" s="9">
        <v>28.524000000000001</v>
      </c>
      <c r="H262" s="9">
        <v>30.306999999999999</v>
      </c>
      <c r="I262" s="9">
        <v>26.695</v>
      </c>
      <c r="J262" s="9">
        <v>29.122</v>
      </c>
      <c r="K262" s="9">
        <v>28.861000000000001</v>
      </c>
      <c r="L262" s="9">
        <v>29.748999999999999</v>
      </c>
      <c r="M262" s="9">
        <v>27.390999999999998</v>
      </c>
      <c r="N262" s="9">
        <v>6596.5</v>
      </c>
      <c r="O262" s="9">
        <v>25.58</v>
      </c>
      <c r="P262" s="10">
        <f>SUM(D262:O262)</f>
        <v>6917.9049999999997</v>
      </c>
    </row>
    <row r="263" spans="1:16" x14ac:dyDescent="0.3">
      <c r="A263" s="2" t="s">
        <v>94</v>
      </c>
      <c r="B263" s="7"/>
      <c r="C263" s="2" t="s">
        <v>18</v>
      </c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</row>
    <row r="264" spans="1:16" x14ac:dyDescent="0.3">
      <c r="A264" s="2" t="s">
        <v>94</v>
      </c>
      <c r="B264" s="8" t="s">
        <v>39</v>
      </c>
      <c r="C264" s="2" t="s">
        <v>18</v>
      </c>
      <c r="D264" s="9">
        <v>0</v>
      </c>
      <c r="E264" s="9">
        <v>0</v>
      </c>
      <c r="F264" s="9">
        <v>0</v>
      </c>
      <c r="G264" s="9">
        <v>0</v>
      </c>
      <c r="H264" s="9">
        <v>0</v>
      </c>
      <c r="I264" s="9">
        <v>0</v>
      </c>
      <c r="J264" s="9">
        <v>0</v>
      </c>
      <c r="K264" s="9">
        <v>0</v>
      </c>
      <c r="L264" s="9">
        <v>0</v>
      </c>
      <c r="M264" s="9">
        <v>0</v>
      </c>
      <c r="N264" s="9">
        <v>550.5</v>
      </c>
      <c r="O264" s="9">
        <v>0</v>
      </c>
      <c r="P264" s="10">
        <f>SUM(D264:O264)</f>
        <v>550.5</v>
      </c>
    </row>
    <row r="265" spans="1:16" x14ac:dyDescent="0.3">
      <c r="A265" s="2" t="s">
        <v>94</v>
      </c>
      <c r="B265" s="8" t="s">
        <v>91</v>
      </c>
      <c r="C265" s="2" t="s">
        <v>18</v>
      </c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10">
        <f>SUM(D265:O265)</f>
        <v>0</v>
      </c>
    </row>
    <row r="266" spans="1:16" x14ac:dyDescent="0.3">
      <c r="A266" s="2" t="s">
        <v>94</v>
      </c>
      <c r="B266" s="8" t="s">
        <v>41</v>
      </c>
      <c r="C266" s="2" t="s">
        <v>18</v>
      </c>
      <c r="D266" s="9">
        <v>27.59</v>
      </c>
      <c r="E266" s="9">
        <v>34.472999999999999</v>
      </c>
      <c r="F266" s="9">
        <v>33.113</v>
      </c>
      <c r="G266" s="9">
        <v>28.524000000000001</v>
      </c>
      <c r="H266" s="9">
        <v>30.306999999999999</v>
      </c>
      <c r="I266" s="9">
        <v>26.695</v>
      </c>
      <c r="J266" s="9">
        <v>29.122</v>
      </c>
      <c r="K266" s="9">
        <v>28.861000000000001</v>
      </c>
      <c r="L266" s="9">
        <v>29.748999999999999</v>
      </c>
      <c r="M266" s="9">
        <v>27.390999999999998</v>
      </c>
      <c r="N266" s="9">
        <v>2133.1999999999998</v>
      </c>
      <c r="O266" s="9">
        <v>25.58</v>
      </c>
      <c r="P266" s="10">
        <f>SUM(D266:O266)</f>
        <v>2454.6049999999996</v>
      </c>
    </row>
    <row r="267" spans="1:16" x14ac:dyDescent="0.3">
      <c r="A267" s="2" t="s">
        <v>94</v>
      </c>
      <c r="B267" s="8" t="s">
        <v>42</v>
      </c>
      <c r="C267" s="2" t="s">
        <v>18</v>
      </c>
      <c r="D267" s="9">
        <v>0</v>
      </c>
      <c r="E267" s="9">
        <v>0</v>
      </c>
      <c r="F267" s="9">
        <v>0</v>
      </c>
      <c r="G267" s="9">
        <v>0</v>
      </c>
      <c r="H267" s="9">
        <v>0</v>
      </c>
      <c r="I267" s="9">
        <v>0</v>
      </c>
      <c r="J267" s="9">
        <v>0</v>
      </c>
      <c r="K267" s="9">
        <v>0</v>
      </c>
      <c r="L267" s="9">
        <v>0</v>
      </c>
      <c r="M267" s="9">
        <v>0</v>
      </c>
      <c r="N267" s="9">
        <v>4419.8</v>
      </c>
      <c r="O267" s="9">
        <v>0</v>
      </c>
      <c r="P267" s="10">
        <f>SUM(D267:O267)</f>
        <v>4419.8</v>
      </c>
    </row>
    <row r="268" spans="1:16" x14ac:dyDescent="0.3">
      <c r="A268" s="2" t="s">
        <v>94</v>
      </c>
      <c r="B268" s="7"/>
      <c r="C268" s="2" t="s">
        <v>18</v>
      </c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</row>
    <row r="269" spans="1:16" x14ac:dyDescent="0.3">
      <c r="A269" s="2" t="s">
        <v>94</v>
      </c>
      <c r="B269" s="8" t="s">
        <v>43</v>
      </c>
      <c r="C269" s="2" t="s">
        <v>18</v>
      </c>
      <c r="D269" s="9">
        <v>10.824</v>
      </c>
      <c r="E269" s="9">
        <v>8.82</v>
      </c>
      <c r="F269" s="9">
        <v>5.1100000000000003</v>
      </c>
      <c r="G269" s="9">
        <v>8.8849999999999998</v>
      </c>
      <c r="H269" s="9">
        <v>9.44</v>
      </c>
      <c r="I269" s="9">
        <v>10.051</v>
      </c>
      <c r="J269" s="9">
        <v>11.702999999999999</v>
      </c>
      <c r="K269" s="9">
        <v>9.1669999999999998</v>
      </c>
      <c r="L269" s="9">
        <v>5.9050000000000002</v>
      </c>
      <c r="M269" s="9">
        <v>5.7949999999999999</v>
      </c>
      <c r="N269" s="9">
        <v>355</v>
      </c>
      <c r="O269" s="9">
        <v>6.1310000000000002</v>
      </c>
      <c r="P269" s="10">
        <f t="shared" ref="P269:P276" si="14">SUM(D269:O269)</f>
        <v>446.83100000000002</v>
      </c>
    </row>
    <row r="270" spans="1:16" x14ac:dyDescent="0.3">
      <c r="A270" s="2" t="s">
        <v>94</v>
      </c>
      <c r="B270" s="3" t="s">
        <v>44</v>
      </c>
      <c r="C270" s="2" t="s">
        <v>18</v>
      </c>
      <c r="D270" s="5">
        <v>0.3923160565422254</v>
      </c>
      <c r="E270" s="5">
        <v>0.25585240623096339</v>
      </c>
      <c r="F270" s="5">
        <v>0.15432005556729991</v>
      </c>
      <c r="G270" s="5">
        <v>0.31149207684756702</v>
      </c>
      <c r="H270" s="5">
        <v>0.31147919622529452</v>
      </c>
      <c r="I270" s="5">
        <v>0.37651245551601431</v>
      </c>
      <c r="J270" s="5">
        <v>0.40186113591099498</v>
      </c>
      <c r="K270" s="5">
        <v>0.3176258618897474</v>
      </c>
      <c r="L270" s="5">
        <v>0.19849406702746311</v>
      </c>
      <c r="M270" s="5">
        <v>0.2115658427950787</v>
      </c>
      <c r="N270" s="5">
        <v>4.9975364257056377E-2</v>
      </c>
      <c r="O270" s="5">
        <v>0.23967943706020331</v>
      </c>
      <c r="P270" s="5">
        <f t="shared" si="14"/>
        <v>3.2211739558699093</v>
      </c>
    </row>
    <row r="271" spans="1:16" x14ac:dyDescent="0.3">
      <c r="A271" s="2" t="s">
        <v>94</v>
      </c>
      <c r="B271" s="3" t="s">
        <v>45</v>
      </c>
      <c r="C271" s="2" t="s">
        <v>18</v>
      </c>
      <c r="D271" s="10">
        <v>143.1953606379123</v>
      </c>
      <c r="E271" s="10">
        <v>93.38612827430164</v>
      </c>
      <c r="F271" s="10">
        <v>56.326820282064453</v>
      </c>
      <c r="G271" s="10">
        <v>113.6946080493619</v>
      </c>
      <c r="H271" s="10">
        <v>113.6899066222325</v>
      </c>
      <c r="I271" s="10">
        <v>137.4270462633452</v>
      </c>
      <c r="J271" s="10">
        <v>146.67931460751319</v>
      </c>
      <c r="K271" s="10">
        <v>115.9334395897578</v>
      </c>
      <c r="L271" s="10">
        <v>72.450334465024042</v>
      </c>
      <c r="M271" s="10">
        <v>77.221532620203718</v>
      </c>
      <c r="N271" s="10">
        <v>18.24100795382558</v>
      </c>
      <c r="O271" s="10">
        <v>87.48299452697421</v>
      </c>
      <c r="P271" s="10">
        <f t="shared" si="14"/>
        <v>1175.7284938925166</v>
      </c>
    </row>
    <row r="272" spans="1:16" x14ac:dyDescent="0.3">
      <c r="A272" s="2" t="s">
        <v>94</v>
      </c>
      <c r="B272" s="11" t="s">
        <v>47</v>
      </c>
      <c r="C272" s="2" t="s">
        <v>18</v>
      </c>
      <c r="D272" s="9">
        <v>-1.7763568394002501E-15</v>
      </c>
      <c r="E272" s="9">
        <v>0</v>
      </c>
      <c r="F272" s="9">
        <v>-8.8817841970012523E-16</v>
      </c>
      <c r="G272" s="9">
        <v>-1.7763568394002501E-15</v>
      </c>
      <c r="H272" s="9">
        <v>1.7763568394002501E-15</v>
      </c>
      <c r="I272" s="9">
        <v>1.7763568394002501E-15</v>
      </c>
      <c r="J272" s="9">
        <v>0</v>
      </c>
      <c r="K272" s="9">
        <v>-1.7763568394002501E-15</v>
      </c>
      <c r="L272" s="9">
        <v>8.8817841970012523E-16</v>
      </c>
      <c r="M272" s="9">
        <v>1.7763568394002501E-15</v>
      </c>
      <c r="N272" s="9">
        <v>0</v>
      </c>
      <c r="O272" s="9">
        <v>0</v>
      </c>
      <c r="P272" s="10">
        <f t="shared" si="14"/>
        <v>0</v>
      </c>
    </row>
    <row r="273" spans="1:16" x14ac:dyDescent="0.3">
      <c r="A273" s="2" t="s">
        <v>94</v>
      </c>
      <c r="B273" s="3" t="s">
        <v>28</v>
      </c>
      <c r="C273" s="2" t="s">
        <v>19</v>
      </c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>
        <f t="shared" si="14"/>
        <v>0</v>
      </c>
    </row>
    <row r="274" spans="1:16" x14ac:dyDescent="0.3">
      <c r="A274" s="2" t="s">
        <v>94</v>
      </c>
      <c r="B274" s="3" t="s">
        <v>30</v>
      </c>
      <c r="C274" s="2" t="s">
        <v>19</v>
      </c>
      <c r="D274" s="4"/>
      <c r="E274" s="4"/>
      <c r="F274" s="4"/>
      <c r="G274" s="4"/>
      <c r="H274" s="4">
        <v>6.2755000000000001</v>
      </c>
      <c r="I274" s="4"/>
      <c r="J274" s="4"/>
      <c r="K274" s="4"/>
      <c r="L274" s="4"/>
      <c r="M274" s="4"/>
      <c r="N274" s="4"/>
      <c r="O274" s="4"/>
      <c r="P274" s="4">
        <f t="shared" si="14"/>
        <v>6.2755000000000001</v>
      </c>
    </row>
    <row r="275" spans="1:16" x14ac:dyDescent="0.3">
      <c r="A275" s="2" t="s">
        <v>94</v>
      </c>
      <c r="B275" s="3" t="s">
        <v>31</v>
      </c>
      <c r="C275" s="2" t="s">
        <v>19</v>
      </c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>
        <f t="shared" si="14"/>
        <v>0</v>
      </c>
    </row>
    <row r="276" spans="1:16" x14ac:dyDescent="0.3">
      <c r="A276" s="2" t="s">
        <v>94</v>
      </c>
      <c r="B276" s="3" t="s">
        <v>33</v>
      </c>
      <c r="C276" s="2" t="s">
        <v>19</v>
      </c>
      <c r="D276" s="6"/>
      <c r="E276" s="6"/>
      <c r="F276" s="6"/>
      <c r="G276" s="6"/>
      <c r="H276" s="6">
        <v>0.16600974043502509</v>
      </c>
      <c r="I276" s="6"/>
      <c r="J276" s="6"/>
      <c r="K276" s="6"/>
      <c r="L276" s="6"/>
      <c r="M276" s="6"/>
      <c r="N276" s="6"/>
      <c r="O276" s="6"/>
      <c r="P276" s="6">
        <f t="shared" si="14"/>
        <v>0.16600974043502509</v>
      </c>
    </row>
    <row r="277" spans="1:16" x14ac:dyDescent="0.3">
      <c r="A277" s="2" t="s">
        <v>94</v>
      </c>
      <c r="B277" s="7"/>
      <c r="C277" s="2" t="s">
        <v>19</v>
      </c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</row>
    <row r="278" spans="1:16" x14ac:dyDescent="0.3">
      <c r="A278" s="2" t="s">
        <v>94</v>
      </c>
      <c r="B278" s="8" t="s">
        <v>35</v>
      </c>
      <c r="C278" s="2" t="s">
        <v>19</v>
      </c>
      <c r="D278" s="9">
        <v>8.4550000000000001</v>
      </c>
      <c r="E278" s="9">
        <v>5.5519999999999996</v>
      </c>
      <c r="F278" s="9">
        <v>11.035</v>
      </c>
      <c r="G278" s="9">
        <v>11.202</v>
      </c>
      <c r="H278" s="9">
        <v>4.4640000000000004</v>
      </c>
      <c r="I278" s="9">
        <v>7.3040000000000003</v>
      </c>
      <c r="J278" s="9">
        <v>10.429</v>
      </c>
      <c r="K278" s="9">
        <v>8.1310000000000002</v>
      </c>
      <c r="L278" s="9">
        <v>8.6820000000000004</v>
      </c>
      <c r="M278" s="9">
        <v>8.343</v>
      </c>
      <c r="N278" s="9">
        <v>355</v>
      </c>
      <c r="O278" s="9">
        <v>5.9989999999999997</v>
      </c>
      <c r="P278" s="10">
        <f>SUM(D278:O278)</f>
        <v>444.596</v>
      </c>
    </row>
    <row r="279" spans="1:16" x14ac:dyDescent="0.3">
      <c r="A279" s="2" t="s">
        <v>94</v>
      </c>
      <c r="B279" s="8" t="s">
        <v>37</v>
      </c>
      <c r="C279" s="2" t="s">
        <v>19</v>
      </c>
      <c r="D279" s="9">
        <v>0</v>
      </c>
      <c r="E279" s="9">
        <v>0</v>
      </c>
      <c r="F279" s="9">
        <v>0</v>
      </c>
      <c r="G279" s="9">
        <v>0</v>
      </c>
      <c r="H279" s="9">
        <v>0</v>
      </c>
      <c r="I279" s="9">
        <v>0</v>
      </c>
      <c r="J279" s="9">
        <v>0</v>
      </c>
      <c r="K279" s="9">
        <v>0</v>
      </c>
      <c r="L279" s="9">
        <v>0</v>
      </c>
      <c r="M279" s="9">
        <v>0</v>
      </c>
      <c r="N279" s="9">
        <v>534.5</v>
      </c>
      <c r="O279" s="9">
        <v>0</v>
      </c>
      <c r="P279" s="10">
        <f>SUM(D279:O279)</f>
        <v>534.5</v>
      </c>
    </row>
    <row r="280" spans="1:16" x14ac:dyDescent="0.3">
      <c r="A280" s="2" t="s">
        <v>94</v>
      </c>
      <c r="B280" s="8" t="s">
        <v>38</v>
      </c>
      <c r="C280" s="2" t="s">
        <v>19</v>
      </c>
      <c r="D280" s="9">
        <v>26.257999999999999</v>
      </c>
      <c r="E280" s="9">
        <v>31.939</v>
      </c>
      <c r="F280" s="9">
        <v>30.795999999999999</v>
      </c>
      <c r="G280" s="9">
        <v>29.736999999999998</v>
      </c>
      <c r="H280" s="9">
        <v>28.353000000000002</v>
      </c>
      <c r="I280" s="9">
        <v>27.381</v>
      </c>
      <c r="J280" s="9">
        <v>31.608000000000001</v>
      </c>
      <c r="K280" s="9">
        <v>31.151</v>
      </c>
      <c r="L280" s="9">
        <v>33.643000000000001</v>
      </c>
      <c r="M280" s="9">
        <v>31.77</v>
      </c>
      <c r="N280" s="9">
        <v>7716.6</v>
      </c>
      <c r="O280" s="9">
        <v>30.963999999999999</v>
      </c>
      <c r="P280" s="10">
        <f>SUM(D280:O280)</f>
        <v>8050.2000000000007</v>
      </c>
    </row>
    <row r="281" spans="1:16" x14ac:dyDescent="0.3">
      <c r="A281" s="2" t="s">
        <v>94</v>
      </c>
      <c r="B281" s="7"/>
      <c r="C281" s="2" t="s">
        <v>19</v>
      </c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</row>
    <row r="282" spans="1:16" x14ac:dyDescent="0.3">
      <c r="A282" s="2" t="s">
        <v>94</v>
      </c>
      <c r="B282" s="8" t="s">
        <v>39</v>
      </c>
      <c r="C282" s="2" t="s">
        <v>19</v>
      </c>
      <c r="D282" s="9">
        <v>0</v>
      </c>
      <c r="E282" s="9">
        <v>0</v>
      </c>
      <c r="F282" s="9">
        <v>0</v>
      </c>
      <c r="G282" s="9">
        <v>0</v>
      </c>
      <c r="H282" s="9">
        <v>0</v>
      </c>
      <c r="I282" s="9">
        <v>0</v>
      </c>
      <c r="J282" s="9">
        <v>0</v>
      </c>
      <c r="K282" s="9">
        <v>0</v>
      </c>
      <c r="L282" s="9">
        <v>0</v>
      </c>
      <c r="M282" s="9">
        <v>0</v>
      </c>
      <c r="N282" s="9">
        <v>795.7</v>
      </c>
      <c r="O282" s="9">
        <v>0</v>
      </c>
      <c r="P282" s="10">
        <f>SUM(D282:O282)</f>
        <v>795.7</v>
      </c>
    </row>
    <row r="283" spans="1:16" x14ac:dyDescent="0.3">
      <c r="A283" s="2" t="s">
        <v>94</v>
      </c>
      <c r="B283" s="8" t="s">
        <v>91</v>
      </c>
      <c r="C283" s="2" t="s">
        <v>19</v>
      </c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10">
        <f>SUM(D283:O283)</f>
        <v>0</v>
      </c>
    </row>
    <row r="284" spans="1:16" x14ac:dyDescent="0.3">
      <c r="A284" s="2" t="s">
        <v>94</v>
      </c>
      <c r="B284" s="8" t="s">
        <v>41</v>
      </c>
      <c r="C284" s="2" t="s">
        <v>19</v>
      </c>
      <c r="D284" s="9">
        <v>26.257999999999999</v>
      </c>
      <c r="E284" s="9">
        <v>31.939</v>
      </c>
      <c r="F284" s="9">
        <v>30.795999999999999</v>
      </c>
      <c r="G284" s="9">
        <v>29.736999999999998</v>
      </c>
      <c r="H284" s="9">
        <v>28.353000000000002</v>
      </c>
      <c r="I284" s="9">
        <v>27.381</v>
      </c>
      <c r="J284" s="9">
        <v>31.608000000000001</v>
      </c>
      <c r="K284" s="9">
        <v>31.151</v>
      </c>
      <c r="L284" s="9">
        <v>33.643000000000001</v>
      </c>
      <c r="M284" s="9">
        <v>31.77</v>
      </c>
      <c r="N284" s="9">
        <v>2230.5</v>
      </c>
      <c r="O284" s="9">
        <v>30.963999999999999</v>
      </c>
      <c r="P284" s="10">
        <f>SUM(D284:O284)</f>
        <v>2564.1</v>
      </c>
    </row>
    <row r="285" spans="1:16" x14ac:dyDescent="0.3">
      <c r="A285" s="2" t="s">
        <v>94</v>
      </c>
      <c r="B285" s="8" t="s">
        <v>42</v>
      </c>
      <c r="C285" s="2" t="s">
        <v>19</v>
      </c>
      <c r="D285" s="9">
        <v>0</v>
      </c>
      <c r="E285" s="9">
        <v>0</v>
      </c>
      <c r="F285" s="9">
        <v>0</v>
      </c>
      <c r="G285" s="9">
        <v>0</v>
      </c>
      <c r="H285" s="9">
        <v>0</v>
      </c>
      <c r="I285" s="9">
        <v>0</v>
      </c>
      <c r="J285" s="9">
        <v>0</v>
      </c>
      <c r="K285" s="9">
        <v>0</v>
      </c>
      <c r="L285" s="9">
        <v>0</v>
      </c>
      <c r="M285" s="9">
        <v>0</v>
      </c>
      <c r="N285" s="9">
        <v>4928.6000000000004</v>
      </c>
      <c r="O285" s="9">
        <v>0</v>
      </c>
      <c r="P285" s="10">
        <f>SUM(D285:O285)</f>
        <v>4928.6000000000004</v>
      </c>
    </row>
    <row r="286" spans="1:16" x14ac:dyDescent="0.3">
      <c r="A286" s="2" t="s">
        <v>94</v>
      </c>
      <c r="B286" s="7"/>
      <c r="C286" s="2" t="s">
        <v>19</v>
      </c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</row>
    <row r="287" spans="1:16" x14ac:dyDescent="0.3">
      <c r="A287" s="2" t="s">
        <v>94</v>
      </c>
      <c r="B287" s="8" t="s">
        <v>43</v>
      </c>
      <c r="C287" s="2" t="s">
        <v>19</v>
      </c>
      <c r="D287" s="9">
        <v>8.4550000000000001</v>
      </c>
      <c r="E287" s="9">
        <v>5.5519999999999996</v>
      </c>
      <c r="F287" s="9">
        <v>11.035</v>
      </c>
      <c r="G287" s="9">
        <v>11.202</v>
      </c>
      <c r="H287" s="9">
        <v>4.4640000000000004</v>
      </c>
      <c r="I287" s="9">
        <v>7.3040000000000003</v>
      </c>
      <c r="J287" s="9">
        <v>10.429</v>
      </c>
      <c r="K287" s="9">
        <v>8.1310000000000002</v>
      </c>
      <c r="L287" s="9">
        <v>8.6820000000000004</v>
      </c>
      <c r="M287" s="9">
        <v>8.343</v>
      </c>
      <c r="N287" s="9">
        <v>651.29999999999995</v>
      </c>
      <c r="O287" s="9">
        <v>5.9989999999999997</v>
      </c>
      <c r="P287" s="10">
        <f t="shared" ref="P287:P294" si="15">SUM(D287:O287)</f>
        <v>740.89599999999996</v>
      </c>
    </row>
    <row r="288" spans="1:16" x14ac:dyDescent="0.3">
      <c r="A288" s="2" t="s">
        <v>94</v>
      </c>
      <c r="B288" s="3" t="s">
        <v>44</v>
      </c>
      <c r="C288" s="2" t="s">
        <v>19</v>
      </c>
      <c r="D288" s="5">
        <v>0.3219971056439942</v>
      </c>
      <c r="E288" s="5">
        <v>0.17383136604151661</v>
      </c>
      <c r="F288" s="5">
        <v>0.35832575659176508</v>
      </c>
      <c r="G288" s="5">
        <v>0.37670242458889602</v>
      </c>
      <c r="H288" s="5">
        <v>0.15744365675589889</v>
      </c>
      <c r="I288" s="5">
        <v>0.26675431868814142</v>
      </c>
      <c r="J288" s="5">
        <v>0.32994811440141741</v>
      </c>
      <c r="K288" s="5">
        <v>0.26101890790022791</v>
      </c>
      <c r="L288" s="5">
        <v>0.25806259846030383</v>
      </c>
      <c r="M288" s="5">
        <v>0.26260623229461749</v>
      </c>
      <c r="N288" s="5">
        <v>8.1875094282697236E-2</v>
      </c>
      <c r="O288" s="5">
        <v>0.1937411187185118</v>
      </c>
      <c r="P288" s="5">
        <f t="shared" si="15"/>
        <v>3.042306694367988</v>
      </c>
    </row>
    <row r="289" spans="1:16" x14ac:dyDescent="0.3">
      <c r="A289" s="2" t="s">
        <v>94</v>
      </c>
      <c r="B289" s="3" t="s">
        <v>45</v>
      </c>
      <c r="C289" s="2" t="s">
        <v>19</v>
      </c>
      <c r="D289" s="10">
        <v>117.5289435600579</v>
      </c>
      <c r="E289" s="10">
        <v>63.448448605153573</v>
      </c>
      <c r="F289" s="10">
        <v>130.7889011559943</v>
      </c>
      <c r="G289" s="10">
        <v>137.49638497494709</v>
      </c>
      <c r="H289" s="10">
        <v>57.466934715903093</v>
      </c>
      <c r="I289" s="10">
        <v>97.365326321171622</v>
      </c>
      <c r="J289" s="10">
        <v>120.43106175651729</v>
      </c>
      <c r="K289" s="10">
        <v>95.271901383583184</v>
      </c>
      <c r="L289" s="10">
        <v>94.19284843801087</v>
      </c>
      <c r="M289" s="10">
        <v>95.851274787535402</v>
      </c>
      <c r="N289" s="10">
        <v>29.884409413184489</v>
      </c>
      <c r="O289" s="10">
        <v>70.715508332256817</v>
      </c>
      <c r="P289" s="10">
        <f t="shared" si="15"/>
        <v>1110.4419434443159</v>
      </c>
    </row>
    <row r="290" spans="1:16" x14ac:dyDescent="0.3">
      <c r="A290" s="2" t="s">
        <v>94</v>
      </c>
      <c r="B290" s="11" t="s">
        <v>47</v>
      </c>
      <c r="C290" s="2" t="s">
        <v>19</v>
      </c>
      <c r="D290" s="9">
        <v>-1.7763568394002501E-15</v>
      </c>
      <c r="E290" s="9">
        <v>0</v>
      </c>
      <c r="F290" s="9">
        <v>0</v>
      </c>
      <c r="G290" s="9">
        <v>1.7763568394002501E-15</v>
      </c>
      <c r="H290" s="9">
        <v>-1.7763568394002501E-15</v>
      </c>
      <c r="I290" s="9">
        <v>1.7763568394002501E-15</v>
      </c>
      <c r="J290" s="9">
        <v>-1.7763568394002501E-15</v>
      </c>
      <c r="K290" s="9">
        <v>-3.5527136788005009E-15</v>
      </c>
      <c r="L290" s="9">
        <v>1.7763568394002501E-15</v>
      </c>
      <c r="M290" s="9">
        <v>0</v>
      </c>
      <c r="N290" s="9">
        <v>2.2737367544323211E-13</v>
      </c>
      <c r="O290" s="9">
        <v>2.6645352591003761E-15</v>
      </c>
      <c r="P290" s="10">
        <f t="shared" si="15"/>
        <v>2.2648549702353198E-13</v>
      </c>
    </row>
    <row r="291" spans="1:16" x14ac:dyDescent="0.3">
      <c r="A291" s="2" t="s">
        <v>94</v>
      </c>
      <c r="B291" s="3" t="s">
        <v>28</v>
      </c>
      <c r="C291" s="2" t="s">
        <v>20</v>
      </c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>
        <f t="shared" si="15"/>
        <v>0</v>
      </c>
    </row>
    <row r="292" spans="1:16" x14ac:dyDescent="0.3">
      <c r="A292" s="2" t="s">
        <v>94</v>
      </c>
      <c r="B292" s="3" t="s">
        <v>30</v>
      </c>
      <c r="C292" s="2" t="s">
        <v>20</v>
      </c>
      <c r="D292" s="4"/>
      <c r="E292" s="4"/>
      <c r="F292" s="4"/>
      <c r="G292" s="4"/>
      <c r="H292" s="4">
        <v>5.6104000000000003</v>
      </c>
      <c r="I292" s="4"/>
      <c r="J292" s="4"/>
      <c r="K292" s="4"/>
      <c r="L292" s="4"/>
      <c r="M292" s="4"/>
      <c r="N292" s="4"/>
      <c r="O292" s="4"/>
      <c r="P292" s="4">
        <f t="shared" si="15"/>
        <v>5.6104000000000003</v>
      </c>
    </row>
    <row r="293" spans="1:16" x14ac:dyDescent="0.3">
      <c r="A293" s="2" t="s">
        <v>94</v>
      </c>
      <c r="B293" s="3" t="s">
        <v>31</v>
      </c>
      <c r="C293" s="2" t="s">
        <v>20</v>
      </c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>
        <f t="shared" si="15"/>
        <v>0</v>
      </c>
    </row>
    <row r="294" spans="1:16" x14ac:dyDescent="0.3">
      <c r="A294" s="2" t="s">
        <v>94</v>
      </c>
      <c r="B294" s="3" t="s">
        <v>33</v>
      </c>
      <c r="C294" s="2" t="s">
        <v>20</v>
      </c>
      <c r="D294" s="6"/>
      <c r="E294" s="6"/>
      <c r="F294" s="6"/>
      <c r="G294" s="6"/>
      <c r="H294" s="6">
        <v>0.22285004275987449</v>
      </c>
      <c r="I294" s="6"/>
      <c r="J294" s="6"/>
      <c r="K294" s="6"/>
      <c r="L294" s="6"/>
      <c r="M294" s="6"/>
      <c r="N294" s="6"/>
      <c r="O294" s="6"/>
      <c r="P294" s="6">
        <f t="shared" si="15"/>
        <v>0.22285004275987449</v>
      </c>
    </row>
    <row r="295" spans="1:16" x14ac:dyDescent="0.3">
      <c r="A295" s="2" t="s">
        <v>94</v>
      </c>
      <c r="B295" s="7"/>
      <c r="C295" s="2" t="s">
        <v>20</v>
      </c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</row>
    <row r="296" spans="1:16" x14ac:dyDescent="0.3">
      <c r="A296" s="2" t="s">
        <v>94</v>
      </c>
      <c r="B296" s="8" t="s">
        <v>35</v>
      </c>
      <c r="C296" s="2" t="s">
        <v>20</v>
      </c>
      <c r="D296" s="9">
        <v>7.9690000000000003</v>
      </c>
      <c r="E296" s="9">
        <v>6.7370000000000001</v>
      </c>
      <c r="F296" s="9">
        <v>24.414000000000001</v>
      </c>
      <c r="G296" s="9">
        <v>11.231999999999999</v>
      </c>
      <c r="H296" s="9">
        <v>7.9370000000000003</v>
      </c>
      <c r="I296" s="9">
        <v>7.2439999999999998</v>
      </c>
      <c r="J296" s="9">
        <v>7.6040000000000001</v>
      </c>
      <c r="K296" s="9">
        <v>8.8539999999999992</v>
      </c>
      <c r="L296" s="9">
        <v>8.2639999999999993</v>
      </c>
      <c r="M296" s="9">
        <v>8.5850000000000009</v>
      </c>
      <c r="N296" s="9">
        <v>651.29999999999995</v>
      </c>
      <c r="O296" s="9">
        <v>4.0999999999999996</v>
      </c>
      <c r="P296" s="10">
        <f>SUM(D296:O296)</f>
        <v>754.24</v>
      </c>
    </row>
    <row r="297" spans="1:16" x14ac:dyDescent="0.3">
      <c r="A297" s="2" t="s">
        <v>94</v>
      </c>
      <c r="B297" s="8" t="s">
        <v>37</v>
      </c>
      <c r="C297" s="2" t="s">
        <v>20</v>
      </c>
      <c r="D297" s="9">
        <v>0</v>
      </c>
      <c r="E297" s="9">
        <v>0</v>
      </c>
      <c r="F297" s="9">
        <v>0</v>
      </c>
      <c r="G297" s="9">
        <v>0</v>
      </c>
      <c r="H297" s="9">
        <v>0</v>
      </c>
      <c r="I297" s="9">
        <v>0</v>
      </c>
      <c r="J297" s="9">
        <v>0</v>
      </c>
      <c r="K297" s="9">
        <v>0</v>
      </c>
      <c r="L297" s="9">
        <v>0</v>
      </c>
      <c r="M297" s="9">
        <v>0</v>
      </c>
      <c r="N297" s="9">
        <v>950</v>
      </c>
      <c r="O297" s="9">
        <v>0</v>
      </c>
      <c r="P297" s="10">
        <f>SUM(D297:O297)</f>
        <v>950</v>
      </c>
    </row>
    <row r="298" spans="1:16" x14ac:dyDescent="0.3">
      <c r="A298" s="2" t="s">
        <v>94</v>
      </c>
      <c r="B298" s="8" t="s">
        <v>38</v>
      </c>
      <c r="C298" s="2" t="s">
        <v>20</v>
      </c>
      <c r="D298" s="9">
        <v>27.385000000000002</v>
      </c>
      <c r="E298" s="9">
        <v>36.604999999999997</v>
      </c>
      <c r="F298" s="9">
        <v>35.930999999999997</v>
      </c>
      <c r="G298" s="9">
        <v>40.508000000000003</v>
      </c>
      <c r="H298" s="9">
        <v>34.027000000000001</v>
      </c>
      <c r="I298" s="9">
        <v>33.015000000000001</v>
      </c>
      <c r="J298" s="9">
        <v>31.888999999999999</v>
      </c>
      <c r="K298" s="9">
        <v>32.026000000000003</v>
      </c>
      <c r="L298" s="9">
        <v>32.485999999999997</v>
      </c>
      <c r="M298" s="9">
        <v>25.922999999999998</v>
      </c>
      <c r="N298" s="9">
        <v>7416.6</v>
      </c>
      <c r="O298" s="9">
        <v>27.888000000000002</v>
      </c>
      <c r="P298" s="10">
        <f>SUM(D298:O298)</f>
        <v>7774.2830000000004</v>
      </c>
    </row>
    <row r="299" spans="1:16" x14ac:dyDescent="0.3">
      <c r="A299" s="2" t="s">
        <v>94</v>
      </c>
      <c r="B299" s="7"/>
      <c r="C299" s="2" t="s">
        <v>20</v>
      </c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</row>
    <row r="300" spans="1:16" x14ac:dyDescent="0.3">
      <c r="A300" s="2" t="s">
        <v>94</v>
      </c>
      <c r="B300" s="8" t="s">
        <v>39</v>
      </c>
      <c r="C300" s="2" t="s">
        <v>20</v>
      </c>
      <c r="D300" s="9">
        <v>0</v>
      </c>
      <c r="E300" s="9">
        <v>0</v>
      </c>
      <c r="F300" s="9">
        <v>0</v>
      </c>
      <c r="G300" s="9">
        <v>0</v>
      </c>
      <c r="H300" s="9">
        <v>0</v>
      </c>
      <c r="I300" s="9">
        <v>0</v>
      </c>
      <c r="J300" s="9">
        <v>0</v>
      </c>
      <c r="K300" s="9">
        <v>0</v>
      </c>
      <c r="L300" s="9">
        <v>0</v>
      </c>
      <c r="M300" s="9">
        <v>0</v>
      </c>
      <c r="N300" s="9">
        <v>401.8</v>
      </c>
      <c r="O300" s="9">
        <v>0</v>
      </c>
      <c r="P300" s="10">
        <f>SUM(D300:O300)</f>
        <v>401.8</v>
      </c>
    </row>
    <row r="301" spans="1:16" x14ac:dyDescent="0.3">
      <c r="A301" s="2" t="s">
        <v>94</v>
      </c>
      <c r="B301" s="8" t="s">
        <v>91</v>
      </c>
      <c r="C301" s="2" t="s">
        <v>20</v>
      </c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10">
        <f>SUM(D301:O301)</f>
        <v>0</v>
      </c>
    </row>
    <row r="302" spans="1:16" x14ac:dyDescent="0.3">
      <c r="A302" s="2" t="s">
        <v>94</v>
      </c>
      <c r="B302" s="8" t="s">
        <v>41</v>
      </c>
      <c r="C302" s="2" t="s">
        <v>20</v>
      </c>
      <c r="D302" s="9">
        <v>27.385000000000002</v>
      </c>
      <c r="E302" s="9">
        <v>36.604999999999997</v>
      </c>
      <c r="F302" s="9">
        <v>35.930999999999997</v>
      </c>
      <c r="G302" s="9">
        <v>40.508000000000003</v>
      </c>
      <c r="H302" s="9">
        <v>34.027000000000001</v>
      </c>
      <c r="I302" s="9">
        <v>33.015000000000001</v>
      </c>
      <c r="J302" s="9">
        <v>31.888999999999999</v>
      </c>
      <c r="K302" s="9">
        <v>32.026000000000003</v>
      </c>
      <c r="L302" s="9">
        <v>32.485999999999997</v>
      </c>
      <c r="M302" s="9">
        <v>25.922999999999991</v>
      </c>
      <c r="N302" s="9">
        <v>2296.0000000000009</v>
      </c>
      <c r="O302" s="9">
        <v>27.888000000000002</v>
      </c>
      <c r="P302" s="10">
        <f>SUM(D302:O302)</f>
        <v>2653.6830000000009</v>
      </c>
    </row>
    <row r="303" spans="1:16" x14ac:dyDescent="0.3">
      <c r="A303" s="2" t="s">
        <v>94</v>
      </c>
      <c r="B303" s="8" t="s">
        <v>42</v>
      </c>
      <c r="C303" s="2" t="s">
        <v>20</v>
      </c>
      <c r="D303" s="9">
        <v>0</v>
      </c>
      <c r="E303" s="9">
        <v>0</v>
      </c>
      <c r="F303" s="9">
        <v>0</v>
      </c>
      <c r="G303" s="9">
        <v>0</v>
      </c>
      <c r="H303" s="9">
        <v>0</v>
      </c>
      <c r="I303" s="9">
        <v>0</v>
      </c>
      <c r="J303" s="9">
        <v>0</v>
      </c>
      <c r="K303" s="9">
        <v>0</v>
      </c>
      <c r="L303" s="9">
        <v>0</v>
      </c>
      <c r="M303" s="9">
        <v>0</v>
      </c>
      <c r="N303" s="9">
        <v>5620.3</v>
      </c>
      <c r="O303" s="9">
        <v>0</v>
      </c>
      <c r="P303" s="10">
        <f>SUM(D303:O303)</f>
        <v>5620.3</v>
      </c>
    </row>
    <row r="304" spans="1:16" x14ac:dyDescent="0.3">
      <c r="A304" s="2" t="s">
        <v>94</v>
      </c>
      <c r="B304" s="7"/>
      <c r="C304" s="2" t="s">
        <v>20</v>
      </c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</row>
    <row r="305" spans="1:16" x14ac:dyDescent="0.3">
      <c r="A305" s="2" t="s">
        <v>94</v>
      </c>
      <c r="B305" s="8" t="s">
        <v>43</v>
      </c>
      <c r="C305" s="2" t="s">
        <v>20</v>
      </c>
      <c r="D305" s="9">
        <v>7.9690000000000003</v>
      </c>
      <c r="E305" s="9">
        <v>6.7370000000000001</v>
      </c>
      <c r="F305" s="9">
        <v>24.414000000000001</v>
      </c>
      <c r="G305" s="9">
        <v>11.231999999999999</v>
      </c>
      <c r="H305" s="9">
        <v>7.9370000000000003</v>
      </c>
      <c r="I305" s="9">
        <v>7.2439999999999998</v>
      </c>
      <c r="J305" s="9">
        <v>7.6040000000000001</v>
      </c>
      <c r="K305" s="9">
        <v>8.8539999999999992</v>
      </c>
      <c r="L305" s="9">
        <v>8.2639999999999993</v>
      </c>
      <c r="M305" s="9">
        <v>8.5850000000000009</v>
      </c>
      <c r="N305" s="9">
        <v>699.8</v>
      </c>
      <c r="O305" s="9">
        <v>4.0999999999999996</v>
      </c>
      <c r="P305" s="10">
        <f t="shared" ref="P305:P312" si="16">SUM(D305:O305)</f>
        <v>802.74</v>
      </c>
    </row>
    <row r="306" spans="1:16" x14ac:dyDescent="0.3">
      <c r="A306" s="2" t="s">
        <v>94</v>
      </c>
      <c r="B306" s="3" t="s">
        <v>44</v>
      </c>
      <c r="C306" s="2" t="s">
        <v>20</v>
      </c>
      <c r="D306" s="5">
        <v>0.29099872192806281</v>
      </c>
      <c r="E306" s="5">
        <v>0.1840458953694851</v>
      </c>
      <c r="F306" s="5">
        <v>0.6794689822159139</v>
      </c>
      <c r="G306" s="5">
        <v>0.27727856225930669</v>
      </c>
      <c r="H306" s="5">
        <v>0.2332559438093279</v>
      </c>
      <c r="I306" s="5">
        <v>0.21941541723459029</v>
      </c>
      <c r="J306" s="5">
        <v>0.23845213082881239</v>
      </c>
      <c r="K306" s="5">
        <v>0.27646287391494412</v>
      </c>
      <c r="L306" s="5">
        <v>0.25438650495598097</v>
      </c>
      <c r="M306" s="5">
        <v>0.3311730895343904</v>
      </c>
      <c r="N306" s="5">
        <v>8.412978925475767E-2</v>
      </c>
      <c r="O306" s="5">
        <v>0.14701663798049339</v>
      </c>
      <c r="P306" s="5">
        <f t="shared" si="16"/>
        <v>3.2160845492860655</v>
      </c>
    </row>
    <row r="307" spans="1:16" x14ac:dyDescent="0.3">
      <c r="A307" s="2" t="s">
        <v>94</v>
      </c>
      <c r="B307" s="3" t="s">
        <v>45</v>
      </c>
      <c r="C307" s="2" t="s">
        <v>20</v>
      </c>
      <c r="D307" s="10">
        <v>106.2145335037429</v>
      </c>
      <c r="E307" s="10">
        <v>67.176751809862054</v>
      </c>
      <c r="F307" s="10">
        <v>248.0061785088086</v>
      </c>
      <c r="G307" s="10">
        <v>101.206675224647</v>
      </c>
      <c r="H307" s="10">
        <v>85.138419490404672</v>
      </c>
      <c r="I307" s="10">
        <v>80.086627290625472</v>
      </c>
      <c r="J307" s="10">
        <v>87.035027752516527</v>
      </c>
      <c r="K307" s="10">
        <v>100.9089489789546</v>
      </c>
      <c r="L307" s="10">
        <v>92.85107430893305</v>
      </c>
      <c r="M307" s="10">
        <v>120.8781776800525</v>
      </c>
      <c r="N307" s="10">
        <v>30.707373077986549</v>
      </c>
      <c r="O307" s="10">
        <v>53.661072862880083</v>
      </c>
      <c r="P307" s="10">
        <f t="shared" si="16"/>
        <v>1173.8708604894139</v>
      </c>
    </row>
    <row r="308" spans="1:16" x14ac:dyDescent="0.3">
      <c r="A308" s="2" t="s">
        <v>94</v>
      </c>
      <c r="B308" s="11" t="s">
        <v>47</v>
      </c>
      <c r="C308" s="2" t="s">
        <v>20</v>
      </c>
      <c r="D308" s="9">
        <v>-2.6645352591003761E-15</v>
      </c>
      <c r="E308" s="9">
        <v>1.7763568394002501E-15</v>
      </c>
      <c r="F308" s="9">
        <v>0</v>
      </c>
      <c r="G308" s="9">
        <v>0</v>
      </c>
      <c r="H308" s="9">
        <v>-2.6645352591003761E-15</v>
      </c>
      <c r="I308" s="9">
        <v>0</v>
      </c>
      <c r="J308" s="9">
        <v>-8.8817841970012523E-16</v>
      </c>
      <c r="K308" s="9">
        <v>0</v>
      </c>
      <c r="L308" s="9">
        <v>-3.5527136788005009E-15</v>
      </c>
      <c r="M308" s="9">
        <v>0</v>
      </c>
      <c r="N308" s="9">
        <v>1.1368683772161601E-12</v>
      </c>
      <c r="O308" s="9">
        <v>-1.7763568394002501E-15</v>
      </c>
      <c r="P308" s="10">
        <f t="shared" si="16"/>
        <v>1.1270984145994587E-12</v>
      </c>
    </row>
    <row r="309" spans="1:16" x14ac:dyDescent="0.3">
      <c r="A309" s="2" t="s">
        <v>94</v>
      </c>
      <c r="B309" s="3" t="s">
        <v>28</v>
      </c>
      <c r="C309" s="2" t="s">
        <v>21</v>
      </c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>
        <f t="shared" si="16"/>
        <v>0</v>
      </c>
    </row>
    <row r="310" spans="1:16" x14ac:dyDescent="0.3">
      <c r="A310" s="2" t="s">
        <v>94</v>
      </c>
      <c r="B310" s="3" t="s">
        <v>30</v>
      </c>
      <c r="C310" s="2" t="s">
        <v>21</v>
      </c>
      <c r="D310" s="4"/>
      <c r="E310" s="4"/>
      <c r="F310" s="4"/>
      <c r="G310" s="4"/>
      <c r="H310" s="4">
        <v>5.0439999999999996</v>
      </c>
      <c r="I310" s="4"/>
      <c r="J310" s="4"/>
      <c r="K310" s="4"/>
      <c r="L310" s="4"/>
      <c r="M310" s="4"/>
      <c r="N310" s="4"/>
      <c r="O310" s="4"/>
      <c r="P310" s="4">
        <f t="shared" si="16"/>
        <v>5.0439999999999996</v>
      </c>
    </row>
    <row r="311" spans="1:16" x14ac:dyDescent="0.3">
      <c r="A311" s="2" t="s">
        <v>94</v>
      </c>
      <c r="B311" s="3" t="s">
        <v>31</v>
      </c>
      <c r="C311" s="2" t="s">
        <v>21</v>
      </c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>
        <f t="shared" si="16"/>
        <v>0</v>
      </c>
    </row>
    <row r="312" spans="1:16" x14ac:dyDescent="0.3">
      <c r="A312" s="2" t="s">
        <v>94</v>
      </c>
      <c r="B312" s="3" t="s">
        <v>33</v>
      </c>
      <c r="C312" s="2" t="s">
        <v>21</v>
      </c>
      <c r="D312" s="6"/>
      <c r="E312" s="6"/>
      <c r="F312" s="6"/>
      <c r="G312" s="6"/>
      <c r="H312" s="6">
        <v>0.2090908844369547</v>
      </c>
      <c r="I312" s="6"/>
      <c r="J312" s="6"/>
      <c r="K312" s="6"/>
      <c r="L312" s="6"/>
      <c r="M312" s="6"/>
      <c r="N312" s="6"/>
      <c r="O312" s="6"/>
      <c r="P312" s="6">
        <f t="shared" si="16"/>
        <v>0.2090908844369547</v>
      </c>
    </row>
    <row r="313" spans="1:16" x14ac:dyDescent="0.3">
      <c r="A313" s="2" t="s">
        <v>94</v>
      </c>
      <c r="B313" s="7"/>
      <c r="C313" s="2" t="s">
        <v>21</v>
      </c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</row>
    <row r="314" spans="1:16" x14ac:dyDescent="0.3">
      <c r="A314" s="2" t="s">
        <v>94</v>
      </c>
      <c r="B314" s="8" t="s">
        <v>35</v>
      </c>
      <c r="C314" s="2" t="s">
        <v>21</v>
      </c>
      <c r="D314" s="9">
        <v>4.49</v>
      </c>
      <c r="E314" s="9">
        <v>4.4880000000000004</v>
      </c>
      <c r="F314" s="9">
        <v>7.4619999999999997</v>
      </c>
      <c r="G314" s="9">
        <v>7.7590000000000003</v>
      </c>
      <c r="H314" s="9">
        <v>6.8789999999999996</v>
      </c>
      <c r="I314" s="9">
        <v>4.3410000000000002</v>
      </c>
      <c r="J314" s="9">
        <v>5.5179999999999998</v>
      </c>
      <c r="K314" s="9">
        <v>6.4059999999999997</v>
      </c>
      <c r="L314" s="9">
        <v>9.1790000000000003</v>
      </c>
      <c r="M314" s="9">
        <v>8.9019999999999992</v>
      </c>
      <c r="N314" s="9">
        <v>699.8</v>
      </c>
      <c r="O314" s="9">
        <v>6.67</v>
      </c>
      <c r="P314" s="10">
        <f>SUM(D314:O314)</f>
        <v>771.89399999999989</v>
      </c>
    </row>
    <row r="315" spans="1:16" x14ac:dyDescent="0.3">
      <c r="A315" s="2" t="s">
        <v>94</v>
      </c>
      <c r="B315" s="8" t="s">
        <v>37</v>
      </c>
      <c r="C315" s="2" t="s">
        <v>21</v>
      </c>
      <c r="D315" s="9">
        <v>0</v>
      </c>
      <c r="E315" s="9">
        <v>0</v>
      </c>
      <c r="F315" s="9">
        <v>0</v>
      </c>
      <c r="G315" s="9">
        <v>0</v>
      </c>
      <c r="H315" s="9">
        <v>0</v>
      </c>
      <c r="I315" s="9">
        <v>0</v>
      </c>
      <c r="J315" s="9">
        <v>0</v>
      </c>
      <c r="K315" s="9">
        <v>0</v>
      </c>
      <c r="L315" s="9">
        <v>0</v>
      </c>
      <c r="M315" s="9">
        <v>0</v>
      </c>
      <c r="N315" s="9">
        <v>242.4</v>
      </c>
      <c r="O315" s="9">
        <v>0</v>
      </c>
      <c r="P315" s="10">
        <f>SUM(D315:O315)</f>
        <v>242.4</v>
      </c>
    </row>
    <row r="316" spans="1:16" x14ac:dyDescent="0.3">
      <c r="A316" s="2" t="s">
        <v>94</v>
      </c>
      <c r="B316" s="8" t="s">
        <v>38</v>
      </c>
      <c r="C316" s="2" t="s">
        <v>21</v>
      </c>
      <c r="D316" s="9">
        <v>22.826000000000001</v>
      </c>
      <c r="E316" s="9">
        <v>27.004000000000001</v>
      </c>
      <c r="F316" s="9">
        <v>28.164999999999999</v>
      </c>
      <c r="G316" s="9">
        <v>29.815000000000001</v>
      </c>
      <c r="H316" s="9">
        <v>28.702999999999999</v>
      </c>
      <c r="I316" s="9">
        <v>26.256</v>
      </c>
      <c r="J316" s="9">
        <v>27.614999999999998</v>
      </c>
      <c r="K316" s="9">
        <v>28.728999999999999</v>
      </c>
      <c r="L316" s="9">
        <v>27.591999999999999</v>
      </c>
      <c r="M316" s="9">
        <v>22.427</v>
      </c>
      <c r="N316" s="9">
        <v>6145.1</v>
      </c>
      <c r="O316" s="9">
        <v>24.353999999999999</v>
      </c>
      <c r="P316" s="10">
        <f>SUM(D316:O316)</f>
        <v>6438.5860000000002</v>
      </c>
    </row>
    <row r="317" spans="1:16" x14ac:dyDescent="0.3">
      <c r="A317" s="2" t="s">
        <v>94</v>
      </c>
      <c r="B317" s="7"/>
      <c r="C317" s="2" t="s">
        <v>21</v>
      </c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</row>
    <row r="318" spans="1:16" x14ac:dyDescent="0.3">
      <c r="A318" s="2" t="s">
        <v>94</v>
      </c>
      <c r="B318" s="8" t="s">
        <v>39</v>
      </c>
      <c r="C318" s="2" t="s">
        <v>21</v>
      </c>
      <c r="D318" s="9">
        <v>0</v>
      </c>
      <c r="E318" s="9">
        <v>0</v>
      </c>
      <c r="F318" s="9">
        <v>0</v>
      </c>
      <c r="G318" s="9">
        <v>0</v>
      </c>
      <c r="H318" s="9">
        <v>0</v>
      </c>
      <c r="I318" s="9">
        <v>0</v>
      </c>
      <c r="J318" s="9">
        <v>0</v>
      </c>
      <c r="K318" s="9">
        <v>0</v>
      </c>
      <c r="L318" s="9">
        <v>0</v>
      </c>
      <c r="M318" s="9">
        <v>0</v>
      </c>
      <c r="N318" s="9">
        <v>932.1</v>
      </c>
      <c r="O318" s="9">
        <v>0</v>
      </c>
      <c r="P318" s="10">
        <f>SUM(D318:O318)</f>
        <v>932.1</v>
      </c>
    </row>
    <row r="319" spans="1:16" x14ac:dyDescent="0.3">
      <c r="A319" s="2" t="s">
        <v>94</v>
      </c>
      <c r="B319" s="8" t="s">
        <v>91</v>
      </c>
      <c r="C319" s="2" t="s">
        <v>21</v>
      </c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10">
        <f>SUM(D319:O319)</f>
        <v>0</v>
      </c>
    </row>
    <row r="320" spans="1:16" x14ac:dyDescent="0.3">
      <c r="A320" s="2" t="s">
        <v>94</v>
      </c>
      <c r="B320" s="8" t="s">
        <v>41</v>
      </c>
      <c r="C320" s="2" t="s">
        <v>21</v>
      </c>
      <c r="D320" s="9">
        <v>22.826000000000001</v>
      </c>
      <c r="E320" s="9">
        <v>27.004000000000001</v>
      </c>
      <c r="F320" s="9">
        <v>28.164999999999999</v>
      </c>
      <c r="G320" s="9">
        <v>29.815000000000001</v>
      </c>
      <c r="H320" s="9">
        <v>28.702999999999999</v>
      </c>
      <c r="I320" s="9">
        <v>26.256</v>
      </c>
      <c r="J320" s="9">
        <v>27.614999999999991</v>
      </c>
      <c r="K320" s="9">
        <v>28.728999999999999</v>
      </c>
      <c r="L320" s="9">
        <v>27.591999999999999</v>
      </c>
      <c r="M320" s="9">
        <v>22.427</v>
      </c>
      <c r="N320" s="9">
        <v>1954.8</v>
      </c>
      <c r="O320" s="9">
        <v>24.353999999999999</v>
      </c>
      <c r="P320" s="10">
        <f>SUM(D320:O320)</f>
        <v>2248.2859999999996</v>
      </c>
    </row>
    <row r="321" spans="1:16" x14ac:dyDescent="0.3">
      <c r="A321" s="2" t="s">
        <v>94</v>
      </c>
      <c r="B321" s="8" t="s">
        <v>42</v>
      </c>
      <c r="C321" s="2" t="s">
        <v>21</v>
      </c>
      <c r="D321" s="9">
        <v>0</v>
      </c>
      <c r="E321" s="9">
        <v>0</v>
      </c>
      <c r="F321" s="9">
        <v>0</v>
      </c>
      <c r="G321" s="9">
        <v>0</v>
      </c>
      <c r="H321" s="9">
        <v>0</v>
      </c>
      <c r="I321" s="9">
        <v>0</v>
      </c>
      <c r="J321" s="9">
        <v>0</v>
      </c>
      <c r="K321" s="9">
        <v>0</v>
      </c>
      <c r="L321" s="9">
        <v>0</v>
      </c>
      <c r="M321" s="9">
        <v>0</v>
      </c>
      <c r="N321" s="9">
        <v>3579.3</v>
      </c>
      <c r="O321" s="9">
        <v>0</v>
      </c>
      <c r="P321" s="10">
        <f>SUM(D321:O321)</f>
        <v>3579.3</v>
      </c>
    </row>
    <row r="322" spans="1:16" x14ac:dyDescent="0.3">
      <c r="A322" s="2" t="s">
        <v>94</v>
      </c>
      <c r="B322" s="7"/>
      <c r="C322" s="2" t="s">
        <v>21</v>
      </c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</row>
    <row r="323" spans="1:16" x14ac:dyDescent="0.3">
      <c r="A323" s="2" t="s">
        <v>94</v>
      </c>
      <c r="B323" s="8" t="s">
        <v>43</v>
      </c>
      <c r="C323" s="2" t="s">
        <v>21</v>
      </c>
      <c r="D323" s="9">
        <v>4.49</v>
      </c>
      <c r="E323" s="9">
        <v>4.4880000000000004</v>
      </c>
      <c r="F323" s="9">
        <v>7.4619999999999997</v>
      </c>
      <c r="G323" s="9">
        <v>7.7590000000000003</v>
      </c>
      <c r="H323" s="9">
        <v>6.8789999999999996</v>
      </c>
      <c r="I323" s="9">
        <v>4.3410000000000002</v>
      </c>
      <c r="J323" s="9">
        <v>5.5179999999999998</v>
      </c>
      <c r="K323" s="9">
        <v>6.4059999999999997</v>
      </c>
      <c r="L323" s="9">
        <v>9.1790000000000003</v>
      </c>
      <c r="M323" s="9">
        <v>8.9019999999999992</v>
      </c>
      <c r="N323" s="9">
        <v>621.1</v>
      </c>
      <c r="O323" s="9">
        <v>6.67</v>
      </c>
      <c r="P323" s="10">
        <f t="shared" ref="P323:P330" si="17">SUM(D323:O323)</f>
        <v>693.19399999999996</v>
      </c>
    </row>
    <row r="324" spans="1:16" x14ac:dyDescent="0.3">
      <c r="A324" s="2" t="s">
        <v>94</v>
      </c>
      <c r="B324" s="3" t="s">
        <v>44</v>
      </c>
      <c r="C324" s="2" t="s">
        <v>21</v>
      </c>
      <c r="D324" s="5">
        <v>0.1967055112590905</v>
      </c>
      <c r="E324" s="5">
        <v>0.16619760035550291</v>
      </c>
      <c r="F324" s="5">
        <v>0.26493875377241249</v>
      </c>
      <c r="G324" s="5">
        <v>0.26023813516686228</v>
      </c>
      <c r="H324" s="5">
        <v>0.23966135943977979</v>
      </c>
      <c r="I324" s="5">
        <v>0.16533363802559409</v>
      </c>
      <c r="J324" s="5">
        <v>0.19981893898243711</v>
      </c>
      <c r="K324" s="5">
        <v>0.22298026384489539</v>
      </c>
      <c r="L324" s="5">
        <v>0.33266888953319812</v>
      </c>
      <c r="M324" s="5">
        <v>0.396932269139876</v>
      </c>
      <c r="N324" s="5">
        <v>9.6053323435711851E-2</v>
      </c>
      <c r="O324" s="5">
        <v>0.27387698119405429</v>
      </c>
      <c r="P324" s="5">
        <f t="shared" si="17"/>
        <v>2.8154056641494152</v>
      </c>
    </row>
    <row r="325" spans="1:16" x14ac:dyDescent="0.3">
      <c r="A325" s="2" t="s">
        <v>94</v>
      </c>
      <c r="B325" s="3" t="s">
        <v>45</v>
      </c>
      <c r="C325" s="2" t="s">
        <v>21</v>
      </c>
      <c r="D325" s="10">
        <v>71.797511609568048</v>
      </c>
      <c r="E325" s="10">
        <v>60.66212412975856</v>
      </c>
      <c r="F325" s="10">
        <v>96.702645126930577</v>
      </c>
      <c r="G325" s="10">
        <v>94.986919335904759</v>
      </c>
      <c r="H325" s="10">
        <v>87.476396195519627</v>
      </c>
      <c r="I325" s="10">
        <v>60.346777879341857</v>
      </c>
      <c r="J325" s="10">
        <v>72.933912728589547</v>
      </c>
      <c r="K325" s="10">
        <v>81.387796303386821</v>
      </c>
      <c r="L325" s="10">
        <v>121.4241446796173</v>
      </c>
      <c r="M325" s="10">
        <v>144.88027823605469</v>
      </c>
      <c r="N325" s="10">
        <v>35.059463054034829</v>
      </c>
      <c r="O325" s="10">
        <v>99.965098135829834</v>
      </c>
      <c r="P325" s="10">
        <f t="shared" si="17"/>
        <v>1027.6230674145363</v>
      </c>
    </row>
    <row r="326" spans="1:16" x14ac:dyDescent="0.3">
      <c r="A326" s="2" t="s">
        <v>94</v>
      </c>
      <c r="B326" s="11" t="s">
        <v>47</v>
      </c>
      <c r="C326" s="2" t="s">
        <v>21</v>
      </c>
      <c r="D326" s="9">
        <v>1.7763568394002501E-15</v>
      </c>
      <c r="E326" s="9">
        <v>-8.8817841970012523E-16</v>
      </c>
      <c r="F326" s="9">
        <v>-3.5527136788005009E-15</v>
      </c>
      <c r="G326" s="9">
        <v>-3.5527136788005009E-15</v>
      </c>
      <c r="H326" s="9">
        <v>-1.7763568394002501E-15</v>
      </c>
      <c r="I326" s="9">
        <v>8.8817841970012523E-16</v>
      </c>
      <c r="J326" s="9">
        <v>8.8817841970012523E-16</v>
      </c>
      <c r="K326" s="9">
        <v>-8.8817841970012523E-16</v>
      </c>
      <c r="L326" s="9">
        <v>1.7763568394002501E-15</v>
      </c>
      <c r="M326" s="9">
        <v>1.7763568394002501E-15</v>
      </c>
      <c r="N326" s="9">
        <v>-5.6843418860808015E-13</v>
      </c>
      <c r="O326" s="9">
        <v>1.7763568394002501E-15</v>
      </c>
      <c r="P326" s="10">
        <f t="shared" si="17"/>
        <v>-5.702105454474804E-13</v>
      </c>
    </row>
    <row r="327" spans="1:16" x14ac:dyDescent="0.3">
      <c r="A327" s="2" t="s">
        <v>94</v>
      </c>
      <c r="B327" s="3" t="s">
        <v>28</v>
      </c>
      <c r="C327" s="2" t="s">
        <v>22</v>
      </c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>
        <f t="shared" si="17"/>
        <v>0</v>
      </c>
    </row>
    <row r="328" spans="1:16" x14ac:dyDescent="0.3">
      <c r="A328" s="2" t="s">
        <v>94</v>
      </c>
      <c r="B328" s="3" t="s">
        <v>30</v>
      </c>
      <c r="C328" s="2" t="s">
        <v>22</v>
      </c>
      <c r="D328" s="4"/>
      <c r="E328" s="4"/>
      <c r="F328" s="4"/>
      <c r="G328" s="4"/>
      <c r="H328" s="4">
        <v>5.1400030000000001</v>
      </c>
      <c r="I328" s="4"/>
      <c r="J328" s="4"/>
      <c r="K328" s="4"/>
      <c r="L328" s="4"/>
      <c r="M328" s="4"/>
      <c r="N328" s="4"/>
      <c r="O328" s="4"/>
      <c r="P328" s="4">
        <f t="shared" si="17"/>
        <v>5.1400030000000001</v>
      </c>
    </row>
    <row r="329" spans="1:16" x14ac:dyDescent="0.3">
      <c r="A329" s="2" t="s">
        <v>94</v>
      </c>
      <c r="B329" s="3" t="s">
        <v>31</v>
      </c>
      <c r="C329" s="2" t="s">
        <v>22</v>
      </c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>
        <f t="shared" si="17"/>
        <v>0</v>
      </c>
    </row>
    <row r="330" spans="1:16" x14ac:dyDescent="0.3">
      <c r="A330" s="2" t="s">
        <v>94</v>
      </c>
      <c r="B330" s="3" t="s">
        <v>33</v>
      </c>
      <c r="C330" s="2" t="s">
        <v>22</v>
      </c>
      <c r="D330" s="6"/>
      <c r="E330" s="6"/>
      <c r="F330" s="6"/>
      <c r="G330" s="6"/>
      <c r="H330" s="6">
        <v>0.1911028713601918</v>
      </c>
      <c r="I330" s="6"/>
      <c r="J330" s="6"/>
      <c r="K330" s="6"/>
      <c r="L330" s="6"/>
      <c r="M330" s="6"/>
      <c r="N330" s="6"/>
      <c r="O330" s="6"/>
      <c r="P330" s="6">
        <f t="shared" si="17"/>
        <v>0.1911028713601918</v>
      </c>
    </row>
    <row r="331" spans="1:16" x14ac:dyDescent="0.3">
      <c r="A331" s="2" t="s">
        <v>94</v>
      </c>
      <c r="B331" s="7"/>
      <c r="C331" s="2" t="s">
        <v>22</v>
      </c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</row>
    <row r="332" spans="1:16" x14ac:dyDescent="0.3">
      <c r="A332" s="2" t="s">
        <v>94</v>
      </c>
      <c r="B332" s="8" t="s">
        <v>35</v>
      </c>
      <c r="C332" s="2" t="s">
        <v>22</v>
      </c>
      <c r="D332" s="9">
        <v>6.633</v>
      </c>
      <c r="E332" s="9">
        <v>7.7510000000000003</v>
      </c>
      <c r="F332" s="9">
        <v>7.7069999999999999</v>
      </c>
      <c r="G332" s="9">
        <v>8.1489999999999991</v>
      </c>
      <c r="H332" s="9">
        <v>4.8120000000000003</v>
      </c>
      <c r="I332" s="9">
        <v>2.8610000000000002</v>
      </c>
      <c r="J332" s="9">
        <v>3.4159999999999999</v>
      </c>
      <c r="K332" s="9">
        <v>4.7290000000000001</v>
      </c>
      <c r="L332" s="9">
        <v>5.6269999999999998</v>
      </c>
      <c r="M332" s="9">
        <v>4.6310000000000002</v>
      </c>
      <c r="N332" s="9">
        <v>621.1</v>
      </c>
      <c r="O332" s="9">
        <v>5.5190000000000001</v>
      </c>
      <c r="P332" s="10">
        <f>SUM(D332:O332)</f>
        <v>682.93500000000006</v>
      </c>
    </row>
    <row r="333" spans="1:16" x14ac:dyDescent="0.3">
      <c r="A333" s="2" t="s">
        <v>94</v>
      </c>
      <c r="B333" s="8" t="s">
        <v>37</v>
      </c>
      <c r="C333" s="2" t="s">
        <v>22</v>
      </c>
      <c r="D333" s="9">
        <v>0</v>
      </c>
      <c r="E333" s="9">
        <v>0</v>
      </c>
      <c r="F333" s="9">
        <v>0</v>
      </c>
      <c r="G333" s="9">
        <v>0</v>
      </c>
      <c r="H333" s="9">
        <v>0</v>
      </c>
      <c r="I333" s="9">
        <v>0</v>
      </c>
      <c r="J333" s="9">
        <v>0</v>
      </c>
      <c r="K333" s="9">
        <v>0</v>
      </c>
      <c r="L333" s="9">
        <v>0</v>
      </c>
      <c r="M333" s="9">
        <v>0</v>
      </c>
      <c r="N333" s="9">
        <v>437.5</v>
      </c>
      <c r="O333" s="9">
        <v>0</v>
      </c>
      <c r="P333" s="10">
        <f>SUM(D333:O333)</f>
        <v>437.5</v>
      </c>
    </row>
    <row r="334" spans="1:16" x14ac:dyDescent="0.3">
      <c r="A334" s="2" t="s">
        <v>94</v>
      </c>
      <c r="B334" s="8" t="s">
        <v>38</v>
      </c>
      <c r="C334" s="2" t="s">
        <v>22</v>
      </c>
      <c r="D334" s="9">
        <v>25.547000000000001</v>
      </c>
      <c r="E334" s="9">
        <v>29.498999999999999</v>
      </c>
      <c r="F334" s="9">
        <v>27.672999999999998</v>
      </c>
      <c r="G334" s="9">
        <v>27.629000000000001</v>
      </c>
      <c r="H334" s="9">
        <v>26.733000000000001</v>
      </c>
      <c r="I334" s="9">
        <v>23.481000000000002</v>
      </c>
      <c r="J334" s="9">
        <v>26.495000000000001</v>
      </c>
      <c r="K334" s="9">
        <v>26.385999999999999</v>
      </c>
      <c r="L334" s="9">
        <v>20.488</v>
      </c>
      <c r="M334" s="9">
        <v>20.513000000000002</v>
      </c>
      <c r="N334" s="9">
        <v>6358.6</v>
      </c>
      <c r="O334" s="9">
        <v>23.338999999999999</v>
      </c>
      <c r="P334" s="10">
        <f>SUM(D334:O334)</f>
        <v>6636.3830000000007</v>
      </c>
    </row>
    <row r="335" spans="1:16" x14ac:dyDescent="0.3">
      <c r="A335" s="2" t="s">
        <v>94</v>
      </c>
      <c r="B335" s="7"/>
      <c r="C335" s="2" t="s">
        <v>22</v>
      </c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</row>
    <row r="336" spans="1:16" x14ac:dyDescent="0.3">
      <c r="A336" s="2" t="s">
        <v>94</v>
      </c>
      <c r="B336" s="8" t="s">
        <v>39</v>
      </c>
      <c r="C336" s="2" t="s">
        <v>22</v>
      </c>
      <c r="D336" s="9">
        <v>0</v>
      </c>
      <c r="E336" s="9">
        <v>0</v>
      </c>
      <c r="F336" s="9">
        <v>0</v>
      </c>
      <c r="G336" s="9">
        <v>0</v>
      </c>
      <c r="H336" s="9">
        <v>0</v>
      </c>
      <c r="I336" s="9">
        <v>0</v>
      </c>
      <c r="J336" s="9">
        <v>0</v>
      </c>
      <c r="K336" s="9">
        <v>0</v>
      </c>
      <c r="L336" s="9">
        <v>0</v>
      </c>
      <c r="M336" s="9">
        <v>0</v>
      </c>
      <c r="N336" s="9">
        <v>604.79999999999995</v>
      </c>
      <c r="O336" s="9">
        <v>0</v>
      </c>
      <c r="P336" s="10">
        <f>SUM(D336:O336)</f>
        <v>604.79999999999995</v>
      </c>
    </row>
    <row r="337" spans="1:16" x14ac:dyDescent="0.3">
      <c r="A337" s="2" t="s">
        <v>94</v>
      </c>
      <c r="B337" s="8" t="s">
        <v>91</v>
      </c>
      <c r="C337" s="2" t="s">
        <v>22</v>
      </c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10">
        <f>SUM(D337:O337)</f>
        <v>0</v>
      </c>
    </row>
    <row r="338" spans="1:16" x14ac:dyDescent="0.3">
      <c r="A338" s="2" t="s">
        <v>94</v>
      </c>
      <c r="B338" s="8" t="s">
        <v>41</v>
      </c>
      <c r="C338" s="2" t="s">
        <v>22</v>
      </c>
      <c r="D338" s="9">
        <v>25.547000000000001</v>
      </c>
      <c r="E338" s="9">
        <v>29.498999999999999</v>
      </c>
      <c r="F338" s="9">
        <v>27.672999999999991</v>
      </c>
      <c r="G338" s="9">
        <v>27.629000000000001</v>
      </c>
      <c r="H338" s="9">
        <v>26.733000000000001</v>
      </c>
      <c r="I338" s="9">
        <v>23.481000000000002</v>
      </c>
      <c r="J338" s="9">
        <v>26.495000000000001</v>
      </c>
      <c r="K338" s="9">
        <v>26.385999999999999</v>
      </c>
      <c r="L338" s="9">
        <v>20.488</v>
      </c>
      <c r="M338" s="9">
        <v>20.513000000000002</v>
      </c>
      <c r="N338" s="9">
        <v>1852.400000000001</v>
      </c>
      <c r="O338" s="9">
        <v>23.338999999999999</v>
      </c>
      <c r="P338" s="10">
        <f>SUM(D338:O338)</f>
        <v>2130.1830000000009</v>
      </c>
    </row>
    <row r="339" spans="1:16" x14ac:dyDescent="0.3">
      <c r="A339" s="2" t="s">
        <v>94</v>
      </c>
      <c r="B339" s="8" t="s">
        <v>42</v>
      </c>
      <c r="C339" s="2" t="s">
        <v>22</v>
      </c>
      <c r="D339" s="9">
        <v>0</v>
      </c>
      <c r="E339" s="9">
        <v>0</v>
      </c>
      <c r="F339" s="9">
        <v>0</v>
      </c>
      <c r="G339" s="9">
        <v>0</v>
      </c>
      <c r="H339" s="9">
        <v>0</v>
      </c>
      <c r="I339" s="9">
        <v>0</v>
      </c>
      <c r="J339" s="9">
        <v>0</v>
      </c>
      <c r="K339" s="9">
        <v>0</v>
      </c>
      <c r="L339" s="9">
        <v>0</v>
      </c>
      <c r="M339" s="9">
        <v>0</v>
      </c>
      <c r="N339" s="9">
        <v>4664.2</v>
      </c>
      <c r="O339" s="9">
        <v>0</v>
      </c>
      <c r="P339" s="10">
        <f>SUM(D339:O339)</f>
        <v>4664.2</v>
      </c>
    </row>
    <row r="340" spans="1:16" x14ac:dyDescent="0.3">
      <c r="A340" s="2" t="s">
        <v>94</v>
      </c>
      <c r="B340" s="7"/>
      <c r="C340" s="2" t="s">
        <v>22</v>
      </c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</row>
    <row r="341" spans="1:16" x14ac:dyDescent="0.3">
      <c r="A341" s="2" t="s">
        <v>94</v>
      </c>
      <c r="B341" s="8" t="s">
        <v>43</v>
      </c>
      <c r="C341" s="2" t="s">
        <v>22</v>
      </c>
      <c r="D341" s="9">
        <v>6.633</v>
      </c>
      <c r="E341" s="9">
        <v>7.7510000000000003</v>
      </c>
      <c r="F341" s="9">
        <v>7.7069999999999999</v>
      </c>
      <c r="G341" s="9">
        <v>8.1489999999999991</v>
      </c>
      <c r="H341" s="9">
        <v>4.8120000000000003</v>
      </c>
      <c r="I341" s="9">
        <v>2.8610000000000002</v>
      </c>
      <c r="J341" s="9">
        <v>3.4159999999999999</v>
      </c>
      <c r="K341" s="9">
        <v>4.7290000000000001</v>
      </c>
      <c r="L341" s="9">
        <v>5.6269999999999998</v>
      </c>
      <c r="M341" s="9">
        <v>4.6310000000000002</v>
      </c>
      <c r="N341" s="9">
        <v>295.8</v>
      </c>
      <c r="O341" s="9">
        <v>5.5190000000000001</v>
      </c>
      <c r="P341" s="10">
        <f t="shared" ref="P341:P348" si="18">SUM(D341:O341)</f>
        <v>357.63499999999999</v>
      </c>
    </row>
    <row r="342" spans="1:16" x14ac:dyDescent="0.3">
      <c r="A342" s="2" t="s">
        <v>94</v>
      </c>
      <c r="B342" s="3" t="s">
        <v>44</v>
      </c>
      <c r="C342" s="2" t="s">
        <v>22</v>
      </c>
      <c r="D342" s="5">
        <v>0.25963909656711159</v>
      </c>
      <c r="E342" s="5">
        <v>0.26275466964981858</v>
      </c>
      <c r="F342" s="5">
        <v>0.27850251147327731</v>
      </c>
      <c r="G342" s="5">
        <v>0.29494371855658902</v>
      </c>
      <c r="H342" s="5">
        <v>0.18000224441701271</v>
      </c>
      <c r="I342" s="5">
        <v>0.1218431923682978</v>
      </c>
      <c r="J342" s="5">
        <v>0.1289299867899604</v>
      </c>
      <c r="K342" s="5">
        <v>0.1792238308193739</v>
      </c>
      <c r="L342" s="5">
        <v>0.27464857477547833</v>
      </c>
      <c r="M342" s="5">
        <v>0.2257592746063472</v>
      </c>
      <c r="N342" s="5">
        <v>4.153677647653551E-2</v>
      </c>
      <c r="O342" s="5">
        <v>0.23647114272248171</v>
      </c>
      <c r="P342" s="5">
        <f t="shared" si="18"/>
        <v>2.4842550192222839</v>
      </c>
    </row>
    <row r="343" spans="1:16" x14ac:dyDescent="0.3">
      <c r="A343" s="2" t="s">
        <v>94</v>
      </c>
      <c r="B343" s="3" t="s">
        <v>45</v>
      </c>
      <c r="C343" s="2" t="s">
        <v>22</v>
      </c>
      <c r="D343" s="10">
        <v>94.768270246995726</v>
      </c>
      <c r="E343" s="10">
        <v>95.905454422183809</v>
      </c>
      <c r="F343" s="10">
        <v>101.6534166877462</v>
      </c>
      <c r="G343" s="10">
        <v>107.654457273155</v>
      </c>
      <c r="H343" s="10">
        <v>65.700819212209623</v>
      </c>
      <c r="I343" s="10">
        <v>44.472765214428676</v>
      </c>
      <c r="J343" s="10">
        <v>47.059445178335537</v>
      </c>
      <c r="K343" s="10">
        <v>65.416698249071487</v>
      </c>
      <c r="L343" s="10">
        <v>100.2467297930496</v>
      </c>
      <c r="M343" s="10">
        <v>82.40213523131672</v>
      </c>
      <c r="N343" s="10">
        <v>15.160923413935461</v>
      </c>
      <c r="O343" s="10">
        <v>86.311967093705817</v>
      </c>
      <c r="P343" s="10">
        <f t="shared" si="18"/>
        <v>906.75308201613359</v>
      </c>
    </row>
    <row r="344" spans="1:16" x14ac:dyDescent="0.3">
      <c r="A344" s="2" t="s">
        <v>94</v>
      </c>
      <c r="B344" s="11" t="s">
        <v>47</v>
      </c>
      <c r="C344" s="2" t="s">
        <v>22</v>
      </c>
      <c r="D344" s="9">
        <v>-8.8817841970012523E-16</v>
      </c>
      <c r="E344" s="9">
        <v>8.8817841970012523E-16</v>
      </c>
      <c r="F344" s="9">
        <v>8.8817841970012523E-16</v>
      </c>
      <c r="G344" s="9">
        <v>-1.7763568394002501E-15</v>
      </c>
      <c r="H344" s="9">
        <v>8.8817841970012523E-16</v>
      </c>
      <c r="I344" s="9">
        <v>4.4408920985006262E-16</v>
      </c>
      <c r="J344" s="9">
        <v>4.4408920985006262E-16</v>
      </c>
      <c r="K344" s="9">
        <v>-8.8817841970012523E-16</v>
      </c>
      <c r="L344" s="9">
        <v>-8.8817841970012523E-16</v>
      </c>
      <c r="M344" s="9">
        <v>0</v>
      </c>
      <c r="N344" s="9">
        <v>1.7053025658242399E-13</v>
      </c>
      <c r="O344" s="9">
        <v>-1.7763568394002501E-15</v>
      </c>
      <c r="P344" s="10">
        <f t="shared" si="18"/>
        <v>1.6786572132332362E-13</v>
      </c>
    </row>
    <row r="345" spans="1:16" x14ac:dyDescent="0.3">
      <c r="A345" s="2" t="s">
        <v>94</v>
      </c>
      <c r="B345" s="3" t="s">
        <v>28</v>
      </c>
      <c r="C345" s="2" t="s">
        <v>23</v>
      </c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>
        <f t="shared" si="18"/>
        <v>0</v>
      </c>
    </row>
    <row r="346" spans="1:16" x14ac:dyDescent="0.3">
      <c r="A346" s="2" t="s">
        <v>94</v>
      </c>
      <c r="B346" s="3" t="s">
        <v>30</v>
      </c>
      <c r="C346" s="2" t="s">
        <v>23</v>
      </c>
      <c r="D346" s="4"/>
      <c r="E346" s="4"/>
      <c r="F346" s="4"/>
      <c r="G346" s="4"/>
      <c r="H346" s="4">
        <v>5.2335000000000003</v>
      </c>
      <c r="I346" s="4"/>
      <c r="J346" s="4"/>
      <c r="K346" s="4"/>
      <c r="L346" s="4"/>
      <c r="M346" s="4"/>
      <c r="N346" s="4"/>
      <c r="O346" s="4"/>
      <c r="P346" s="4">
        <f t="shared" si="18"/>
        <v>5.2335000000000003</v>
      </c>
    </row>
    <row r="347" spans="1:16" x14ac:dyDescent="0.3">
      <c r="A347" s="2" t="s">
        <v>94</v>
      </c>
      <c r="B347" s="3" t="s">
        <v>31</v>
      </c>
      <c r="C347" s="2" t="s">
        <v>23</v>
      </c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>
        <f t="shared" si="18"/>
        <v>0</v>
      </c>
    </row>
    <row r="348" spans="1:16" x14ac:dyDescent="0.3">
      <c r="A348" s="2" t="s">
        <v>94</v>
      </c>
      <c r="B348" s="3" t="s">
        <v>33</v>
      </c>
      <c r="C348" s="2" t="s">
        <v>23</v>
      </c>
      <c r="D348" s="6"/>
      <c r="E348" s="6"/>
      <c r="F348" s="6"/>
      <c r="G348" s="6"/>
      <c r="H348" s="6">
        <v>0.21287966517626819</v>
      </c>
      <c r="I348" s="6"/>
      <c r="J348" s="6"/>
      <c r="K348" s="6"/>
      <c r="L348" s="6"/>
      <c r="M348" s="6"/>
      <c r="N348" s="6"/>
      <c r="O348" s="6"/>
      <c r="P348" s="6">
        <f t="shared" si="18"/>
        <v>0.21287966517626819</v>
      </c>
    </row>
    <row r="349" spans="1:16" x14ac:dyDescent="0.3">
      <c r="A349" s="2" t="s">
        <v>94</v>
      </c>
      <c r="B349" s="7"/>
      <c r="C349" s="2" t="s">
        <v>23</v>
      </c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</row>
    <row r="350" spans="1:16" x14ac:dyDescent="0.3">
      <c r="A350" s="2" t="s">
        <v>94</v>
      </c>
      <c r="B350" s="8" t="s">
        <v>35</v>
      </c>
      <c r="C350" s="2" t="s">
        <v>23</v>
      </c>
      <c r="D350" s="9">
        <v>6.2869999999999999</v>
      </c>
      <c r="E350" s="9">
        <v>6.5220000000000002</v>
      </c>
      <c r="F350" s="9">
        <v>5.6520000000000001</v>
      </c>
      <c r="G350" s="9">
        <v>3.7850000000000001</v>
      </c>
      <c r="H350" s="9">
        <v>5.5579999999999998</v>
      </c>
      <c r="I350" s="9">
        <v>5.0369999999999999</v>
      </c>
      <c r="J350" s="9">
        <v>3.8730000000000002</v>
      </c>
      <c r="K350" s="9">
        <v>6.7329999999999997</v>
      </c>
      <c r="L350" s="9">
        <v>5.5670000000000002</v>
      </c>
      <c r="M350" s="9">
        <v>6.5979999999999999</v>
      </c>
      <c r="N350" s="9">
        <v>295.8</v>
      </c>
      <c r="O350" s="9">
        <v>7.3570000000000002</v>
      </c>
      <c r="P350" s="10">
        <f>SUM(D350:O350)</f>
        <v>358.76900000000006</v>
      </c>
    </row>
    <row r="351" spans="1:16" x14ac:dyDescent="0.3">
      <c r="A351" s="2" t="s">
        <v>94</v>
      </c>
      <c r="B351" s="8" t="s">
        <v>37</v>
      </c>
      <c r="C351" s="2" t="s">
        <v>23</v>
      </c>
      <c r="D351" s="9">
        <v>0</v>
      </c>
      <c r="E351" s="9">
        <v>0</v>
      </c>
      <c r="F351" s="9">
        <v>0</v>
      </c>
      <c r="G351" s="9">
        <v>0</v>
      </c>
      <c r="H351" s="9">
        <v>0</v>
      </c>
      <c r="I351" s="9">
        <v>0</v>
      </c>
      <c r="J351" s="9">
        <v>0</v>
      </c>
      <c r="K351" s="9">
        <v>0</v>
      </c>
      <c r="L351" s="9">
        <v>0</v>
      </c>
      <c r="M351" s="9">
        <v>0</v>
      </c>
      <c r="N351" s="9">
        <v>551.9</v>
      </c>
      <c r="O351" s="9">
        <v>0</v>
      </c>
      <c r="P351" s="10">
        <f>SUM(D351:O351)</f>
        <v>551.9</v>
      </c>
    </row>
    <row r="352" spans="1:16" x14ac:dyDescent="0.3">
      <c r="A352" s="2" t="s">
        <v>94</v>
      </c>
      <c r="B352" s="8" t="s">
        <v>38</v>
      </c>
      <c r="C352" s="2" t="s">
        <v>23</v>
      </c>
      <c r="D352" s="9">
        <v>25.332000000000001</v>
      </c>
      <c r="E352" s="9">
        <v>31.01</v>
      </c>
      <c r="F352" s="9">
        <v>27.524000000000001</v>
      </c>
      <c r="G352" s="9">
        <v>29.853000000000002</v>
      </c>
      <c r="H352" s="9">
        <v>30.321000000000002</v>
      </c>
      <c r="I352" s="9">
        <v>26.568999999999999</v>
      </c>
      <c r="J352" s="9">
        <v>31.427</v>
      </c>
      <c r="K352" s="9">
        <v>31.858000000000001</v>
      </c>
      <c r="L352" s="9">
        <v>30.265999999999998</v>
      </c>
      <c r="M352" s="9">
        <v>25.096</v>
      </c>
      <c r="N352" s="9">
        <v>6224</v>
      </c>
      <c r="O352" s="9">
        <v>27.094000000000001</v>
      </c>
      <c r="P352" s="10">
        <f>SUM(D352:O352)</f>
        <v>6540.35</v>
      </c>
    </row>
    <row r="353" spans="1:16" x14ac:dyDescent="0.3">
      <c r="A353" s="2" t="s">
        <v>94</v>
      </c>
      <c r="B353" s="7"/>
      <c r="C353" s="2" t="s">
        <v>23</v>
      </c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</row>
    <row r="354" spans="1:16" x14ac:dyDescent="0.3">
      <c r="A354" s="2" t="s">
        <v>94</v>
      </c>
      <c r="B354" s="8" t="s">
        <v>39</v>
      </c>
      <c r="C354" s="2" t="s">
        <v>23</v>
      </c>
      <c r="D354" s="9">
        <v>0</v>
      </c>
      <c r="E354" s="9">
        <v>0</v>
      </c>
      <c r="F354" s="9">
        <v>0</v>
      </c>
      <c r="G354" s="9">
        <v>0</v>
      </c>
      <c r="H354" s="9">
        <v>0</v>
      </c>
      <c r="I354" s="9">
        <v>0</v>
      </c>
      <c r="J354" s="9">
        <v>0</v>
      </c>
      <c r="K354" s="9">
        <v>0</v>
      </c>
      <c r="L354" s="9">
        <v>0</v>
      </c>
      <c r="M354" s="9">
        <v>0</v>
      </c>
      <c r="N354" s="9">
        <v>445.4</v>
      </c>
      <c r="O354" s="9">
        <v>0</v>
      </c>
      <c r="P354" s="10">
        <f>SUM(D354:O354)</f>
        <v>445.4</v>
      </c>
    </row>
    <row r="355" spans="1:16" x14ac:dyDescent="0.3">
      <c r="A355" s="2" t="s">
        <v>94</v>
      </c>
      <c r="B355" s="8" t="s">
        <v>91</v>
      </c>
      <c r="C355" s="2" t="s">
        <v>23</v>
      </c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10">
        <f>SUM(D355:O355)</f>
        <v>0</v>
      </c>
    </row>
    <row r="356" spans="1:16" x14ac:dyDescent="0.3">
      <c r="A356" s="2" t="s">
        <v>94</v>
      </c>
      <c r="B356" s="8" t="s">
        <v>41</v>
      </c>
      <c r="C356" s="2" t="s">
        <v>23</v>
      </c>
      <c r="D356" s="9">
        <v>25.332000000000001</v>
      </c>
      <c r="E356" s="9">
        <v>31.010000000000009</v>
      </c>
      <c r="F356" s="9">
        <v>27.524000000000001</v>
      </c>
      <c r="G356" s="9">
        <v>29.853000000000009</v>
      </c>
      <c r="H356" s="9">
        <v>30.321000000000009</v>
      </c>
      <c r="I356" s="9">
        <v>26.568999999999999</v>
      </c>
      <c r="J356" s="9">
        <v>31.427</v>
      </c>
      <c r="K356" s="9">
        <v>31.858000000000001</v>
      </c>
      <c r="L356" s="9">
        <v>30.265999999999998</v>
      </c>
      <c r="M356" s="9">
        <v>25.096</v>
      </c>
      <c r="N356" s="9">
        <v>2078.6999999999998</v>
      </c>
      <c r="O356" s="9">
        <v>27.094000000000001</v>
      </c>
      <c r="P356" s="10">
        <f>SUM(D356:O356)</f>
        <v>2395.0499999999997</v>
      </c>
    </row>
    <row r="357" spans="1:16" x14ac:dyDescent="0.3">
      <c r="A357" s="2" t="s">
        <v>94</v>
      </c>
      <c r="B357" s="8" t="s">
        <v>42</v>
      </c>
      <c r="C357" s="2" t="s">
        <v>23</v>
      </c>
      <c r="D357" s="9">
        <v>0</v>
      </c>
      <c r="E357" s="9">
        <v>0</v>
      </c>
      <c r="F357" s="9">
        <v>0</v>
      </c>
      <c r="G357" s="9">
        <v>0</v>
      </c>
      <c r="H357" s="9">
        <v>0</v>
      </c>
      <c r="I357" s="9">
        <v>0</v>
      </c>
      <c r="J357" s="9">
        <v>0</v>
      </c>
      <c r="K357" s="9">
        <v>0</v>
      </c>
      <c r="L357" s="9">
        <v>0</v>
      </c>
      <c r="M357" s="9">
        <v>0</v>
      </c>
      <c r="N357" s="9">
        <v>4260.5</v>
      </c>
      <c r="O357" s="9">
        <v>0</v>
      </c>
      <c r="P357" s="10">
        <f>SUM(D357:O357)</f>
        <v>4260.5</v>
      </c>
    </row>
    <row r="358" spans="1:16" x14ac:dyDescent="0.3">
      <c r="A358" s="2" t="s">
        <v>94</v>
      </c>
      <c r="B358" s="7"/>
      <c r="C358" s="2" t="s">
        <v>23</v>
      </c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</row>
    <row r="359" spans="1:16" x14ac:dyDescent="0.3">
      <c r="A359" s="2" t="s">
        <v>94</v>
      </c>
      <c r="B359" s="8" t="s">
        <v>43</v>
      </c>
      <c r="C359" s="2" t="s">
        <v>23</v>
      </c>
      <c r="D359" s="9">
        <v>6.2869999999999999</v>
      </c>
      <c r="E359" s="9">
        <v>6.5220000000000002</v>
      </c>
      <c r="F359" s="9">
        <v>5.6520000000000001</v>
      </c>
      <c r="G359" s="9">
        <v>3.7850000000000001</v>
      </c>
      <c r="H359" s="9">
        <v>5.5579999999999998</v>
      </c>
      <c r="I359" s="9">
        <v>5.0369999999999999</v>
      </c>
      <c r="J359" s="9">
        <v>3.8730000000000002</v>
      </c>
      <c r="K359" s="9">
        <v>6.7329999999999997</v>
      </c>
      <c r="L359" s="9">
        <v>5.5670000000000002</v>
      </c>
      <c r="M359" s="9">
        <v>6.5979999999999999</v>
      </c>
      <c r="N359" s="9">
        <v>287.10000000000002</v>
      </c>
      <c r="O359" s="9">
        <v>7.3570000000000002</v>
      </c>
      <c r="P359" s="10">
        <f t="shared" ref="P359:P366" si="19">SUM(D359:O359)</f>
        <v>350.06900000000002</v>
      </c>
    </row>
    <row r="360" spans="1:16" x14ac:dyDescent="0.3">
      <c r="A360" s="2" t="s">
        <v>94</v>
      </c>
      <c r="B360" s="3" t="s">
        <v>44</v>
      </c>
      <c r="C360" s="2" t="s">
        <v>23</v>
      </c>
      <c r="D360" s="5">
        <v>0.24818411495341861</v>
      </c>
      <c r="E360" s="5">
        <v>0.21031925185424061</v>
      </c>
      <c r="F360" s="5">
        <v>0.2053480598750182</v>
      </c>
      <c r="G360" s="5">
        <v>0.12678792751147289</v>
      </c>
      <c r="H360" s="5">
        <v>0.18330529995712541</v>
      </c>
      <c r="I360" s="5">
        <v>0.18958184350182539</v>
      </c>
      <c r="J360" s="5">
        <v>0.12323798008082219</v>
      </c>
      <c r="K360" s="5">
        <v>0.2113440893966978</v>
      </c>
      <c r="L360" s="5">
        <v>0.18393576951034171</v>
      </c>
      <c r="M360" s="5">
        <v>0.26291042397194769</v>
      </c>
      <c r="N360" s="5">
        <v>4.2316422486218787E-2</v>
      </c>
      <c r="O360" s="5">
        <v>0.27153613346128291</v>
      </c>
      <c r="P360" s="5">
        <f t="shared" si="19"/>
        <v>2.2588073165604117</v>
      </c>
    </row>
    <row r="361" spans="1:16" x14ac:dyDescent="0.3">
      <c r="A361" s="2" t="s">
        <v>94</v>
      </c>
      <c r="B361" s="3" t="s">
        <v>45</v>
      </c>
      <c r="C361" s="2" t="s">
        <v>23</v>
      </c>
      <c r="D361" s="10">
        <v>90.587201957997777</v>
      </c>
      <c r="E361" s="10">
        <v>76.766526926797795</v>
      </c>
      <c r="F361" s="10">
        <v>74.952041854381633</v>
      </c>
      <c r="G361" s="10">
        <v>46.277593541687587</v>
      </c>
      <c r="H361" s="10">
        <v>66.906434484350768</v>
      </c>
      <c r="I361" s="10">
        <v>69.197372878166291</v>
      </c>
      <c r="J361" s="10">
        <v>44.981862729500108</v>
      </c>
      <c r="K361" s="10">
        <v>77.14059262979471</v>
      </c>
      <c r="L361" s="10">
        <v>67.136555871274709</v>
      </c>
      <c r="M361" s="10">
        <v>95.962304749760904</v>
      </c>
      <c r="N361" s="10">
        <v>15.44549420746986</v>
      </c>
      <c r="O361" s="10">
        <v>99.110688713368262</v>
      </c>
      <c r="P361" s="10">
        <f t="shared" si="19"/>
        <v>824.46467054455047</v>
      </c>
    </row>
    <row r="362" spans="1:16" x14ac:dyDescent="0.3">
      <c r="A362" s="2" t="s">
        <v>94</v>
      </c>
      <c r="B362" s="11" t="s">
        <v>47</v>
      </c>
      <c r="C362" s="2" t="s">
        <v>23</v>
      </c>
      <c r="D362" s="9">
        <v>-8.8817841970012523E-16</v>
      </c>
      <c r="E362" s="9">
        <v>-1.7763568394002501E-15</v>
      </c>
      <c r="F362" s="9">
        <v>8.8817841970012523E-16</v>
      </c>
      <c r="G362" s="9">
        <v>0</v>
      </c>
      <c r="H362" s="9">
        <v>0</v>
      </c>
      <c r="I362" s="9">
        <v>-8.8817841970012523E-16</v>
      </c>
      <c r="J362" s="9">
        <v>-2.6645352591003761E-15</v>
      </c>
      <c r="K362" s="9">
        <v>8.8817841970012523E-16</v>
      </c>
      <c r="L362" s="9">
        <v>0</v>
      </c>
      <c r="M362" s="9">
        <v>-8.8817841970012523E-16</v>
      </c>
      <c r="N362" s="9">
        <v>3.4106051316484809E-13</v>
      </c>
      <c r="O362" s="9">
        <v>-8.8817841970012523E-16</v>
      </c>
      <c r="P362" s="10">
        <f t="shared" si="19"/>
        <v>3.3484326422694721E-13</v>
      </c>
    </row>
    <row r="363" spans="1:16" x14ac:dyDescent="0.3">
      <c r="A363" s="2" t="s">
        <v>94</v>
      </c>
      <c r="B363" s="3" t="s">
        <v>28</v>
      </c>
      <c r="C363" s="2" t="s">
        <v>24</v>
      </c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>
        <f t="shared" si="19"/>
        <v>0</v>
      </c>
    </row>
    <row r="364" spans="1:16" x14ac:dyDescent="0.3">
      <c r="A364" s="2" t="s">
        <v>94</v>
      </c>
      <c r="B364" s="3" t="s">
        <v>30</v>
      </c>
      <c r="C364" s="2" t="s">
        <v>24</v>
      </c>
      <c r="D364" s="4"/>
      <c r="E364" s="4"/>
      <c r="F364" s="4"/>
      <c r="G364" s="4"/>
      <c r="H364" s="4">
        <v>5.5876000000000001</v>
      </c>
      <c r="I364" s="4"/>
      <c r="J364" s="4"/>
      <c r="K364" s="4"/>
      <c r="L364" s="4"/>
      <c r="M364" s="4"/>
      <c r="N364" s="4"/>
      <c r="O364" s="4"/>
      <c r="P364" s="4">
        <f t="shared" si="19"/>
        <v>5.5876000000000001</v>
      </c>
    </row>
    <row r="365" spans="1:16" x14ac:dyDescent="0.3">
      <c r="A365" s="2" t="s">
        <v>94</v>
      </c>
      <c r="B365" s="3" t="s">
        <v>31</v>
      </c>
      <c r="C365" s="2" t="s">
        <v>24</v>
      </c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>
        <f t="shared" si="19"/>
        <v>0</v>
      </c>
    </row>
    <row r="366" spans="1:16" x14ac:dyDescent="0.3">
      <c r="A366" s="2" t="s">
        <v>94</v>
      </c>
      <c r="B366" s="3" t="s">
        <v>33</v>
      </c>
      <c r="C366" s="2" t="s">
        <v>24</v>
      </c>
      <c r="D366" s="6"/>
      <c r="E366" s="6"/>
      <c r="F366" s="6"/>
      <c r="G366" s="6"/>
      <c r="H366" s="6">
        <v>0.2050837160677213</v>
      </c>
      <c r="I366" s="6"/>
      <c r="J366" s="6"/>
      <c r="K366" s="6"/>
      <c r="L366" s="6"/>
      <c r="M366" s="6"/>
      <c r="N366" s="6"/>
      <c r="O366" s="6"/>
      <c r="P366" s="6">
        <f t="shared" si="19"/>
        <v>0.2050837160677213</v>
      </c>
    </row>
    <row r="367" spans="1:16" x14ac:dyDescent="0.3">
      <c r="A367" s="2" t="s">
        <v>94</v>
      </c>
      <c r="B367" s="7"/>
      <c r="C367" s="2" t="s">
        <v>24</v>
      </c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</row>
    <row r="368" spans="1:16" x14ac:dyDescent="0.3">
      <c r="A368" s="2" t="s">
        <v>94</v>
      </c>
      <c r="B368" s="8" t="s">
        <v>35</v>
      </c>
      <c r="C368" s="2" t="s">
        <v>24</v>
      </c>
      <c r="D368" s="9">
        <v>6.851</v>
      </c>
      <c r="E368" s="9">
        <v>5.49</v>
      </c>
      <c r="F368" s="9">
        <v>5.3049999999999997</v>
      </c>
      <c r="G368" s="9">
        <v>8.4309999999999992</v>
      </c>
      <c r="H368" s="9">
        <v>7.8360000000000003</v>
      </c>
      <c r="I368" s="9">
        <v>8.3179999999999996</v>
      </c>
      <c r="J368" s="9">
        <v>7.2510000000000003</v>
      </c>
      <c r="K368" s="9">
        <v>8.08</v>
      </c>
      <c r="L368" s="9">
        <v>9.1430000000000007</v>
      </c>
      <c r="M368" s="9">
        <v>6.7679999999999998</v>
      </c>
      <c r="N368" s="9">
        <v>287.10000000000002</v>
      </c>
      <c r="O368" s="9">
        <v>6.5</v>
      </c>
      <c r="P368" s="10">
        <f>SUM(D368:O368)</f>
        <v>367.07299999999998</v>
      </c>
    </row>
    <row r="369" spans="1:16" x14ac:dyDescent="0.3">
      <c r="A369" s="2" t="s">
        <v>94</v>
      </c>
      <c r="B369" s="8" t="s">
        <v>37</v>
      </c>
      <c r="C369" s="2" t="s">
        <v>24</v>
      </c>
      <c r="D369" s="9">
        <v>0</v>
      </c>
      <c r="E369" s="9">
        <v>0</v>
      </c>
      <c r="F369" s="9">
        <v>0</v>
      </c>
      <c r="G369" s="9">
        <v>0</v>
      </c>
      <c r="H369" s="9">
        <v>0</v>
      </c>
      <c r="I369" s="9">
        <v>0</v>
      </c>
      <c r="J369" s="9">
        <v>0</v>
      </c>
      <c r="K369" s="9">
        <v>0</v>
      </c>
      <c r="L369" s="9">
        <v>0</v>
      </c>
      <c r="M369" s="9">
        <v>0</v>
      </c>
      <c r="N369" s="9">
        <v>482.8</v>
      </c>
      <c r="O369" s="9">
        <v>0</v>
      </c>
      <c r="P369" s="10">
        <f>SUM(D369:O369)</f>
        <v>482.8</v>
      </c>
    </row>
    <row r="370" spans="1:16" x14ac:dyDescent="0.3">
      <c r="A370" s="2" t="s">
        <v>94</v>
      </c>
      <c r="B370" s="8" t="s">
        <v>38</v>
      </c>
      <c r="C370" s="2" t="s">
        <v>24</v>
      </c>
      <c r="D370" s="9">
        <v>25.53</v>
      </c>
      <c r="E370" s="9">
        <v>30.847000000000001</v>
      </c>
      <c r="F370" s="9">
        <v>28.934000000000001</v>
      </c>
      <c r="G370" s="9">
        <v>30.791</v>
      </c>
      <c r="H370" s="9">
        <v>31.187000000000001</v>
      </c>
      <c r="I370" s="9">
        <v>27.283000000000001</v>
      </c>
      <c r="J370" s="9">
        <v>29.891999999999999</v>
      </c>
      <c r="K370" s="9">
        <v>29.558</v>
      </c>
      <c r="L370" s="9">
        <v>27.51</v>
      </c>
      <c r="M370" s="9">
        <v>20.067</v>
      </c>
      <c r="N370" s="9">
        <v>6543.2</v>
      </c>
      <c r="O370" s="9">
        <v>23.361999999999998</v>
      </c>
      <c r="P370" s="10">
        <f>SUM(D370:O370)</f>
        <v>6848.1610000000001</v>
      </c>
    </row>
    <row r="371" spans="1:16" x14ac:dyDescent="0.3">
      <c r="A371" s="2" t="s">
        <v>94</v>
      </c>
      <c r="B371" s="7"/>
      <c r="C371" s="2" t="s">
        <v>24</v>
      </c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</row>
    <row r="372" spans="1:16" x14ac:dyDescent="0.3">
      <c r="A372" s="2" t="s">
        <v>94</v>
      </c>
      <c r="B372" s="8" t="s">
        <v>39</v>
      </c>
      <c r="C372" s="2" t="s">
        <v>24</v>
      </c>
      <c r="D372" s="9">
        <v>0</v>
      </c>
      <c r="E372" s="9">
        <v>0</v>
      </c>
      <c r="F372" s="9">
        <v>0</v>
      </c>
      <c r="G372" s="9">
        <v>0</v>
      </c>
      <c r="H372" s="9">
        <v>0</v>
      </c>
      <c r="I372" s="9">
        <v>0</v>
      </c>
      <c r="J372" s="9">
        <v>0</v>
      </c>
      <c r="K372" s="9">
        <v>0</v>
      </c>
      <c r="L372" s="9">
        <v>0</v>
      </c>
      <c r="M372" s="9">
        <v>0</v>
      </c>
      <c r="N372" s="9">
        <v>716.8</v>
      </c>
      <c r="O372" s="9">
        <v>0</v>
      </c>
      <c r="P372" s="10">
        <f>SUM(D372:O372)</f>
        <v>716.8</v>
      </c>
    </row>
    <row r="373" spans="1:16" x14ac:dyDescent="0.3">
      <c r="A373" s="2" t="s">
        <v>94</v>
      </c>
      <c r="B373" s="8" t="s">
        <v>91</v>
      </c>
      <c r="C373" s="2" t="s">
        <v>24</v>
      </c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10">
        <f>SUM(D373:O373)</f>
        <v>0</v>
      </c>
    </row>
    <row r="374" spans="1:16" x14ac:dyDescent="0.3">
      <c r="A374" s="2" t="s">
        <v>94</v>
      </c>
      <c r="B374" s="8" t="s">
        <v>41</v>
      </c>
      <c r="C374" s="2" t="s">
        <v>24</v>
      </c>
      <c r="D374" s="9">
        <v>25.53</v>
      </c>
      <c r="E374" s="9">
        <v>30.847000000000001</v>
      </c>
      <c r="F374" s="9">
        <v>28.934000000000001</v>
      </c>
      <c r="G374" s="9">
        <v>30.791</v>
      </c>
      <c r="H374" s="9">
        <v>31.187000000000001</v>
      </c>
      <c r="I374" s="9">
        <v>27.283000000000001</v>
      </c>
      <c r="J374" s="9">
        <v>29.891999999999999</v>
      </c>
      <c r="K374" s="9">
        <v>29.558</v>
      </c>
      <c r="L374" s="9">
        <v>27.510000000000009</v>
      </c>
      <c r="M374" s="9">
        <v>20.067</v>
      </c>
      <c r="N374" s="9">
        <v>2004</v>
      </c>
      <c r="O374" s="9">
        <v>23.361999999999998</v>
      </c>
      <c r="P374" s="10">
        <f>SUM(D374:O374)</f>
        <v>2308.9610000000002</v>
      </c>
    </row>
    <row r="375" spans="1:16" x14ac:dyDescent="0.3">
      <c r="A375" s="2" t="s">
        <v>94</v>
      </c>
      <c r="B375" s="8" t="s">
        <v>42</v>
      </c>
      <c r="C375" s="2" t="s">
        <v>24</v>
      </c>
      <c r="D375" s="9">
        <v>0</v>
      </c>
      <c r="E375" s="9">
        <v>0</v>
      </c>
      <c r="F375" s="9">
        <v>0</v>
      </c>
      <c r="G375" s="9">
        <v>0</v>
      </c>
      <c r="H375" s="9">
        <v>0</v>
      </c>
      <c r="I375" s="9">
        <v>0</v>
      </c>
      <c r="J375" s="9">
        <v>0</v>
      </c>
      <c r="K375" s="9">
        <v>0</v>
      </c>
      <c r="L375" s="9">
        <v>0</v>
      </c>
      <c r="M375" s="9">
        <v>0</v>
      </c>
      <c r="N375" s="9">
        <v>4220.5</v>
      </c>
      <c r="O375" s="9">
        <v>0</v>
      </c>
      <c r="P375" s="10">
        <f>SUM(D375:O375)</f>
        <v>4220.5</v>
      </c>
    </row>
    <row r="376" spans="1:16" x14ac:dyDescent="0.3">
      <c r="A376" s="2" t="s">
        <v>94</v>
      </c>
      <c r="B376" s="7"/>
      <c r="C376" s="2" t="s">
        <v>24</v>
      </c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</row>
    <row r="377" spans="1:16" x14ac:dyDescent="0.3">
      <c r="A377" s="2" t="s">
        <v>94</v>
      </c>
      <c r="B377" s="8" t="s">
        <v>43</v>
      </c>
      <c r="C377" s="2" t="s">
        <v>24</v>
      </c>
      <c r="D377" s="9">
        <v>6.851</v>
      </c>
      <c r="E377" s="9">
        <v>5.49</v>
      </c>
      <c r="F377" s="9">
        <v>5.3049999999999997</v>
      </c>
      <c r="G377" s="9">
        <v>8.4309999999999992</v>
      </c>
      <c r="H377" s="9">
        <v>7.8360000000000003</v>
      </c>
      <c r="I377" s="9">
        <v>8.3179999999999996</v>
      </c>
      <c r="J377" s="9">
        <v>7.2510000000000003</v>
      </c>
      <c r="K377" s="9">
        <v>8.08</v>
      </c>
      <c r="L377" s="9">
        <v>9.1430000000000007</v>
      </c>
      <c r="M377" s="9">
        <v>6.7679999999999998</v>
      </c>
      <c r="N377" s="9">
        <v>371.8</v>
      </c>
      <c r="O377" s="9">
        <v>6.5</v>
      </c>
      <c r="P377" s="10">
        <f t="shared" ref="P377:P384" si="20">SUM(D377:O377)</f>
        <v>451.77300000000002</v>
      </c>
    </row>
    <row r="378" spans="1:16" x14ac:dyDescent="0.3">
      <c r="A378" s="2" t="s">
        <v>94</v>
      </c>
      <c r="B378" s="3" t="s">
        <v>44</v>
      </c>
      <c r="C378" s="2" t="s">
        <v>24</v>
      </c>
      <c r="D378" s="5">
        <v>0.26835095965530747</v>
      </c>
      <c r="E378" s="5">
        <v>0.1779751677634778</v>
      </c>
      <c r="F378" s="5">
        <v>0.1833483099467754</v>
      </c>
      <c r="G378" s="5">
        <v>0.27381377675294721</v>
      </c>
      <c r="H378" s="5">
        <v>0.25125853721101737</v>
      </c>
      <c r="I378" s="5">
        <v>0.30487849576659448</v>
      </c>
      <c r="J378" s="5">
        <v>0.2425732637494982</v>
      </c>
      <c r="K378" s="5">
        <v>0.2733608498545233</v>
      </c>
      <c r="L378" s="5">
        <v>0.3323518720465285</v>
      </c>
      <c r="M378" s="5">
        <v>0.33727014501420238</v>
      </c>
      <c r="N378" s="5">
        <v>5.3563453531759182E-2</v>
      </c>
      <c r="O378" s="5">
        <v>0.27822960362982618</v>
      </c>
      <c r="P378" s="5">
        <f t="shared" si="20"/>
        <v>2.9769744349224578</v>
      </c>
    </row>
    <row r="379" spans="1:16" x14ac:dyDescent="0.3">
      <c r="A379" s="2" t="s">
        <v>94</v>
      </c>
      <c r="B379" s="3" t="s">
        <v>45</v>
      </c>
      <c r="C379" s="2" t="s">
        <v>24</v>
      </c>
      <c r="D379" s="10">
        <v>97.948100274187226</v>
      </c>
      <c r="E379" s="10">
        <v>64.960936233669401</v>
      </c>
      <c r="F379" s="10">
        <v>66.922133130573016</v>
      </c>
      <c r="G379" s="10">
        <v>99.942028514825736</v>
      </c>
      <c r="H379" s="10">
        <v>91.709366082021347</v>
      </c>
      <c r="I379" s="10">
        <v>111.280650954807</v>
      </c>
      <c r="J379" s="10">
        <v>88.53924126856684</v>
      </c>
      <c r="K379" s="10">
        <v>99.776710196901007</v>
      </c>
      <c r="L379" s="10">
        <v>121.3084332969829</v>
      </c>
      <c r="M379" s="10">
        <v>123.1036029301839</v>
      </c>
      <c r="N379" s="10">
        <v>19.5506605390921</v>
      </c>
      <c r="O379" s="10">
        <v>101.5538053248866</v>
      </c>
      <c r="P379" s="10">
        <f t="shared" si="20"/>
        <v>1086.5956687466969</v>
      </c>
    </row>
    <row r="380" spans="1:16" x14ac:dyDescent="0.3">
      <c r="A380" s="2" t="s">
        <v>94</v>
      </c>
      <c r="B380" s="11" t="s">
        <v>47</v>
      </c>
      <c r="C380" s="2" t="s">
        <v>24</v>
      </c>
      <c r="D380" s="9">
        <v>-8.8817841970012523E-16</v>
      </c>
      <c r="E380" s="9">
        <v>1.7763568394002501E-15</v>
      </c>
      <c r="F380" s="9">
        <v>0</v>
      </c>
      <c r="G380" s="9">
        <v>-1.7763568394002501E-15</v>
      </c>
      <c r="H380" s="9">
        <v>-1.7763568394002501E-15</v>
      </c>
      <c r="I380" s="9">
        <v>-1.7763568394002501E-15</v>
      </c>
      <c r="J380" s="9">
        <v>8.8817841970012523E-16</v>
      </c>
      <c r="K380" s="9">
        <v>-1.7763568394002501E-15</v>
      </c>
      <c r="L380" s="9">
        <v>0</v>
      </c>
      <c r="M380" s="9">
        <v>8.8817841970012523E-16</v>
      </c>
      <c r="N380" s="9">
        <v>1.7053025658242399E-13</v>
      </c>
      <c r="O380" s="9">
        <v>0</v>
      </c>
      <c r="P380" s="10">
        <f t="shared" si="20"/>
        <v>1.6608936448392337E-13</v>
      </c>
    </row>
    <row r="381" spans="1:16" x14ac:dyDescent="0.3">
      <c r="A381" s="2" t="s">
        <v>94</v>
      </c>
      <c r="B381" s="3" t="s">
        <v>28</v>
      </c>
      <c r="C381" s="2" t="s">
        <v>25</v>
      </c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>
        <f t="shared" si="20"/>
        <v>0</v>
      </c>
    </row>
    <row r="382" spans="1:16" x14ac:dyDescent="0.3">
      <c r="A382" s="2" t="s">
        <v>94</v>
      </c>
      <c r="B382" s="3" t="s">
        <v>30</v>
      </c>
      <c r="C382" s="2" t="s">
        <v>25</v>
      </c>
      <c r="D382" s="4"/>
      <c r="E382" s="4"/>
      <c r="F382" s="4"/>
      <c r="G382" s="4"/>
      <c r="H382" s="4">
        <v>5.6577999999999999</v>
      </c>
      <c r="I382" s="4"/>
      <c r="J382" s="4"/>
      <c r="K382" s="4"/>
      <c r="L382" s="4"/>
      <c r="M382" s="4"/>
      <c r="N382" s="4"/>
      <c r="O382" s="4"/>
      <c r="P382" s="4">
        <f t="shared" si="20"/>
        <v>5.6577999999999999</v>
      </c>
    </row>
    <row r="383" spans="1:16" x14ac:dyDescent="0.3">
      <c r="A383" s="2" t="s">
        <v>94</v>
      </c>
      <c r="B383" s="3" t="s">
        <v>31</v>
      </c>
      <c r="C383" s="2" t="s">
        <v>25</v>
      </c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>
        <f t="shared" si="20"/>
        <v>0</v>
      </c>
    </row>
    <row r="384" spans="1:16" x14ac:dyDescent="0.3">
      <c r="A384" s="2" t="s">
        <v>94</v>
      </c>
      <c r="B384" s="3" t="s">
        <v>33</v>
      </c>
      <c r="C384" s="2" t="s">
        <v>25</v>
      </c>
      <c r="D384" s="6"/>
      <c r="E384" s="6"/>
      <c r="F384" s="6"/>
      <c r="G384" s="6"/>
      <c r="H384" s="6">
        <v>0.18460822514051389</v>
      </c>
      <c r="I384" s="6"/>
      <c r="J384" s="6"/>
      <c r="K384" s="6"/>
      <c r="L384" s="6"/>
      <c r="M384" s="6"/>
      <c r="N384" s="6"/>
      <c r="O384" s="6"/>
      <c r="P384" s="6">
        <f t="shared" si="20"/>
        <v>0.18460822514051389</v>
      </c>
    </row>
    <row r="385" spans="1:16" x14ac:dyDescent="0.3">
      <c r="A385" s="2" t="s">
        <v>94</v>
      </c>
      <c r="B385" s="7"/>
      <c r="C385" s="2" t="s">
        <v>25</v>
      </c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</row>
    <row r="386" spans="1:16" x14ac:dyDescent="0.3">
      <c r="A386" s="2" t="s">
        <v>94</v>
      </c>
      <c r="B386" s="8" t="s">
        <v>35</v>
      </c>
      <c r="C386" s="2" t="s">
        <v>25</v>
      </c>
      <c r="D386" s="9">
        <v>6.74</v>
      </c>
      <c r="E386" s="9">
        <v>7.609</v>
      </c>
      <c r="F386" s="9">
        <v>8.0459999999999994</v>
      </c>
      <c r="G386" s="9">
        <v>5.5730000000000004</v>
      </c>
      <c r="H386" s="9">
        <v>7.5439999999999996</v>
      </c>
      <c r="I386" s="9">
        <v>7.3520000000000003</v>
      </c>
      <c r="J386" s="9">
        <v>8.1850000000000005</v>
      </c>
      <c r="K386" s="9">
        <v>7.9569999999999999</v>
      </c>
      <c r="L386" s="9">
        <v>9.8659999999999997</v>
      </c>
      <c r="M386" s="9">
        <v>10.348000000000001</v>
      </c>
      <c r="N386" s="9">
        <v>371.8</v>
      </c>
      <c r="O386" s="9">
        <v>8.5429999999999993</v>
      </c>
      <c r="P386" s="10">
        <f>SUM(D386:O386)</f>
        <v>459.56300000000005</v>
      </c>
    </row>
    <row r="387" spans="1:16" x14ac:dyDescent="0.3">
      <c r="A387" s="2" t="s">
        <v>94</v>
      </c>
      <c r="B387" s="8" t="s">
        <v>37</v>
      </c>
      <c r="C387" s="2" t="s">
        <v>25</v>
      </c>
      <c r="D387" s="9">
        <v>0</v>
      </c>
      <c r="E387" s="9">
        <v>0</v>
      </c>
      <c r="F387" s="9">
        <v>0</v>
      </c>
      <c r="G387" s="9">
        <v>0</v>
      </c>
      <c r="H387" s="9">
        <v>0</v>
      </c>
      <c r="I387" s="9">
        <v>0</v>
      </c>
      <c r="J387" s="9">
        <v>0</v>
      </c>
      <c r="K387" s="9">
        <v>0</v>
      </c>
      <c r="L387" s="9">
        <v>0</v>
      </c>
      <c r="M387" s="9">
        <v>0</v>
      </c>
      <c r="N387" s="9">
        <v>322</v>
      </c>
      <c r="O387" s="9">
        <v>0</v>
      </c>
      <c r="P387" s="10">
        <f>SUM(D387:O387)</f>
        <v>322</v>
      </c>
    </row>
    <row r="388" spans="1:16" x14ac:dyDescent="0.3">
      <c r="A388" s="2" t="s">
        <v>94</v>
      </c>
      <c r="B388" s="8" t="s">
        <v>38</v>
      </c>
      <c r="C388" s="2" t="s">
        <v>25</v>
      </c>
      <c r="D388" s="9">
        <v>27.521999999999998</v>
      </c>
      <c r="E388" s="9">
        <v>30.471</v>
      </c>
      <c r="F388" s="9">
        <v>26.773</v>
      </c>
      <c r="G388" s="9">
        <v>27.734000000000002</v>
      </c>
      <c r="H388" s="9">
        <v>28.425999999999998</v>
      </c>
      <c r="I388" s="9">
        <v>25.728000000000002</v>
      </c>
      <c r="J388" s="9">
        <v>29.721</v>
      </c>
      <c r="K388" s="9">
        <v>26.768000000000001</v>
      </c>
      <c r="L388" s="9">
        <v>28.059000000000001</v>
      </c>
      <c r="M388" s="9">
        <v>16.324999999999999</v>
      </c>
      <c r="N388" s="9">
        <v>7035.4</v>
      </c>
      <c r="O388" s="9">
        <v>12.695</v>
      </c>
      <c r="P388" s="10">
        <f>SUM(D388:O388)</f>
        <v>7315.6219999999994</v>
      </c>
    </row>
    <row r="389" spans="1:16" x14ac:dyDescent="0.3">
      <c r="A389" s="2" t="s">
        <v>94</v>
      </c>
      <c r="B389" s="7"/>
      <c r="C389" s="2" t="s">
        <v>25</v>
      </c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</row>
    <row r="390" spans="1:16" x14ac:dyDescent="0.3">
      <c r="A390" s="2" t="s">
        <v>94</v>
      </c>
      <c r="B390" s="8" t="s">
        <v>39</v>
      </c>
      <c r="C390" s="2" t="s">
        <v>25</v>
      </c>
      <c r="D390" s="9">
        <v>0</v>
      </c>
      <c r="E390" s="9">
        <v>0</v>
      </c>
      <c r="F390" s="9">
        <v>0</v>
      </c>
      <c r="G390" s="9">
        <v>0</v>
      </c>
      <c r="H390" s="9">
        <v>0</v>
      </c>
      <c r="I390" s="9">
        <v>0</v>
      </c>
      <c r="J390" s="9">
        <v>0</v>
      </c>
      <c r="K390" s="9">
        <v>0</v>
      </c>
      <c r="L390" s="9">
        <v>0</v>
      </c>
      <c r="M390" s="9">
        <v>0</v>
      </c>
      <c r="N390" s="9">
        <v>303.89999999999998</v>
      </c>
      <c r="O390" s="9">
        <v>0</v>
      </c>
      <c r="P390" s="10">
        <f>SUM(D390:O390)</f>
        <v>303.89999999999998</v>
      </c>
    </row>
    <row r="391" spans="1:16" x14ac:dyDescent="0.3">
      <c r="A391" s="2" t="s">
        <v>94</v>
      </c>
      <c r="B391" s="8" t="s">
        <v>91</v>
      </c>
      <c r="C391" s="2" t="s">
        <v>25</v>
      </c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10">
        <f>SUM(D391:O391)</f>
        <v>0</v>
      </c>
    </row>
    <row r="392" spans="1:16" x14ac:dyDescent="0.3">
      <c r="A392" s="2" t="s">
        <v>94</v>
      </c>
      <c r="B392" s="8" t="s">
        <v>41</v>
      </c>
      <c r="C392" s="2" t="s">
        <v>25</v>
      </c>
      <c r="D392" s="9">
        <v>27.521999999999998</v>
      </c>
      <c r="E392" s="9">
        <v>30.471</v>
      </c>
      <c r="F392" s="9">
        <v>26.773</v>
      </c>
      <c r="G392" s="9">
        <v>27.734000000000002</v>
      </c>
      <c r="H392" s="9">
        <v>28.425999999999998</v>
      </c>
      <c r="I392" s="9">
        <v>25.728000000000002</v>
      </c>
      <c r="J392" s="9">
        <v>29.721</v>
      </c>
      <c r="K392" s="9">
        <v>26.768000000000001</v>
      </c>
      <c r="L392" s="9">
        <v>28.059000000000001</v>
      </c>
      <c r="M392" s="9">
        <v>16.324999999999999</v>
      </c>
      <c r="N392" s="9">
        <v>1891.700000000001</v>
      </c>
      <c r="O392" s="9">
        <v>12.695</v>
      </c>
      <c r="P392" s="10">
        <f>SUM(D392:O392)</f>
        <v>2171.9220000000009</v>
      </c>
    </row>
    <row r="393" spans="1:16" x14ac:dyDescent="0.3">
      <c r="A393" s="2" t="s">
        <v>94</v>
      </c>
      <c r="B393" s="8" t="s">
        <v>42</v>
      </c>
      <c r="C393" s="2" t="s">
        <v>25</v>
      </c>
      <c r="D393" s="9">
        <v>0</v>
      </c>
      <c r="E393" s="9">
        <v>0</v>
      </c>
      <c r="F393" s="9">
        <v>0</v>
      </c>
      <c r="G393" s="9">
        <v>0</v>
      </c>
      <c r="H393" s="9">
        <v>0</v>
      </c>
      <c r="I393" s="9">
        <v>0</v>
      </c>
      <c r="J393" s="9">
        <v>0</v>
      </c>
      <c r="K393" s="9">
        <v>0</v>
      </c>
      <c r="L393" s="9">
        <v>0</v>
      </c>
      <c r="M393" s="9">
        <v>0</v>
      </c>
      <c r="N393" s="9">
        <v>4928.2</v>
      </c>
      <c r="O393" s="9">
        <v>0</v>
      </c>
      <c r="P393" s="10">
        <f>SUM(D393:O393)</f>
        <v>4928.2</v>
      </c>
    </row>
    <row r="394" spans="1:16" x14ac:dyDescent="0.3">
      <c r="A394" s="2" t="s">
        <v>94</v>
      </c>
      <c r="B394" s="7"/>
      <c r="C394" s="2" t="s">
        <v>25</v>
      </c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</row>
    <row r="395" spans="1:16" x14ac:dyDescent="0.3">
      <c r="A395" s="2" t="s">
        <v>94</v>
      </c>
      <c r="B395" s="8" t="s">
        <v>43</v>
      </c>
      <c r="C395" s="2" t="s">
        <v>25</v>
      </c>
      <c r="D395" s="9">
        <v>6.74</v>
      </c>
      <c r="E395" s="9">
        <v>7.609</v>
      </c>
      <c r="F395" s="9">
        <v>8.0459999999999994</v>
      </c>
      <c r="G395" s="9">
        <v>5.5730000000000004</v>
      </c>
      <c r="H395" s="9">
        <v>7.5439999999999996</v>
      </c>
      <c r="I395" s="9">
        <v>7.3520000000000003</v>
      </c>
      <c r="J395" s="9">
        <v>8.1850000000000005</v>
      </c>
      <c r="K395" s="9">
        <v>7.9569999999999999</v>
      </c>
      <c r="L395" s="9">
        <v>9.8659999999999997</v>
      </c>
      <c r="M395" s="9">
        <v>10.348000000000001</v>
      </c>
      <c r="N395" s="9">
        <v>605.4</v>
      </c>
      <c r="O395" s="9">
        <v>8.5429999999999993</v>
      </c>
      <c r="P395" s="10">
        <f t="shared" ref="P395:P402" si="21">SUM(D395:O395)</f>
        <v>693.16300000000001</v>
      </c>
    </row>
    <row r="396" spans="1:16" x14ac:dyDescent="0.3">
      <c r="A396" s="2" t="s">
        <v>94</v>
      </c>
      <c r="B396" s="3" t="s">
        <v>44</v>
      </c>
      <c r="C396" s="2" t="s">
        <v>25</v>
      </c>
      <c r="D396" s="5">
        <v>0.24489499309643201</v>
      </c>
      <c r="E396" s="5">
        <v>0.24971284171835509</v>
      </c>
      <c r="F396" s="5">
        <v>0.30052664998319201</v>
      </c>
      <c r="G396" s="5">
        <v>0.2009446888295954</v>
      </c>
      <c r="H396" s="5">
        <v>0.26539083937240548</v>
      </c>
      <c r="I396" s="5">
        <v>0.28575870646766172</v>
      </c>
      <c r="J396" s="5">
        <v>0.27539450220382888</v>
      </c>
      <c r="K396" s="5">
        <v>0.2972579199043634</v>
      </c>
      <c r="L396" s="5">
        <v>0.35161623721444102</v>
      </c>
      <c r="M396" s="5">
        <v>0.63387442572741193</v>
      </c>
      <c r="N396" s="5">
        <v>8.4982733934136273E-2</v>
      </c>
      <c r="O396" s="5">
        <v>0.67294210319023229</v>
      </c>
      <c r="P396" s="5">
        <f t="shared" si="21"/>
        <v>3.8632966416420551</v>
      </c>
    </row>
    <row r="397" spans="1:16" x14ac:dyDescent="0.3">
      <c r="A397" s="2" t="s">
        <v>94</v>
      </c>
      <c r="B397" s="3" t="s">
        <v>45</v>
      </c>
      <c r="C397" s="2" t="s">
        <v>25</v>
      </c>
      <c r="D397" s="10">
        <v>89.386672480197674</v>
      </c>
      <c r="E397" s="10">
        <v>91.145187227199628</v>
      </c>
      <c r="F397" s="10">
        <v>109.6922272438651</v>
      </c>
      <c r="G397" s="10">
        <v>73.344811422802337</v>
      </c>
      <c r="H397" s="10">
        <v>96.867656370928017</v>
      </c>
      <c r="I397" s="10">
        <v>104.30192786069649</v>
      </c>
      <c r="J397" s="10">
        <v>100.5189933043976</v>
      </c>
      <c r="K397" s="10">
        <v>108.4991407650926</v>
      </c>
      <c r="L397" s="10">
        <v>128.33992658327091</v>
      </c>
      <c r="M397" s="10">
        <v>231.36416539050529</v>
      </c>
      <c r="N397" s="10">
        <v>31.018697885959739</v>
      </c>
      <c r="O397" s="10">
        <v>245.62386766443481</v>
      </c>
      <c r="P397" s="10">
        <f t="shared" si="21"/>
        <v>1410.1032741993502</v>
      </c>
    </row>
    <row r="398" spans="1:16" x14ac:dyDescent="0.3">
      <c r="A398" s="2" t="s">
        <v>94</v>
      </c>
      <c r="B398" s="11" t="s">
        <v>47</v>
      </c>
      <c r="C398" s="2" t="s">
        <v>25</v>
      </c>
      <c r="D398" s="9">
        <v>1.7763568394002501E-15</v>
      </c>
      <c r="E398" s="9">
        <v>-1.7763568394002501E-15</v>
      </c>
      <c r="F398" s="9">
        <v>0</v>
      </c>
      <c r="G398" s="9">
        <v>0</v>
      </c>
      <c r="H398" s="9">
        <v>8.8817841970012523E-16</v>
      </c>
      <c r="I398" s="9">
        <v>-3.5527136788005009E-15</v>
      </c>
      <c r="J398" s="9">
        <v>-1.7763568394002501E-15</v>
      </c>
      <c r="K398" s="9">
        <v>8.8817841970012523E-16</v>
      </c>
      <c r="L398" s="9">
        <v>-3.5527136788005009E-15</v>
      </c>
      <c r="M398" s="9">
        <v>-1.7763568394002501E-15</v>
      </c>
      <c r="N398" s="9">
        <v>-3.4106051316484809E-13</v>
      </c>
      <c r="O398" s="9">
        <v>0</v>
      </c>
      <c r="P398" s="10">
        <f t="shared" si="21"/>
        <v>-3.4994229736184934E-13</v>
      </c>
    </row>
    <row r="399" spans="1:16" x14ac:dyDescent="0.3">
      <c r="A399" s="2" t="s">
        <v>94</v>
      </c>
      <c r="B399" s="3" t="s">
        <v>28</v>
      </c>
      <c r="C399" s="2" t="s">
        <v>26</v>
      </c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>
        <f t="shared" si="21"/>
        <v>0</v>
      </c>
    </row>
    <row r="400" spans="1:16" x14ac:dyDescent="0.3">
      <c r="A400" s="2" t="s">
        <v>94</v>
      </c>
      <c r="B400" s="3" t="s">
        <v>30</v>
      </c>
      <c r="C400" s="2" t="s">
        <v>26</v>
      </c>
      <c r="D400" s="4"/>
      <c r="E400" s="4"/>
      <c r="F400" s="4"/>
      <c r="G400" s="4"/>
      <c r="H400" s="4">
        <v>5.7354000000000003</v>
      </c>
      <c r="I400" s="4"/>
      <c r="J400" s="4"/>
      <c r="K400" s="4"/>
      <c r="L400" s="4"/>
      <c r="M400" s="4"/>
      <c r="N400" s="4"/>
      <c r="O400" s="4"/>
      <c r="P400" s="4">
        <f t="shared" si="21"/>
        <v>5.7354000000000003</v>
      </c>
    </row>
    <row r="401" spans="1:16" x14ac:dyDescent="0.3">
      <c r="A401" s="2" t="s">
        <v>94</v>
      </c>
      <c r="B401" s="3" t="s">
        <v>31</v>
      </c>
      <c r="C401" s="2" t="s">
        <v>26</v>
      </c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>
        <f t="shared" si="21"/>
        <v>0</v>
      </c>
    </row>
    <row r="402" spans="1:16" x14ac:dyDescent="0.3">
      <c r="A402" s="2" t="s">
        <v>94</v>
      </c>
      <c r="B402" s="3" t="s">
        <v>33</v>
      </c>
      <c r="C402" s="2" t="s">
        <v>26</v>
      </c>
      <c r="D402" s="6"/>
      <c r="E402" s="6"/>
      <c r="F402" s="6"/>
      <c r="G402" s="6"/>
      <c r="H402" s="6">
        <v>0.17689560351501199</v>
      </c>
      <c r="I402" s="6"/>
      <c r="J402" s="6"/>
      <c r="K402" s="6"/>
      <c r="L402" s="6"/>
      <c r="M402" s="6"/>
      <c r="N402" s="6"/>
      <c r="O402" s="6"/>
      <c r="P402" s="6">
        <f t="shared" si="21"/>
        <v>0.17689560351501199</v>
      </c>
    </row>
    <row r="403" spans="1:16" x14ac:dyDescent="0.3">
      <c r="A403" s="2" t="s">
        <v>94</v>
      </c>
      <c r="B403" s="7"/>
      <c r="C403" s="2" t="s">
        <v>26</v>
      </c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</row>
    <row r="404" spans="1:16" x14ac:dyDescent="0.3">
      <c r="A404" s="2" t="s">
        <v>94</v>
      </c>
      <c r="B404" s="8" t="s">
        <v>35</v>
      </c>
      <c r="C404" s="2" t="s">
        <v>26</v>
      </c>
      <c r="D404" s="9">
        <v>9.9109999999999996</v>
      </c>
      <c r="E404" s="9">
        <v>7.91</v>
      </c>
      <c r="F404" s="9">
        <v>5.59</v>
      </c>
      <c r="G404" s="9">
        <v>10.484999999999999</v>
      </c>
      <c r="H404" s="9">
        <v>9.7010000000000005</v>
      </c>
      <c r="I404" s="9">
        <v>9.1639999999999997</v>
      </c>
      <c r="J404" s="9">
        <v>8.593</v>
      </c>
      <c r="K404" s="9">
        <v>7.758</v>
      </c>
      <c r="L404" s="9">
        <v>5.1829999999999998</v>
      </c>
      <c r="M404" s="9">
        <v>7.2809999999999997</v>
      </c>
      <c r="N404" s="9">
        <v>605.4</v>
      </c>
      <c r="O404" s="9"/>
      <c r="P404" s="10">
        <f>SUM(D404:O404)</f>
        <v>686.976</v>
      </c>
    </row>
    <row r="405" spans="1:16" x14ac:dyDescent="0.3">
      <c r="A405" s="2" t="s">
        <v>94</v>
      </c>
      <c r="B405" s="8" t="s">
        <v>37</v>
      </c>
      <c r="C405" s="2" t="s">
        <v>26</v>
      </c>
      <c r="D405" s="9">
        <v>0</v>
      </c>
      <c r="E405" s="9">
        <v>0</v>
      </c>
      <c r="F405" s="9">
        <v>0</v>
      </c>
      <c r="G405" s="9">
        <v>0</v>
      </c>
      <c r="H405" s="9">
        <v>0</v>
      </c>
      <c r="I405" s="9">
        <v>0</v>
      </c>
      <c r="J405" s="9">
        <v>0</v>
      </c>
      <c r="K405" s="9">
        <v>0</v>
      </c>
      <c r="L405" s="9">
        <v>0</v>
      </c>
      <c r="M405" s="9">
        <v>0</v>
      </c>
      <c r="N405" s="9">
        <v>267.39999999999998</v>
      </c>
      <c r="O405" s="9"/>
      <c r="P405" s="10">
        <f>SUM(D405:O405)</f>
        <v>267.39999999999998</v>
      </c>
    </row>
    <row r="406" spans="1:16" x14ac:dyDescent="0.3">
      <c r="A406" s="2" t="s">
        <v>94</v>
      </c>
      <c r="B406" s="8" t="s">
        <v>38</v>
      </c>
      <c r="C406" s="2" t="s">
        <v>26</v>
      </c>
      <c r="D406" s="9">
        <v>14.989000000000001</v>
      </c>
      <c r="E406" s="9">
        <v>26.297000000000001</v>
      </c>
      <c r="F406" s="9">
        <v>26.364000000000001</v>
      </c>
      <c r="G406" s="9">
        <v>30.515999999999998</v>
      </c>
      <c r="H406" s="9">
        <v>27.611999999999998</v>
      </c>
      <c r="I406" s="9">
        <v>26.033999999999999</v>
      </c>
      <c r="J406" s="9">
        <v>30.370999999999999</v>
      </c>
      <c r="K406" s="9">
        <v>27.548999999999999</v>
      </c>
      <c r="L406" s="9">
        <v>29.379000000000001</v>
      </c>
      <c r="M406" s="9">
        <v>20.12</v>
      </c>
      <c r="N406" s="9">
        <v>7728.3</v>
      </c>
      <c r="O406" s="9"/>
      <c r="P406" s="10">
        <f>SUM(D406:O406)</f>
        <v>7987.5309999999999</v>
      </c>
    </row>
    <row r="407" spans="1:16" x14ac:dyDescent="0.3">
      <c r="A407" s="2" t="s">
        <v>94</v>
      </c>
      <c r="B407" s="7"/>
      <c r="C407" s="2" t="s">
        <v>26</v>
      </c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</row>
    <row r="408" spans="1:16" x14ac:dyDescent="0.3">
      <c r="A408" s="2" t="s">
        <v>94</v>
      </c>
      <c r="B408" s="8" t="s">
        <v>39</v>
      </c>
      <c r="C408" s="2" t="s">
        <v>26</v>
      </c>
      <c r="D408" s="9">
        <v>0</v>
      </c>
      <c r="E408" s="9">
        <v>0</v>
      </c>
      <c r="F408" s="9">
        <v>0</v>
      </c>
      <c r="G408" s="9">
        <v>0</v>
      </c>
      <c r="H408" s="9">
        <v>0</v>
      </c>
      <c r="I408" s="9">
        <v>0</v>
      </c>
      <c r="J408" s="9">
        <v>0</v>
      </c>
      <c r="K408" s="9">
        <v>0</v>
      </c>
      <c r="L408" s="9">
        <v>0</v>
      </c>
      <c r="M408" s="9">
        <v>0</v>
      </c>
      <c r="N408" s="9">
        <v>637.79999999999995</v>
      </c>
      <c r="O408" s="9"/>
      <c r="P408" s="10">
        <f>SUM(D408:O408)</f>
        <v>637.79999999999995</v>
      </c>
    </row>
    <row r="409" spans="1:16" x14ac:dyDescent="0.3">
      <c r="A409" s="2" t="s">
        <v>94</v>
      </c>
      <c r="B409" s="8" t="s">
        <v>91</v>
      </c>
      <c r="C409" s="2" t="s">
        <v>26</v>
      </c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10">
        <f>SUM(D409:O409)</f>
        <v>0</v>
      </c>
    </row>
    <row r="410" spans="1:16" x14ac:dyDescent="0.3">
      <c r="A410" s="2" t="s">
        <v>94</v>
      </c>
      <c r="B410" s="8" t="s">
        <v>41</v>
      </c>
      <c r="C410" s="2" t="s">
        <v>26</v>
      </c>
      <c r="D410" s="9">
        <v>14.989000000000001</v>
      </c>
      <c r="E410" s="9">
        <v>26.297000000000001</v>
      </c>
      <c r="F410" s="9">
        <v>26.364000000000001</v>
      </c>
      <c r="G410" s="9">
        <v>30.515999999999998</v>
      </c>
      <c r="H410" s="9">
        <v>27.611999999999998</v>
      </c>
      <c r="I410" s="9">
        <v>26.033999999999999</v>
      </c>
      <c r="J410" s="9">
        <v>30.370999999999999</v>
      </c>
      <c r="K410" s="9">
        <v>27.548999999999999</v>
      </c>
      <c r="L410" s="9">
        <v>29.379000000000001</v>
      </c>
      <c r="M410" s="9">
        <v>20.12</v>
      </c>
      <c r="N410" s="9">
        <v>1921.3</v>
      </c>
      <c r="O410" s="9"/>
      <c r="P410" s="10">
        <f>SUM(D410:O410)</f>
        <v>2180.5309999999999</v>
      </c>
    </row>
    <row r="411" spans="1:16" x14ac:dyDescent="0.3">
      <c r="A411" s="2" t="s">
        <v>94</v>
      </c>
      <c r="B411" s="8" t="s">
        <v>42</v>
      </c>
      <c r="C411" s="2" t="s">
        <v>26</v>
      </c>
      <c r="D411" s="9">
        <v>0</v>
      </c>
      <c r="E411" s="9">
        <v>0</v>
      </c>
      <c r="F411" s="9">
        <v>0</v>
      </c>
      <c r="G411" s="9">
        <v>0</v>
      </c>
      <c r="H411" s="9">
        <v>0</v>
      </c>
      <c r="I411" s="9">
        <v>0</v>
      </c>
      <c r="J411" s="9">
        <v>0</v>
      </c>
      <c r="K411" s="9">
        <v>0</v>
      </c>
      <c r="L411" s="9">
        <v>0</v>
      </c>
      <c r="M411" s="9">
        <v>0</v>
      </c>
      <c r="N411" s="9">
        <v>5531.1</v>
      </c>
      <c r="O411" s="9"/>
      <c r="P411" s="10">
        <f>SUM(D411:O411)</f>
        <v>5531.1</v>
      </c>
    </row>
    <row r="412" spans="1:16" x14ac:dyDescent="0.3">
      <c r="A412" s="2" t="s">
        <v>94</v>
      </c>
      <c r="B412" s="7"/>
      <c r="C412" s="2" t="s">
        <v>26</v>
      </c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</row>
    <row r="413" spans="1:16" x14ac:dyDescent="0.3">
      <c r="A413" s="2" t="s">
        <v>94</v>
      </c>
      <c r="B413" s="8" t="s">
        <v>43</v>
      </c>
      <c r="C413" s="2" t="s">
        <v>26</v>
      </c>
      <c r="D413" s="9">
        <v>9.9109999999999996</v>
      </c>
      <c r="E413" s="9">
        <v>7.91</v>
      </c>
      <c r="F413" s="9">
        <v>5.59</v>
      </c>
      <c r="G413" s="9">
        <v>10.484999999999999</v>
      </c>
      <c r="H413" s="9">
        <v>9.7010000000000005</v>
      </c>
      <c r="I413" s="9">
        <v>9.1639999999999997</v>
      </c>
      <c r="J413" s="9">
        <v>8.593</v>
      </c>
      <c r="K413" s="9">
        <v>7.758</v>
      </c>
      <c r="L413" s="9">
        <v>5.1829999999999998</v>
      </c>
      <c r="M413" s="9">
        <v>7.2809999999999997</v>
      </c>
      <c r="N413" s="9">
        <v>510.9</v>
      </c>
      <c r="O413" s="9"/>
      <c r="P413" s="10">
        <f t="shared" ref="P413:P420" si="22">SUM(D413:O413)</f>
        <v>592.476</v>
      </c>
    </row>
    <row r="414" spans="1:16" x14ac:dyDescent="0.3">
      <c r="A414" s="2" t="s">
        <v>94</v>
      </c>
      <c r="B414" s="3" t="s">
        <v>44</v>
      </c>
      <c r="C414" s="2" t="s">
        <v>26</v>
      </c>
      <c r="D414" s="5">
        <v>0.66121822669957964</v>
      </c>
      <c r="E414" s="5">
        <v>0.30079476746396933</v>
      </c>
      <c r="F414" s="5">
        <v>0.21203155818540431</v>
      </c>
      <c r="G414" s="5">
        <v>0.34359024773889107</v>
      </c>
      <c r="H414" s="5">
        <v>0.3513327538751268</v>
      </c>
      <c r="I414" s="5">
        <v>0.35200122916186533</v>
      </c>
      <c r="J414" s="5">
        <v>0.28293437818972039</v>
      </c>
      <c r="K414" s="5">
        <v>0.28160731786997711</v>
      </c>
      <c r="L414" s="5">
        <v>0.1764185302426903</v>
      </c>
      <c r="M414" s="5">
        <v>0.36187872763419482</v>
      </c>
      <c r="N414" s="5">
        <v>6.3150478356530121E-2</v>
      </c>
      <c r="O414" s="5"/>
      <c r="P414" s="5">
        <f t="shared" si="22"/>
        <v>3.3869582154179487</v>
      </c>
    </row>
    <row r="415" spans="1:16" x14ac:dyDescent="0.3">
      <c r="A415" s="2" t="s">
        <v>94</v>
      </c>
      <c r="B415" s="3" t="s">
        <v>45</v>
      </c>
      <c r="C415" s="2" t="s">
        <v>26</v>
      </c>
      <c r="D415" s="10">
        <v>241.34465274534659</v>
      </c>
      <c r="E415" s="10">
        <v>109.79009012434879</v>
      </c>
      <c r="F415" s="10">
        <v>77.391518737672584</v>
      </c>
      <c r="G415" s="10">
        <v>125.4104404246952</v>
      </c>
      <c r="H415" s="10">
        <v>128.2364551644213</v>
      </c>
      <c r="I415" s="10">
        <v>128.48044864408081</v>
      </c>
      <c r="J415" s="10">
        <v>103.271048039248</v>
      </c>
      <c r="K415" s="10">
        <v>102.7866710225416</v>
      </c>
      <c r="L415" s="10">
        <v>64.392763538581974</v>
      </c>
      <c r="M415" s="10">
        <v>132.08573558648109</v>
      </c>
      <c r="N415" s="10">
        <v>23.04992460013349</v>
      </c>
      <c r="O415" s="10"/>
      <c r="P415" s="10">
        <f t="shared" si="22"/>
        <v>1236.2397486275513</v>
      </c>
    </row>
    <row r="416" spans="1:16" x14ac:dyDescent="0.3">
      <c r="A416" s="2" t="s">
        <v>94</v>
      </c>
      <c r="B416" s="11" t="s">
        <v>47</v>
      </c>
      <c r="C416" s="2" t="s">
        <v>26</v>
      </c>
      <c r="D416" s="9">
        <v>-1.7763568394002501E-15</v>
      </c>
      <c r="E416" s="9">
        <v>0</v>
      </c>
      <c r="F416" s="9">
        <v>0</v>
      </c>
      <c r="G416" s="9">
        <v>0</v>
      </c>
      <c r="H416" s="9">
        <v>3.5527136788005009E-15</v>
      </c>
      <c r="I416" s="9">
        <v>1.7763568394002501E-15</v>
      </c>
      <c r="J416" s="9">
        <v>0</v>
      </c>
      <c r="K416" s="9">
        <v>-8.8817841970012523E-16</v>
      </c>
      <c r="L416" s="9">
        <v>-3.5527136788005009E-15</v>
      </c>
      <c r="M416" s="9">
        <v>-8.8817841970012523E-16</v>
      </c>
      <c r="N416" s="9">
        <v>-3.4106051316484809E-13</v>
      </c>
      <c r="O416" s="9"/>
      <c r="P416" s="10">
        <f t="shared" si="22"/>
        <v>-3.4283687000424834E-13</v>
      </c>
    </row>
    <row r="417" spans="1:16" x14ac:dyDescent="0.3">
      <c r="A417" s="2" t="s">
        <v>94</v>
      </c>
      <c r="B417" s="3" t="s">
        <v>28</v>
      </c>
      <c r="C417" s="2" t="s">
        <v>27</v>
      </c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>
        <f t="shared" si="22"/>
        <v>0</v>
      </c>
    </row>
    <row r="418" spans="1:16" x14ac:dyDescent="0.3">
      <c r="A418" s="2" t="s">
        <v>94</v>
      </c>
      <c r="B418" s="3" t="s">
        <v>30</v>
      </c>
      <c r="C418" s="2" t="s">
        <v>27</v>
      </c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>
        <f t="shared" si="22"/>
        <v>0</v>
      </c>
    </row>
    <row r="419" spans="1:16" x14ac:dyDescent="0.3">
      <c r="A419" s="2" t="s">
        <v>94</v>
      </c>
      <c r="B419" s="3" t="s">
        <v>31</v>
      </c>
      <c r="C419" s="2" t="s">
        <v>27</v>
      </c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>
        <f t="shared" si="22"/>
        <v>0</v>
      </c>
    </row>
    <row r="420" spans="1:16" x14ac:dyDescent="0.3">
      <c r="A420" s="2" t="s">
        <v>94</v>
      </c>
      <c r="B420" s="3" t="s">
        <v>33</v>
      </c>
      <c r="C420" s="2" t="s">
        <v>27</v>
      </c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>
        <f t="shared" si="22"/>
        <v>0</v>
      </c>
    </row>
    <row r="421" spans="1:16" x14ac:dyDescent="0.3">
      <c r="A421" s="2" t="s">
        <v>94</v>
      </c>
      <c r="B421" s="7"/>
      <c r="C421" s="2" t="s">
        <v>27</v>
      </c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</row>
    <row r="422" spans="1:16" x14ac:dyDescent="0.3">
      <c r="A422" s="2" t="s">
        <v>94</v>
      </c>
      <c r="B422" s="8" t="s">
        <v>35</v>
      </c>
      <c r="C422" s="2" t="s">
        <v>27</v>
      </c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10">
        <f>SUM(D422:O422)</f>
        <v>0</v>
      </c>
    </row>
    <row r="423" spans="1:16" x14ac:dyDescent="0.3">
      <c r="A423" s="2" t="s">
        <v>94</v>
      </c>
      <c r="B423" s="8" t="s">
        <v>37</v>
      </c>
      <c r="C423" s="2" t="s">
        <v>27</v>
      </c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10">
        <f>SUM(D423:O423)</f>
        <v>0</v>
      </c>
    </row>
    <row r="424" spans="1:16" x14ac:dyDescent="0.3">
      <c r="A424" s="2" t="s">
        <v>94</v>
      </c>
      <c r="B424" s="8" t="s">
        <v>38</v>
      </c>
      <c r="C424" s="2" t="s">
        <v>27</v>
      </c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10">
        <f>SUM(D424:O424)</f>
        <v>0</v>
      </c>
    </row>
    <row r="425" spans="1:16" x14ac:dyDescent="0.3">
      <c r="A425" s="2" t="s">
        <v>94</v>
      </c>
      <c r="B425" s="7"/>
      <c r="C425" s="2" t="s">
        <v>27</v>
      </c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</row>
    <row r="426" spans="1:16" x14ac:dyDescent="0.3">
      <c r="A426" s="2" t="s">
        <v>94</v>
      </c>
      <c r="B426" s="8" t="s">
        <v>39</v>
      </c>
      <c r="C426" s="2" t="s">
        <v>27</v>
      </c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10">
        <f>SUM(D426:O426)</f>
        <v>0</v>
      </c>
    </row>
    <row r="427" spans="1:16" x14ac:dyDescent="0.3">
      <c r="A427" s="2" t="s">
        <v>94</v>
      </c>
      <c r="B427" s="8" t="s">
        <v>91</v>
      </c>
      <c r="C427" s="2" t="s">
        <v>27</v>
      </c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10">
        <f>SUM(D427:O427)</f>
        <v>0</v>
      </c>
    </row>
    <row r="428" spans="1:16" x14ac:dyDescent="0.3">
      <c r="A428" s="2" t="s">
        <v>94</v>
      </c>
      <c r="B428" s="8" t="s">
        <v>41</v>
      </c>
      <c r="C428" s="2" t="s">
        <v>27</v>
      </c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10">
        <f>SUM(D428:O428)</f>
        <v>0</v>
      </c>
    </row>
    <row r="429" spans="1:16" x14ac:dyDescent="0.3">
      <c r="A429" s="2" t="s">
        <v>94</v>
      </c>
      <c r="B429" s="8" t="s">
        <v>42</v>
      </c>
      <c r="C429" s="2" t="s">
        <v>27</v>
      </c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10">
        <f>SUM(D429:O429)</f>
        <v>0</v>
      </c>
    </row>
    <row r="430" spans="1:16" x14ac:dyDescent="0.3">
      <c r="A430" s="2" t="s">
        <v>94</v>
      </c>
      <c r="B430" s="7"/>
      <c r="C430" s="2" t="s">
        <v>27</v>
      </c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</row>
    <row r="431" spans="1:16" x14ac:dyDescent="0.3">
      <c r="A431" s="2" t="s">
        <v>94</v>
      </c>
      <c r="B431" s="8" t="s">
        <v>43</v>
      </c>
      <c r="C431" s="2" t="s">
        <v>27</v>
      </c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10">
        <f>SUM(D431:O431)</f>
        <v>0</v>
      </c>
    </row>
    <row r="432" spans="1:16" x14ac:dyDescent="0.3">
      <c r="A432" s="2" t="s">
        <v>94</v>
      </c>
      <c r="B432" s="3" t="s">
        <v>44</v>
      </c>
      <c r="C432" s="2" t="s">
        <v>27</v>
      </c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>
        <f>SUM(D432:O432)</f>
        <v>0</v>
      </c>
    </row>
    <row r="433" spans="1:16" x14ac:dyDescent="0.3">
      <c r="A433" s="2" t="s">
        <v>94</v>
      </c>
      <c r="B433" s="3" t="s">
        <v>45</v>
      </c>
      <c r="C433" s="2" t="s">
        <v>27</v>
      </c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>
        <f>SUM(D433:O433)</f>
        <v>0</v>
      </c>
    </row>
    <row r="434" spans="1:16" x14ac:dyDescent="0.3">
      <c r="A434" s="2" t="s">
        <v>94</v>
      </c>
      <c r="B434" s="11" t="s">
        <v>47</v>
      </c>
      <c r="C434" s="2" t="s">
        <v>27</v>
      </c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10">
        <f>SUM(D434:O434)</f>
        <v>0</v>
      </c>
    </row>
  </sheetData>
  <mergeCells count="1">
    <mergeCell ref="A1:C1"/>
  </mergeCells>
  <conditionalFormatting sqref="D20:P20">
    <cfRule type="cellIs" dxfId="53" priority="1" operator="equal">
      <formula>0</formula>
    </cfRule>
    <cfRule type="cellIs" dxfId="52" priority="2" operator="notEqual">
      <formula>0</formula>
    </cfRule>
  </conditionalFormatting>
  <conditionalFormatting sqref="D38:P38">
    <cfRule type="cellIs" dxfId="51" priority="27" operator="equal">
      <formula>0</formula>
    </cfRule>
    <cfRule type="cellIs" dxfId="50" priority="28" operator="notEqual">
      <formula>0</formula>
    </cfRule>
  </conditionalFormatting>
  <conditionalFormatting sqref="D56:P56">
    <cfRule type="cellIs" dxfId="49" priority="53" operator="equal">
      <formula>0</formula>
    </cfRule>
    <cfRule type="cellIs" dxfId="48" priority="54" operator="notEqual">
      <formula>0</formula>
    </cfRule>
  </conditionalFormatting>
  <conditionalFormatting sqref="D74:P74">
    <cfRule type="cellIs" dxfId="47" priority="79" operator="equal">
      <formula>0</formula>
    </cfRule>
    <cfRule type="cellIs" dxfId="46" priority="80" operator="notEqual">
      <formula>0</formula>
    </cfRule>
  </conditionalFormatting>
  <conditionalFormatting sqref="D92:P92">
    <cfRule type="cellIs" dxfId="45" priority="105" operator="equal">
      <formula>0</formula>
    </cfRule>
    <cfRule type="cellIs" dxfId="44" priority="106" operator="notEqual">
      <formula>0</formula>
    </cfRule>
  </conditionalFormatting>
  <conditionalFormatting sqref="D110:P110">
    <cfRule type="cellIs" dxfId="43" priority="131" operator="equal">
      <formula>0</formula>
    </cfRule>
    <cfRule type="cellIs" dxfId="42" priority="132" operator="notEqual">
      <formula>0</formula>
    </cfRule>
  </conditionalFormatting>
  <conditionalFormatting sqref="D128:P128">
    <cfRule type="cellIs" dxfId="41" priority="157" operator="equal">
      <formula>0</formula>
    </cfRule>
    <cfRule type="cellIs" dxfId="40" priority="158" operator="notEqual">
      <formula>0</formula>
    </cfRule>
  </conditionalFormatting>
  <conditionalFormatting sqref="D146:P146">
    <cfRule type="cellIs" dxfId="39" priority="183" operator="equal">
      <formula>0</formula>
    </cfRule>
    <cfRule type="cellIs" dxfId="38" priority="184" operator="notEqual">
      <formula>0</formula>
    </cfRule>
  </conditionalFormatting>
  <conditionalFormatting sqref="D164:P164">
    <cfRule type="cellIs" dxfId="37" priority="209" operator="equal">
      <formula>0</formula>
    </cfRule>
    <cfRule type="cellIs" dxfId="36" priority="210" operator="notEqual">
      <formula>0</formula>
    </cfRule>
  </conditionalFormatting>
  <conditionalFormatting sqref="D182:P182">
    <cfRule type="cellIs" dxfId="35" priority="235" operator="equal">
      <formula>0</formula>
    </cfRule>
    <cfRule type="cellIs" dxfId="34" priority="236" operator="notEqual">
      <formula>0</formula>
    </cfRule>
  </conditionalFormatting>
  <conditionalFormatting sqref="D200:P200">
    <cfRule type="cellIs" dxfId="33" priority="261" operator="equal">
      <formula>0</formula>
    </cfRule>
    <cfRule type="cellIs" dxfId="32" priority="262" operator="notEqual">
      <formula>0</formula>
    </cfRule>
  </conditionalFormatting>
  <conditionalFormatting sqref="D218:P218">
    <cfRule type="cellIs" dxfId="31" priority="287" operator="equal">
      <formula>0</formula>
    </cfRule>
    <cfRule type="cellIs" dxfId="30" priority="288" operator="notEqual">
      <formula>0</formula>
    </cfRule>
  </conditionalFormatting>
  <conditionalFormatting sqref="D236:P236">
    <cfRule type="cellIs" dxfId="29" priority="313" operator="equal">
      <formula>0</formula>
    </cfRule>
    <cfRule type="cellIs" dxfId="28" priority="314" operator="notEqual">
      <formula>0</formula>
    </cfRule>
  </conditionalFormatting>
  <conditionalFormatting sqref="D254:P254">
    <cfRule type="cellIs" dxfId="27" priority="339" operator="equal">
      <formula>0</formula>
    </cfRule>
    <cfRule type="cellIs" dxfId="26" priority="340" operator="notEqual">
      <formula>0</formula>
    </cfRule>
  </conditionalFormatting>
  <conditionalFormatting sqref="D272:P272">
    <cfRule type="cellIs" dxfId="25" priority="365" operator="equal">
      <formula>0</formula>
    </cfRule>
    <cfRule type="cellIs" dxfId="24" priority="366" operator="notEqual">
      <formula>0</formula>
    </cfRule>
  </conditionalFormatting>
  <conditionalFormatting sqref="D290:P290">
    <cfRule type="cellIs" dxfId="23" priority="391" operator="equal">
      <formula>0</formula>
    </cfRule>
    <cfRule type="cellIs" dxfId="22" priority="392" operator="notEqual">
      <formula>0</formula>
    </cfRule>
  </conditionalFormatting>
  <conditionalFormatting sqref="D308:P308">
    <cfRule type="cellIs" dxfId="21" priority="417" operator="equal">
      <formula>0</formula>
    </cfRule>
    <cfRule type="cellIs" dxfId="20" priority="418" operator="notEqual">
      <formula>0</formula>
    </cfRule>
  </conditionalFormatting>
  <conditionalFormatting sqref="D326:P326">
    <cfRule type="cellIs" dxfId="19" priority="443" operator="equal">
      <formula>0</formula>
    </cfRule>
    <cfRule type="cellIs" dxfId="18" priority="444" operator="notEqual">
      <formula>0</formula>
    </cfRule>
  </conditionalFormatting>
  <conditionalFormatting sqref="D344:P344">
    <cfRule type="cellIs" dxfId="17" priority="469" operator="equal">
      <formula>0</formula>
    </cfRule>
    <cfRule type="cellIs" dxfId="16" priority="470" operator="notEqual">
      <formula>0</formula>
    </cfRule>
  </conditionalFormatting>
  <conditionalFormatting sqref="D362:P362">
    <cfRule type="cellIs" dxfId="15" priority="495" operator="equal">
      <formula>0</formula>
    </cfRule>
    <cfRule type="cellIs" dxfId="14" priority="496" operator="notEqual">
      <formula>0</formula>
    </cfRule>
  </conditionalFormatting>
  <conditionalFormatting sqref="D380:P380">
    <cfRule type="cellIs" dxfId="13" priority="521" operator="equal">
      <formula>0</formula>
    </cfRule>
    <cfRule type="cellIs" dxfId="12" priority="522" operator="notEqual">
      <formula>0</formula>
    </cfRule>
  </conditionalFormatting>
  <conditionalFormatting sqref="D398:P398">
    <cfRule type="cellIs" dxfId="11" priority="547" operator="equal">
      <formula>0</formula>
    </cfRule>
    <cfRule type="cellIs" dxfId="10" priority="548" operator="notEqual">
      <formula>0</formula>
    </cfRule>
  </conditionalFormatting>
  <conditionalFormatting sqref="D416:P416">
    <cfRule type="cellIs" dxfId="9" priority="573" operator="equal">
      <formula>0</formula>
    </cfRule>
    <cfRule type="cellIs" dxfId="8" priority="574" operator="notEqual">
      <formula>0</formula>
    </cfRule>
  </conditionalFormatting>
  <conditionalFormatting sqref="D434:P434">
    <cfRule type="cellIs" dxfId="7" priority="599" operator="equal">
      <formula>0</formula>
    </cfRule>
    <cfRule type="cellIs" dxfId="6" priority="600" operator="notEqual">
      <formula>0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A20"/>
  <sheetViews>
    <sheetView workbookViewId="0">
      <selection sqref="A1:C1"/>
    </sheetView>
  </sheetViews>
  <sheetFormatPr defaultRowHeight="14.4" x14ac:dyDescent="0.3"/>
  <cols>
    <col min="1" max="1" width="18" customWidth="1"/>
    <col min="2" max="2" width="28" customWidth="1"/>
    <col min="3" max="3" width="10" customWidth="1"/>
    <col min="4" max="27" width="7" customWidth="1"/>
  </cols>
  <sheetData>
    <row r="1" spans="1:27" ht="15.6" customHeight="1" x14ac:dyDescent="0.3">
      <c r="A1" s="57" t="s">
        <v>94</v>
      </c>
      <c r="B1" s="58"/>
      <c r="C1" s="58"/>
    </row>
    <row r="2" spans="1:27" ht="26.4" customHeight="1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  <c r="W2" s="1" t="s">
        <v>23</v>
      </c>
      <c r="X2" s="1" t="s">
        <v>24</v>
      </c>
      <c r="Y2" s="1" t="s">
        <v>25</v>
      </c>
      <c r="Z2" s="1" t="s">
        <v>26</v>
      </c>
      <c r="AA2" s="1" t="s">
        <v>27</v>
      </c>
    </row>
    <row r="3" spans="1:27" x14ac:dyDescent="0.3">
      <c r="A3" s="2" t="s">
        <v>94</v>
      </c>
      <c r="B3" s="3" t="s">
        <v>28</v>
      </c>
      <c r="C3" s="12" t="s">
        <v>29</v>
      </c>
      <c r="D3" s="9">
        <f>Soybeans_Mo!P3</f>
        <v>0</v>
      </c>
      <c r="E3" s="9">
        <f>Soybeans_Mo!P18</f>
        <v>4.8116807698689229E-2</v>
      </c>
      <c r="F3" s="9">
        <f>Soybeans_Mo!P33</f>
        <v>913.6</v>
      </c>
      <c r="G3" s="9">
        <f>Soybeans_Mo!P48</f>
        <v>453.2</v>
      </c>
      <c r="H3" s="9">
        <f>Soybeans_Mo!P63</f>
        <v>339.2</v>
      </c>
      <c r="I3" s="9">
        <f>Soybeans_Mo!P78</f>
        <v>0</v>
      </c>
      <c r="J3" s="9">
        <f>Soybeans_Mo!P93</f>
        <v>0</v>
      </c>
      <c r="K3" s="9">
        <f>Soybeans_Mo!P108</f>
        <v>3.4350014806040857E-2</v>
      </c>
      <c r="L3" s="9">
        <f>Soybeans_Mo!P123</f>
        <v>1888.2</v>
      </c>
      <c r="M3" s="9">
        <f>Soybeans_Mo!P138</f>
        <v>306.7</v>
      </c>
      <c r="N3" s="9">
        <f>Soybeans_Mo!P153</f>
        <v>266.3</v>
      </c>
      <c r="O3" s="9">
        <f>Soybeans_Mo!P168</f>
        <v>0</v>
      </c>
      <c r="P3" s="9">
        <f>Soybeans_Mo!P183</f>
        <v>0</v>
      </c>
      <c r="Q3" s="9">
        <f>Soybeans_Mo!P198</f>
        <v>2.9070840562589979E-2</v>
      </c>
      <c r="R3" s="9">
        <f>Soybeans_Mo!P213</f>
        <v>3427.3</v>
      </c>
      <c r="S3" s="9">
        <f>Soybeans_Mo!P228</f>
        <v>333.8</v>
      </c>
      <c r="T3" s="9">
        <f>Soybeans_Mo!P243</f>
        <v>319</v>
      </c>
      <c r="U3" s="9">
        <f>Soybeans_Mo!P258</f>
        <v>0.1535564417953667</v>
      </c>
      <c r="V3" s="9">
        <f>Soybeans_Mo!P273</f>
        <v>0</v>
      </c>
      <c r="W3" s="9">
        <f>Soybeans_Mo!P288</f>
        <v>3.042306694367988</v>
      </c>
      <c r="X3" s="9">
        <f>Soybeans_Mo!P303</f>
        <v>5620.3</v>
      </c>
      <c r="Y3" s="9">
        <f>Soybeans_Mo!P318</f>
        <v>932.1</v>
      </c>
      <c r="Z3" s="9">
        <f>Soybeans_Mo!P333</f>
        <v>437.5</v>
      </c>
      <c r="AA3" s="9">
        <f>Soybeans_Mo!P348</f>
        <v>0.21287966517626819</v>
      </c>
    </row>
    <row r="4" spans="1:27" x14ac:dyDescent="0.3">
      <c r="A4" s="2" t="s">
        <v>94</v>
      </c>
      <c r="B4" s="3" t="s">
        <v>30</v>
      </c>
      <c r="C4" s="12" t="s">
        <v>29</v>
      </c>
      <c r="D4" s="9">
        <f>Soybeans_Mo!P4</f>
        <v>0</v>
      </c>
      <c r="E4" s="9">
        <f>Soybeans_Mo!P19</f>
        <v>17.562634810021571</v>
      </c>
      <c r="F4" s="9">
        <f>Soybeans_Mo!P34</f>
        <v>0</v>
      </c>
      <c r="G4" s="9">
        <f>Soybeans_Mo!P49</f>
        <v>0</v>
      </c>
      <c r="H4" s="9">
        <f>Soybeans_Mo!P64</f>
        <v>3155.6</v>
      </c>
      <c r="I4" s="9">
        <f>Soybeans_Mo!P79</f>
        <v>0</v>
      </c>
      <c r="J4" s="9">
        <f>Soybeans_Mo!P94</f>
        <v>0</v>
      </c>
      <c r="K4" s="9">
        <f>Soybeans_Mo!P109</f>
        <v>12.537755404204921</v>
      </c>
      <c r="L4" s="9">
        <f>Soybeans_Mo!P124</f>
        <v>0</v>
      </c>
      <c r="M4" s="9">
        <f>Soybeans_Mo!P139</f>
        <v>0</v>
      </c>
      <c r="N4" s="9">
        <f>Soybeans_Mo!P154</f>
        <v>4444.6000000000004</v>
      </c>
      <c r="O4" s="9">
        <f>Soybeans_Mo!P169</f>
        <v>0</v>
      </c>
      <c r="P4" s="9">
        <f>Soybeans_Mo!P184</f>
        <v>0</v>
      </c>
      <c r="Q4" s="9">
        <f>Soybeans_Mo!P199</f>
        <v>10.610856805345341</v>
      </c>
      <c r="R4" s="9">
        <f>Soybeans_Mo!P214</f>
        <v>0</v>
      </c>
      <c r="S4" s="9">
        <f>Soybeans_Mo!P229</f>
        <v>0</v>
      </c>
      <c r="T4" s="9">
        <f>Soybeans_Mo!P244</f>
        <v>6776.2049999999999</v>
      </c>
      <c r="U4" s="9">
        <f>Soybeans_Mo!P259</f>
        <v>0</v>
      </c>
      <c r="V4" s="9">
        <f>Soybeans_Mo!P274</f>
        <v>6.2755000000000001</v>
      </c>
      <c r="W4" s="9">
        <f>Soybeans_Mo!P289</f>
        <v>1110.4419434443159</v>
      </c>
      <c r="X4" s="9">
        <f>Soybeans_Mo!P304</f>
        <v>0</v>
      </c>
      <c r="Y4" s="9">
        <f>Soybeans_Mo!P319</f>
        <v>0</v>
      </c>
      <c r="Z4" s="9">
        <f>Soybeans_Mo!P334</f>
        <v>6636.3830000000007</v>
      </c>
      <c r="AA4" s="9">
        <f>Soybeans_Mo!P349</f>
        <v>0</v>
      </c>
    </row>
    <row r="5" spans="1:27" x14ac:dyDescent="0.3">
      <c r="A5" s="2" t="s">
        <v>94</v>
      </c>
      <c r="B5" s="3" t="s">
        <v>31</v>
      </c>
      <c r="C5" s="12" t="s">
        <v>32</v>
      </c>
      <c r="D5" s="13" t="str">
        <f t="shared" ref="D5:AA5" si="0">IF(D3&lt;&gt;0,D4/D3,"")</f>
        <v/>
      </c>
      <c r="E5" s="13">
        <f t="shared" si="0"/>
        <v>365.00000000000006</v>
      </c>
      <c r="F5" s="13">
        <f t="shared" si="0"/>
        <v>0</v>
      </c>
      <c r="G5" s="13">
        <f t="shared" si="0"/>
        <v>0</v>
      </c>
      <c r="H5" s="13">
        <f t="shared" si="0"/>
        <v>9.3030660377358494</v>
      </c>
      <c r="I5" s="13" t="str">
        <f t="shared" si="0"/>
        <v/>
      </c>
      <c r="J5" s="13" t="str">
        <f t="shared" si="0"/>
        <v/>
      </c>
      <c r="K5" s="13">
        <f t="shared" si="0"/>
        <v>365.00000000000023</v>
      </c>
      <c r="L5" s="13">
        <f t="shared" si="0"/>
        <v>0</v>
      </c>
      <c r="M5" s="13">
        <f t="shared" si="0"/>
        <v>0</v>
      </c>
      <c r="N5" s="13">
        <f t="shared" si="0"/>
        <v>16.690199023657531</v>
      </c>
      <c r="O5" s="13" t="str">
        <f t="shared" si="0"/>
        <v/>
      </c>
      <c r="P5" s="13" t="str">
        <f t="shared" si="0"/>
        <v/>
      </c>
      <c r="Q5" s="13">
        <f t="shared" si="0"/>
        <v>364.99999999999994</v>
      </c>
      <c r="R5" s="13">
        <f t="shared" si="0"/>
        <v>0</v>
      </c>
      <c r="S5" s="13">
        <f t="shared" si="0"/>
        <v>0</v>
      </c>
      <c r="T5" s="13">
        <f t="shared" si="0"/>
        <v>21.242021943573668</v>
      </c>
      <c r="U5" s="13">
        <f t="shared" si="0"/>
        <v>0</v>
      </c>
      <c r="V5" s="13" t="str">
        <f t="shared" si="0"/>
        <v/>
      </c>
      <c r="W5" s="13">
        <f t="shared" si="0"/>
        <v>365.00000000000011</v>
      </c>
      <c r="X5" s="13">
        <f t="shared" si="0"/>
        <v>0</v>
      </c>
      <c r="Y5" s="13">
        <f t="shared" si="0"/>
        <v>0</v>
      </c>
      <c r="Z5" s="13">
        <f t="shared" si="0"/>
        <v>15.168875428571431</v>
      </c>
      <c r="AA5" s="13">
        <f t="shared" si="0"/>
        <v>0</v>
      </c>
    </row>
    <row r="6" spans="1:27" x14ac:dyDescent="0.3">
      <c r="A6" s="2" t="s">
        <v>94</v>
      </c>
      <c r="B6" s="3" t="s">
        <v>33</v>
      </c>
      <c r="C6" s="12" t="s">
        <v>34</v>
      </c>
      <c r="D6" s="14">
        <f>Soybeans_Mo!O6</f>
        <v>0</v>
      </c>
      <c r="E6" s="14">
        <f>Soybeans_Mo!O21</f>
        <v>0</v>
      </c>
      <c r="F6" s="14">
        <f>Soybeans_Mo!O36</f>
        <v>0</v>
      </c>
      <c r="G6" s="14">
        <f>Soybeans_Mo!O51</f>
        <v>0</v>
      </c>
      <c r="H6" s="14">
        <f>Soybeans_Mo!O66</f>
        <v>0</v>
      </c>
      <c r="I6" s="14">
        <f>Soybeans_Mo!O81</f>
        <v>0</v>
      </c>
      <c r="J6" s="14">
        <f>Soybeans_Mo!O96</f>
        <v>0</v>
      </c>
      <c r="K6" s="14">
        <f>Soybeans_Mo!O111</f>
        <v>0</v>
      </c>
      <c r="L6" s="14">
        <f>Soybeans_Mo!O126</f>
        <v>0</v>
      </c>
      <c r="M6" s="14">
        <f>Soybeans_Mo!O141</f>
        <v>0</v>
      </c>
      <c r="N6" s="14">
        <f>Soybeans_Mo!O156</f>
        <v>0</v>
      </c>
      <c r="O6" s="14">
        <f>Soybeans_Mo!O171</f>
        <v>0</v>
      </c>
      <c r="P6" s="14">
        <f>Soybeans_Mo!O186</f>
        <v>0</v>
      </c>
      <c r="Q6" s="14">
        <f>Soybeans_Mo!O201</f>
        <v>0</v>
      </c>
      <c r="R6" s="14">
        <f>Soybeans_Mo!O216</f>
        <v>0</v>
      </c>
      <c r="S6" s="14">
        <f>Soybeans_Mo!O231</f>
        <v>0</v>
      </c>
      <c r="T6" s="14">
        <f>Soybeans_Mo!O246</f>
        <v>0</v>
      </c>
      <c r="U6" s="14">
        <f>Soybeans_Mo!O261</f>
        <v>0</v>
      </c>
      <c r="V6" s="14">
        <f>Soybeans_Mo!O276</f>
        <v>0</v>
      </c>
      <c r="W6" s="14">
        <f>Soybeans_Mo!O291</f>
        <v>0</v>
      </c>
      <c r="X6" s="14">
        <f>Soybeans_Mo!O306</f>
        <v>0.14701663798049339</v>
      </c>
      <c r="Y6" s="14">
        <f>Soybeans_Mo!O321</f>
        <v>0</v>
      </c>
      <c r="Z6" s="14">
        <f>Soybeans_Mo!O336</f>
        <v>0</v>
      </c>
      <c r="AA6" s="14">
        <f>Soybeans_Mo!O351</f>
        <v>0</v>
      </c>
    </row>
    <row r="7" spans="1:27" x14ac:dyDescent="0.3">
      <c r="A7" s="2" t="s">
        <v>94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</row>
    <row r="8" spans="1:27" x14ac:dyDescent="0.3">
      <c r="A8" s="2" t="s">
        <v>94</v>
      </c>
      <c r="B8" s="8" t="s">
        <v>35</v>
      </c>
      <c r="C8" s="2" t="s">
        <v>36</v>
      </c>
      <c r="D8" s="9">
        <f>Soybeans_Mo!P8</f>
        <v>171.8</v>
      </c>
      <c r="E8" s="9">
        <f>Soybeans_Mo!P23</f>
        <v>0</v>
      </c>
      <c r="F8" s="9">
        <f>Soybeans_Mo!P38</f>
        <v>1.13686837721616E-13</v>
      </c>
      <c r="G8" s="9">
        <f>Soybeans_Mo!P53</f>
        <v>270</v>
      </c>
      <c r="H8" s="9">
        <f>Soybeans_Mo!P68</f>
        <v>1619.2</v>
      </c>
      <c r="I8" s="9">
        <f>Soybeans_Mo!P83</f>
        <v>0</v>
      </c>
      <c r="J8" s="9">
        <f>Soybeans_Mo!P98</f>
        <v>470</v>
      </c>
      <c r="K8" s="9">
        <f>Soybeans_Mo!P113</f>
        <v>0</v>
      </c>
      <c r="L8" s="9">
        <f>Soybeans_Mo!P128</f>
        <v>2.2737367544323211E-13</v>
      </c>
      <c r="M8" s="9">
        <f>Soybeans_Mo!P143</f>
        <v>305</v>
      </c>
      <c r="N8" s="9">
        <f>Soybeans_Mo!P158</f>
        <v>1611</v>
      </c>
      <c r="O8" s="9">
        <f>Soybeans_Mo!P173</f>
        <v>0</v>
      </c>
      <c r="P8" s="9">
        <f>Soybeans_Mo!P188</f>
        <v>231.3</v>
      </c>
      <c r="Q8" s="9">
        <f>Soybeans_Mo!P203</f>
        <v>0</v>
      </c>
      <c r="R8" s="9">
        <f>Soybeans_Mo!P218</f>
        <v>1.7053025658242399E-13</v>
      </c>
      <c r="S8" s="9">
        <f>Soybeans_Mo!P233</f>
        <v>471.73600000000005</v>
      </c>
      <c r="T8" s="9">
        <f>Soybeans_Mo!P248</f>
        <v>2473.9050000000002</v>
      </c>
      <c r="U8" s="9">
        <f>Soybeans_Mo!P263</f>
        <v>0</v>
      </c>
      <c r="V8" s="9">
        <f>Soybeans_Mo!P278</f>
        <v>444.596</v>
      </c>
      <c r="W8" s="9">
        <f>Soybeans_Mo!P293</f>
        <v>0</v>
      </c>
      <c r="X8" s="9">
        <f>Soybeans_Mo!P308</f>
        <v>1.1270984145994587E-12</v>
      </c>
      <c r="Y8" s="9">
        <f>Soybeans_Mo!P323</f>
        <v>693.19399999999996</v>
      </c>
      <c r="Z8" s="9">
        <f>Soybeans_Mo!P338</f>
        <v>2130.1830000000009</v>
      </c>
      <c r="AA8" s="9">
        <f>Soybeans_Mo!P353</f>
        <v>0</v>
      </c>
    </row>
    <row r="9" spans="1:27" x14ac:dyDescent="0.3">
      <c r="A9" s="2" t="s">
        <v>94</v>
      </c>
      <c r="B9" s="8" t="s">
        <v>37</v>
      </c>
      <c r="C9" s="2" t="s">
        <v>36</v>
      </c>
      <c r="D9" s="9">
        <f>Soybeans_Mo!P9</f>
        <v>651</v>
      </c>
      <c r="E9" s="9">
        <f>Soybeans_Mo!P24</f>
        <v>0</v>
      </c>
      <c r="F9" s="9">
        <f>Soybeans_Mo!P39</f>
        <v>0</v>
      </c>
      <c r="G9" s="9">
        <f>Soybeans_Mo!P54</f>
        <v>8.1637589574577452E-2</v>
      </c>
      <c r="H9" s="9">
        <f>Soybeans_Mo!P69</f>
        <v>1316.2</v>
      </c>
      <c r="I9" s="9">
        <f>Soybeans_Mo!P84</f>
        <v>355.9</v>
      </c>
      <c r="J9" s="9">
        <f>Soybeans_Mo!P99</f>
        <v>336.8</v>
      </c>
      <c r="K9" s="9">
        <f>Soybeans_Mo!P114</f>
        <v>0</v>
      </c>
      <c r="L9" s="9">
        <f>Soybeans_Mo!P129</f>
        <v>0</v>
      </c>
      <c r="M9" s="9">
        <f>Soybeans_Mo!P144</f>
        <v>7.8846004704909128E-2</v>
      </c>
      <c r="N9" s="9">
        <f>Soybeans_Mo!P159</f>
        <v>2753.6</v>
      </c>
      <c r="O9" s="9">
        <f>Soybeans_Mo!P174</f>
        <v>438.3</v>
      </c>
      <c r="P9" s="9">
        <f>Soybeans_Mo!P189</f>
        <v>257.60000000000002</v>
      </c>
      <c r="Q9" s="9">
        <f>Soybeans_Mo!P204</f>
        <v>0</v>
      </c>
      <c r="R9" s="9">
        <f>Soybeans_Mo!P219</f>
        <v>0</v>
      </c>
      <c r="S9" s="9">
        <f>Soybeans_Mo!P234</f>
        <v>0.51661280759839379</v>
      </c>
      <c r="T9" s="9">
        <f>Soybeans_Mo!P249</f>
        <v>4190.6000000000004</v>
      </c>
      <c r="U9" s="9">
        <f>Soybeans_Mo!P264</f>
        <v>550.5</v>
      </c>
      <c r="V9" s="9">
        <f>Soybeans_Mo!P279</f>
        <v>534.5</v>
      </c>
      <c r="W9" s="9">
        <f>Soybeans_Mo!P294</f>
        <v>0.22285004275987449</v>
      </c>
      <c r="X9" s="9">
        <f>Soybeans_Mo!P309</f>
        <v>0</v>
      </c>
      <c r="Y9" s="9">
        <f>Soybeans_Mo!P324</f>
        <v>2.8154056641494152</v>
      </c>
      <c r="Z9" s="9">
        <f>Soybeans_Mo!P339</f>
        <v>4664.2</v>
      </c>
      <c r="AA9" s="9">
        <f>Soybeans_Mo!P354</f>
        <v>445.4</v>
      </c>
    </row>
    <row r="10" spans="1:27" x14ac:dyDescent="0.3">
      <c r="A10" s="2" t="s">
        <v>94</v>
      </c>
      <c r="B10" s="8" t="s">
        <v>38</v>
      </c>
      <c r="C10" s="2" t="s">
        <v>36</v>
      </c>
      <c r="D10" s="9">
        <f>Soybeans_Mo!P10</f>
        <v>2335.6999999999998</v>
      </c>
      <c r="E10" s="9">
        <f>Soybeans_Mo!P25</f>
        <v>0</v>
      </c>
      <c r="F10" s="9">
        <f>Soybeans_Mo!P40</f>
        <v>0</v>
      </c>
      <c r="G10" s="9">
        <f>Soybeans_Mo!P55</f>
        <v>29.797720194720771</v>
      </c>
      <c r="H10" s="9">
        <f>Soybeans_Mo!P70</f>
        <v>0</v>
      </c>
      <c r="I10" s="9">
        <f>Soybeans_Mo!P85</f>
        <v>0</v>
      </c>
      <c r="J10" s="9">
        <f>Soybeans_Mo!P100</f>
        <v>2686.2</v>
      </c>
      <c r="K10" s="9">
        <f>Soybeans_Mo!P115</f>
        <v>0</v>
      </c>
      <c r="L10" s="9">
        <f>Soybeans_Mo!P130</f>
        <v>0</v>
      </c>
      <c r="M10" s="9">
        <f>Soybeans_Mo!P145</f>
        <v>28.778791717291831</v>
      </c>
      <c r="N10" s="9">
        <f>Soybeans_Mo!P160</f>
        <v>0</v>
      </c>
      <c r="O10" s="9">
        <f>Soybeans_Mo!P175</f>
        <v>0</v>
      </c>
      <c r="P10" s="9">
        <f>Soybeans_Mo!P190</f>
        <v>5086.3999999999996</v>
      </c>
      <c r="Q10" s="9">
        <f>Soybeans_Mo!P205</f>
        <v>0</v>
      </c>
      <c r="R10" s="9">
        <f>Soybeans_Mo!P220</f>
        <v>0</v>
      </c>
      <c r="S10" s="9">
        <f>Soybeans_Mo!P235</f>
        <v>188.56367477341377</v>
      </c>
      <c r="T10" s="9">
        <f>Soybeans_Mo!P250</f>
        <v>0</v>
      </c>
      <c r="U10" s="9">
        <f>Soybeans_Mo!P265</f>
        <v>0</v>
      </c>
      <c r="V10" s="9">
        <f>Soybeans_Mo!P280</f>
        <v>8050.2000000000007</v>
      </c>
      <c r="W10" s="9">
        <f>Soybeans_Mo!P295</f>
        <v>0</v>
      </c>
      <c r="X10" s="9">
        <f>Soybeans_Mo!P310</f>
        <v>5.0439999999999996</v>
      </c>
      <c r="Y10" s="9">
        <f>Soybeans_Mo!P325</f>
        <v>1027.6230674145363</v>
      </c>
      <c r="Z10" s="9">
        <f>Soybeans_Mo!P340</f>
        <v>0</v>
      </c>
      <c r="AA10" s="9">
        <f>Soybeans_Mo!P355</f>
        <v>0</v>
      </c>
    </row>
    <row r="11" spans="1:27" x14ac:dyDescent="0.3">
      <c r="A11" s="2" t="s">
        <v>94</v>
      </c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</row>
    <row r="12" spans="1:27" x14ac:dyDescent="0.3">
      <c r="A12" s="2" t="s">
        <v>94</v>
      </c>
      <c r="B12" s="8" t="s">
        <v>39</v>
      </c>
      <c r="C12" s="2" t="s">
        <v>36</v>
      </c>
      <c r="D12" s="9">
        <f>Soybeans_Mo!P12</f>
        <v>418.8</v>
      </c>
      <c r="E12" s="9">
        <f>Soybeans_Mo!P27</f>
        <v>586.70000000000005</v>
      </c>
      <c r="F12" s="9">
        <f>Soybeans_Mo!P42</f>
        <v>0</v>
      </c>
      <c r="G12" s="9">
        <f>Soybeans_Mo!P57</f>
        <v>0</v>
      </c>
      <c r="H12" s="9">
        <f>Soybeans_Mo!P72</f>
        <v>0.15138540583521931</v>
      </c>
      <c r="I12" s="9">
        <f>Soybeans_Mo!P87</f>
        <v>1740.6</v>
      </c>
      <c r="J12" s="9">
        <f>Soybeans_Mo!P102</f>
        <v>208.2</v>
      </c>
      <c r="K12" s="9">
        <f>Soybeans_Mo!P117</f>
        <v>350.4</v>
      </c>
      <c r="L12" s="9">
        <f>Soybeans_Mo!P132</f>
        <v>0</v>
      </c>
      <c r="M12" s="9">
        <f>Soybeans_Mo!P147</f>
        <v>0</v>
      </c>
      <c r="N12" s="9">
        <f>Soybeans_Mo!P162</f>
        <v>6.2825782938509128E-2</v>
      </c>
      <c r="O12" s="9">
        <f>Soybeans_Mo!P177</f>
        <v>2741.4</v>
      </c>
      <c r="P12" s="9">
        <f>Soybeans_Mo!P192</f>
        <v>359.1</v>
      </c>
      <c r="Q12" s="9">
        <f>Soybeans_Mo!P207</f>
        <v>343.1</v>
      </c>
      <c r="R12" s="9">
        <f>Soybeans_Mo!P222</f>
        <v>0</v>
      </c>
      <c r="S12" s="9">
        <f>Soybeans_Mo!P237</f>
        <v>0</v>
      </c>
      <c r="T12" s="9">
        <f>Soybeans_Mo!P252</f>
        <v>4.842739227234425</v>
      </c>
      <c r="U12" s="9">
        <f>Soybeans_Mo!P267</f>
        <v>4419.8</v>
      </c>
      <c r="V12" s="9">
        <f>Soybeans_Mo!P282</f>
        <v>795.7</v>
      </c>
      <c r="W12" s="9">
        <f>Soybeans_Mo!P297</f>
        <v>950</v>
      </c>
      <c r="X12" s="9">
        <f>Soybeans_Mo!P312</f>
        <v>0.2090908844369547</v>
      </c>
      <c r="Y12" s="9">
        <f>Soybeans_Mo!P327</f>
        <v>0</v>
      </c>
      <c r="Z12" s="9">
        <f>Soybeans_Mo!P342</f>
        <v>2.4842550192222839</v>
      </c>
      <c r="AA12" s="9">
        <f>Soybeans_Mo!P357</f>
        <v>4260.5</v>
      </c>
    </row>
    <row r="13" spans="1:27" x14ac:dyDescent="0.3">
      <c r="A13" s="2" t="s">
        <v>94</v>
      </c>
      <c r="B13" s="8" t="s">
        <v>91</v>
      </c>
      <c r="C13" s="2" t="s">
        <v>36</v>
      </c>
      <c r="D13" s="9">
        <f>Soybeans_Mo!P13</f>
        <v>0</v>
      </c>
      <c r="E13" s="9">
        <f>Soybeans_Mo!P28</f>
        <v>2273.3000000000002</v>
      </c>
      <c r="F13" s="9">
        <f>Soybeans_Mo!P43</f>
        <v>0</v>
      </c>
      <c r="G13" s="9">
        <f>Soybeans_Mo!P58</f>
        <v>0</v>
      </c>
      <c r="H13" s="9">
        <f>Soybeans_Mo!P73</f>
        <v>55.25567312985504</v>
      </c>
      <c r="I13" s="9">
        <f>Soybeans_Mo!P88</f>
        <v>0</v>
      </c>
      <c r="J13" s="9">
        <f>Soybeans_Mo!P103</f>
        <v>0</v>
      </c>
      <c r="K13" s="9">
        <f>Soybeans_Mo!P118</f>
        <v>3335.9</v>
      </c>
      <c r="L13" s="9">
        <f>Soybeans_Mo!P133</f>
        <v>0</v>
      </c>
      <c r="M13" s="9">
        <f>Soybeans_Mo!P148</f>
        <v>0</v>
      </c>
      <c r="N13" s="9">
        <f>Soybeans_Mo!P163</f>
        <v>22.931410772555829</v>
      </c>
      <c r="O13" s="9">
        <f>Soybeans_Mo!P178</f>
        <v>0</v>
      </c>
      <c r="P13" s="9">
        <f>Soybeans_Mo!P193</f>
        <v>0</v>
      </c>
      <c r="Q13" s="9">
        <f>Soybeans_Mo!P208</f>
        <v>5355.9</v>
      </c>
      <c r="R13" s="9">
        <f>Soybeans_Mo!P223</f>
        <v>0</v>
      </c>
      <c r="S13" s="9">
        <f>Soybeans_Mo!P238</f>
        <v>5.5147000000000004</v>
      </c>
      <c r="T13" s="9">
        <f>Soybeans_Mo!P253</f>
        <v>1767.5998179405651</v>
      </c>
      <c r="U13" s="9">
        <f>Soybeans_Mo!P268</f>
        <v>0</v>
      </c>
      <c r="V13" s="9">
        <f>Soybeans_Mo!P283</f>
        <v>0</v>
      </c>
      <c r="W13" s="9">
        <f>Soybeans_Mo!P298</f>
        <v>7774.2830000000004</v>
      </c>
      <c r="X13" s="9">
        <f>Soybeans_Mo!P313</f>
        <v>0</v>
      </c>
      <c r="Y13" s="9">
        <f>Soybeans_Mo!P328</f>
        <v>5.1400030000000001</v>
      </c>
      <c r="Z13" s="9">
        <f>Soybeans_Mo!P343</f>
        <v>906.75308201613359</v>
      </c>
      <c r="AA13" s="9">
        <f>Soybeans_Mo!P358</f>
        <v>0</v>
      </c>
    </row>
    <row r="14" spans="1:27" x14ac:dyDescent="0.3">
      <c r="A14" s="2" t="s">
        <v>94</v>
      </c>
      <c r="B14" s="8" t="s">
        <v>41</v>
      </c>
      <c r="C14" s="2" t="s">
        <v>36</v>
      </c>
      <c r="D14" s="9">
        <f>Soybeans_Mo!P14</f>
        <v>1871.5</v>
      </c>
      <c r="E14" s="9">
        <f>Soybeans_Mo!P29</f>
        <v>0</v>
      </c>
      <c r="F14" s="9">
        <f>Soybeans_Mo!P44</f>
        <v>140</v>
      </c>
      <c r="G14" s="9">
        <f>Soybeans_Mo!P59</f>
        <v>0</v>
      </c>
      <c r="H14" s="9">
        <f>Soybeans_Mo!P74</f>
        <v>-2.2737367544323211E-13</v>
      </c>
      <c r="I14" s="9">
        <f>Soybeans_Mo!P89</f>
        <v>470</v>
      </c>
      <c r="J14" s="9">
        <f>Soybeans_Mo!P104</f>
        <v>1473.1</v>
      </c>
      <c r="K14" s="9">
        <f>Soybeans_Mo!P119</f>
        <v>0</v>
      </c>
      <c r="L14" s="9">
        <f>Soybeans_Mo!P134</f>
        <v>220</v>
      </c>
      <c r="M14" s="9">
        <f>Soybeans_Mo!P149</f>
        <v>0</v>
      </c>
      <c r="N14" s="9">
        <f>Soybeans_Mo!P164</f>
        <v>0</v>
      </c>
      <c r="O14" s="9">
        <f>Soybeans_Mo!P179</f>
        <v>231.3</v>
      </c>
      <c r="P14" s="9">
        <f>Soybeans_Mo!P194</f>
        <v>1727.1</v>
      </c>
      <c r="Q14" s="9">
        <f>Soybeans_Mo!P209</f>
        <v>0</v>
      </c>
      <c r="R14" s="9">
        <f>Soybeans_Mo!P224</f>
        <v>251.43600000000001</v>
      </c>
      <c r="S14" s="9">
        <f>Soybeans_Mo!P239</f>
        <v>0</v>
      </c>
      <c r="T14" s="9">
        <f>Soybeans_Mo!P254</f>
        <v>3.290701044988964E-13</v>
      </c>
      <c r="U14" s="9">
        <f>Soybeans_Mo!P269</f>
        <v>446.83100000000002</v>
      </c>
      <c r="V14" s="9">
        <f>Soybeans_Mo!P284</f>
        <v>2564.1</v>
      </c>
      <c r="W14" s="9">
        <f>Soybeans_Mo!P299</f>
        <v>0</v>
      </c>
      <c r="X14" s="9">
        <f>Soybeans_Mo!P314</f>
        <v>771.89399999999989</v>
      </c>
      <c r="Y14" s="9">
        <f>Soybeans_Mo!P329</f>
        <v>0</v>
      </c>
      <c r="Z14" s="9">
        <f>Soybeans_Mo!P344</f>
        <v>1.6786572132332362E-13</v>
      </c>
      <c r="AA14" s="9">
        <f>Soybeans_Mo!P359</f>
        <v>350.06900000000002</v>
      </c>
    </row>
    <row r="15" spans="1:27" x14ac:dyDescent="0.3">
      <c r="A15" s="2" t="s">
        <v>94</v>
      </c>
      <c r="B15" s="8" t="s">
        <v>42</v>
      </c>
      <c r="C15" s="2" t="s">
        <v>36</v>
      </c>
      <c r="D15" s="9">
        <f>Soybeans_Mo!P15</f>
        <v>723.2</v>
      </c>
      <c r="E15" s="9">
        <f>Soybeans_Mo!P30</f>
        <v>324.10000000000002</v>
      </c>
      <c r="F15" s="9">
        <f>Soybeans_Mo!P45</f>
        <v>393.4</v>
      </c>
      <c r="G15" s="9">
        <f>Soybeans_Mo!P60</f>
        <v>0</v>
      </c>
      <c r="H15" s="9">
        <f>Soybeans_Mo!P75</f>
        <v>0</v>
      </c>
      <c r="I15" s="9">
        <f>Soybeans_Mo!P90</f>
        <v>0.12596483704974271</v>
      </c>
      <c r="J15" s="9">
        <f>Soybeans_Mo!P105</f>
        <v>1695.7</v>
      </c>
      <c r="K15" s="9">
        <f>Soybeans_Mo!P120</f>
        <v>266.2</v>
      </c>
      <c r="L15" s="9">
        <f>Soybeans_Mo!P135</f>
        <v>371.7</v>
      </c>
      <c r="M15" s="9">
        <f>Soybeans_Mo!P150</f>
        <v>0</v>
      </c>
      <c r="N15" s="9">
        <f>Soybeans_Mo!P165</f>
        <v>0</v>
      </c>
      <c r="O15" s="9">
        <f>Soybeans_Mo!P180</f>
        <v>4.8549599093237063E-2</v>
      </c>
      <c r="P15" s="9">
        <f>Soybeans_Mo!P195</f>
        <v>3331.6</v>
      </c>
      <c r="Q15" s="9">
        <f>Soybeans_Mo!P210</f>
        <v>434.8</v>
      </c>
      <c r="R15" s="9">
        <f>Soybeans_Mo!P225</f>
        <v>331.2</v>
      </c>
      <c r="S15" s="9">
        <f>Soybeans_Mo!P240</f>
        <v>0.21807556186193261</v>
      </c>
      <c r="T15" s="9">
        <f>Soybeans_Mo!P255</f>
        <v>0</v>
      </c>
      <c r="U15" s="9">
        <f>Soybeans_Mo!P270</f>
        <v>3.2211739558699093</v>
      </c>
      <c r="V15" s="9">
        <f>Soybeans_Mo!P285</f>
        <v>4928.6000000000004</v>
      </c>
      <c r="W15" s="9">
        <f>Soybeans_Mo!P300</f>
        <v>401.8</v>
      </c>
      <c r="X15" s="9">
        <f>Soybeans_Mo!P315</f>
        <v>242.4</v>
      </c>
      <c r="Y15" s="9">
        <f>Soybeans_Mo!P330</f>
        <v>0.1911028713601918</v>
      </c>
      <c r="Z15" s="9">
        <f>Soybeans_Mo!P345</f>
        <v>0</v>
      </c>
      <c r="AA15" s="9">
        <f>Soybeans_Mo!P360</f>
        <v>2.2588073165604117</v>
      </c>
    </row>
    <row r="16" spans="1:27" x14ac:dyDescent="0.3">
      <c r="A16" s="2" t="s">
        <v>94</v>
      </c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</row>
    <row r="17" spans="1:27" x14ac:dyDescent="0.3">
      <c r="A17" s="2" t="s">
        <v>94</v>
      </c>
      <c r="B17" s="8" t="s">
        <v>43</v>
      </c>
      <c r="C17" s="2" t="s">
        <v>36</v>
      </c>
      <c r="D17" s="9">
        <f>Soybeans_Mo!P17</f>
        <v>145</v>
      </c>
      <c r="E17" s="9">
        <f>Soybeans_Mo!P32</f>
        <v>1627.3</v>
      </c>
      <c r="F17" s="9">
        <f>Soybeans_Mo!P47</f>
        <v>0</v>
      </c>
      <c r="G17" s="9">
        <f>Soybeans_Mo!P62</f>
        <v>270</v>
      </c>
      <c r="H17" s="9">
        <f>Soybeans_Mo!P77</f>
        <v>0</v>
      </c>
      <c r="I17" s="9">
        <f>Soybeans_Mo!P92</f>
        <v>0</v>
      </c>
      <c r="J17" s="9">
        <f>Soybeans_Mo!P107</f>
        <v>116</v>
      </c>
      <c r="K17" s="9">
        <f>Soybeans_Mo!P122</f>
        <v>1427.9</v>
      </c>
      <c r="L17" s="9">
        <f>Soybeans_Mo!P137</f>
        <v>0</v>
      </c>
      <c r="M17" s="9">
        <f>Soybeans_Mo!P152</f>
        <v>305</v>
      </c>
      <c r="N17" s="9">
        <f>Soybeans_Mo!P167</f>
        <v>0</v>
      </c>
      <c r="O17" s="9">
        <f>Soybeans_Mo!P182</f>
        <v>-2.8421709430404012E-13</v>
      </c>
      <c r="P17" s="9">
        <f>Soybeans_Mo!P197</f>
        <v>157.5</v>
      </c>
      <c r="Q17" s="9">
        <f>Soybeans_Mo!P212</f>
        <v>1757.1</v>
      </c>
      <c r="R17" s="9">
        <f>Soybeans_Mo!P227</f>
        <v>0</v>
      </c>
      <c r="S17" s="9">
        <f>Soybeans_Mo!P242</f>
        <v>600.68200000000002</v>
      </c>
      <c r="T17" s="9">
        <f>Soybeans_Mo!P257</f>
        <v>0</v>
      </c>
      <c r="U17" s="9">
        <f>Soybeans_Mo!P272</f>
        <v>0</v>
      </c>
      <c r="V17" s="9">
        <f>Soybeans_Mo!P287</f>
        <v>740.89599999999996</v>
      </c>
      <c r="W17" s="9">
        <f>Soybeans_Mo!P302</f>
        <v>2653.6830000000009</v>
      </c>
      <c r="X17" s="9">
        <f>Soybeans_Mo!P317</f>
        <v>0</v>
      </c>
      <c r="Y17" s="9">
        <f>Soybeans_Mo!P332</f>
        <v>682.93500000000006</v>
      </c>
      <c r="Z17" s="9">
        <f>Soybeans_Mo!P347</f>
        <v>0</v>
      </c>
      <c r="AA17" s="9">
        <f>Soybeans_Mo!P362</f>
        <v>3.3484326422694721E-13</v>
      </c>
    </row>
    <row r="18" spans="1:27" x14ac:dyDescent="0.3">
      <c r="A18" s="2" t="s">
        <v>94</v>
      </c>
      <c r="B18" s="3" t="s">
        <v>44</v>
      </c>
      <c r="C18" s="12" t="s">
        <v>32</v>
      </c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</row>
    <row r="19" spans="1:27" x14ac:dyDescent="0.3">
      <c r="A19" s="2" t="s">
        <v>94</v>
      </c>
      <c r="B19" s="3" t="s">
        <v>45</v>
      </c>
      <c r="C19" s="12" t="s">
        <v>46</v>
      </c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</row>
    <row r="20" spans="1:27" x14ac:dyDescent="0.3">
      <c r="A20" s="2" t="s">
        <v>94</v>
      </c>
      <c r="B20" s="11" t="s">
        <v>47</v>
      </c>
      <c r="C20" s="15" t="s">
        <v>36</v>
      </c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</row>
  </sheetData>
  <mergeCells count="1">
    <mergeCell ref="A1:C1"/>
  </mergeCells>
  <conditionalFormatting sqref="D20:AA20">
    <cfRule type="cellIs" dxfId="5" priority="1" operator="equal">
      <formula>0</formula>
    </cfRule>
    <cfRule type="cellIs" dxfId="4" priority="2" operator="notEqual">
      <formula>0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A18"/>
  <sheetViews>
    <sheetView workbookViewId="0">
      <selection sqref="A1:C1"/>
    </sheetView>
  </sheetViews>
  <sheetFormatPr defaultRowHeight="14.4" x14ac:dyDescent="0.3"/>
  <cols>
    <col min="1" max="1" width="18" customWidth="1"/>
    <col min="2" max="2" width="28" customWidth="1"/>
    <col min="3" max="3" width="10" customWidth="1"/>
    <col min="4" max="27" width="7" customWidth="1"/>
  </cols>
  <sheetData>
    <row r="1" spans="1:27" ht="15.6" customHeight="1" x14ac:dyDescent="0.3">
      <c r="A1" s="57" t="s">
        <v>108</v>
      </c>
      <c r="B1" s="58"/>
      <c r="C1" s="58"/>
    </row>
    <row r="2" spans="1:27" ht="26.4" customHeight="1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  <c r="W2" s="1" t="s">
        <v>23</v>
      </c>
      <c r="X2" s="1" t="s">
        <v>24</v>
      </c>
      <c r="Y2" s="1" t="s">
        <v>25</v>
      </c>
      <c r="Z2" s="1" t="s">
        <v>26</v>
      </c>
      <c r="AA2" s="1" t="s">
        <v>27</v>
      </c>
    </row>
    <row r="3" spans="1:27" x14ac:dyDescent="0.3">
      <c r="A3" s="2" t="s">
        <v>108</v>
      </c>
      <c r="B3" s="3" t="s">
        <v>28</v>
      </c>
      <c r="C3" s="12" t="s">
        <v>29</v>
      </c>
      <c r="D3" s="9">
        <f>'Dry peas_Mo'!P3</f>
        <v>0</v>
      </c>
      <c r="E3" s="9">
        <f>'Dry peas_Mo'!P16</f>
        <v>0</v>
      </c>
      <c r="F3" s="9">
        <f>'Dry peas_Mo'!P29</f>
        <v>0</v>
      </c>
      <c r="G3" s="9">
        <f>'Dry peas_Mo'!P42</f>
        <v>0</v>
      </c>
      <c r="H3" s="9">
        <f>'Dry peas_Mo'!P55</f>
        <v>0</v>
      </c>
      <c r="I3" s="9">
        <f>'Dry peas_Mo'!P68</f>
        <v>0</v>
      </c>
      <c r="J3" s="9">
        <f>'Dry peas_Mo'!P81</f>
        <v>0</v>
      </c>
      <c r="K3" s="9">
        <f>'Dry peas_Mo'!P94</f>
        <v>0</v>
      </c>
      <c r="L3" s="9">
        <f>'Dry peas_Mo'!P107</f>
        <v>0</v>
      </c>
      <c r="M3" s="9">
        <f>'Dry peas_Mo'!P120</f>
        <v>0</v>
      </c>
      <c r="N3" s="9">
        <f>'Dry peas_Mo'!P133</f>
        <v>0</v>
      </c>
      <c r="O3" s="9">
        <f>'Dry peas_Mo'!P146</f>
        <v>0</v>
      </c>
      <c r="P3" s="9">
        <f>'Dry peas_Mo'!P159</f>
        <v>0</v>
      </c>
      <c r="Q3" s="9">
        <f>'Dry peas_Mo'!P172</f>
        <v>0</v>
      </c>
      <c r="R3" s="9">
        <f>'Dry peas_Mo'!P185</f>
        <v>0</v>
      </c>
      <c r="S3" s="9">
        <f>'Dry peas_Mo'!P198</f>
        <v>0</v>
      </c>
      <c r="T3" s="9">
        <f>'Dry peas_Mo'!P211</f>
        <v>0</v>
      </c>
      <c r="U3" s="9">
        <f>'Dry peas_Mo'!P224</f>
        <v>0</v>
      </c>
      <c r="V3" s="9">
        <f>'Dry peas_Mo'!P237</f>
        <v>0</v>
      </c>
      <c r="W3" s="9">
        <f>'Dry peas_Mo'!P250</f>
        <v>0</v>
      </c>
      <c r="X3" s="9">
        <f>'Dry peas_Mo'!P263</f>
        <v>0</v>
      </c>
      <c r="Y3" s="9">
        <f>'Dry peas_Mo'!P276</f>
        <v>0</v>
      </c>
      <c r="Z3" s="9">
        <f>'Dry peas_Mo'!P289</f>
        <v>0</v>
      </c>
      <c r="AA3" s="9">
        <f>'Dry peas_Mo'!P302</f>
        <v>0</v>
      </c>
    </row>
    <row r="4" spans="1:27" x14ac:dyDescent="0.3">
      <c r="A4" s="2" t="s">
        <v>108</v>
      </c>
      <c r="B4" s="3" t="s">
        <v>30</v>
      </c>
      <c r="C4" s="12" t="s">
        <v>29</v>
      </c>
      <c r="D4" s="9">
        <f>'Dry peas_Mo'!P4</f>
        <v>0</v>
      </c>
      <c r="E4" s="9">
        <f>'Dry peas_Mo'!P17</f>
        <v>0</v>
      </c>
      <c r="F4" s="9">
        <f>'Dry peas_Mo'!P30</f>
        <v>0</v>
      </c>
      <c r="G4" s="9">
        <f>'Dry peas_Mo'!P43</f>
        <v>0</v>
      </c>
      <c r="H4" s="9">
        <f>'Dry peas_Mo'!P56</f>
        <v>0</v>
      </c>
      <c r="I4" s="9">
        <f>'Dry peas_Mo'!P69</f>
        <v>0</v>
      </c>
      <c r="J4" s="9">
        <f>'Dry peas_Mo'!P82</f>
        <v>0</v>
      </c>
      <c r="K4" s="9">
        <f>'Dry peas_Mo'!P95</f>
        <v>0</v>
      </c>
      <c r="L4" s="9">
        <f>'Dry peas_Mo'!P108</f>
        <v>0</v>
      </c>
      <c r="M4" s="9">
        <f>'Dry peas_Mo'!P121</f>
        <v>0</v>
      </c>
      <c r="N4" s="9">
        <f>'Dry peas_Mo'!P134</f>
        <v>0</v>
      </c>
      <c r="O4" s="9">
        <f>'Dry peas_Mo'!P147</f>
        <v>0</v>
      </c>
      <c r="P4" s="9">
        <f>'Dry peas_Mo'!P160</f>
        <v>0</v>
      </c>
      <c r="Q4" s="9">
        <f>'Dry peas_Mo'!P173</f>
        <v>0</v>
      </c>
      <c r="R4" s="9">
        <f>'Dry peas_Mo'!P186</f>
        <v>0</v>
      </c>
      <c r="S4" s="9">
        <f>'Dry peas_Mo'!P199</f>
        <v>0</v>
      </c>
      <c r="T4" s="9">
        <f>'Dry peas_Mo'!P212</f>
        <v>0</v>
      </c>
      <c r="U4" s="9">
        <f>'Dry peas_Mo'!P225</f>
        <v>0</v>
      </c>
      <c r="V4" s="9">
        <f>'Dry peas_Mo'!P238</f>
        <v>0</v>
      </c>
      <c r="W4" s="9">
        <f>'Dry peas_Mo'!P251</f>
        <v>0</v>
      </c>
      <c r="X4" s="9">
        <f>'Dry peas_Mo'!P264</f>
        <v>0</v>
      </c>
      <c r="Y4" s="9">
        <f>'Dry peas_Mo'!P277</f>
        <v>0</v>
      </c>
      <c r="Z4" s="9">
        <f>'Dry peas_Mo'!P290</f>
        <v>0</v>
      </c>
      <c r="AA4" s="9">
        <f>'Dry peas_Mo'!P303</f>
        <v>0</v>
      </c>
    </row>
    <row r="5" spans="1:27" x14ac:dyDescent="0.3">
      <c r="A5" s="2" t="s">
        <v>108</v>
      </c>
      <c r="B5" s="3" t="s">
        <v>31</v>
      </c>
      <c r="C5" s="12" t="s">
        <v>32</v>
      </c>
      <c r="D5" s="13" t="str">
        <f t="shared" ref="D5:AA5" si="0">IF(D3&lt;&gt;0,D4/D3,"")</f>
        <v/>
      </c>
      <c r="E5" s="13" t="str">
        <f t="shared" si="0"/>
        <v/>
      </c>
      <c r="F5" s="13" t="str">
        <f t="shared" si="0"/>
        <v/>
      </c>
      <c r="G5" s="13" t="str">
        <f t="shared" si="0"/>
        <v/>
      </c>
      <c r="H5" s="13" t="str">
        <f t="shared" si="0"/>
        <v/>
      </c>
      <c r="I5" s="13" t="str">
        <f t="shared" si="0"/>
        <v/>
      </c>
      <c r="J5" s="13" t="str">
        <f t="shared" si="0"/>
        <v/>
      </c>
      <c r="K5" s="13" t="str">
        <f t="shared" si="0"/>
        <v/>
      </c>
      <c r="L5" s="13" t="str">
        <f t="shared" si="0"/>
        <v/>
      </c>
      <c r="M5" s="13" t="str">
        <f t="shared" si="0"/>
        <v/>
      </c>
      <c r="N5" s="13" t="str">
        <f t="shared" si="0"/>
        <v/>
      </c>
      <c r="O5" s="13" t="str">
        <f t="shared" si="0"/>
        <v/>
      </c>
      <c r="P5" s="13" t="str">
        <f t="shared" si="0"/>
        <v/>
      </c>
      <c r="Q5" s="13" t="str">
        <f t="shared" si="0"/>
        <v/>
      </c>
      <c r="R5" s="13" t="str">
        <f t="shared" si="0"/>
        <v/>
      </c>
      <c r="S5" s="13" t="str">
        <f t="shared" si="0"/>
        <v/>
      </c>
      <c r="T5" s="13" t="str">
        <f t="shared" si="0"/>
        <v/>
      </c>
      <c r="U5" s="13" t="str">
        <f t="shared" si="0"/>
        <v/>
      </c>
      <c r="V5" s="13" t="str">
        <f t="shared" si="0"/>
        <v/>
      </c>
      <c r="W5" s="13" t="str">
        <f t="shared" si="0"/>
        <v/>
      </c>
      <c r="X5" s="13" t="str">
        <f t="shared" si="0"/>
        <v/>
      </c>
      <c r="Y5" s="13" t="str">
        <f t="shared" si="0"/>
        <v/>
      </c>
      <c r="Z5" s="13" t="str">
        <f t="shared" si="0"/>
        <v/>
      </c>
      <c r="AA5" s="13" t="str">
        <f t="shared" si="0"/>
        <v/>
      </c>
    </row>
    <row r="6" spans="1:27" x14ac:dyDescent="0.3">
      <c r="A6" s="2" t="s">
        <v>108</v>
      </c>
      <c r="B6" s="3" t="s">
        <v>33</v>
      </c>
      <c r="C6" s="12" t="s">
        <v>34</v>
      </c>
      <c r="D6" s="14">
        <f>'Dry peas_Mo'!O6</f>
        <v>0</v>
      </c>
      <c r="E6" s="14">
        <f>'Dry peas_Mo'!O19</f>
        <v>0</v>
      </c>
      <c r="F6" s="14">
        <f>'Dry peas_Mo'!O32</f>
        <v>0</v>
      </c>
      <c r="G6" s="14">
        <f>'Dry peas_Mo'!O45</f>
        <v>0</v>
      </c>
      <c r="H6" s="14">
        <f>'Dry peas_Mo'!O58</f>
        <v>0</v>
      </c>
      <c r="I6" s="14">
        <f>'Dry peas_Mo'!O71</f>
        <v>0</v>
      </c>
      <c r="J6" s="14">
        <f>'Dry peas_Mo'!O84</f>
        <v>0</v>
      </c>
      <c r="K6" s="14">
        <f>'Dry peas_Mo'!O97</f>
        <v>0</v>
      </c>
      <c r="L6" s="14">
        <f>'Dry peas_Mo'!O110</f>
        <v>0</v>
      </c>
      <c r="M6" s="14">
        <f>'Dry peas_Mo'!O123</f>
        <v>0</v>
      </c>
      <c r="N6" s="14">
        <f>'Dry peas_Mo'!O136</f>
        <v>0</v>
      </c>
      <c r="O6" s="14">
        <f>'Dry peas_Mo'!O149</f>
        <v>0</v>
      </c>
      <c r="P6" s="14">
        <f>'Dry peas_Mo'!O162</f>
        <v>0</v>
      </c>
      <c r="Q6" s="14">
        <f>'Dry peas_Mo'!O175</f>
        <v>0</v>
      </c>
      <c r="R6" s="14">
        <f>'Dry peas_Mo'!O188</f>
        <v>0</v>
      </c>
      <c r="S6" s="14">
        <f>'Dry peas_Mo'!O201</f>
        <v>0</v>
      </c>
      <c r="T6" s="14">
        <f>'Dry peas_Mo'!O214</f>
        <v>0</v>
      </c>
      <c r="U6" s="14">
        <f>'Dry peas_Mo'!O227</f>
        <v>0</v>
      </c>
      <c r="V6" s="14">
        <f>'Dry peas_Mo'!O240</f>
        <v>0</v>
      </c>
      <c r="W6" s="14">
        <f>'Dry peas_Mo'!O253</f>
        <v>0</v>
      </c>
      <c r="X6" s="14">
        <f>'Dry peas_Mo'!O266</f>
        <v>0</v>
      </c>
      <c r="Y6" s="14">
        <f>'Dry peas_Mo'!O279</f>
        <v>0</v>
      </c>
      <c r="Z6" s="14">
        <f>'Dry peas_Mo'!O292</f>
        <v>0</v>
      </c>
      <c r="AA6" s="14">
        <f>'Dry peas_Mo'!O305</f>
        <v>0</v>
      </c>
    </row>
    <row r="7" spans="1:27" x14ac:dyDescent="0.3">
      <c r="A7" s="2" t="s">
        <v>108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</row>
    <row r="8" spans="1:27" x14ac:dyDescent="0.3">
      <c r="A8" s="2" t="s">
        <v>108</v>
      </c>
      <c r="B8" s="8" t="s">
        <v>35</v>
      </c>
      <c r="C8" s="2" t="s">
        <v>36</v>
      </c>
      <c r="D8" s="9">
        <f>'Dry peas_Mo'!P8</f>
        <v>40.6</v>
      </c>
      <c r="E8" s="9">
        <f>'Dry peas_Mo'!P21</f>
        <v>24</v>
      </c>
      <c r="F8" s="9">
        <f>'Dry peas_Mo'!P34</f>
        <v>57.3</v>
      </c>
      <c r="G8" s="9">
        <f>'Dry peas_Mo'!P47</f>
        <v>75.3</v>
      </c>
      <c r="H8" s="9">
        <f>'Dry peas_Mo'!P60</f>
        <v>59.9</v>
      </c>
      <c r="I8" s="9">
        <f>'Dry peas_Mo'!P73</f>
        <v>37.6</v>
      </c>
      <c r="J8" s="9">
        <f>'Dry peas_Mo'!P86</f>
        <v>15.1</v>
      </c>
      <c r="K8" s="9">
        <f>'Dry peas_Mo'!P99</f>
        <v>55</v>
      </c>
      <c r="L8" s="9">
        <f>'Dry peas_Mo'!P112</f>
        <v>32.9</v>
      </c>
      <c r="M8" s="9">
        <f>'Dry peas_Mo'!P125</f>
        <v>11.8</v>
      </c>
      <c r="N8" s="9">
        <f>'Dry peas_Mo'!P138</f>
        <v>16.100000000000001</v>
      </c>
      <c r="O8" s="9">
        <f>'Dry peas_Mo'!P151</f>
        <v>25.1</v>
      </c>
      <c r="P8" s="9">
        <f>'Dry peas_Mo'!P164</f>
        <v>30.8</v>
      </c>
      <c r="Q8" s="9">
        <f>'Dry peas_Mo'!P177</f>
        <v>15.4</v>
      </c>
      <c r="R8" s="9">
        <f>'Dry peas_Mo'!P190</f>
        <v>31.5</v>
      </c>
      <c r="S8" s="9">
        <f>'Dry peas_Mo'!P203</f>
        <v>11.5</v>
      </c>
      <c r="T8" s="9">
        <f>'Dry peas_Mo'!P216</f>
        <v>61.6</v>
      </c>
      <c r="U8" s="9">
        <f>'Dry peas_Mo'!P229</f>
        <v>82.3</v>
      </c>
      <c r="V8" s="9">
        <f>'Dry peas_Mo'!P242</f>
        <v>81.099999999999994</v>
      </c>
      <c r="W8" s="9">
        <f>'Dry peas_Mo'!P255</f>
        <v>28.6</v>
      </c>
      <c r="X8" s="9">
        <f>'Dry peas_Mo'!P268</f>
        <v>34.9</v>
      </c>
      <c r="Y8" s="9">
        <f>'Dry peas_Mo'!P281</f>
        <v>126.9</v>
      </c>
      <c r="Z8" s="9">
        <f>'Dry peas_Mo'!P294</f>
        <v>38.5</v>
      </c>
      <c r="AA8" s="9">
        <f>'Dry peas_Mo'!P307</f>
        <v>0</v>
      </c>
    </row>
    <row r="9" spans="1:27" x14ac:dyDescent="0.3">
      <c r="A9" s="2" t="s">
        <v>108</v>
      </c>
      <c r="B9" s="8" t="s">
        <v>37</v>
      </c>
      <c r="C9" s="2" t="s">
        <v>36</v>
      </c>
      <c r="D9" s="9">
        <f>'Dry peas_Mo'!P9</f>
        <v>1283.8</v>
      </c>
      <c r="E9" s="9">
        <f>'Dry peas_Mo'!P22</f>
        <v>1930.9</v>
      </c>
      <c r="F9" s="9">
        <f>'Dry peas_Mo'!P35</f>
        <v>3097.2</v>
      </c>
      <c r="G9" s="9">
        <f>'Dry peas_Mo'!P48</f>
        <v>2993.6</v>
      </c>
      <c r="H9" s="9">
        <f>'Dry peas_Mo'!P61</f>
        <v>2519.9</v>
      </c>
      <c r="I9" s="9">
        <f>'Dry peas_Mo'!P74</f>
        <v>2934.8</v>
      </c>
      <c r="J9" s="9">
        <f>'Dry peas_Mo'!P87</f>
        <v>3564.5</v>
      </c>
      <c r="K9" s="9">
        <f>'Dry peas_Mo'!P100</f>
        <v>3379.4</v>
      </c>
      <c r="L9" s="9">
        <f>'Dry peas_Mo'!P113</f>
        <v>3018.2</v>
      </c>
      <c r="M9" s="9">
        <f>'Dry peas_Mo'!P126</f>
        <v>2502</v>
      </c>
      <c r="N9" s="9">
        <f>'Dry peas_Mo'!P139</f>
        <v>3340.8</v>
      </c>
      <c r="O9" s="9">
        <f>'Dry peas_Mo'!P152</f>
        <v>3960.8</v>
      </c>
      <c r="P9" s="9">
        <f>'Dry peas_Mo'!P165</f>
        <v>3810.1</v>
      </c>
      <c r="Q9" s="9">
        <f>'Dry peas_Mo'!P178</f>
        <v>3200.7</v>
      </c>
      <c r="R9" s="9">
        <f>'Dry peas_Mo'!P191</f>
        <v>4835.8999999999996</v>
      </c>
      <c r="S9" s="9">
        <f>'Dry peas_Mo'!P204</f>
        <v>4112.2</v>
      </c>
      <c r="T9" s="9">
        <f>'Dry peas_Mo'!P217</f>
        <v>3580.7</v>
      </c>
      <c r="U9" s="9">
        <f>'Dry peas_Mo'!P230</f>
        <v>4236.5</v>
      </c>
      <c r="V9" s="9">
        <f>'Dry peas_Mo'!P243</f>
        <v>4594.3999999999996</v>
      </c>
      <c r="W9" s="9">
        <f>'Dry peas_Mo'!P256</f>
        <v>2243.8000000000002</v>
      </c>
      <c r="X9" s="9">
        <f>'Dry peas_Mo'!P269</f>
        <v>3423.3</v>
      </c>
      <c r="Y9" s="9">
        <f>'Dry peas_Mo'!P282</f>
        <v>2608.8000000000002</v>
      </c>
      <c r="Z9" s="9">
        <f>'Dry peas_Mo'!P295</f>
        <v>2997.4</v>
      </c>
      <c r="AA9" s="9">
        <f>'Dry peas_Mo'!P308</f>
        <v>0</v>
      </c>
    </row>
    <row r="10" spans="1:27" x14ac:dyDescent="0.3">
      <c r="A10" s="2" t="s">
        <v>108</v>
      </c>
      <c r="B10" s="8" t="s">
        <v>38</v>
      </c>
      <c r="C10" s="2" t="s">
        <v>36</v>
      </c>
      <c r="D10" s="9">
        <f>'Dry peas_Mo'!P10</f>
        <v>745.49999999999989</v>
      </c>
      <c r="E10" s="9">
        <f>'Dry peas_Mo'!P23</f>
        <v>667.2</v>
      </c>
      <c r="F10" s="9">
        <f>'Dry peas_Mo'!P36</f>
        <v>1028.5</v>
      </c>
      <c r="G10" s="9">
        <f>'Dry peas_Mo'!P49</f>
        <v>611.5</v>
      </c>
      <c r="H10" s="9">
        <f>'Dry peas_Mo'!P62</f>
        <v>806.60000000000014</v>
      </c>
      <c r="I10" s="9">
        <f>'Dry peas_Mo'!P75</f>
        <v>682.80000000000018</v>
      </c>
      <c r="J10" s="9">
        <f>'Dry peas_Mo'!P88</f>
        <v>564</v>
      </c>
      <c r="K10" s="9">
        <f>'Dry peas_Mo'!P101</f>
        <v>791.59999999999991</v>
      </c>
      <c r="L10" s="9">
        <f>'Dry peas_Mo'!P114</f>
        <v>413.90000000000009</v>
      </c>
      <c r="M10" s="9">
        <f>'Dry peas_Mo'!P127</f>
        <v>688.10000000000036</v>
      </c>
      <c r="N10" s="9">
        <f>'Dry peas_Mo'!P140</f>
        <v>798.30000000000018</v>
      </c>
      <c r="O10" s="9">
        <f>'Dry peas_Mo'!P153</f>
        <v>1050.4000000000001</v>
      </c>
      <c r="P10" s="9">
        <f>'Dry peas_Mo'!P166</f>
        <v>403.90000000000049</v>
      </c>
      <c r="Q10" s="9">
        <f>'Dry peas_Mo'!P179</f>
        <v>1079.4000000000001</v>
      </c>
      <c r="R10" s="9">
        <f>'Dry peas_Mo'!P192</f>
        <v>797.3999999999993</v>
      </c>
      <c r="S10" s="9">
        <f>'Dry peas_Mo'!P205</f>
        <v>690.59999999999923</v>
      </c>
      <c r="T10" s="9">
        <f>'Dry peas_Mo'!P218</f>
        <v>707.89999999999986</v>
      </c>
      <c r="U10" s="9">
        <f>'Dry peas_Mo'!P231</f>
        <v>688.7000000000005</v>
      </c>
      <c r="V10" s="9">
        <f>'Dry peas_Mo'!P244</f>
        <v>765.8</v>
      </c>
      <c r="W10" s="9">
        <f>'Dry peas_Mo'!P257</f>
        <v>580.50000000000034</v>
      </c>
      <c r="X10" s="9">
        <f>'Dry peas_Mo'!P270</f>
        <v>683.50000000000011</v>
      </c>
      <c r="Y10" s="9">
        <f>'Dry peas_Mo'!P283</f>
        <v>572.7000000000005</v>
      </c>
      <c r="Z10" s="9">
        <f>'Dry peas_Mo'!P296</f>
        <v>669.70000000000027</v>
      </c>
      <c r="AA10" s="9">
        <f>'Dry peas_Mo'!P309</f>
        <v>0</v>
      </c>
    </row>
    <row r="11" spans="1:27" x14ac:dyDescent="0.3">
      <c r="A11" s="2" t="s">
        <v>108</v>
      </c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</row>
    <row r="12" spans="1:27" x14ac:dyDescent="0.3">
      <c r="A12" s="2" t="s">
        <v>108</v>
      </c>
      <c r="B12" s="8" t="s">
        <v>41</v>
      </c>
      <c r="C12" s="2" t="s">
        <v>36</v>
      </c>
      <c r="D12" s="9">
        <f>'Dry peas_Mo'!P12</f>
        <v>228</v>
      </c>
      <c r="E12" s="9">
        <f>'Dry peas_Mo'!P25</f>
        <v>200</v>
      </c>
      <c r="F12" s="9">
        <f>'Dry peas_Mo'!P38</f>
        <v>473</v>
      </c>
      <c r="G12" s="9">
        <f>'Dry peas_Mo'!P51</f>
        <v>363</v>
      </c>
      <c r="H12" s="9">
        <f>'Dry peas_Mo'!P64</f>
        <v>167</v>
      </c>
      <c r="I12" s="9">
        <f>'Dry peas_Mo'!P77</f>
        <v>255</v>
      </c>
      <c r="J12" s="9">
        <f>'Dry peas_Mo'!P90</f>
        <v>445</v>
      </c>
      <c r="K12" s="9">
        <f>'Dry peas_Mo'!P103</f>
        <v>910</v>
      </c>
      <c r="L12" s="9">
        <f>'Dry peas_Mo'!P116</f>
        <v>535</v>
      </c>
      <c r="M12" s="9">
        <f>'Dry peas_Mo'!P129</f>
        <v>265</v>
      </c>
      <c r="N12" s="9">
        <f>'Dry peas_Mo'!P142</f>
        <v>174</v>
      </c>
      <c r="O12" s="9">
        <f>'Dry peas_Mo'!P155</f>
        <v>329</v>
      </c>
      <c r="P12" s="9">
        <f>'Dry peas_Mo'!P168</f>
        <v>684</v>
      </c>
      <c r="Q12" s="9">
        <f>'Dry peas_Mo'!P181</f>
        <v>174.2</v>
      </c>
      <c r="R12" s="9">
        <f>'Dry peas_Mo'!P194</f>
        <v>300.39999999999998</v>
      </c>
      <c r="S12" s="9">
        <f>'Dry peas_Mo'!P207</f>
        <v>648.20000000000005</v>
      </c>
      <c r="T12" s="9">
        <f>'Dry peas_Mo'!P220</f>
        <v>312.3</v>
      </c>
      <c r="U12" s="9">
        <f>'Dry peas_Mo'!P233</f>
        <v>233.2</v>
      </c>
      <c r="V12" s="9">
        <f>'Dry peas_Mo'!P246</f>
        <v>559.29999999999995</v>
      </c>
      <c r="W12" s="9">
        <f>'Dry peas_Mo'!P259</f>
        <v>339.1</v>
      </c>
      <c r="X12" s="9">
        <f>'Dry peas_Mo'!P272</f>
        <v>549.9</v>
      </c>
      <c r="Y12" s="9">
        <f>'Dry peas_Mo'!P285</f>
        <v>299.3</v>
      </c>
      <c r="Z12" s="9">
        <f>'Dry peas_Mo'!P298</f>
        <v>489</v>
      </c>
      <c r="AA12" s="9">
        <f>'Dry peas_Mo'!P311</f>
        <v>0</v>
      </c>
    </row>
    <row r="13" spans="1:27" x14ac:dyDescent="0.3">
      <c r="A13" s="2" t="s">
        <v>108</v>
      </c>
      <c r="B13" s="8" t="s">
        <v>42</v>
      </c>
      <c r="C13" s="2" t="s">
        <v>36</v>
      </c>
      <c r="D13" s="9">
        <f>'Dry peas_Mo'!P13</f>
        <v>0</v>
      </c>
      <c r="E13" s="9">
        <f>'Dry peas_Mo'!P26</f>
        <v>0</v>
      </c>
      <c r="F13" s="9">
        <f>'Dry peas_Mo'!P39</f>
        <v>0</v>
      </c>
      <c r="G13" s="9">
        <f>'Dry peas_Mo'!P52</f>
        <v>0</v>
      </c>
      <c r="H13" s="9">
        <f>'Dry peas_Mo'!P65</f>
        <v>0</v>
      </c>
      <c r="I13" s="9">
        <f>'Dry peas_Mo'!P78</f>
        <v>0</v>
      </c>
      <c r="J13" s="9">
        <f>'Dry peas_Mo'!P91</f>
        <v>0</v>
      </c>
      <c r="K13" s="9">
        <f>'Dry peas_Mo'!P104</f>
        <v>0</v>
      </c>
      <c r="L13" s="9">
        <f>'Dry peas_Mo'!P117</f>
        <v>0</v>
      </c>
      <c r="M13" s="9">
        <f>'Dry peas_Mo'!P130</f>
        <v>0</v>
      </c>
      <c r="N13" s="9">
        <f>'Dry peas_Mo'!P143</f>
        <v>0</v>
      </c>
      <c r="O13" s="9">
        <f>'Dry peas_Mo'!P156</f>
        <v>0</v>
      </c>
      <c r="P13" s="9">
        <f>'Dry peas_Mo'!P169</f>
        <v>0</v>
      </c>
      <c r="Q13" s="9">
        <f>'Dry peas_Mo'!P182</f>
        <v>0</v>
      </c>
      <c r="R13" s="9">
        <f>'Dry peas_Mo'!P195</f>
        <v>0</v>
      </c>
      <c r="S13" s="9">
        <f>'Dry peas_Mo'!P208</f>
        <v>0</v>
      </c>
      <c r="T13" s="9">
        <f>'Dry peas_Mo'!P221</f>
        <v>0</v>
      </c>
      <c r="U13" s="9">
        <f>'Dry peas_Mo'!P234</f>
        <v>0</v>
      </c>
      <c r="V13" s="9">
        <f>'Dry peas_Mo'!P247</f>
        <v>0</v>
      </c>
      <c r="W13" s="9">
        <f>'Dry peas_Mo'!P260</f>
        <v>0</v>
      </c>
      <c r="X13" s="9">
        <f>'Dry peas_Mo'!P273</f>
        <v>0</v>
      </c>
      <c r="Y13" s="9">
        <f>'Dry peas_Mo'!P286</f>
        <v>0</v>
      </c>
      <c r="Z13" s="9">
        <f>'Dry peas_Mo'!P299</f>
        <v>0</v>
      </c>
      <c r="AA13" s="9">
        <f>'Dry peas_Mo'!P312</f>
        <v>0</v>
      </c>
    </row>
    <row r="14" spans="1:27" x14ac:dyDescent="0.3">
      <c r="A14" s="2" t="s">
        <v>108</v>
      </c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</row>
    <row r="15" spans="1:27" x14ac:dyDescent="0.3">
      <c r="A15" s="2" t="s">
        <v>108</v>
      </c>
      <c r="B15" s="8" t="s">
        <v>43</v>
      </c>
      <c r="C15" s="2" t="s">
        <v>36</v>
      </c>
      <c r="D15" s="9">
        <f>'Dry peas_Mo'!P15</f>
        <v>0</v>
      </c>
      <c r="E15" s="9">
        <f>'Dry peas_Mo'!P28</f>
        <v>0</v>
      </c>
      <c r="F15" s="9">
        <f>'Dry peas_Mo'!P41</f>
        <v>0</v>
      </c>
      <c r="G15" s="9">
        <f>'Dry peas_Mo'!P54</f>
        <v>0</v>
      </c>
      <c r="H15" s="9">
        <f>'Dry peas_Mo'!P67</f>
        <v>-2.2737367544323211E-13</v>
      </c>
      <c r="I15" s="9">
        <f>'Dry peas_Mo'!P80</f>
        <v>0</v>
      </c>
      <c r="J15" s="9">
        <f>'Dry peas_Mo'!P93</f>
        <v>0</v>
      </c>
      <c r="K15" s="9">
        <f>'Dry peas_Mo'!P106</f>
        <v>0</v>
      </c>
      <c r="L15" s="9">
        <f>'Dry peas_Mo'!P119</f>
        <v>0</v>
      </c>
      <c r="M15" s="9">
        <f>'Dry peas_Mo'!P132</f>
        <v>0</v>
      </c>
      <c r="N15" s="9">
        <f>'Dry peas_Mo'!P145</f>
        <v>0</v>
      </c>
      <c r="O15" s="9">
        <f>'Dry peas_Mo'!P158</f>
        <v>0</v>
      </c>
      <c r="P15" s="9">
        <f>'Dry peas_Mo'!P171</f>
        <v>0</v>
      </c>
      <c r="Q15" s="9">
        <f>'Dry peas_Mo'!P184</f>
        <v>-1.7053025658242399E-13</v>
      </c>
      <c r="R15" s="9">
        <f>'Dry peas_Mo'!P197</f>
        <v>-3.4106051316484809E-13</v>
      </c>
      <c r="S15" s="9">
        <f>'Dry peas_Mo'!P210</f>
        <v>-2.2737367544323211E-13</v>
      </c>
      <c r="T15" s="9">
        <f>'Dry peas_Mo'!P223</f>
        <v>1.7053025658242399E-13</v>
      </c>
      <c r="U15" s="9">
        <f>'Dry peas_Mo'!P236</f>
        <v>-1.7053025658242399E-13</v>
      </c>
      <c r="V15" s="9">
        <f>'Dry peas_Mo'!P249</f>
        <v>-2.2737367544323211E-13</v>
      </c>
      <c r="W15" s="9">
        <f>'Dry peas_Mo'!P262</f>
        <v>-1.1368683772161611E-13</v>
      </c>
      <c r="X15" s="9">
        <f>'Dry peas_Mo'!P275</f>
        <v>1.1368683772161611E-13</v>
      </c>
      <c r="Y15" s="9">
        <f>'Dry peas_Mo'!P288</f>
        <v>-2.8421709430404012E-13</v>
      </c>
      <c r="Z15" s="9">
        <f>'Dry peas_Mo'!P301</f>
        <v>0</v>
      </c>
      <c r="AA15" s="9">
        <f>'Dry peas_Mo'!P314</f>
        <v>0</v>
      </c>
    </row>
    <row r="16" spans="1:27" x14ac:dyDescent="0.3">
      <c r="A16" s="2" t="s">
        <v>108</v>
      </c>
      <c r="B16" s="3" t="s">
        <v>44</v>
      </c>
      <c r="C16" s="12" t="s">
        <v>32</v>
      </c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</row>
    <row r="17" spans="1:27" x14ac:dyDescent="0.3">
      <c r="A17" s="2" t="s">
        <v>108</v>
      </c>
      <c r="B17" s="3" t="s">
        <v>45</v>
      </c>
      <c r="C17" s="12" t="s">
        <v>46</v>
      </c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</row>
    <row r="18" spans="1:27" x14ac:dyDescent="0.3">
      <c r="A18" s="2" t="s">
        <v>108</v>
      </c>
      <c r="B18" s="11" t="s">
        <v>47</v>
      </c>
      <c r="C18" s="15" t="s">
        <v>36</v>
      </c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</row>
  </sheetData>
  <mergeCells count="1">
    <mergeCell ref="A1:C1"/>
  </mergeCells>
  <conditionalFormatting sqref="D18:AA18">
    <cfRule type="cellIs" dxfId="3" priority="1" operator="equal">
      <formula>0</formula>
    </cfRule>
    <cfRule type="cellIs" dxfId="2" priority="2" operator="notEqual">
      <formula>0</formula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A18"/>
  <sheetViews>
    <sheetView workbookViewId="0">
      <selection sqref="A1:C1"/>
    </sheetView>
  </sheetViews>
  <sheetFormatPr defaultRowHeight="14.4" x14ac:dyDescent="0.3"/>
  <cols>
    <col min="1" max="1" width="18" customWidth="1"/>
    <col min="2" max="2" width="28" customWidth="1"/>
    <col min="3" max="3" width="10" customWidth="1"/>
    <col min="4" max="27" width="7" customWidth="1"/>
  </cols>
  <sheetData>
    <row r="1" spans="1:27" ht="15.6" customHeight="1" x14ac:dyDescent="0.3">
      <c r="A1" s="57" t="s">
        <v>109</v>
      </c>
      <c r="B1" s="58"/>
      <c r="C1" s="58"/>
    </row>
    <row r="2" spans="1:27" ht="26.4" customHeight="1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  <c r="W2" s="1" t="s">
        <v>23</v>
      </c>
      <c r="X2" s="1" t="s">
        <v>24</v>
      </c>
      <c r="Y2" s="1" t="s">
        <v>25</v>
      </c>
      <c r="Z2" s="1" t="s">
        <v>26</v>
      </c>
      <c r="AA2" s="1" t="s">
        <v>27</v>
      </c>
    </row>
    <row r="3" spans="1:27" x14ac:dyDescent="0.3">
      <c r="A3" s="2" t="s">
        <v>109</v>
      </c>
      <c r="B3" s="3" t="s">
        <v>28</v>
      </c>
      <c r="C3" s="12" t="s">
        <v>29</v>
      </c>
      <c r="D3" s="9">
        <f>Lentils_Mo!P3</f>
        <v>0</v>
      </c>
      <c r="E3" s="9">
        <f>Lentils_Mo!P16</f>
        <v>0</v>
      </c>
      <c r="F3" s="9">
        <f>Lentils_Mo!P29</f>
        <v>0</v>
      </c>
      <c r="G3" s="9">
        <f>Lentils_Mo!P42</f>
        <v>0</v>
      </c>
      <c r="H3" s="9">
        <f>Lentils_Mo!P55</f>
        <v>0</v>
      </c>
      <c r="I3" s="9">
        <f>Lentils_Mo!P68</f>
        <v>0</v>
      </c>
      <c r="J3" s="9">
        <f>Lentils_Mo!P81</f>
        <v>0</v>
      </c>
      <c r="K3" s="9">
        <f>Lentils_Mo!P94</f>
        <v>0</v>
      </c>
      <c r="L3" s="9">
        <f>Lentils_Mo!P107</f>
        <v>0</v>
      </c>
      <c r="M3" s="9">
        <f>Lentils_Mo!P120</f>
        <v>0</v>
      </c>
      <c r="N3" s="9">
        <f>Lentils_Mo!P133</f>
        <v>0</v>
      </c>
      <c r="O3" s="9">
        <f>Lentils_Mo!P146</f>
        <v>0</v>
      </c>
      <c r="P3" s="9">
        <f>Lentils_Mo!P159</f>
        <v>0</v>
      </c>
      <c r="Q3" s="9">
        <f>Lentils_Mo!P172</f>
        <v>0</v>
      </c>
      <c r="R3" s="9">
        <f>Lentils_Mo!P185</f>
        <v>0</v>
      </c>
      <c r="S3" s="9">
        <f>Lentils_Mo!P198</f>
        <v>0</v>
      </c>
      <c r="T3" s="9">
        <f>Lentils_Mo!P211</f>
        <v>0</v>
      </c>
      <c r="U3" s="9">
        <f>Lentils_Mo!P224</f>
        <v>0</v>
      </c>
      <c r="V3" s="9">
        <f>Lentils_Mo!P237</f>
        <v>0</v>
      </c>
      <c r="W3" s="9">
        <f>Lentils_Mo!P250</f>
        <v>0</v>
      </c>
      <c r="X3" s="9">
        <f>Lentils_Mo!P263</f>
        <v>0</v>
      </c>
      <c r="Y3" s="9">
        <f>Lentils_Mo!P276</f>
        <v>0</v>
      </c>
      <c r="Z3" s="9">
        <f>Lentils_Mo!P289</f>
        <v>0</v>
      </c>
      <c r="AA3" s="9">
        <f>Lentils_Mo!P302</f>
        <v>0</v>
      </c>
    </row>
    <row r="4" spans="1:27" x14ac:dyDescent="0.3">
      <c r="A4" s="2" t="s">
        <v>109</v>
      </c>
      <c r="B4" s="3" t="s">
        <v>30</v>
      </c>
      <c r="C4" s="12" t="s">
        <v>29</v>
      </c>
      <c r="D4" s="9">
        <f>Lentils_Mo!P4</f>
        <v>0</v>
      </c>
      <c r="E4" s="9">
        <f>Lentils_Mo!P17</f>
        <v>0</v>
      </c>
      <c r="F4" s="9">
        <f>Lentils_Mo!P30</f>
        <v>0</v>
      </c>
      <c r="G4" s="9">
        <f>Lentils_Mo!P43</f>
        <v>0</v>
      </c>
      <c r="H4" s="9">
        <f>Lentils_Mo!P56</f>
        <v>0</v>
      </c>
      <c r="I4" s="9">
        <f>Lentils_Mo!P69</f>
        <v>0</v>
      </c>
      <c r="J4" s="9">
        <f>Lentils_Mo!P82</f>
        <v>0</v>
      </c>
      <c r="K4" s="9">
        <f>Lentils_Mo!P95</f>
        <v>0</v>
      </c>
      <c r="L4" s="9">
        <f>Lentils_Mo!P108</f>
        <v>0</v>
      </c>
      <c r="M4" s="9">
        <f>Lentils_Mo!P121</f>
        <v>0</v>
      </c>
      <c r="N4" s="9">
        <f>Lentils_Mo!P134</f>
        <v>0</v>
      </c>
      <c r="O4" s="9">
        <f>Lentils_Mo!P147</f>
        <v>0</v>
      </c>
      <c r="P4" s="9">
        <f>Lentils_Mo!P160</f>
        <v>0</v>
      </c>
      <c r="Q4" s="9">
        <f>Lentils_Mo!P173</f>
        <v>0</v>
      </c>
      <c r="R4" s="9">
        <f>Lentils_Mo!P186</f>
        <v>0</v>
      </c>
      <c r="S4" s="9">
        <f>Lentils_Mo!P199</f>
        <v>0</v>
      </c>
      <c r="T4" s="9">
        <f>Lentils_Mo!P212</f>
        <v>0</v>
      </c>
      <c r="U4" s="9">
        <f>Lentils_Mo!P225</f>
        <v>0</v>
      </c>
      <c r="V4" s="9">
        <f>Lentils_Mo!P238</f>
        <v>0</v>
      </c>
      <c r="W4" s="9">
        <f>Lentils_Mo!P251</f>
        <v>0</v>
      </c>
      <c r="X4" s="9">
        <f>Lentils_Mo!P264</f>
        <v>0</v>
      </c>
      <c r="Y4" s="9">
        <f>Lentils_Mo!P277</f>
        <v>0</v>
      </c>
      <c r="Z4" s="9">
        <f>Lentils_Mo!P290</f>
        <v>0</v>
      </c>
      <c r="AA4" s="9">
        <f>Lentils_Mo!P303</f>
        <v>0</v>
      </c>
    </row>
    <row r="5" spans="1:27" x14ac:dyDescent="0.3">
      <c r="A5" s="2" t="s">
        <v>109</v>
      </c>
      <c r="B5" s="3" t="s">
        <v>31</v>
      </c>
      <c r="C5" s="12" t="s">
        <v>32</v>
      </c>
      <c r="D5" s="13" t="str">
        <f t="shared" ref="D5:AA5" si="0">IF(D3&lt;&gt;0,D4/D3,"")</f>
        <v/>
      </c>
      <c r="E5" s="13" t="str">
        <f t="shared" si="0"/>
        <v/>
      </c>
      <c r="F5" s="13" t="str">
        <f t="shared" si="0"/>
        <v/>
      </c>
      <c r="G5" s="13" t="str">
        <f t="shared" si="0"/>
        <v/>
      </c>
      <c r="H5" s="13" t="str">
        <f t="shared" si="0"/>
        <v/>
      </c>
      <c r="I5" s="13" t="str">
        <f t="shared" si="0"/>
        <v/>
      </c>
      <c r="J5" s="13" t="str">
        <f t="shared" si="0"/>
        <v/>
      </c>
      <c r="K5" s="13" t="str">
        <f t="shared" si="0"/>
        <v/>
      </c>
      <c r="L5" s="13" t="str">
        <f t="shared" si="0"/>
        <v/>
      </c>
      <c r="M5" s="13" t="str">
        <f t="shared" si="0"/>
        <v/>
      </c>
      <c r="N5" s="13" t="str">
        <f t="shared" si="0"/>
        <v/>
      </c>
      <c r="O5" s="13" t="str">
        <f t="shared" si="0"/>
        <v/>
      </c>
      <c r="P5" s="13" t="str">
        <f t="shared" si="0"/>
        <v/>
      </c>
      <c r="Q5" s="13" t="str">
        <f t="shared" si="0"/>
        <v/>
      </c>
      <c r="R5" s="13" t="str">
        <f t="shared" si="0"/>
        <v/>
      </c>
      <c r="S5" s="13" t="str">
        <f t="shared" si="0"/>
        <v/>
      </c>
      <c r="T5" s="13" t="str">
        <f t="shared" si="0"/>
        <v/>
      </c>
      <c r="U5" s="13" t="str">
        <f t="shared" si="0"/>
        <v/>
      </c>
      <c r="V5" s="13" t="str">
        <f t="shared" si="0"/>
        <v/>
      </c>
      <c r="W5" s="13" t="str">
        <f t="shared" si="0"/>
        <v/>
      </c>
      <c r="X5" s="13" t="str">
        <f t="shared" si="0"/>
        <v/>
      </c>
      <c r="Y5" s="13" t="str">
        <f t="shared" si="0"/>
        <v/>
      </c>
      <c r="Z5" s="13" t="str">
        <f t="shared" si="0"/>
        <v/>
      </c>
      <c r="AA5" s="13" t="str">
        <f t="shared" si="0"/>
        <v/>
      </c>
    </row>
    <row r="6" spans="1:27" x14ac:dyDescent="0.3">
      <c r="A6" s="2" t="s">
        <v>109</v>
      </c>
      <c r="B6" s="3" t="s">
        <v>33</v>
      </c>
      <c r="C6" s="12" t="s">
        <v>34</v>
      </c>
      <c r="D6" s="14">
        <f>Lentils_Mo!O6</f>
        <v>0</v>
      </c>
      <c r="E6" s="14">
        <f>Lentils_Mo!O19</f>
        <v>0</v>
      </c>
      <c r="F6" s="14">
        <f>Lentils_Mo!O32</f>
        <v>0</v>
      </c>
      <c r="G6" s="14">
        <f>Lentils_Mo!O45</f>
        <v>0</v>
      </c>
      <c r="H6" s="14">
        <f>Lentils_Mo!O58</f>
        <v>0</v>
      </c>
      <c r="I6" s="14">
        <f>Lentils_Mo!O71</f>
        <v>0</v>
      </c>
      <c r="J6" s="14">
        <f>Lentils_Mo!O84</f>
        <v>0</v>
      </c>
      <c r="K6" s="14">
        <f>Lentils_Mo!O97</f>
        <v>0</v>
      </c>
      <c r="L6" s="14">
        <f>Lentils_Mo!O110</f>
        <v>0</v>
      </c>
      <c r="M6" s="14">
        <f>Lentils_Mo!O123</f>
        <v>0</v>
      </c>
      <c r="N6" s="14">
        <f>Lentils_Mo!O136</f>
        <v>0</v>
      </c>
      <c r="O6" s="14">
        <f>Lentils_Mo!O149</f>
        <v>0</v>
      </c>
      <c r="P6" s="14">
        <f>Lentils_Mo!O162</f>
        <v>0</v>
      </c>
      <c r="Q6" s="14">
        <f>Lentils_Mo!O175</f>
        <v>0</v>
      </c>
      <c r="R6" s="14">
        <f>Lentils_Mo!O188</f>
        <v>0</v>
      </c>
      <c r="S6" s="14">
        <f>Lentils_Mo!O201</f>
        <v>0</v>
      </c>
      <c r="T6" s="14">
        <f>Lentils_Mo!O214</f>
        <v>0</v>
      </c>
      <c r="U6" s="14">
        <f>Lentils_Mo!O227</f>
        <v>0</v>
      </c>
      <c r="V6" s="14">
        <f>Lentils_Mo!O240</f>
        <v>0</v>
      </c>
      <c r="W6" s="14">
        <f>Lentils_Mo!O253</f>
        <v>0</v>
      </c>
      <c r="X6" s="14">
        <f>Lentils_Mo!O266</f>
        <v>0</v>
      </c>
      <c r="Y6" s="14">
        <f>Lentils_Mo!O279</f>
        <v>0</v>
      </c>
      <c r="Z6" s="14">
        <f>Lentils_Mo!O292</f>
        <v>0</v>
      </c>
      <c r="AA6" s="14">
        <f>Lentils_Mo!O305</f>
        <v>0</v>
      </c>
    </row>
    <row r="7" spans="1:27" x14ac:dyDescent="0.3">
      <c r="A7" s="2" t="s">
        <v>109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</row>
    <row r="8" spans="1:27" x14ac:dyDescent="0.3">
      <c r="A8" s="2" t="s">
        <v>109</v>
      </c>
      <c r="B8" s="8" t="s">
        <v>35</v>
      </c>
      <c r="C8" s="2" t="s">
        <v>36</v>
      </c>
      <c r="D8" s="9">
        <f>Lentils_Mo!P8</f>
        <v>9.1</v>
      </c>
      <c r="E8" s="9">
        <f>Lentils_Mo!P21</f>
        <v>5.4</v>
      </c>
      <c r="F8" s="9">
        <f>Lentils_Mo!P34</f>
        <v>10</v>
      </c>
      <c r="G8" s="9">
        <f>Lentils_Mo!P47</f>
        <v>7.6</v>
      </c>
      <c r="H8" s="9">
        <f>Lentils_Mo!P60</f>
        <v>12.8</v>
      </c>
      <c r="I8" s="9">
        <f>Lentils_Mo!P73</f>
        <v>8.8000000000000007</v>
      </c>
      <c r="J8" s="9">
        <f>Lentils_Mo!P86</f>
        <v>7.2</v>
      </c>
      <c r="K8" s="9">
        <f>Lentils_Mo!P99</f>
        <v>8.1999999999999993</v>
      </c>
      <c r="L8" s="9">
        <f>Lentils_Mo!P112</f>
        <v>28.5</v>
      </c>
      <c r="M8" s="9">
        <f>Lentils_Mo!P125</f>
        <v>11.4</v>
      </c>
      <c r="N8" s="9">
        <f>Lentils_Mo!P138</f>
        <v>8.6999999999999993</v>
      </c>
      <c r="O8" s="9">
        <f>Lentils_Mo!P151</f>
        <v>9.4</v>
      </c>
      <c r="P8" s="9">
        <f>Lentils_Mo!P164</f>
        <v>13.4</v>
      </c>
      <c r="Q8" s="9">
        <f>Lentils_Mo!P177</f>
        <v>16.3</v>
      </c>
      <c r="R8" s="9">
        <f>Lentils_Mo!P190</f>
        <v>98</v>
      </c>
      <c r="S8" s="9">
        <f>Lentils_Mo!P203</f>
        <v>34.700000000000003</v>
      </c>
      <c r="T8" s="9">
        <f>Lentils_Mo!P216</f>
        <v>50.6</v>
      </c>
      <c r="U8" s="9">
        <f>Lentils_Mo!P229</f>
        <v>89.7</v>
      </c>
      <c r="V8" s="9">
        <f>Lentils_Mo!P242</f>
        <v>109.9</v>
      </c>
      <c r="W8" s="9">
        <f>Lentils_Mo!P255</f>
        <v>51.3</v>
      </c>
      <c r="X8" s="9">
        <f>Lentils_Mo!P268</f>
        <v>86.5</v>
      </c>
      <c r="Y8" s="9">
        <f>Lentils_Mo!P281</f>
        <v>91.7</v>
      </c>
      <c r="Z8" s="9">
        <f>Lentils_Mo!P294</f>
        <v>125.7</v>
      </c>
      <c r="AA8" s="9">
        <f>Lentils_Mo!P307</f>
        <v>0</v>
      </c>
    </row>
    <row r="9" spans="1:27" x14ac:dyDescent="0.3">
      <c r="A9" s="2" t="s">
        <v>109</v>
      </c>
      <c r="B9" s="8" t="s">
        <v>37</v>
      </c>
      <c r="C9" s="2" t="s">
        <v>36</v>
      </c>
      <c r="D9" s="9">
        <f>Lentils_Mo!P9</f>
        <v>328</v>
      </c>
      <c r="E9" s="9">
        <f>Lentils_Mo!P22</f>
        <v>484.6</v>
      </c>
      <c r="F9" s="9">
        <f>Lentils_Mo!P35</f>
        <v>915.8</v>
      </c>
      <c r="G9" s="9">
        <f>Lentils_Mo!P48</f>
        <v>1164.3</v>
      </c>
      <c r="H9" s="9">
        <f>Lentils_Mo!P61</f>
        <v>692.8</v>
      </c>
      <c r="I9" s="9">
        <f>Lentils_Mo!P74</f>
        <v>733.9</v>
      </c>
      <c r="J9" s="9">
        <f>Lentils_Mo!P87</f>
        <v>1043.2</v>
      </c>
      <c r="K9" s="9">
        <f>Lentils_Mo!P100</f>
        <v>1530.2</v>
      </c>
      <c r="L9" s="9">
        <f>Lentils_Mo!P113</f>
        <v>2004.8</v>
      </c>
      <c r="M9" s="9">
        <f>Lentils_Mo!P126</f>
        <v>1573.5</v>
      </c>
      <c r="N9" s="9">
        <f>Lentils_Mo!P139</f>
        <v>1537.9</v>
      </c>
      <c r="O9" s="9">
        <f>Lentils_Mo!P152</f>
        <v>2261.6999999999998</v>
      </c>
      <c r="P9" s="9">
        <f>Lentils_Mo!P165</f>
        <v>1987</v>
      </c>
      <c r="Q9" s="9">
        <f>Lentils_Mo!P178</f>
        <v>2540.5</v>
      </c>
      <c r="R9" s="9">
        <f>Lentils_Mo!P191</f>
        <v>3193.8</v>
      </c>
      <c r="S9" s="9">
        <f>Lentils_Mo!P204</f>
        <v>2558.5</v>
      </c>
      <c r="T9" s="9">
        <f>Lentils_Mo!P217</f>
        <v>2192.1</v>
      </c>
      <c r="U9" s="9">
        <f>Lentils_Mo!P230</f>
        <v>2382</v>
      </c>
      <c r="V9" s="9">
        <f>Lentils_Mo!P243</f>
        <v>2867.7</v>
      </c>
      <c r="W9" s="9">
        <f>Lentils_Mo!P256</f>
        <v>1593.6</v>
      </c>
      <c r="X9" s="9">
        <f>Lentils_Mo!P269</f>
        <v>2330.6</v>
      </c>
      <c r="Y9" s="9">
        <f>Lentils_Mo!P282</f>
        <v>1801.1</v>
      </c>
      <c r="Z9" s="9">
        <f>Lentils_Mo!P295</f>
        <v>2431.3000000000002</v>
      </c>
      <c r="AA9" s="9">
        <f>Lentils_Mo!P308</f>
        <v>0</v>
      </c>
    </row>
    <row r="10" spans="1:27" x14ac:dyDescent="0.3">
      <c r="A10" s="2" t="s">
        <v>109</v>
      </c>
      <c r="B10" s="8" t="s">
        <v>38</v>
      </c>
      <c r="C10" s="2" t="s">
        <v>36</v>
      </c>
      <c r="D10" s="9">
        <f>Lentils_Mo!P10</f>
        <v>99.700000000000045</v>
      </c>
      <c r="E10" s="9">
        <f>Lentils_Mo!P23</f>
        <v>134.9</v>
      </c>
      <c r="F10" s="9">
        <f>Lentils_Mo!P36</f>
        <v>270.89999999999998</v>
      </c>
      <c r="G10" s="9">
        <f>Lentils_Mo!P49</f>
        <v>257.59999999999991</v>
      </c>
      <c r="H10" s="9">
        <f>Lentils_Mo!P62</f>
        <v>139.89999999999989</v>
      </c>
      <c r="I10" s="9">
        <f>Lentils_Mo!P75</f>
        <v>85.199999999999932</v>
      </c>
      <c r="J10" s="9">
        <f>Lentils_Mo!P88</f>
        <v>101.40000000000011</v>
      </c>
      <c r="K10" s="9">
        <f>Lentils_Mo!P101</f>
        <v>133.60000000000011</v>
      </c>
      <c r="L10" s="9">
        <f>Lentils_Mo!P114</f>
        <v>138.30000000000021</v>
      </c>
      <c r="M10" s="9">
        <f>Lentils_Mo!P127</f>
        <v>407.2000000000001</v>
      </c>
      <c r="N10" s="9">
        <f>Lentils_Mo!P140</f>
        <v>301.39999999999992</v>
      </c>
      <c r="O10" s="9">
        <f>Lentils_Mo!P153</f>
        <v>199.39999999999981</v>
      </c>
      <c r="P10" s="9">
        <f>Lentils_Mo!P166</f>
        <v>244.09999999999991</v>
      </c>
      <c r="Q10" s="9">
        <f>Lentils_Mo!P179</f>
        <v>701.9000000000002</v>
      </c>
      <c r="R10" s="9">
        <f>Lentils_Mo!P192</f>
        <v>595.20000000000027</v>
      </c>
      <c r="S10" s="9">
        <f>Lentils_Mo!P205</f>
        <v>497.49999999999977</v>
      </c>
      <c r="T10" s="9">
        <f>Lentils_Mo!P218</f>
        <v>226.6</v>
      </c>
      <c r="U10" s="9">
        <f>Lentils_Mo!P231</f>
        <v>383.39999999999969</v>
      </c>
      <c r="V10" s="9">
        <f>Lentils_Mo!P244</f>
        <v>421.09999999999991</v>
      </c>
      <c r="W10" s="9">
        <f>Lentils_Mo!P257</f>
        <v>255.10000000000011</v>
      </c>
      <c r="X10" s="9">
        <f>Lentils_Mo!P270</f>
        <v>222.2000000000001</v>
      </c>
      <c r="Y10" s="9">
        <f>Lentils_Mo!P283</f>
        <v>263.5</v>
      </c>
      <c r="Z10" s="9">
        <f>Lentils_Mo!P296</f>
        <v>338.7</v>
      </c>
      <c r="AA10" s="9">
        <f>Lentils_Mo!P309</f>
        <v>0</v>
      </c>
    </row>
    <row r="11" spans="1:27" x14ac:dyDescent="0.3">
      <c r="A11" s="2" t="s">
        <v>109</v>
      </c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</row>
    <row r="12" spans="1:27" x14ac:dyDescent="0.3">
      <c r="A12" s="2" t="s">
        <v>109</v>
      </c>
      <c r="B12" s="8" t="s">
        <v>41</v>
      </c>
      <c r="C12" s="2" t="s">
        <v>36</v>
      </c>
      <c r="D12" s="9">
        <f>Lentils_Mo!P12</f>
        <v>50</v>
      </c>
      <c r="E12" s="9">
        <f>Lentils_Mo!P25</f>
        <v>38</v>
      </c>
      <c r="F12" s="9">
        <f>Lentils_Mo!P38</f>
        <v>242</v>
      </c>
      <c r="G12" s="9">
        <f>Lentils_Mo!P51</f>
        <v>485</v>
      </c>
      <c r="H12" s="9">
        <f>Lentils_Mo!P64</f>
        <v>199</v>
      </c>
      <c r="I12" s="9">
        <f>Lentils_Mo!P77</f>
        <v>46</v>
      </c>
      <c r="J12" s="9">
        <f>Lentils_Mo!P90</f>
        <v>22</v>
      </c>
      <c r="K12" s="9">
        <f>Lentils_Mo!P103</f>
        <v>40</v>
      </c>
      <c r="L12" s="9">
        <f>Lentils_Mo!P116</f>
        <v>830</v>
      </c>
      <c r="M12" s="9">
        <f>Lentils_Mo!P129</f>
        <v>860</v>
      </c>
      <c r="N12" s="9">
        <f>Lentils_Mo!P142</f>
        <v>467</v>
      </c>
      <c r="O12" s="9">
        <f>Lentils_Mo!P155</f>
        <v>786</v>
      </c>
      <c r="P12" s="9">
        <f>Lentils_Mo!P168</f>
        <v>363</v>
      </c>
      <c r="Q12" s="9">
        <f>Lentils_Mo!P181</f>
        <v>73.400000000000006</v>
      </c>
      <c r="R12" s="9">
        <f>Lentils_Mo!P194</f>
        <v>315</v>
      </c>
      <c r="S12" s="9">
        <f>Lentils_Mo!P207</f>
        <v>872.7</v>
      </c>
      <c r="T12" s="9">
        <f>Lentils_Mo!P220</f>
        <v>855.6</v>
      </c>
      <c r="U12" s="9">
        <f>Lentils_Mo!P233</f>
        <v>209</v>
      </c>
      <c r="V12" s="9">
        <f>Lentils_Mo!P246</f>
        <v>438</v>
      </c>
      <c r="W12" s="9">
        <f>Lentils_Mo!P259</f>
        <v>225</v>
      </c>
      <c r="X12" s="9">
        <f>Lentils_Mo!P272</f>
        <v>211.2</v>
      </c>
      <c r="Y12" s="9">
        <f>Lentils_Mo!P285</f>
        <v>165</v>
      </c>
      <c r="Z12" s="9">
        <f>Lentils_Mo!P298</f>
        <v>561.20000000000005</v>
      </c>
      <c r="AA12" s="9">
        <f>Lentils_Mo!P311</f>
        <v>0</v>
      </c>
    </row>
    <row r="13" spans="1:27" x14ac:dyDescent="0.3">
      <c r="A13" s="2" t="s">
        <v>109</v>
      </c>
      <c r="B13" s="8" t="s">
        <v>42</v>
      </c>
      <c r="C13" s="2" t="s">
        <v>36</v>
      </c>
      <c r="D13" s="9">
        <f>Lentils_Mo!P13</f>
        <v>0</v>
      </c>
      <c r="E13" s="9">
        <f>Lentils_Mo!P26</f>
        <v>0</v>
      </c>
      <c r="F13" s="9">
        <f>Lentils_Mo!P39</f>
        <v>0</v>
      </c>
      <c r="G13" s="9">
        <f>Lentils_Mo!P52</f>
        <v>0</v>
      </c>
      <c r="H13" s="9">
        <f>Lentils_Mo!P65</f>
        <v>0</v>
      </c>
      <c r="I13" s="9">
        <f>Lentils_Mo!P78</f>
        <v>0</v>
      </c>
      <c r="J13" s="9">
        <f>Lentils_Mo!P91</f>
        <v>0</v>
      </c>
      <c r="K13" s="9">
        <f>Lentils_Mo!P104</f>
        <v>0</v>
      </c>
      <c r="L13" s="9">
        <f>Lentils_Mo!P117</f>
        <v>0</v>
      </c>
      <c r="M13" s="9">
        <f>Lentils_Mo!P130</f>
        <v>0</v>
      </c>
      <c r="N13" s="9">
        <f>Lentils_Mo!P143</f>
        <v>0</v>
      </c>
      <c r="O13" s="9">
        <f>Lentils_Mo!P156</f>
        <v>0</v>
      </c>
      <c r="P13" s="9">
        <f>Lentils_Mo!P169</f>
        <v>0</v>
      </c>
      <c r="Q13" s="9">
        <f>Lentils_Mo!P182</f>
        <v>0</v>
      </c>
      <c r="R13" s="9">
        <f>Lentils_Mo!P195</f>
        <v>0</v>
      </c>
      <c r="S13" s="9">
        <f>Lentils_Mo!P208</f>
        <v>0</v>
      </c>
      <c r="T13" s="9">
        <f>Lentils_Mo!P221</f>
        <v>0</v>
      </c>
      <c r="U13" s="9">
        <f>Lentils_Mo!P234</f>
        <v>0</v>
      </c>
      <c r="V13" s="9">
        <f>Lentils_Mo!P247</f>
        <v>0</v>
      </c>
      <c r="W13" s="9">
        <f>Lentils_Mo!P260</f>
        <v>0</v>
      </c>
      <c r="X13" s="9">
        <f>Lentils_Mo!P273</f>
        <v>0</v>
      </c>
      <c r="Y13" s="9">
        <f>Lentils_Mo!P286</f>
        <v>0</v>
      </c>
      <c r="Z13" s="9">
        <f>Lentils_Mo!P299</f>
        <v>0</v>
      </c>
      <c r="AA13" s="9">
        <f>Lentils_Mo!P312</f>
        <v>0</v>
      </c>
    </row>
    <row r="14" spans="1:27" x14ac:dyDescent="0.3">
      <c r="A14" s="2" t="s">
        <v>109</v>
      </c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</row>
    <row r="15" spans="1:27" x14ac:dyDescent="0.3">
      <c r="A15" s="2" t="s">
        <v>109</v>
      </c>
      <c r="B15" s="8" t="s">
        <v>43</v>
      </c>
      <c r="C15" s="2" t="s">
        <v>36</v>
      </c>
      <c r="D15" s="9">
        <f>Lentils_Mo!P15</f>
        <v>0</v>
      </c>
      <c r="E15" s="9">
        <f>Lentils_Mo!P28</f>
        <v>0</v>
      </c>
      <c r="F15" s="9">
        <f>Lentils_Mo!P41</f>
        <v>0</v>
      </c>
      <c r="G15" s="9">
        <f>Lentils_Mo!P54</f>
        <v>0</v>
      </c>
      <c r="H15" s="9">
        <f>Lentils_Mo!P67</f>
        <v>0</v>
      </c>
      <c r="I15" s="9">
        <f>Lentils_Mo!P80</f>
        <v>0</v>
      </c>
      <c r="J15" s="9">
        <f>Lentils_Mo!P93</f>
        <v>0</v>
      </c>
      <c r="K15" s="9">
        <f>Lentils_Mo!P106</f>
        <v>0</v>
      </c>
      <c r="L15" s="9">
        <f>Lentils_Mo!P119</f>
        <v>0</v>
      </c>
      <c r="M15" s="9">
        <f>Lentils_Mo!P132</f>
        <v>0</v>
      </c>
      <c r="N15" s="9">
        <f>Lentils_Mo!P145</f>
        <v>-2.2737367544323211E-13</v>
      </c>
      <c r="O15" s="9">
        <f>Lentils_Mo!P158</f>
        <v>-2.2737367544323211E-13</v>
      </c>
      <c r="P15" s="9">
        <f>Lentils_Mo!P171</f>
        <v>0</v>
      </c>
      <c r="Q15" s="9">
        <f>Lentils_Mo!P184</f>
        <v>8.5265128291212022E-14</v>
      </c>
      <c r="R15" s="9">
        <f>Lentils_Mo!P197</f>
        <v>0</v>
      </c>
      <c r="S15" s="9">
        <f>Lentils_Mo!P210</f>
        <v>-2.2737367544323211E-13</v>
      </c>
      <c r="T15" s="9">
        <f>Lentils_Mo!P223</f>
        <v>1.1368683772161611E-13</v>
      </c>
      <c r="U15" s="9">
        <f>Lentils_Mo!P236</f>
        <v>0</v>
      </c>
      <c r="V15" s="9">
        <f>Lentils_Mo!P249</f>
        <v>0</v>
      </c>
      <c r="W15" s="9">
        <f>Lentils_Mo!P262</f>
        <v>0</v>
      </c>
      <c r="X15" s="9">
        <f>Lentils_Mo!P275</f>
        <v>-1.7053025658242399E-13</v>
      </c>
      <c r="Y15" s="9">
        <f>Lentils_Mo!P288</f>
        <v>0</v>
      </c>
      <c r="Z15" s="9">
        <f>Lentils_Mo!P301</f>
        <v>2.2737367544323211E-13</v>
      </c>
      <c r="AA15" s="9">
        <f>Lentils_Mo!P314</f>
        <v>0</v>
      </c>
    </row>
    <row r="16" spans="1:27" x14ac:dyDescent="0.3">
      <c r="A16" s="2" t="s">
        <v>109</v>
      </c>
      <c r="B16" s="3" t="s">
        <v>44</v>
      </c>
      <c r="C16" s="12" t="s">
        <v>32</v>
      </c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</row>
    <row r="17" spans="1:27" x14ac:dyDescent="0.3">
      <c r="A17" s="2" t="s">
        <v>109</v>
      </c>
      <c r="B17" s="3" t="s">
        <v>45</v>
      </c>
      <c r="C17" s="12" t="s">
        <v>46</v>
      </c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</row>
    <row r="18" spans="1:27" x14ac:dyDescent="0.3">
      <c r="A18" s="2" t="s">
        <v>109</v>
      </c>
      <c r="B18" s="11" t="s">
        <v>47</v>
      </c>
      <c r="C18" s="15" t="s">
        <v>36</v>
      </c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</row>
  </sheetData>
  <mergeCells count="1">
    <mergeCell ref="A1:C1"/>
  </mergeCells>
  <conditionalFormatting sqref="D18:AA18">
    <cfRule type="cellIs" dxfId="1" priority="1" operator="equal">
      <formula>0</formula>
    </cfRule>
    <cfRule type="cellIs" dxfId="0" priority="2" operator="notEqual">
      <formula>0</formula>
    </cfRule>
  </conditionalFormatting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P348"/>
  <sheetViews>
    <sheetView workbookViewId="0">
      <selection sqref="A1:C1"/>
    </sheetView>
  </sheetViews>
  <sheetFormatPr defaultRowHeight="14.4" x14ac:dyDescent="0.3"/>
  <cols>
    <col min="1" max="1" width="18" customWidth="1"/>
    <col min="2" max="2" width="28" customWidth="1"/>
    <col min="3" max="3" width="10" customWidth="1"/>
    <col min="4" max="15" width="8" customWidth="1"/>
    <col min="16" max="16" width="12" customWidth="1"/>
  </cols>
  <sheetData>
    <row r="1" spans="1:16" ht="15.6" customHeight="1" x14ac:dyDescent="0.3">
      <c r="A1" s="59" t="s">
        <v>90</v>
      </c>
      <c r="B1" s="58"/>
      <c r="C1" s="58"/>
    </row>
    <row r="2" spans="1:16" x14ac:dyDescent="0.3">
      <c r="A2" s="33" t="s">
        <v>1</v>
      </c>
      <c r="B2" s="33" t="s">
        <v>2</v>
      </c>
      <c r="C2" s="33" t="s">
        <v>48</v>
      </c>
      <c r="D2" s="33" t="s">
        <v>106</v>
      </c>
      <c r="E2" s="33" t="s">
        <v>95</v>
      </c>
      <c r="F2" s="33" t="s">
        <v>96</v>
      </c>
      <c r="G2" s="33" t="s">
        <v>97</v>
      </c>
      <c r="H2" s="33" t="s">
        <v>98</v>
      </c>
      <c r="I2" s="33" t="s">
        <v>99</v>
      </c>
      <c r="J2" s="33" t="s">
        <v>100</v>
      </c>
      <c r="K2" s="33" t="s">
        <v>101</v>
      </c>
      <c r="L2" s="33" t="s">
        <v>102</v>
      </c>
      <c r="M2" s="33" t="s">
        <v>103</v>
      </c>
      <c r="N2" s="33" t="s">
        <v>104</v>
      </c>
      <c r="O2" s="33" t="s">
        <v>105</v>
      </c>
      <c r="P2" s="33" t="s">
        <v>107</v>
      </c>
    </row>
    <row r="3" spans="1:16" x14ac:dyDescent="0.3">
      <c r="A3" s="34" t="s">
        <v>90</v>
      </c>
      <c r="B3" s="35" t="s">
        <v>28</v>
      </c>
      <c r="C3" s="34" t="s">
        <v>4</v>
      </c>
      <c r="P3" s="36">
        <f t="shared" ref="P3:P66" si="0">SUM(D3:O3)</f>
        <v>0</v>
      </c>
    </row>
    <row r="4" spans="1:16" x14ac:dyDescent="0.3">
      <c r="A4" s="34" t="s">
        <v>90</v>
      </c>
      <c r="B4" s="35" t="s">
        <v>30</v>
      </c>
      <c r="C4" s="34" t="s">
        <v>4</v>
      </c>
      <c r="P4" s="36">
        <f t="shared" si="0"/>
        <v>0</v>
      </c>
    </row>
    <row r="5" spans="1:16" x14ac:dyDescent="0.3">
      <c r="A5" s="34" t="s">
        <v>90</v>
      </c>
      <c r="B5" s="35" t="s">
        <v>31</v>
      </c>
      <c r="C5" s="34" t="s">
        <v>4</v>
      </c>
      <c r="P5" s="37">
        <f t="shared" si="0"/>
        <v>0</v>
      </c>
    </row>
    <row r="6" spans="1:16" x14ac:dyDescent="0.3">
      <c r="A6" s="34" t="s">
        <v>90</v>
      </c>
      <c r="B6" s="35" t="s">
        <v>33</v>
      </c>
      <c r="C6" s="34" t="s">
        <v>4</v>
      </c>
      <c r="I6" s="38">
        <v>0.2302953345070422</v>
      </c>
      <c r="P6" s="38">
        <f t="shared" si="0"/>
        <v>0.2302953345070422</v>
      </c>
    </row>
    <row r="7" spans="1:16" x14ac:dyDescent="0.3">
      <c r="A7" s="34" t="s">
        <v>90</v>
      </c>
      <c r="B7" s="39" t="s">
        <v>35</v>
      </c>
      <c r="C7" s="34" t="s">
        <v>4</v>
      </c>
      <c r="D7" s="40">
        <v>1249.5999999999999</v>
      </c>
      <c r="O7" s="40">
        <v>1249.5999999999999</v>
      </c>
      <c r="P7" s="41">
        <f t="shared" si="0"/>
        <v>2499.1999999999998</v>
      </c>
    </row>
    <row r="8" spans="1:16" x14ac:dyDescent="0.3">
      <c r="A8" s="34" t="s">
        <v>90</v>
      </c>
      <c r="B8" s="39" t="s">
        <v>37</v>
      </c>
      <c r="C8" s="34" t="s">
        <v>4</v>
      </c>
      <c r="O8" s="40">
        <v>239.6</v>
      </c>
      <c r="P8" s="41">
        <f t="shared" si="0"/>
        <v>239.6</v>
      </c>
    </row>
    <row r="9" spans="1:16" x14ac:dyDescent="0.3">
      <c r="A9" s="34" t="s">
        <v>90</v>
      </c>
      <c r="B9" s="39" t="s">
        <v>38</v>
      </c>
      <c r="C9" s="34" t="s">
        <v>4</v>
      </c>
      <c r="D9" s="40">
        <v>80.751999999999995</v>
      </c>
      <c r="E9" s="40">
        <v>91.584000000000003</v>
      </c>
      <c r="F9" s="40">
        <v>80.317999999999998</v>
      </c>
      <c r="G9" s="40">
        <v>68.47</v>
      </c>
      <c r="H9" s="40">
        <v>60.567999999999998</v>
      </c>
      <c r="I9" s="40">
        <v>60.52</v>
      </c>
      <c r="J9" s="40">
        <v>76.629000000000005</v>
      </c>
      <c r="K9" s="40">
        <v>80.268000000000001</v>
      </c>
      <c r="L9" s="40">
        <v>77.84</v>
      </c>
      <c r="M9" s="40">
        <v>75.807000000000002</v>
      </c>
      <c r="N9" s="40">
        <v>81.120999999999995</v>
      </c>
      <c r="O9" s="40">
        <v>4520.5</v>
      </c>
      <c r="P9" s="41">
        <f t="shared" si="0"/>
        <v>5354.3770000000004</v>
      </c>
    </row>
    <row r="10" spans="1:16" x14ac:dyDescent="0.3">
      <c r="A10" s="34" t="s">
        <v>90</v>
      </c>
      <c r="B10" s="39" t="s">
        <v>39</v>
      </c>
      <c r="C10" s="34" t="s">
        <v>4</v>
      </c>
      <c r="O10" s="40">
        <v>0</v>
      </c>
      <c r="P10" s="41">
        <f t="shared" si="0"/>
        <v>0</v>
      </c>
    </row>
    <row r="11" spans="1:16" x14ac:dyDescent="0.3">
      <c r="A11" s="34" t="s">
        <v>90</v>
      </c>
      <c r="B11" s="39" t="s">
        <v>91</v>
      </c>
      <c r="C11" s="34" t="s">
        <v>4</v>
      </c>
      <c r="P11" s="41">
        <f t="shared" si="0"/>
        <v>0</v>
      </c>
    </row>
    <row r="12" spans="1:16" x14ac:dyDescent="0.3">
      <c r="A12" s="34" t="s">
        <v>90</v>
      </c>
      <c r="B12" s="39" t="s">
        <v>41</v>
      </c>
      <c r="C12" s="34" t="s">
        <v>4</v>
      </c>
      <c r="D12" s="40">
        <v>2571.4083333333342</v>
      </c>
      <c r="E12" s="40">
        <v>2585.0166666666669</v>
      </c>
      <c r="F12" s="40">
        <v>2598.625</v>
      </c>
      <c r="G12" s="40">
        <v>2612.233333333334</v>
      </c>
      <c r="H12" s="40">
        <v>2625.8416666666672</v>
      </c>
      <c r="I12" s="40">
        <v>2639.45</v>
      </c>
      <c r="J12" s="40">
        <v>2653.0583333333329</v>
      </c>
      <c r="K12" s="40">
        <v>2666.666666666667</v>
      </c>
      <c r="L12" s="40">
        <v>2680.275000000001</v>
      </c>
      <c r="M12" s="40">
        <v>2693.8833333333341</v>
      </c>
      <c r="N12" s="40">
        <v>2707.4916666666668</v>
      </c>
      <c r="O12" s="40">
        <v>2721.1</v>
      </c>
      <c r="P12" s="41">
        <f t="shared" si="0"/>
        <v>31755.050000000003</v>
      </c>
    </row>
    <row r="13" spans="1:16" x14ac:dyDescent="0.3">
      <c r="A13" s="34" t="s">
        <v>90</v>
      </c>
      <c r="B13" s="39" t="s">
        <v>42</v>
      </c>
      <c r="C13" s="34" t="s">
        <v>4</v>
      </c>
      <c r="O13" s="40">
        <v>2394.4</v>
      </c>
      <c r="P13" s="41">
        <f t="shared" si="0"/>
        <v>2394.4</v>
      </c>
    </row>
    <row r="14" spans="1:16" x14ac:dyDescent="0.3">
      <c r="A14" s="34" t="s">
        <v>90</v>
      </c>
      <c r="B14" s="39" t="s">
        <v>43</v>
      </c>
      <c r="C14" s="34" t="s">
        <v>4</v>
      </c>
      <c r="D14" s="40">
        <v>-1241.0563333333339</v>
      </c>
      <c r="O14" s="40">
        <v>894.2</v>
      </c>
      <c r="P14" s="41">
        <f t="shared" si="0"/>
        <v>-346.85633333333385</v>
      </c>
    </row>
    <row r="15" spans="1:16" x14ac:dyDescent="0.3">
      <c r="A15" s="34" t="s">
        <v>90</v>
      </c>
      <c r="B15" s="35" t="s">
        <v>44</v>
      </c>
      <c r="C15" s="34" t="s">
        <v>4</v>
      </c>
      <c r="P15" s="37">
        <f t="shared" si="0"/>
        <v>0</v>
      </c>
    </row>
    <row r="16" spans="1:16" x14ac:dyDescent="0.3">
      <c r="A16" s="34" t="s">
        <v>90</v>
      </c>
      <c r="B16" s="35" t="s">
        <v>45</v>
      </c>
      <c r="C16" s="34" t="s">
        <v>4</v>
      </c>
      <c r="P16" s="41">
        <f t="shared" si="0"/>
        <v>0</v>
      </c>
    </row>
    <row r="17" spans="1:16" x14ac:dyDescent="0.3">
      <c r="A17" s="34" t="s">
        <v>90</v>
      </c>
      <c r="B17" s="35" t="s">
        <v>47</v>
      </c>
      <c r="C17" s="34" t="s">
        <v>4</v>
      </c>
      <c r="D17" s="41">
        <v>0</v>
      </c>
      <c r="E17" s="41">
        <v>-2493.432666666667</v>
      </c>
      <c r="F17" s="41">
        <v>-2518.3069999999998</v>
      </c>
      <c r="G17" s="41">
        <v>-2543.7633333333338</v>
      </c>
      <c r="H17" s="41">
        <v>-2565.2736666666669</v>
      </c>
      <c r="I17" s="41">
        <v>-2578.9299999999998</v>
      </c>
      <c r="J17" s="41">
        <v>-2576.429333333333</v>
      </c>
      <c r="K17" s="41">
        <v>-2586.3986666666669</v>
      </c>
      <c r="L17" s="41">
        <v>-2602.4349999999999</v>
      </c>
      <c r="M17" s="41">
        <v>-2618.0763333333339</v>
      </c>
      <c r="N17" s="41">
        <v>-2626.3706666666671</v>
      </c>
      <c r="O17" s="41">
        <v>2.2737367544323211E-13</v>
      </c>
      <c r="P17" s="41">
        <f t="shared" si="0"/>
        <v>-25709.416666666672</v>
      </c>
    </row>
    <row r="18" spans="1:16" x14ac:dyDescent="0.3">
      <c r="A18" s="34" t="s">
        <v>90</v>
      </c>
      <c r="B18" s="35" t="s">
        <v>28</v>
      </c>
      <c r="C18" s="34" t="s">
        <v>5</v>
      </c>
      <c r="P18" s="36">
        <f t="shared" si="0"/>
        <v>0</v>
      </c>
    </row>
    <row r="19" spans="1:16" x14ac:dyDescent="0.3">
      <c r="A19" s="34" t="s">
        <v>90</v>
      </c>
      <c r="B19" s="35" t="s">
        <v>30</v>
      </c>
      <c r="C19" s="34" t="s">
        <v>5</v>
      </c>
      <c r="P19" s="36">
        <f t="shared" si="0"/>
        <v>0</v>
      </c>
    </row>
    <row r="20" spans="1:16" x14ac:dyDescent="0.3">
      <c r="A20" s="34" t="s">
        <v>90</v>
      </c>
      <c r="B20" s="35" t="s">
        <v>31</v>
      </c>
      <c r="C20" s="34" t="s">
        <v>5</v>
      </c>
      <c r="P20" s="37">
        <f t="shared" si="0"/>
        <v>0</v>
      </c>
    </row>
    <row r="21" spans="1:16" x14ac:dyDescent="0.3">
      <c r="A21" s="34" t="s">
        <v>90</v>
      </c>
      <c r="B21" s="35" t="s">
        <v>33</v>
      </c>
      <c r="C21" s="34" t="s">
        <v>5</v>
      </c>
      <c r="I21" s="38">
        <v>0.45201906690170118</v>
      </c>
      <c r="P21" s="38">
        <f t="shared" si="0"/>
        <v>0.45201906690170118</v>
      </c>
    </row>
    <row r="22" spans="1:16" x14ac:dyDescent="0.3">
      <c r="A22" s="34" t="s">
        <v>90</v>
      </c>
      <c r="B22" s="39" t="s">
        <v>35</v>
      </c>
      <c r="C22" s="34" t="s">
        <v>5</v>
      </c>
      <c r="D22" s="40">
        <v>894.2</v>
      </c>
      <c r="O22" s="40">
        <v>894.2</v>
      </c>
      <c r="P22" s="41">
        <f t="shared" si="0"/>
        <v>1788.4</v>
      </c>
    </row>
    <row r="23" spans="1:16" x14ac:dyDescent="0.3">
      <c r="A23" s="34" t="s">
        <v>90</v>
      </c>
      <c r="B23" s="39" t="s">
        <v>37</v>
      </c>
      <c r="C23" s="34" t="s">
        <v>5</v>
      </c>
      <c r="O23" s="40">
        <v>242.6</v>
      </c>
      <c r="P23" s="41">
        <f t="shared" si="0"/>
        <v>242.6</v>
      </c>
    </row>
    <row r="24" spans="1:16" x14ac:dyDescent="0.3">
      <c r="A24" s="34" t="s">
        <v>90</v>
      </c>
      <c r="B24" s="39" t="s">
        <v>38</v>
      </c>
      <c r="C24" s="34" t="s">
        <v>5</v>
      </c>
      <c r="D24" s="40">
        <v>88.22</v>
      </c>
      <c r="E24" s="40">
        <v>122.916</v>
      </c>
      <c r="F24" s="40">
        <v>114.154</v>
      </c>
      <c r="G24" s="40">
        <v>113.47799999999999</v>
      </c>
      <c r="H24" s="40">
        <v>120.06100000000001</v>
      </c>
      <c r="I24" s="40">
        <v>123.292</v>
      </c>
      <c r="J24" s="40">
        <v>111.113</v>
      </c>
      <c r="K24" s="40">
        <v>132.518</v>
      </c>
      <c r="L24" s="40">
        <v>127.105</v>
      </c>
      <c r="M24" s="40">
        <v>118.626</v>
      </c>
      <c r="N24" s="40">
        <v>97.543999999999997</v>
      </c>
      <c r="O24" s="40">
        <v>6771.2</v>
      </c>
      <c r="P24" s="41">
        <f t="shared" si="0"/>
        <v>8040.2269999999999</v>
      </c>
    </row>
    <row r="25" spans="1:16" x14ac:dyDescent="0.3">
      <c r="A25" s="34" t="s">
        <v>90</v>
      </c>
      <c r="B25" s="39" t="s">
        <v>39</v>
      </c>
      <c r="C25" s="34" t="s">
        <v>5</v>
      </c>
      <c r="O25" s="40">
        <v>0</v>
      </c>
      <c r="P25" s="41">
        <f t="shared" si="0"/>
        <v>0</v>
      </c>
    </row>
    <row r="26" spans="1:16" x14ac:dyDescent="0.3">
      <c r="A26" s="34" t="s">
        <v>90</v>
      </c>
      <c r="B26" s="39" t="s">
        <v>91</v>
      </c>
      <c r="C26" s="34" t="s">
        <v>5</v>
      </c>
      <c r="P26" s="41">
        <f t="shared" si="0"/>
        <v>0</v>
      </c>
    </row>
    <row r="27" spans="1:16" x14ac:dyDescent="0.3">
      <c r="A27" s="34" t="s">
        <v>90</v>
      </c>
      <c r="B27" s="39" t="s">
        <v>41</v>
      </c>
      <c r="C27" s="34" t="s">
        <v>5</v>
      </c>
      <c r="D27" s="40">
        <v>2789.7666666666669</v>
      </c>
      <c r="E27" s="40">
        <v>2858.4333333333329</v>
      </c>
      <c r="F27" s="40">
        <v>2927.1</v>
      </c>
      <c r="G27" s="40">
        <v>2995.7666666666669</v>
      </c>
      <c r="H27" s="40">
        <v>3064.4333333333329</v>
      </c>
      <c r="I27" s="40">
        <v>3133.1</v>
      </c>
      <c r="J27" s="40">
        <v>3201.7666666666669</v>
      </c>
      <c r="K27" s="40">
        <v>3270.4333333333329</v>
      </c>
      <c r="L27" s="40">
        <v>3339.1</v>
      </c>
      <c r="M27" s="40">
        <v>3407.766666666666</v>
      </c>
      <c r="N27" s="40">
        <v>3476.4333333333329</v>
      </c>
      <c r="O27" s="40">
        <v>3545.1</v>
      </c>
      <c r="P27" s="41">
        <f t="shared" si="0"/>
        <v>38009.199999999997</v>
      </c>
    </row>
    <row r="28" spans="1:16" x14ac:dyDescent="0.3">
      <c r="A28" s="34" t="s">
        <v>90</v>
      </c>
      <c r="B28" s="39" t="s">
        <v>42</v>
      </c>
      <c r="C28" s="34" t="s">
        <v>5</v>
      </c>
      <c r="O28" s="40">
        <v>3754.3</v>
      </c>
      <c r="P28" s="41">
        <f t="shared" si="0"/>
        <v>3754.3</v>
      </c>
    </row>
    <row r="29" spans="1:16" x14ac:dyDescent="0.3">
      <c r="A29" s="34" t="s">
        <v>90</v>
      </c>
      <c r="B29" s="39" t="s">
        <v>43</v>
      </c>
      <c r="C29" s="34" t="s">
        <v>5</v>
      </c>
      <c r="D29" s="40">
        <v>-1807.346666666667</v>
      </c>
      <c r="O29" s="40">
        <v>608.6</v>
      </c>
      <c r="P29" s="41">
        <f t="shared" si="0"/>
        <v>-1198.7466666666669</v>
      </c>
    </row>
    <row r="30" spans="1:16" x14ac:dyDescent="0.3">
      <c r="A30" s="34" t="s">
        <v>90</v>
      </c>
      <c r="B30" s="35" t="s">
        <v>44</v>
      </c>
      <c r="C30" s="34" t="s">
        <v>5</v>
      </c>
      <c r="P30" s="37">
        <f t="shared" si="0"/>
        <v>0</v>
      </c>
    </row>
    <row r="31" spans="1:16" x14ac:dyDescent="0.3">
      <c r="A31" s="34" t="s">
        <v>90</v>
      </c>
      <c r="B31" s="35" t="s">
        <v>45</v>
      </c>
      <c r="C31" s="34" t="s">
        <v>5</v>
      </c>
      <c r="P31" s="41">
        <f t="shared" si="0"/>
        <v>0</v>
      </c>
    </row>
    <row r="32" spans="1:16" x14ac:dyDescent="0.3">
      <c r="A32" s="34" t="s">
        <v>90</v>
      </c>
      <c r="B32" s="35" t="s">
        <v>47</v>
      </c>
      <c r="C32" s="34" t="s">
        <v>5</v>
      </c>
      <c r="D32" s="41">
        <v>0</v>
      </c>
      <c r="E32" s="41">
        <v>-2735.5173333333332</v>
      </c>
      <c r="F32" s="41">
        <v>-2812.9459999999999</v>
      </c>
      <c r="G32" s="41">
        <v>-2882.2886666666668</v>
      </c>
      <c r="H32" s="41">
        <v>-2944.3723333333328</v>
      </c>
      <c r="I32" s="41">
        <v>-3009.808</v>
      </c>
      <c r="J32" s="41">
        <v>-3090.653666666667</v>
      </c>
      <c r="K32" s="41">
        <v>-3137.9153333333329</v>
      </c>
      <c r="L32" s="41">
        <v>-3211.9949999999999</v>
      </c>
      <c r="M32" s="41">
        <v>-3289.1406666666662</v>
      </c>
      <c r="N32" s="41">
        <v>-3378.8893333333331</v>
      </c>
      <c r="O32" s="41">
        <v>-5.6843418860808015E-13</v>
      </c>
      <c r="P32" s="41">
        <f t="shared" si="0"/>
        <v>-30493.526333333335</v>
      </c>
    </row>
    <row r="33" spans="1:16" x14ac:dyDescent="0.3">
      <c r="A33" s="34" t="s">
        <v>90</v>
      </c>
      <c r="B33" s="35" t="s">
        <v>28</v>
      </c>
      <c r="C33" s="34" t="s">
        <v>6</v>
      </c>
      <c r="P33" s="36">
        <f t="shared" si="0"/>
        <v>0</v>
      </c>
    </row>
    <row r="34" spans="1:16" x14ac:dyDescent="0.3">
      <c r="A34" s="34" t="s">
        <v>90</v>
      </c>
      <c r="B34" s="35" t="s">
        <v>30</v>
      </c>
      <c r="C34" s="34" t="s">
        <v>6</v>
      </c>
      <c r="P34" s="36">
        <f t="shared" si="0"/>
        <v>0</v>
      </c>
    </row>
    <row r="35" spans="1:16" x14ac:dyDescent="0.3">
      <c r="A35" s="34" t="s">
        <v>90</v>
      </c>
      <c r="B35" s="35" t="s">
        <v>31</v>
      </c>
      <c r="C35" s="34" t="s">
        <v>6</v>
      </c>
      <c r="P35" s="37">
        <f t="shared" si="0"/>
        <v>0</v>
      </c>
    </row>
    <row r="36" spans="1:16" x14ac:dyDescent="0.3">
      <c r="A36" s="34" t="s">
        <v>90</v>
      </c>
      <c r="B36" s="35" t="s">
        <v>33</v>
      </c>
      <c r="C36" s="34" t="s">
        <v>6</v>
      </c>
      <c r="I36" s="38">
        <v>0.35133054048136619</v>
      </c>
      <c r="P36" s="38">
        <f t="shared" si="0"/>
        <v>0.35133054048136619</v>
      </c>
    </row>
    <row r="37" spans="1:16" x14ac:dyDescent="0.3">
      <c r="A37" s="34" t="s">
        <v>90</v>
      </c>
      <c r="B37" s="39" t="s">
        <v>35</v>
      </c>
      <c r="C37" s="34" t="s">
        <v>6</v>
      </c>
      <c r="D37" s="40">
        <v>608.6</v>
      </c>
      <c r="O37" s="40">
        <v>608.6</v>
      </c>
      <c r="P37" s="41">
        <f t="shared" si="0"/>
        <v>1217.2</v>
      </c>
    </row>
    <row r="38" spans="1:16" x14ac:dyDescent="0.3">
      <c r="A38" s="34" t="s">
        <v>90</v>
      </c>
      <c r="B38" s="39" t="s">
        <v>37</v>
      </c>
      <c r="C38" s="34" t="s">
        <v>6</v>
      </c>
      <c r="O38" s="40">
        <v>107.6</v>
      </c>
      <c r="P38" s="41">
        <f t="shared" si="0"/>
        <v>107.6</v>
      </c>
    </row>
    <row r="39" spans="1:16" x14ac:dyDescent="0.3">
      <c r="A39" s="34" t="s">
        <v>90</v>
      </c>
      <c r="B39" s="39" t="s">
        <v>38</v>
      </c>
      <c r="C39" s="34" t="s">
        <v>6</v>
      </c>
      <c r="D39" s="40">
        <v>106.562</v>
      </c>
      <c r="E39" s="40">
        <v>92.32</v>
      </c>
      <c r="F39" s="40">
        <v>119.77800000000001</v>
      </c>
      <c r="G39" s="40">
        <v>112.658</v>
      </c>
      <c r="H39" s="40">
        <v>115.971</v>
      </c>
      <c r="I39" s="40">
        <v>101.9</v>
      </c>
      <c r="J39" s="40">
        <v>101.367</v>
      </c>
      <c r="K39" s="40">
        <v>113.559</v>
      </c>
      <c r="L39" s="40">
        <v>101.64100000000001</v>
      </c>
      <c r="M39" s="40">
        <v>92.257999999999996</v>
      </c>
      <c r="N39" s="40">
        <v>81.757999999999996</v>
      </c>
      <c r="O39" s="40">
        <v>7673.6</v>
      </c>
      <c r="P39" s="41">
        <f t="shared" si="0"/>
        <v>8813.3719999999994</v>
      </c>
    </row>
    <row r="40" spans="1:16" x14ac:dyDescent="0.3">
      <c r="A40" s="34" t="s">
        <v>90</v>
      </c>
      <c r="B40" s="39" t="s">
        <v>39</v>
      </c>
      <c r="C40" s="34" t="s">
        <v>6</v>
      </c>
      <c r="O40" s="40">
        <v>0</v>
      </c>
      <c r="P40" s="41">
        <f t="shared" si="0"/>
        <v>0</v>
      </c>
    </row>
    <row r="41" spans="1:16" x14ac:dyDescent="0.3">
      <c r="A41" s="34" t="s">
        <v>90</v>
      </c>
      <c r="B41" s="39" t="s">
        <v>91</v>
      </c>
      <c r="C41" s="34" t="s">
        <v>6</v>
      </c>
      <c r="P41" s="41">
        <f t="shared" si="0"/>
        <v>0</v>
      </c>
    </row>
    <row r="42" spans="1:16" x14ac:dyDescent="0.3">
      <c r="A42" s="34" t="s">
        <v>90</v>
      </c>
      <c r="B42" s="39" t="s">
        <v>41</v>
      </c>
      <c r="C42" s="34" t="s">
        <v>6</v>
      </c>
      <c r="D42" s="40">
        <v>3532.2833333333328</v>
      </c>
      <c r="E42" s="40">
        <v>3519.4666666666672</v>
      </c>
      <c r="F42" s="40">
        <v>3506.650000000001</v>
      </c>
      <c r="G42" s="40">
        <v>3493.8333333333339</v>
      </c>
      <c r="H42" s="40">
        <v>3481.0166666666678</v>
      </c>
      <c r="I42" s="40">
        <v>3468.2000000000012</v>
      </c>
      <c r="J42" s="40">
        <v>3455.3833333333341</v>
      </c>
      <c r="K42" s="40">
        <v>3442.566666666668</v>
      </c>
      <c r="L42" s="40">
        <v>3429.7500000000009</v>
      </c>
      <c r="M42" s="40">
        <v>3416.9333333333352</v>
      </c>
      <c r="N42" s="40">
        <v>3404.1166666666682</v>
      </c>
      <c r="O42" s="40">
        <v>3391.3000000000011</v>
      </c>
      <c r="P42" s="41">
        <f t="shared" si="0"/>
        <v>41541.500000000015</v>
      </c>
    </row>
    <row r="43" spans="1:16" x14ac:dyDescent="0.3">
      <c r="A43" s="34" t="s">
        <v>90</v>
      </c>
      <c r="B43" s="39" t="s">
        <v>42</v>
      </c>
      <c r="C43" s="34" t="s">
        <v>6</v>
      </c>
      <c r="O43" s="40">
        <v>3411.9</v>
      </c>
      <c r="P43" s="41">
        <f t="shared" si="0"/>
        <v>3411.9</v>
      </c>
    </row>
    <row r="44" spans="1:16" x14ac:dyDescent="0.3">
      <c r="A44" s="34" t="s">
        <v>90</v>
      </c>
      <c r="B44" s="39" t="s">
        <v>43</v>
      </c>
      <c r="C44" s="34" t="s">
        <v>6</v>
      </c>
      <c r="D44" s="40">
        <v>-2817.121333333333</v>
      </c>
      <c r="O44" s="40">
        <v>1586.6</v>
      </c>
      <c r="P44" s="41">
        <f t="shared" si="0"/>
        <v>-1230.5213333333331</v>
      </c>
    </row>
    <row r="45" spans="1:16" x14ac:dyDescent="0.3">
      <c r="A45" s="34" t="s">
        <v>90</v>
      </c>
      <c r="B45" s="35" t="s">
        <v>44</v>
      </c>
      <c r="C45" s="34" t="s">
        <v>6</v>
      </c>
      <c r="P45" s="37">
        <f t="shared" si="0"/>
        <v>0</v>
      </c>
    </row>
    <row r="46" spans="1:16" x14ac:dyDescent="0.3">
      <c r="A46" s="34" t="s">
        <v>90</v>
      </c>
      <c r="B46" s="35" t="s">
        <v>45</v>
      </c>
      <c r="C46" s="34" t="s">
        <v>6</v>
      </c>
      <c r="P46" s="41">
        <f t="shared" si="0"/>
        <v>0</v>
      </c>
    </row>
    <row r="47" spans="1:16" x14ac:dyDescent="0.3">
      <c r="A47" s="34" t="s">
        <v>90</v>
      </c>
      <c r="B47" s="35" t="s">
        <v>47</v>
      </c>
      <c r="C47" s="34" t="s">
        <v>6</v>
      </c>
      <c r="D47" s="41">
        <v>0</v>
      </c>
      <c r="E47" s="41">
        <v>-3427.146666666667</v>
      </c>
      <c r="F47" s="41">
        <v>-3386.8720000000012</v>
      </c>
      <c r="G47" s="41">
        <v>-3381.175333333334</v>
      </c>
      <c r="H47" s="41">
        <v>-3365.0456666666678</v>
      </c>
      <c r="I47" s="41">
        <v>-3366.3000000000011</v>
      </c>
      <c r="J47" s="41">
        <v>-3354.0163333333339</v>
      </c>
      <c r="K47" s="41">
        <v>-3329.0076666666678</v>
      </c>
      <c r="L47" s="41">
        <v>-3328.1090000000008</v>
      </c>
      <c r="M47" s="41">
        <v>-3324.6753333333349</v>
      </c>
      <c r="N47" s="41">
        <v>-3322.3586666666679</v>
      </c>
      <c r="O47" s="41">
        <v>0</v>
      </c>
      <c r="P47" s="41">
        <f t="shared" si="0"/>
        <v>-33584.70666666668</v>
      </c>
    </row>
    <row r="48" spans="1:16" x14ac:dyDescent="0.3">
      <c r="A48" s="34" t="s">
        <v>90</v>
      </c>
      <c r="B48" s="35" t="s">
        <v>28</v>
      </c>
      <c r="C48" s="34" t="s">
        <v>7</v>
      </c>
      <c r="P48" s="36">
        <f t="shared" si="0"/>
        <v>0</v>
      </c>
    </row>
    <row r="49" spans="1:16" x14ac:dyDescent="0.3">
      <c r="A49" s="34" t="s">
        <v>90</v>
      </c>
      <c r="B49" s="35" t="s">
        <v>30</v>
      </c>
      <c r="C49" s="34" t="s">
        <v>7</v>
      </c>
      <c r="P49" s="36">
        <f t="shared" si="0"/>
        <v>0</v>
      </c>
    </row>
    <row r="50" spans="1:16" x14ac:dyDescent="0.3">
      <c r="A50" s="34" t="s">
        <v>90</v>
      </c>
      <c r="B50" s="35" t="s">
        <v>31</v>
      </c>
      <c r="C50" s="34" t="s">
        <v>7</v>
      </c>
      <c r="P50" s="37">
        <f t="shared" si="0"/>
        <v>0</v>
      </c>
    </row>
    <row r="51" spans="1:16" x14ac:dyDescent="0.3">
      <c r="A51" s="34" t="s">
        <v>90</v>
      </c>
      <c r="B51" s="35" t="s">
        <v>33</v>
      </c>
      <c r="C51" s="34" t="s">
        <v>7</v>
      </c>
      <c r="I51" s="38">
        <v>0.42468641878737312</v>
      </c>
      <c r="P51" s="38">
        <f t="shared" si="0"/>
        <v>0.42468641878737312</v>
      </c>
    </row>
    <row r="52" spans="1:16" x14ac:dyDescent="0.3">
      <c r="A52" s="34" t="s">
        <v>90</v>
      </c>
      <c r="B52" s="39" t="s">
        <v>35</v>
      </c>
      <c r="C52" s="34" t="s">
        <v>7</v>
      </c>
      <c r="D52" s="40">
        <v>1586.6</v>
      </c>
      <c r="O52" s="40">
        <v>1586.6</v>
      </c>
      <c r="P52" s="41">
        <f t="shared" si="0"/>
        <v>3173.2</v>
      </c>
    </row>
    <row r="53" spans="1:16" x14ac:dyDescent="0.3">
      <c r="A53" s="34" t="s">
        <v>90</v>
      </c>
      <c r="B53" s="39" t="s">
        <v>37</v>
      </c>
      <c r="C53" s="34" t="s">
        <v>7</v>
      </c>
      <c r="O53" s="40">
        <v>139.5</v>
      </c>
      <c r="P53" s="41">
        <f t="shared" si="0"/>
        <v>139.5</v>
      </c>
    </row>
    <row r="54" spans="1:16" x14ac:dyDescent="0.3">
      <c r="A54" s="34" t="s">
        <v>90</v>
      </c>
      <c r="B54" s="39" t="s">
        <v>38</v>
      </c>
      <c r="C54" s="34" t="s">
        <v>7</v>
      </c>
      <c r="D54" s="40">
        <v>97.844999999999999</v>
      </c>
      <c r="E54" s="40">
        <v>109.82299999999999</v>
      </c>
      <c r="F54" s="40">
        <v>126.619</v>
      </c>
      <c r="G54" s="40">
        <v>127.17400000000001</v>
      </c>
      <c r="H54" s="40">
        <v>125.661</v>
      </c>
      <c r="I54" s="40">
        <v>124.67100000000001</v>
      </c>
      <c r="J54" s="40">
        <v>121.35299999999999</v>
      </c>
      <c r="K54" s="40">
        <v>128.80600000000001</v>
      </c>
      <c r="L54" s="40">
        <v>126.297</v>
      </c>
      <c r="M54" s="40">
        <v>108.907</v>
      </c>
      <c r="N54" s="40">
        <v>129.72999999999999</v>
      </c>
      <c r="O54" s="40">
        <v>9483.2999999999993</v>
      </c>
      <c r="P54" s="41">
        <f t="shared" si="0"/>
        <v>10810.186</v>
      </c>
    </row>
    <row r="55" spans="1:16" x14ac:dyDescent="0.3">
      <c r="A55" s="34" t="s">
        <v>90</v>
      </c>
      <c r="B55" s="39" t="s">
        <v>39</v>
      </c>
      <c r="C55" s="34" t="s">
        <v>7</v>
      </c>
      <c r="O55" s="40">
        <v>0</v>
      </c>
      <c r="P55" s="41">
        <f t="shared" si="0"/>
        <v>0</v>
      </c>
    </row>
    <row r="56" spans="1:16" x14ac:dyDescent="0.3">
      <c r="A56" s="34" t="s">
        <v>90</v>
      </c>
      <c r="B56" s="39" t="s">
        <v>91</v>
      </c>
      <c r="C56" s="34" t="s">
        <v>7</v>
      </c>
      <c r="P56" s="41">
        <f t="shared" si="0"/>
        <v>0</v>
      </c>
    </row>
    <row r="57" spans="1:16" x14ac:dyDescent="0.3">
      <c r="A57" s="34" t="s">
        <v>90</v>
      </c>
      <c r="B57" s="39" t="s">
        <v>41</v>
      </c>
      <c r="C57" s="34" t="s">
        <v>7</v>
      </c>
      <c r="D57" s="40">
        <v>3424.8333333333348</v>
      </c>
      <c r="E57" s="40">
        <v>3458.3666666666682</v>
      </c>
      <c r="F57" s="40">
        <v>3491.900000000001</v>
      </c>
      <c r="G57" s="40">
        <v>3525.4333333333338</v>
      </c>
      <c r="H57" s="40">
        <v>3558.9666666666681</v>
      </c>
      <c r="I57" s="40">
        <v>3592.5000000000009</v>
      </c>
      <c r="J57" s="40">
        <v>3626.0333333333342</v>
      </c>
      <c r="K57" s="40">
        <v>3659.5666666666671</v>
      </c>
      <c r="L57" s="40">
        <v>3693.1</v>
      </c>
      <c r="M57" s="40">
        <v>3726.6333333333332</v>
      </c>
      <c r="N57" s="40">
        <v>3760.166666666667</v>
      </c>
      <c r="O57" s="40">
        <v>3793.7</v>
      </c>
      <c r="P57" s="41">
        <f t="shared" si="0"/>
        <v>43311.199999999997</v>
      </c>
    </row>
    <row r="58" spans="1:16" x14ac:dyDescent="0.3">
      <c r="A58" s="34" t="s">
        <v>90</v>
      </c>
      <c r="B58" s="39" t="s">
        <v>42</v>
      </c>
      <c r="C58" s="34" t="s">
        <v>7</v>
      </c>
      <c r="O58" s="40">
        <v>5408.7</v>
      </c>
      <c r="P58" s="41">
        <f t="shared" si="0"/>
        <v>5408.7</v>
      </c>
    </row>
    <row r="59" spans="1:16" x14ac:dyDescent="0.3">
      <c r="A59" s="34" t="s">
        <v>90</v>
      </c>
      <c r="B59" s="39" t="s">
        <v>43</v>
      </c>
      <c r="C59" s="34" t="s">
        <v>7</v>
      </c>
      <c r="D59" s="40">
        <v>-1740.3883333333349</v>
      </c>
      <c r="O59" s="40">
        <v>2007</v>
      </c>
      <c r="P59" s="41">
        <f t="shared" si="0"/>
        <v>266.61166666666509</v>
      </c>
    </row>
    <row r="60" spans="1:16" x14ac:dyDescent="0.3">
      <c r="A60" s="34" t="s">
        <v>90</v>
      </c>
      <c r="B60" s="35" t="s">
        <v>44</v>
      </c>
      <c r="C60" s="34" t="s">
        <v>7</v>
      </c>
      <c r="P60" s="37">
        <f t="shared" si="0"/>
        <v>0</v>
      </c>
    </row>
    <row r="61" spans="1:16" x14ac:dyDescent="0.3">
      <c r="A61" s="34" t="s">
        <v>90</v>
      </c>
      <c r="B61" s="35" t="s">
        <v>45</v>
      </c>
      <c r="C61" s="34" t="s">
        <v>7</v>
      </c>
      <c r="P61" s="41">
        <f t="shared" si="0"/>
        <v>0</v>
      </c>
    </row>
    <row r="62" spans="1:16" x14ac:dyDescent="0.3">
      <c r="A62" s="34" t="s">
        <v>90</v>
      </c>
      <c r="B62" s="35" t="s">
        <v>47</v>
      </c>
      <c r="C62" s="34" t="s">
        <v>7</v>
      </c>
      <c r="D62" s="41">
        <v>0</v>
      </c>
      <c r="E62" s="41">
        <v>-3348.5436666666678</v>
      </c>
      <c r="F62" s="41">
        <v>-3365.2810000000009</v>
      </c>
      <c r="G62" s="41">
        <v>-3398.2593333333339</v>
      </c>
      <c r="H62" s="41">
        <v>-3433.305666666668</v>
      </c>
      <c r="I62" s="41">
        <v>-3467.8290000000011</v>
      </c>
      <c r="J62" s="41">
        <v>-3504.6803333333341</v>
      </c>
      <c r="K62" s="41">
        <v>-3530.760666666667</v>
      </c>
      <c r="L62" s="41">
        <v>-3566.8029999999999</v>
      </c>
      <c r="M62" s="41">
        <v>-3617.7263333333331</v>
      </c>
      <c r="N62" s="41">
        <v>-3630.436666666666</v>
      </c>
      <c r="O62" s="41">
        <v>0</v>
      </c>
      <c r="P62" s="41">
        <f t="shared" si="0"/>
        <v>-34863.625666666674</v>
      </c>
    </row>
    <row r="63" spans="1:16" x14ac:dyDescent="0.3">
      <c r="A63" s="34" t="s">
        <v>90</v>
      </c>
      <c r="B63" s="35" t="s">
        <v>28</v>
      </c>
      <c r="C63" s="34" t="s">
        <v>8</v>
      </c>
      <c r="P63" s="36">
        <f t="shared" si="0"/>
        <v>0</v>
      </c>
    </row>
    <row r="64" spans="1:16" x14ac:dyDescent="0.3">
      <c r="A64" s="34" t="s">
        <v>90</v>
      </c>
      <c r="B64" s="35" t="s">
        <v>30</v>
      </c>
      <c r="C64" s="34" t="s">
        <v>8</v>
      </c>
      <c r="P64" s="36">
        <f t="shared" si="0"/>
        <v>0</v>
      </c>
    </row>
    <row r="65" spans="1:16" x14ac:dyDescent="0.3">
      <c r="A65" s="34" t="s">
        <v>90</v>
      </c>
      <c r="B65" s="35" t="s">
        <v>31</v>
      </c>
      <c r="C65" s="34" t="s">
        <v>8</v>
      </c>
      <c r="P65" s="37">
        <f t="shared" si="0"/>
        <v>0</v>
      </c>
    </row>
    <row r="66" spans="1:16" x14ac:dyDescent="0.3">
      <c r="A66" s="34" t="s">
        <v>90</v>
      </c>
      <c r="B66" s="35" t="s">
        <v>33</v>
      </c>
      <c r="C66" s="34" t="s">
        <v>8</v>
      </c>
      <c r="I66" s="38">
        <v>0.37282661463991301</v>
      </c>
      <c r="P66" s="38">
        <f t="shared" si="0"/>
        <v>0.37282661463991301</v>
      </c>
    </row>
    <row r="67" spans="1:16" x14ac:dyDescent="0.3">
      <c r="A67" s="34" t="s">
        <v>90</v>
      </c>
      <c r="B67" s="39" t="s">
        <v>35</v>
      </c>
      <c r="C67" s="34" t="s">
        <v>8</v>
      </c>
      <c r="D67" s="40">
        <v>2007</v>
      </c>
      <c r="O67" s="40">
        <v>2007</v>
      </c>
      <c r="P67" s="41">
        <f t="shared" ref="P67:P130" si="1">SUM(D67:O67)</f>
        <v>4014</v>
      </c>
    </row>
    <row r="68" spans="1:16" x14ac:dyDescent="0.3">
      <c r="A68" s="34" t="s">
        <v>90</v>
      </c>
      <c r="B68" s="39" t="s">
        <v>37</v>
      </c>
      <c r="C68" s="34" t="s">
        <v>8</v>
      </c>
      <c r="O68" s="40">
        <v>203</v>
      </c>
      <c r="P68" s="41">
        <f t="shared" si="1"/>
        <v>203</v>
      </c>
    </row>
    <row r="69" spans="1:16" x14ac:dyDescent="0.3">
      <c r="A69" s="34" t="s">
        <v>90</v>
      </c>
      <c r="B69" s="39" t="s">
        <v>38</v>
      </c>
      <c r="C69" s="34" t="s">
        <v>8</v>
      </c>
      <c r="D69" s="40">
        <v>129.12</v>
      </c>
      <c r="E69" s="40">
        <v>114.21299999999999</v>
      </c>
      <c r="F69" s="40">
        <v>140.96199999999999</v>
      </c>
      <c r="G69" s="40">
        <v>140.453</v>
      </c>
      <c r="H69" s="40">
        <v>145.53800000000001</v>
      </c>
      <c r="I69" s="40">
        <v>132.321</v>
      </c>
      <c r="J69" s="40">
        <v>112.411</v>
      </c>
      <c r="K69" s="40">
        <v>122.056</v>
      </c>
      <c r="L69" s="40">
        <v>128.13200000000001</v>
      </c>
      <c r="M69" s="40">
        <v>129.55000000000001</v>
      </c>
      <c r="N69" s="40">
        <v>127.21299999999999</v>
      </c>
      <c r="O69" s="40">
        <v>9000.2999999999993</v>
      </c>
      <c r="P69" s="41">
        <f t="shared" si="1"/>
        <v>10422.269</v>
      </c>
    </row>
    <row r="70" spans="1:16" x14ac:dyDescent="0.3">
      <c r="A70" s="34" t="s">
        <v>90</v>
      </c>
      <c r="B70" s="39" t="s">
        <v>39</v>
      </c>
      <c r="C70" s="34" t="s">
        <v>8</v>
      </c>
      <c r="O70" s="40">
        <v>0</v>
      </c>
      <c r="P70" s="41">
        <f t="shared" si="1"/>
        <v>0</v>
      </c>
    </row>
    <row r="71" spans="1:16" x14ac:dyDescent="0.3">
      <c r="A71" s="34" t="s">
        <v>90</v>
      </c>
      <c r="B71" s="39" t="s">
        <v>91</v>
      </c>
      <c r="C71" s="34" t="s">
        <v>8</v>
      </c>
      <c r="P71" s="41">
        <f t="shared" si="1"/>
        <v>0</v>
      </c>
    </row>
    <row r="72" spans="1:16" x14ac:dyDescent="0.3">
      <c r="A72" s="34" t="s">
        <v>90</v>
      </c>
      <c r="B72" s="39" t="s">
        <v>41</v>
      </c>
      <c r="C72" s="34" t="s">
        <v>8</v>
      </c>
      <c r="D72" s="40">
        <v>3806.791666666667</v>
      </c>
      <c r="E72" s="40">
        <v>3819.8833333333332</v>
      </c>
      <c r="F72" s="40">
        <v>3832.9749999999999</v>
      </c>
      <c r="G72" s="40">
        <v>3846.0666666666671</v>
      </c>
      <c r="H72" s="40">
        <v>3859.1583333333328</v>
      </c>
      <c r="I72" s="40">
        <v>3872.25</v>
      </c>
      <c r="J72" s="40">
        <v>3885.3416666666658</v>
      </c>
      <c r="K72" s="40">
        <v>3898.4333333333329</v>
      </c>
      <c r="L72" s="40">
        <v>3911.5250000000001</v>
      </c>
      <c r="M72" s="40">
        <v>3924.616666666665</v>
      </c>
      <c r="N72" s="40">
        <v>3937.708333333333</v>
      </c>
      <c r="O72" s="40">
        <v>3950.8</v>
      </c>
      <c r="P72" s="41">
        <f t="shared" si="1"/>
        <v>46545.55000000001</v>
      </c>
    </row>
    <row r="73" spans="1:16" x14ac:dyDescent="0.3">
      <c r="A73" s="34" t="s">
        <v>90</v>
      </c>
      <c r="B73" s="39" t="s">
        <v>42</v>
      </c>
      <c r="C73" s="34" t="s">
        <v>8</v>
      </c>
      <c r="O73" s="40">
        <v>5476.9</v>
      </c>
      <c r="P73" s="41">
        <f t="shared" si="1"/>
        <v>5476.9</v>
      </c>
    </row>
    <row r="74" spans="1:16" x14ac:dyDescent="0.3">
      <c r="A74" s="34" t="s">
        <v>90</v>
      </c>
      <c r="B74" s="39" t="s">
        <v>43</v>
      </c>
      <c r="C74" s="34" t="s">
        <v>8</v>
      </c>
      <c r="D74" s="40">
        <v>-1670.6716666666671</v>
      </c>
      <c r="O74" s="40">
        <v>1782.6</v>
      </c>
      <c r="P74" s="41">
        <f t="shared" si="1"/>
        <v>111.92833333333283</v>
      </c>
    </row>
    <row r="75" spans="1:16" x14ac:dyDescent="0.3">
      <c r="A75" s="34" t="s">
        <v>90</v>
      </c>
      <c r="B75" s="35" t="s">
        <v>44</v>
      </c>
      <c r="C75" s="34" t="s">
        <v>8</v>
      </c>
      <c r="P75" s="37">
        <f t="shared" si="1"/>
        <v>0</v>
      </c>
    </row>
    <row r="76" spans="1:16" x14ac:dyDescent="0.3">
      <c r="A76" s="34" t="s">
        <v>90</v>
      </c>
      <c r="B76" s="35" t="s">
        <v>45</v>
      </c>
      <c r="C76" s="34" t="s">
        <v>8</v>
      </c>
      <c r="P76" s="41">
        <f t="shared" si="1"/>
        <v>0</v>
      </c>
    </row>
    <row r="77" spans="1:16" x14ac:dyDescent="0.3">
      <c r="A77" s="34" t="s">
        <v>90</v>
      </c>
      <c r="B77" s="35" t="s">
        <v>47</v>
      </c>
      <c r="C77" s="34" t="s">
        <v>8</v>
      </c>
      <c r="D77" s="41">
        <v>0</v>
      </c>
      <c r="E77" s="41">
        <v>-3705.670333333333</v>
      </c>
      <c r="F77" s="41">
        <v>-3692.0129999999999</v>
      </c>
      <c r="G77" s="41">
        <v>-3705.6136666666662</v>
      </c>
      <c r="H77" s="41">
        <v>-3713.6203333333328</v>
      </c>
      <c r="I77" s="41">
        <v>-3739.9290000000001</v>
      </c>
      <c r="J77" s="41">
        <v>-3772.9306666666662</v>
      </c>
      <c r="K77" s="41">
        <v>-3776.3773333333329</v>
      </c>
      <c r="L77" s="41">
        <v>-3783.393</v>
      </c>
      <c r="M77" s="41">
        <v>-3795.0666666666662</v>
      </c>
      <c r="N77" s="41">
        <v>-3810.4953333333328</v>
      </c>
      <c r="O77" s="41">
        <v>4.5474735088646412E-13</v>
      </c>
      <c r="P77" s="41">
        <f t="shared" si="1"/>
        <v>-37495.109333333334</v>
      </c>
    </row>
    <row r="78" spans="1:16" x14ac:dyDescent="0.3">
      <c r="A78" s="34" t="s">
        <v>90</v>
      </c>
      <c r="B78" s="35" t="s">
        <v>28</v>
      </c>
      <c r="C78" s="34" t="s">
        <v>9</v>
      </c>
      <c r="P78" s="36">
        <f t="shared" si="1"/>
        <v>0</v>
      </c>
    </row>
    <row r="79" spans="1:16" x14ac:dyDescent="0.3">
      <c r="A79" s="34" t="s">
        <v>90</v>
      </c>
      <c r="B79" s="35" t="s">
        <v>30</v>
      </c>
      <c r="C79" s="34" t="s">
        <v>9</v>
      </c>
      <c r="P79" s="36">
        <f t="shared" si="1"/>
        <v>0</v>
      </c>
    </row>
    <row r="80" spans="1:16" x14ac:dyDescent="0.3">
      <c r="A80" s="34" t="s">
        <v>90</v>
      </c>
      <c r="B80" s="35" t="s">
        <v>31</v>
      </c>
      <c r="C80" s="34" t="s">
        <v>9</v>
      </c>
      <c r="P80" s="37">
        <f t="shared" si="1"/>
        <v>0</v>
      </c>
    </row>
    <row r="81" spans="1:16" x14ac:dyDescent="0.3">
      <c r="A81" s="34" t="s">
        <v>90</v>
      </c>
      <c r="B81" s="35" t="s">
        <v>33</v>
      </c>
      <c r="C81" s="34" t="s">
        <v>9</v>
      </c>
      <c r="I81" s="38">
        <v>0.40424076516944929</v>
      </c>
      <c r="P81" s="38">
        <f t="shared" si="1"/>
        <v>0.40424076516944929</v>
      </c>
    </row>
    <row r="82" spans="1:16" x14ac:dyDescent="0.3">
      <c r="A82" s="34" t="s">
        <v>90</v>
      </c>
      <c r="B82" s="39" t="s">
        <v>35</v>
      </c>
      <c r="C82" s="34" t="s">
        <v>9</v>
      </c>
      <c r="D82" s="40">
        <v>1782.6</v>
      </c>
      <c r="O82" s="40">
        <v>1782.6</v>
      </c>
      <c r="P82" s="41">
        <f t="shared" si="1"/>
        <v>3565.2</v>
      </c>
    </row>
    <row r="83" spans="1:16" x14ac:dyDescent="0.3">
      <c r="A83" s="34" t="s">
        <v>90</v>
      </c>
      <c r="B83" s="39" t="s">
        <v>37</v>
      </c>
      <c r="C83" s="34" t="s">
        <v>9</v>
      </c>
      <c r="O83" s="40">
        <v>178.8</v>
      </c>
      <c r="P83" s="41">
        <f t="shared" si="1"/>
        <v>178.8</v>
      </c>
    </row>
    <row r="84" spans="1:16" x14ac:dyDescent="0.3">
      <c r="A84" s="34" t="s">
        <v>90</v>
      </c>
      <c r="B84" s="39" t="s">
        <v>38</v>
      </c>
      <c r="C84" s="34" t="s">
        <v>9</v>
      </c>
      <c r="D84" s="40">
        <v>142.74700000000001</v>
      </c>
      <c r="E84" s="40">
        <v>136.00299999999999</v>
      </c>
      <c r="F84" s="40">
        <v>144.62</v>
      </c>
      <c r="G84" s="40">
        <v>149.816</v>
      </c>
      <c r="H84" s="40">
        <v>156.429</v>
      </c>
      <c r="I84" s="40">
        <v>147.16499999999999</v>
      </c>
      <c r="J84" s="40">
        <v>143.02500000000001</v>
      </c>
      <c r="K84" s="40">
        <v>157.35499999999999</v>
      </c>
      <c r="L84" s="40">
        <v>137.04900000000001</v>
      </c>
      <c r="M84" s="40">
        <v>139.315</v>
      </c>
      <c r="N84" s="40">
        <v>140.89500000000001</v>
      </c>
      <c r="O84" s="40">
        <v>9611.1</v>
      </c>
      <c r="P84" s="41">
        <f t="shared" si="1"/>
        <v>11205.519</v>
      </c>
    </row>
    <row r="85" spans="1:16" x14ac:dyDescent="0.3">
      <c r="A85" s="34" t="s">
        <v>90</v>
      </c>
      <c r="B85" s="39" t="s">
        <v>39</v>
      </c>
      <c r="C85" s="34" t="s">
        <v>9</v>
      </c>
      <c r="O85" s="40">
        <v>0</v>
      </c>
      <c r="P85" s="41">
        <f t="shared" si="1"/>
        <v>0</v>
      </c>
    </row>
    <row r="86" spans="1:16" x14ac:dyDescent="0.3">
      <c r="A86" s="34" t="s">
        <v>90</v>
      </c>
      <c r="B86" s="39" t="s">
        <v>91</v>
      </c>
      <c r="C86" s="34" t="s">
        <v>9</v>
      </c>
      <c r="P86" s="41">
        <f t="shared" si="1"/>
        <v>0</v>
      </c>
    </row>
    <row r="87" spans="1:16" x14ac:dyDescent="0.3">
      <c r="A87" s="34" t="s">
        <v>90</v>
      </c>
      <c r="B87" s="39" t="s">
        <v>41</v>
      </c>
      <c r="C87" s="34" t="s">
        <v>9</v>
      </c>
      <c r="D87" s="40">
        <v>3992.391666666666</v>
      </c>
      <c r="E87" s="40">
        <v>4033.9833333333331</v>
      </c>
      <c r="F87" s="40">
        <v>4075.5749999999998</v>
      </c>
      <c r="G87" s="40">
        <v>4117.1666666666661</v>
      </c>
      <c r="H87" s="40">
        <v>4158.7583333333332</v>
      </c>
      <c r="I87" s="40">
        <v>4200.3499999999995</v>
      </c>
      <c r="J87" s="40">
        <v>4241.9416666666666</v>
      </c>
      <c r="K87" s="40">
        <v>4283.5333333333328</v>
      </c>
      <c r="L87" s="40">
        <v>4325.125</v>
      </c>
      <c r="M87" s="40">
        <v>4366.7166666666662</v>
      </c>
      <c r="N87" s="40">
        <v>4408.3083333333334</v>
      </c>
      <c r="O87" s="40">
        <v>4449.8999999999996</v>
      </c>
      <c r="P87" s="41">
        <f t="shared" si="1"/>
        <v>50653.75</v>
      </c>
    </row>
    <row r="88" spans="1:16" x14ac:dyDescent="0.3">
      <c r="A88" s="34" t="s">
        <v>90</v>
      </c>
      <c r="B88" s="39" t="s">
        <v>42</v>
      </c>
      <c r="C88" s="34" t="s">
        <v>9</v>
      </c>
      <c r="O88" s="40">
        <v>5661.1</v>
      </c>
      <c r="P88" s="41">
        <f t="shared" si="1"/>
        <v>5661.1</v>
      </c>
    </row>
    <row r="89" spans="1:16" x14ac:dyDescent="0.3">
      <c r="A89" s="34" t="s">
        <v>90</v>
      </c>
      <c r="B89" s="39" t="s">
        <v>43</v>
      </c>
      <c r="C89" s="34" t="s">
        <v>9</v>
      </c>
      <c r="D89" s="40">
        <v>-2067.0446666666671</v>
      </c>
      <c r="O89" s="40">
        <v>1461.5</v>
      </c>
      <c r="P89" s="41">
        <f t="shared" si="1"/>
        <v>-605.54466666666713</v>
      </c>
    </row>
    <row r="90" spans="1:16" x14ac:dyDescent="0.3">
      <c r="A90" s="34" t="s">
        <v>90</v>
      </c>
      <c r="B90" s="35" t="s">
        <v>44</v>
      </c>
      <c r="C90" s="34" t="s">
        <v>9</v>
      </c>
      <c r="P90" s="37">
        <f t="shared" si="1"/>
        <v>0</v>
      </c>
    </row>
    <row r="91" spans="1:16" x14ac:dyDescent="0.3">
      <c r="A91" s="34" t="s">
        <v>90</v>
      </c>
      <c r="B91" s="35" t="s">
        <v>45</v>
      </c>
      <c r="C91" s="34" t="s">
        <v>9</v>
      </c>
      <c r="P91" s="41">
        <f t="shared" si="1"/>
        <v>0</v>
      </c>
    </row>
    <row r="92" spans="1:16" x14ac:dyDescent="0.3">
      <c r="A92" s="34" t="s">
        <v>90</v>
      </c>
      <c r="B92" s="35" t="s">
        <v>47</v>
      </c>
      <c r="C92" s="34" t="s">
        <v>9</v>
      </c>
      <c r="D92" s="41">
        <v>0</v>
      </c>
      <c r="E92" s="41">
        <v>-3897.980333333333</v>
      </c>
      <c r="F92" s="41">
        <v>-3930.9549999999999</v>
      </c>
      <c r="G92" s="41">
        <v>-3967.3506666666658</v>
      </c>
      <c r="H92" s="41">
        <v>-4002.3293333333331</v>
      </c>
      <c r="I92" s="41">
        <v>-4053.1849999999999</v>
      </c>
      <c r="J92" s="41">
        <v>-4098.916666666667</v>
      </c>
      <c r="K92" s="41">
        <v>-4126.1783333333333</v>
      </c>
      <c r="L92" s="41">
        <v>-4188.076</v>
      </c>
      <c r="M92" s="41">
        <v>-4227.4016666666666</v>
      </c>
      <c r="N92" s="41">
        <v>-4267.413333333333</v>
      </c>
      <c r="O92" s="41">
        <v>0</v>
      </c>
      <c r="P92" s="41">
        <f t="shared" si="1"/>
        <v>-40759.78633333333</v>
      </c>
    </row>
    <row r="93" spans="1:16" x14ac:dyDescent="0.3">
      <c r="A93" s="34" t="s">
        <v>90</v>
      </c>
      <c r="B93" s="35" t="s">
        <v>28</v>
      </c>
      <c r="C93" s="34" t="s">
        <v>10</v>
      </c>
      <c r="P93" s="36">
        <f t="shared" si="1"/>
        <v>0</v>
      </c>
    </row>
    <row r="94" spans="1:16" x14ac:dyDescent="0.3">
      <c r="A94" s="34" t="s">
        <v>90</v>
      </c>
      <c r="B94" s="35" t="s">
        <v>30</v>
      </c>
      <c r="C94" s="34" t="s">
        <v>10</v>
      </c>
      <c r="P94" s="36">
        <f t="shared" si="1"/>
        <v>0</v>
      </c>
    </row>
    <row r="95" spans="1:16" x14ac:dyDescent="0.3">
      <c r="A95" s="34" t="s">
        <v>90</v>
      </c>
      <c r="B95" s="35" t="s">
        <v>31</v>
      </c>
      <c r="C95" s="34" t="s">
        <v>10</v>
      </c>
      <c r="P95" s="37">
        <f t="shared" si="1"/>
        <v>0</v>
      </c>
    </row>
    <row r="96" spans="1:16" x14ac:dyDescent="0.3">
      <c r="A96" s="34" t="s">
        <v>90</v>
      </c>
      <c r="B96" s="35" t="s">
        <v>33</v>
      </c>
      <c r="C96" s="34" t="s">
        <v>10</v>
      </c>
      <c r="I96" s="38">
        <v>0.4261049120589751</v>
      </c>
      <c r="P96" s="38">
        <f t="shared" si="1"/>
        <v>0.4261049120589751</v>
      </c>
    </row>
    <row r="97" spans="1:16" x14ac:dyDescent="0.3">
      <c r="A97" s="34" t="s">
        <v>90</v>
      </c>
      <c r="B97" s="39" t="s">
        <v>35</v>
      </c>
      <c r="C97" s="34" t="s">
        <v>10</v>
      </c>
      <c r="D97" s="40">
        <v>1461.5</v>
      </c>
      <c r="O97" s="40">
        <v>1461.5</v>
      </c>
      <c r="P97" s="41">
        <f t="shared" si="1"/>
        <v>2923</v>
      </c>
    </row>
    <row r="98" spans="1:16" x14ac:dyDescent="0.3">
      <c r="A98" s="34" t="s">
        <v>90</v>
      </c>
      <c r="B98" s="39" t="s">
        <v>37</v>
      </c>
      <c r="C98" s="34" t="s">
        <v>10</v>
      </c>
      <c r="O98" s="40">
        <v>120.5</v>
      </c>
      <c r="P98" s="41">
        <f t="shared" si="1"/>
        <v>120.5</v>
      </c>
    </row>
    <row r="99" spans="1:16" x14ac:dyDescent="0.3">
      <c r="A99" s="34" t="s">
        <v>90</v>
      </c>
      <c r="B99" s="39" t="s">
        <v>38</v>
      </c>
      <c r="C99" s="34" t="s">
        <v>10</v>
      </c>
      <c r="D99" s="40">
        <v>126.328</v>
      </c>
      <c r="E99" s="40">
        <v>154.03100000000001</v>
      </c>
      <c r="F99" s="40">
        <v>168.982</v>
      </c>
      <c r="G99" s="40">
        <v>158.08600000000001</v>
      </c>
      <c r="H99" s="40">
        <v>165.73</v>
      </c>
      <c r="I99" s="40">
        <v>155.60499999999999</v>
      </c>
      <c r="J99" s="40">
        <v>149.154</v>
      </c>
      <c r="K99" s="40">
        <v>167.96</v>
      </c>
      <c r="L99" s="40">
        <v>153.15</v>
      </c>
      <c r="M99" s="40">
        <v>138.73400000000001</v>
      </c>
      <c r="N99" s="40">
        <v>142.46899999999999</v>
      </c>
      <c r="O99" s="40">
        <v>12644.9</v>
      </c>
      <c r="P99" s="41">
        <f t="shared" si="1"/>
        <v>14325.129000000001</v>
      </c>
    </row>
    <row r="100" spans="1:16" x14ac:dyDescent="0.3">
      <c r="A100" s="34" t="s">
        <v>90</v>
      </c>
      <c r="B100" s="39" t="s">
        <v>39</v>
      </c>
      <c r="C100" s="34" t="s">
        <v>10</v>
      </c>
      <c r="O100" s="40">
        <v>0</v>
      </c>
      <c r="P100" s="41">
        <f t="shared" si="1"/>
        <v>0</v>
      </c>
    </row>
    <row r="101" spans="1:16" x14ac:dyDescent="0.3">
      <c r="A101" s="34" t="s">
        <v>90</v>
      </c>
      <c r="B101" s="39" t="s">
        <v>91</v>
      </c>
      <c r="C101" s="34" t="s">
        <v>10</v>
      </c>
      <c r="P101" s="41">
        <f t="shared" si="1"/>
        <v>0</v>
      </c>
    </row>
    <row r="102" spans="1:16" x14ac:dyDescent="0.3">
      <c r="A102" s="34" t="s">
        <v>90</v>
      </c>
      <c r="B102" s="39" t="s">
        <v>41</v>
      </c>
      <c r="C102" s="34" t="s">
        <v>10</v>
      </c>
      <c r="D102" s="40">
        <v>4443.7</v>
      </c>
      <c r="E102" s="40">
        <v>4437.5</v>
      </c>
      <c r="F102" s="40">
        <v>4431.2999999999993</v>
      </c>
      <c r="G102" s="40">
        <v>4425.0999999999995</v>
      </c>
      <c r="H102" s="40">
        <v>4418.8999999999996</v>
      </c>
      <c r="I102" s="40">
        <v>4412.7</v>
      </c>
      <c r="J102" s="40">
        <v>4406.5</v>
      </c>
      <c r="K102" s="40">
        <v>4400.3</v>
      </c>
      <c r="L102" s="40">
        <v>4394.1000000000004</v>
      </c>
      <c r="M102" s="40">
        <v>4387.8999999999996</v>
      </c>
      <c r="N102" s="40">
        <v>4381.7</v>
      </c>
      <c r="O102" s="40">
        <v>4375.5</v>
      </c>
      <c r="P102" s="41">
        <f t="shared" si="1"/>
        <v>52915.199999999997</v>
      </c>
    </row>
    <row r="103" spans="1:16" x14ac:dyDescent="0.3">
      <c r="A103" s="34" t="s">
        <v>90</v>
      </c>
      <c r="B103" s="39" t="s">
        <v>42</v>
      </c>
      <c r="C103" s="34" t="s">
        <v>10</v>
      </c>
      <c r="O103" s="40">
        <v>7907.9</v>
      </c>
      <c r="P103" s="41">
        <f t="shared" si="1"/>
        <v>7907.9</v>
      </c>
    </row>
    <row r="104" spans="1:16" x14ac:dyDescent="0.3">
      <c r="A104" s="34" t="s">
        <v>90</v>
      </c>
      <c r="B104" s="39" t="s">
        <v>43</v>
      </c>
      <c r="C104" s="34" t="s">
        <v>10</v>
      </c>
      <c r="D104" s="40">
        <v>-2855.8719999999998</v>
      </c>
      <c r="O104" s="40">
        <v>1943.5</v>
      </c>
      <c r="P104" s="41">
        <f t="shared" si="1"/>
        <v>-912.37199999999984</v>
      </c>
    </row>
    <row r="105" spans="1:16" x14ac:dyDescent="0.3">
      <c r="A105" s="34" t="s">
        <v>90</v>
      </c>
      <c r="B105" s="35" t="s">
        <v>44</v>
      </c>
      <c r="C105" s="34" t="s">
        <v>10</v>
      </c>
      <c r="P105" s="37">
        <f t="shared" si="1"/>
        <v>0</v>
      </c>
    </row>
    <row r="106" spans="1:16" x14ac:dyDescent="0.3">
      <c r="A106" s="34" t="s">
        <v>90</v>
      </c>
      <c r="B106" s="35" t="s">
        <v>45</v>
      </c>
      <c r="C106" s="34" t="s">
        <v>10</v>
      </c>
      <c r="P106" s="41">
        <f t="shared" si="1"/>
        <v>0</v>
      </c>
    </row>
    <row r="107" spans="1:16" x14ac:dyDescent="0.3">
      <c r="A107" s="34" t="s">
        <v>90</v>
      </c>
      <c r="B107" s="35" t="s">
        <v>47</v>
      </c>
      <c r="C107" s="34" t="s">
        <v>10</v>
      </c>
      <c r="D107" s="41">
        <v>0</v>
      </c>
      <c r="E107" s="41">
        <v>-4283.4690000000001</v>
      </c>
      <c r="F107" s="41">
        <v>-4262.3179999999993</v>
      </c>
      <c r="G107" s="41">
        <v>-4267.0139999999992</v>
      </c>
      <c r="H107" s="41">
        <v>-4253.17</v>
      </c>
      <c r="I107" s="41">
        <v>-4257.0950000000003</v>
      </c>
      <c r="J107" s="41">
        <v>-4257.3459999999995</v>
      </c>
      <c r="K107" s="41">
        <v>-4232.34</v>
      </c>
      <c r="L107" s="41">
        <v>-4240.9500000000007</v>
      </c>
      <c r="M107" s="41">
        <v>-4249.1659999999993</v>
      </c>
      <c r="N107" s="41">
        <v>-4239.2309999999998</v>
      </c>
      <c r="O107" s="41">
        <v>0</v>
      </c>
      <c r="P107" s="41">
        <f t="shared" si="1"/>
        <v>-42542.098999999995</v>
      </c>
    </row>
    <row r="108" spans="1:16" x14ac:dyDescent="0.3">
      <c r="A108" s="34" t="s">
        <v>90</v>
      </c>
      <c r="B108" s="35" t="s">
        <v>28</v>
      </c>
      <c r="C108" s="34" t="s">
        <v>11</v>
      </c>
      <c r="P108" s="36">
        <f t="shared" si="1"/>
        <v>0</v>
      </c>
    </row>
    <row r="109" spans="1:16" x14ac:dyDescent="0.3">
      <c r="A109" s="34" t="s">
        <v>90</v>
      </c>
      <c r="B109" s="35" t="s">
        <v>30</v>
      </c>
      <c r="C109" s="34" t="s">
        <v>11</v>
      </c>
      <c r="P109" s="36">
        <f t="shared" si="1"/>
        <v>0</v>
      </c>
    </row>
    <row r="110" spans="1:16" x14ac:dyDescent="0.3">
      <c r="A110" s="34" t="s">
        <v>90</v>
      </c>
      <c r="B110" s="35" t="s">
        <v>31</v>
      </c>
      <c r="C110" s="34" t="s">
        <v>11</v>
      </c>
      <c r="P110" s="37">
        <f t="shared" si="1"/>
        <v>0</v>
      </c>
    </row>
    <row r="111" spans="1:16" x14ac:dyDescent="0.3">
      <c r="A111" s="34" t="s">
        <v>90</v>
      </c>
      <c r="B111" s="35" t="s">
        <v>33</v>
      </c>
      <c r="C111" s="34" t="s">
        <v>11</v>
      </c>
      <c r="I111" s="38">
        <v>0.46296617618420971</v>
      </c>
      <c r="P111" s="38">
        <f t="shared" si="1"/>
        <v>0.46296617618420971</v>
      </c>
    </row>
    <row r="112" spans="1:16" x14ac:dyDescent="0.3">
      <c r="A112" s="34" t="s">
        <v>90</v>
      </c>
      <c r="B112" s="39" t="s">
        <v>35</v>
      </c>
      <c r="C112" s="34" t="s">
        <v>11</v>
      </c>
      <c r="D112" s="40">
        <v>1943.5</v>
      </c>
      <c r="O112" s="40">
        <v>1943.5</v>
      </c>
      <c r="P112" s="41">
        <f t="shared" si="1"/>
        <v>3887</v>
      </c>
    </row>
    <row r="113" spans="1:16" x14ac:dyDescent="0.3">
      <c r="A113" s="34" t="s">
        <v>90</v>
      </c>
      <c r="B113" s="39" t="s">
        <v>37</v>
      </c>
      <c r="C113" s="34" t="s">
        <v>11</v>
      </c>
      <c r="O113" s="40">
        <v>127.9</v>
      </c>
      <c r="P113" s="41">
        <f t="shared" si="1"/>
        <v>127.9</v>
      </c>
    </row>
    <row r="114" spans="1:16" x14ac:dyDescent="0.3">
      <c r="A114" s="34" t="s">
        <v>90</v>
      </c>
      <c r="B114" s="39" t="s">
        <v>38</v>
      </c>
      <c r="C114" s="34" t="s">
        <v>11</v>
      </c>
      <c r="D114" s="40">
        <v>145.80099999999999</v>
      </c>
      <c r="E114" s="40">
        <v>144.41900000000001</v>
      </c>
      <c r="F114" s="40">
        <v>135.43299999999999</v>
      </c>
      <c r="G114" s="40">
        <v>164.17599999999999</v>
      </c>
      <c r="H114" s="40">
        <v>155.36799999999999</v>
      </c>
      <c r="I114" s="40">
        <v>177.93</v>
      </c>
      <c r="J114" s="40">
        <v>170.75399999999999</v>
      </c>
      <c r="K114" s="40">
        <v>208.994</v>
      </c>
      <c r="L114" s="40">
        <v>193.46600000000001</v>
      </c>
      <c r="M114" s="40">
        <v>189.01599999999999</v>
      </c>
      <c r="N114" s="40">
        <v>200.51400000000001</v>
      </c>
      <c r="O114" s="40">
        <v>12898.1</v>
      </c>
      <c r="P114" s="41">
        <f t="shared" si="1"/>
        <v>14783.971000000001</v>
      </c>
    </row>
    <row r="115" spans="1:16" x14ac:dyDescent="0.3">
      <c r="A115" s="34" t="s">
        <v>90</v>
      </c>
      <c r="B115" s="39" t="s">
        <v>39</v>
      </c>
      <c r="C115" s="34" t="s">
        <v>11</v>
      </c>
      <c r="O115" s="40">
        <v>0</v>
      </c>
      <c r="P115" s="41">
        <f t="shared" si="1"/>
        <v>0</v>
      </c>
    </row>
    <row r="116" spans="1:16" x14ac:dyDescent="0.3">
      <c r="A116" s="34" t="s">
        <v>90</v>
      </c>
      <c r="B116" s="39" t="s">
        <v>91</v>
      </c>
      <c r="C116" s="34" t="s">
        <v>11</v>
      </c>
      <c r="P116" s="41">
        <f t="shared" si="1"/>
        <v>0</v>
      </c>
    </row>
    <row r="117" spans="1:16" x14ac:dyDescent="0.3">
      <c r="A117" s="34" t="s">
        <v>90</v>
      </c>
      <c r="B117" s="39" t="s">
        <v>41</v>
      </c>
      <c r="C117" s="34" t="s">
        <v>11</v>
      </c>
      <c r="D117" s="40">
        <v>4432.3999999999996</v>
      </c>
      <c r="E117" s="40">
        <v>4489.3</v>
      </c>
      <c r="F117" s="40">
        <v>4546.2</v>
      </c>
      <c r="G117" s="40">
        <v>4603.1000000000004</v>
      </c>
      <c r="H117" s="40">
        <v>4660</v>
      </c>
      <c r="I117" s="40">
        <v>4716.8999999999996</v>
      </c>
      <c r="J117" s="40">
        <v>4773.8</v>
      </c>
      <c r="K117" s="40">
        <v>4830.7</v>
      </c>
      <c r="L117" s="40">
        <v>4887.6000000000004</v>
      </c>
      <c r="M117" s="40">
        <v>4944.5</v>
      </c>
      <c r="N117" s="40">
        <v>5001.3999999999996</v>
      </c>
      <c r="O117" s="40">
        <v>5058.3</v>
      </c>
      <c r="P117" s="41">
        <f t="shared" si="1"/>
        <v>56944.200000000004</v>
      </c>
    </row>
    <row r="118" spans="1:16" x14ac:dyDescent="0.3">
      <c r="A118" s="34" t="s">
        <v>90</v>
      </c>
      <c r="B118" s="39" t="s">
        <v>42</v>
      </c>
      <c r="C118" s="34" t="s">
        <v>11</v>
      </c>
      <c r="O118" s="40">
        <v>7162.5</v>
      </c>
      <c r="P118" s="41">
        <f t="shared" si="1"/>
        <v>7162.5</v>
      </c>
    </row>
    <row r="119" spans="1:16" x14ac:dyDescent="0.3">
      <c r="A119" s="34" t="s">
        <v>90</v>
      </c>
      <c r="B119" s="39" t="s">
        <v>43</v>
      </c>
      <c r="C119" s="34" t="s">
        <v>11</v>
      </c>
      <c r="D119" s="40">
        <v>-2343.0990000000002</v>
      </c>
      <c r="O119" s="40">
        <v>2748.7</v>
      </c>
      <c r="P119" s="41">
        <f t="shared" si="1"/>
        <v>405.60099999999966</v>
      </c>
    </row>
    <row r="120" spans="1:16" x14ac:dyDescent="0.3">
      <c r="A120" s="34" t="s">
        <v>90</v>
      </c>
      <c r="B120" s="35" t="s">
        <v>44</v>
      </c>
      <c r="C120" s="34" t="s">
        <v>11</v>
      </c>
      <c r="P120" s="37">
        <f t="shared" si="1"/>
        <v>0</v>
      </c>
    </row>
    <row r="121" spans="1:16" x14ac:dyDescent="0.3">
      <c r="A121" s="34" t="s">
        <v>90</v>
      </c>
      <c r="B121" s="35" t="s">
        <v>45</v>
      </c>
      <c r="C121" s="34" t="s">
        <v>11</v>
      </c>
      <c r="P121" s="41">
        <f t="shared" si="1"/>
        <v>0</v>
      </c>
    </row>
    <row r="122" spans="1:16" x14ac:dyDescent="0.3">
      <c r="A122" s="34" t="s">
        <v>90</v>
      </c>
      <c r="B122" s="35" t="s">
        <v>47</v>
      </c>
      <c r="C122" s="34" t="s">
        <v>11</v>
      </c>
      <c r="D122" s="41">
        <v>0</v>
      </c>
      <c r="E122" s="41">
        <v>-4344.8810000000003</v>
      </c>
      <c r="F122" s="41">
        <v>-4410.7669999999998</v>
      </c>
      <c r="G122" s="41">
        <v>-4438.924</v>
      </c>
      <c r="H122" s="41">
        <v>-4504.6319999999996</v>
      </c>
      <c r="I122" s="41">
        <v>-4538.9699999999993</v>
      </c>
      <c r="J122" s="41">
        <v>-4603.0460000000003</v>
      </c>
      <c r="K122" s="41">
        <v>-4621.7060000000001</v>
      </c>
      <c r="L122" s="41">
        <v>-4694.134</v>
      </c>
      <c r="M122" s="41">
        <v>-4755.4840000000004</v>
      </c>
      <c r="N122" s="41">
        <v>-4800.8860000000004</v>
      </c>
      <c r="O122" s="41">
        <v>9.0949470177292824E-13</v>
      </c>
      <c r="P122" s="41">
        <f t="shared" si="1"/>
        <v>-45713.429999999993</v>
      </c>
    </row>
    <row r="123" spans="1:16" x14ac:dyDescent="0.3">
      <c r="A123" s="34" t="s">
        <v>90</v>
      </c>
      <c r="B123" s="35" t="s">
        <v>28</v>
      </c>
      <c r="C123" s="34" t="s">
        <v>12</v>
      </c>
      <c r="P123" s="36">
        <f t="shared" si="1"/>
        <v>0</v>
      </c>
    </row>
    <row r="124" spans="1:16" x14ac:dyDescent="0.3">
      <c r="A124" s="34" t="s">
        <v>90</v>
      </c>
      <c r="B124" s="35" t="s">
        <v>30</v>
      </c>
      <c r="C124" s="34" t="s">
        <v>12</v>
      </c>
      <c r="P124" s="36">
        <f t="shared" si="1"/>
        <v>0</v>
      </c>
    </row>
    <row r="125" spans="1:16" x14ac:dyDescent="0.3">
      <c r="A125" s="34" t="s">
        <v>90</v>
      </c>
      <c r="B125" s="35" t="s">
        <v>31</v>
      </c>
      <c r="C125" s="34" t="s">
        <v>12</v>
      </c>
      <c r="P125" s="37">
        <f t="shared" si="1"/>
        <v>0</v>
      </c>
    </row>
    <row r="126" spans="1:16" x14ac:dyDescent="0.3">
      <c r="A126" s="34" t="s">
        <v>90</v>
      </c>
      <c r="B126" s="35" t="s">
        <v>33</v>
      </c>
      <c r="C126" s="34" t="s">
        <v>12</v>
      </c>
      <c r="I126" s="38">
        <v>0.52134988175729724</v>
      </c>
      <c r="P126" s="38">
        <f t="shared" si="1"/>
        <v>0.52134988175729724</v>
      </c>
    </row>
    <row r="127" spans="1:16" x14ac:dyDescent="0.3">
      <c r="A127" s="34" t="s">
        <v>90</v>
      </c>
      <c r="B127" s="39" t="s">
        <v>35</v>
      </c>
      <c r="C127" s="34" t="s">
        <v>12</v>
      </c>
      <c r="D127" s="40">
        <v>2748.7</v>
      </c>
      <c r="O127" s="40">
        <v>2748.7</v>
      </c>
      <c r="P127" s="41">
        <f t="shared" si="1"/>
        <v>5497.4</v>
      </c>
    </row>
    <row r="128" spans="1:16" x14ac:dyDescent="0.3">
      <c r="A128" s="34" t="s">
        <v>90</v>
      </c>
      <c r="B128" s="39" t="s">
        <v>37</v>
      </c>
      <c r="C128" s="34" t="s">
        <v>12</v>
      </c>
      <c r="O128" s="40">
        <v>223.7</v>
      </c>
      <c r="P128" s="41">
        <f t="shared" si="1"/>
        <v>223.7</v>
      </c>
    </row>
    <row r="129" spans="1:16" x14ac:dyDescent="0.3">
      <c r="A129" s="34" t="s">
        <v>90</v>
      </c>
      <c r="B129" s="39" t="s">
        <v>38</v>
      </c>
      <c r="C129" s="34" t="s">
        <v>12</v>
      </c>
      <c r="D129" s="40">
        <v>192.227</v>
      </c>
      <c r="E129" s="40">
        <v>219.42400000000001</v>
      </c>
      <c r="F129" s="40">
        <v>239.345</v>
      </c>
      <c r="G129" s="40">
        <v>239.87</v>
      </c>
      <c r="H129" s="40">
        <v>243.49700000000001</v>
      </c>
      <c r="I129" s="40">
        <v>221.745</v>
      </c>
      <c r="J129" s="40">
        <v>213.452</v>
      </c>
      <c r="K129" s="40">
        <v>257.35599999999999</v>
      </c>
      <c r="L129" s="40">
        <v>236.52199999999999</v>
      </c>
      <c r="M129" s="40">
        <v>228.137</v>
      </c>
      <c r="N129" s="40">
        <v>229.92</v>
      </c>
      <c r="O129" s="40">
        <v>12788.6</v>
      </c>
      <c r="P129" s="41">
        <f t="shared" si="1"/>
        <v>15310.095000000001</v>
      </c>
    </row>
    <row r="130" spans="1:16" x14ac:dyDescent="0.3">
      <c r="A130" s="34" t="s">
        <v>90</v>
      </c>
      <c r="B130" s="39" t="s">
        <v>39</v>
      </c>
      <c r="C130" s="34" t="s">
        <v>12</v>
      </c>
      <c r="O130" s="40">
        <v>0</v>
      </c>
      <c r="P130" s="41">
        <f t="shared" si="1"/>
        <v>0</v>
      </c>
    </row>
    <row r="131" spans="1:16" x14ac:dyDescent="0.3">
      <c r="A131" s="34" t="s">
        <v>90</v>
      </c>
      <c r="B131" s="39" t="s">
        <v>91</v>
      </c>
      <c r="C131" s="34" t="s">
        <v>12</v>
      </c>
      <c r="P131" s="41">
        <f t="shared" ref="P131:P194" si="2">SUM(D131:O131)</f>
        <v>0</v>
      </c>
    </row>
    <row r="132" spans="1:16" x14ac:dyDescent="0.3">
      <c r="A132" s="34" t="s">
        <v>90</v>
      </c>
      <c r="B132" s="39" t="s">
        <v>41</v>
      </c>
      <c r="C132" s="34" t="s">
        <v>12</v>
      </c>
      <c r="D132" s="40">
        <v>5175.9916666666668</v>
      </c>
      <c r="E132" s="40">
        <v>5293.6833333333334</v>
      </c>
      <c r="F132" s="40">
        <v>5411.375</v>
      </c>
      <c r="G132" s="40">
        <v>5529.0666666666666</v>
      </c>
      <c r="H132" s="40">
        <v>5646.7583333333332</v>
      </c>
      <c r="I132" s="40">
        <v>5764.45</v>
      </c>
      <c r="J132" s="40">
        <v>5882.1416666666664</v>
      </c>
      <c r="K132" s="40">
        <v>5999.833333333333</v>
      </c>
      <c r="L132" s="40">
        <v>6117.5249999999996</v>
      </c>
      <c r="M132" s="40">
        <v>6235.2166666666662</v>
      </c>
      <c r="N132" s="40">
        <v>6352.9083333333328</v>
      </c>
      <c r="O132" s="40">
        <v>6470.5999999999995</v>
      </c>
      <c r="P132" s="41">
        <f t="shared" si="2"/>
        <v>69879.55</v>
      </c>
    </row>
    <row r="133" spans="1:16" x14ac:dyDescent="0.3">
      <c r="A133" s="34" t="s">
        <v>90</v>
      </c>
      <c r="B133" s="39" t="s">
        <v>42</v>
      </c>
      <c r="C133" s="34" t="s">
        <v>12</v>
      </c>
      <c r="O133" s="40">
        <v>7104.6</v>
      </c>
      <c r="P133" s="41">
        <f t="shared" si="2"/>
        <v>7104.6</v>
      </c>
    </row>
    <row r="134" spans="1:16" x14ac:dyDescent="0.3">
      <c r="A134" s="34" t="s">
        <v>90</v>
      </c>
      <c r="B134" s="39" t="s">
        <v>43</v>
      </c>
      <c r="C134" s="34" t="s">
        <v>12</v>
      </c>
      <c r="D134" s="40">
        <v>-2235.0646666666671</v>
      </c>
      <c r="O134" s="40">
        <v>2185.8000000000002</v>
      </c>
      <c r="P134" s="41">
        <f t="shared" si="2"/>
        <v>-49.264666666666926</v>
      </c>
    </row>
    <row r="135" spans="1:16" x14ac:dyDescent="0.3">
      <c r="A135" s="34" t="s">
        <v>90</v>
      </c>
      <c r="B135" s="35" t="s">
        <v>44</v>
      </c>
      <c r="C135" s="34" t="s">
        <v>12</v>
      </c>
      <c r="P135" s="37">
        <f t="shared" si="2"/>
        <v>0</v>
      </c>
    </row>
    <row r="136" spans="1:16" x14ac:dyDescent="0.3">
      <c r="A136" s="34" t="s">
        <v>90</v>
      </c>
      <c r="B136" s="35" t="s">
        <v>45</v>
      </c>
      <c r="C136" s="34" t="s">
        <v>12</v>
      </c>
      <c r="P136" s="41">
        <f t="shared" si="2"/>
        <v>0</v>
      </c>
    </row>
    <row r="137" spans="1:16" x14ac:dyDescent="0.3">
      <c r="A137" s="34" t="s">
        <v>90</v>
      </c>
      <c r="B137" s="35" t="s">
        <v>47</v>
      </c>
      <c r="C137" s="34" t="s">
        <v>12</v>
      </c>
      <c r="D137" s="41">
        <v>0</v>
      </c>
      <c r="E137" s="41">
        <v>-5074.2593333333334</v>
      </c>
      <c r="F137" s="41">
        <v>-5172.03</v>
      </c>
      <c r="G137" s="41">
        <v>-5289.1966666666667</v>
      </c>
      <c r="H137" s="41">
        <v>-5403.2613333333329</v>
      </c>
      <c r="I137" s="41">
        <v>-5542.7049999999999</v>
      </c>
      <c r="J137" s="41">
        <v>-5668.6896666666662</v>
      </c>
      <c r="K137" s="41">
        <v>-5742.4773333333333</v>
      </c>
      <c r="L137" s="41">
        <v>-5881.0029999999997</v>
      </c>
      <c r="M137" s="41">
        <v>-6007.0796666666674</v>
      </c>
      <c r="N137" s="41">
        <v>-6122.9883333333328</v>
      </c>
      <c r="O137" s="41">
        <v>9.0949470177292824E-13</v>
      </c>
      <c r="P137" s="41">
        <f t="shared" si="2"/>
        <v>-55903.690333333332</v>
      </c>
    </row>
    <row r="138" spans="1:16" x14ac:dyDescent="0.3">
      <c r="A138" s="34" t="s">
        <v>90</v>
      </c>
      <c r="B138" s="35" t="s">
        <v>28</v>
      </c>
      <c r="C138" s="34" t="s">
        <v>13</v>
      </c>
      <c r="P138" s="36">
        <f t="shared" si="2"/>
        <v>0</v>
      </c>
    </row>
    <row r="139" spans="1:16" x14ac:dyDescent="0.3">
      <c r="A139" s="34" t="s">
        <v>90</v>
      </c>
      <c r="B139" s="35" t="s">
        <v>30</v>
      </c>
      <c r="C139" s="34" t="s">
        <v>13</v>
      </c>
      <c r="P139" s="36">
        <f t="shared" si="2"/>
        <v>0</v>
      </c>
    </row>
    <row r="140" spans="1:16" x14ac:dyDescent="0.3">
      <c r="A140" s="34" t="s">
        <v>90</v>
      </c>
      <c r="B140" s="35" t="s">
        <v>31</v>
      </c>
      <c r="C140" s="34" t="s">
        <v>13</v>
      </c>
      <c r="P140" s="37">
        <f t="shared" si="2"/>
        <v>0</v>
      </c>
    </row>
    <row r="141" spans="1:16" x14ac:dyDescent="0.3">
      <c r="A141" s="34" t="s">
        <v>90</v>
      </c>
      <c r="B141" s="35" t="s">
        <v>33</v>
      </c>
      <c r="C141" s="34" t="s">
        <v>13</v>
      </c>
      <c r="I141" s="38">
        <v>0.57375351024034205</v>
      </c>
      <c r="P141" s="38">
        <f t="shared" si="2"/>
        <v>0.57375351024034205</v>
      </c>
    </row>
    <row r="142" spans="1:16" x14ac:dyDescent="0.3">
      <c r="A142" s="34" t="s">
        <v>90</v>
      </c>
      <c r="B142" s="39" t="s">
        <v>35</v>
      </c>
      <c r="C142" s="34" t="s">
        <v>13</v>
      </c>
      <c r="D142" s="40">
        <v>2185.8000000000002</v>
      </c>
      <c r="O142" s="40">
        <v>2185.8000000000002</v>
      </c>
      <c r="P142" s="41">
        <f t="shared" si="2"/>
        <v>4371.6000000000004</v>
      </c>
    </row>
    <row r="143" spans="1:16" x14ac:dyDescent="0.3">
      <c r="A143" s="34" t="s">
        <v>90</v>
      </c>
      <c r="B143" s="39" t="s">
        <v>37</v>
      </c>
      <c r="C143" s="34" t="s">
        <v>13</v>
      </c>
      <c r="O143" s="40">
        <v>96.6</v>
      </c>
      <c r="P143" s="41">
        <f t="shared" si="2"/>
        <v>96.6</v>
      </c>
    </row>
    <row r="144" spans="1:16" x14ac:dyDescent="0.3">
      <c r="A144" s="34" t="s">
        <v>90</v>
      </c>
      <c r="B144" s="39" t="s">
        <v>38</v>
      </c>
      <c r="C144" s="34" t="s">
        <v>13</v>
      </c>
      <c r="D144" s="40">
        <v>196.18899999999999</v>
      </c>
      <c r="E144" s="40">
        <v>260.22199999999998</v>
      </c>
      <c r="F144" s="40">
        <v>262.678</v>
      </c>
      <c r="G144" s="40">
        <v>268.87599999999998</v>
      </c>
      <c r="H144" s="40">
        <v>299.75</v>
      </c>
      <c r="I144" s="40">
        <v>284.89299999999997</v>
      </c>
      <c r="J144" s="40">
        <v>264.928</v>
      </c>
      <c r="K144" s="40">
        <v>300.04199999999997</v>
      </c>
      <c r="L144" s="40">
        <v>275.15800000000002</v>
      </c>
      <c r="M144" s="40">
        <v>236.87899999999999</v>
      </c>
      <c r="N144" s="40">
        <v>216.34800000000001</v>
      </c>
      <c r="O144" s="40">
        <v>14608.1</v>
      </c>
      <c r="P144" s="41">
        <f t="shared" si="2"/>
        <v>17474.063000000002</v>
      </c>
    </row>
    <row r="145" spans="1:16" x14ac:dyDescent="0.3">
      <c r="A145" s="34" t="s">
        <v>90</v>
      </c>
      <c r="B145" s="39" t="s">
        <v>39</v>
      </c>
      <c r="C145" s="34" t="s">
        <v>13</v>
      </c>
      <c r="O145" s="40">
        <v>0</v>
      </c>
      <c r="P145" s="41">
        <f t="shared" si="2"/>
        <v>0</v>
      </c>
    </row>
    <row r="146" spans="1:16" x14ac:dyDescent="0.3">
      <c r="A146" s="34" t="s">
        <v>90</v>
      </c>
      <c r="B146" s="39" t="s">
        <v>91</v>
      </c>
      <c r="C146" s="34" t="s">
        <v>13</v>
      </c>
      <c r="P146" s="41">
        <f t="shared" si="2"/>
        <v>0</v>
      </c>
    </row>
    <row r="147" spans="1:16" x14ac:dyDescent="0.3">
      <c r="A147" s="34" t="s">
        <v>90</v>
      </c>
      <c r="B147" s="39" t="s">
        <v>41</v>
      </c>
      <c r="C147" s="34" t="s">
        <v>13</v>
      </c>
      <c r="D147" s="40">
        <v>6555.0583333333316</v>
      </c>
      <c r="E147" s="40">
        <v>6639.5166666666664</v>
      </c>
      <c r="F147" s="40">
        <v>6723.9749999999995</v>
      </c>
      <c r="G147" s="40">
        <v>6808.4333333333334</v>
      </c>
      <c r="H147" s="40">
        <v>6892.8916666666664</v>
      </c>
      <c r="I147" s="40">
        <v>6977.35</v>
      </c>
      <c r="J147" s="40">
        <v>7061.8083333333334</v>
      </c>
      <c r="K147" s="40">
        <v>7146.2666666666664</v>
      </c>
      <c r="L147" s="40">
        <v>7230.7250000000004</v>
      </c>
      <c r="M147" s="40">
        <v>7315.1833333333334</v>
      </c>
      <c r="N147" s="40">
        <v>7399.6416666666673</v>
      </c>
      <c r="O147" s="40">
        <v>7484.1</v>
      </c>
      <c r="P147" s="41">
        <f t="shared" si="2"/>
        <v>84234.95</v>
      </c>
    </row>
    <row r="148" spans="1:16" x14ac:dyDescent="0.3">
      <c r="A148" s="34" t="s">
        <v>90</v>
      </c>
      <c r="B148" s="39" t="s">
        <v>42</v>
      </c>
      <c r="C148" s="34" t="s">
        <v>13</v>
      </c>
      <c r="O148" s="40">
        <v>8699</v>
      </c>
      <c r="P148" s="41">
        <f t="shared" si="2"/>
        <v>8699</v>
      </c>
    </row>
    <row r="149" spans="1:16" x14ac:dyDescent="0.3">
      <c r="A149" s="34" t="s">
        <v>90</v>
      </c>
      <c r="B149" s="39" t="s">
        <v>43</v>
      </c>
      <c r="C149" s="34" t="s">
        <v>13</v>
      </c>
      <c r="D149" s="40">
        <v>-4173.0693333333329</v>
      </c>
      <c r="O149" s="40">
        <v>707.4</v>
      </c>
      <c r="P149" s="41">
        <f t="shared" si="2"/>
        <v>-3465.6693333333328</v>
      </c>
    </row>
    <row r="150" spans="1:16" x14ac:dyDescent="0.3">
      <c r="A150" s="34" t="s">
        <v>90</v>
      </c>
      <c r="B150" s="35" t="s">
        <v>44</v>
      </c>
      <c r="C150" s="34" t="s">
        <v>13</v>
      </c>
      <c r="P150" s="37">
        <f t="shared" si="2"/>
        <v>0</v>
      </c>
    </row>
    <row r="151" spans="1:16" x14ac:dyDescent="0.3">
      <c r="A151" s="34" t="s">
        <v>90</v>
      </c>
      <c r="B151" s="35" t="s">
        <v>45</v>
      </c>
      <c r="C151" s="34" t="s">
        <v>13</v>
      </c>
      <c r="P151" s="41">
        <f t="shared" si="2"/>
        <v>0</v>
      </c>
    </row>
    <row r="152" spans="1:16" x14ac:dyDescent="0.3">
      <c r="A152" s="34" t="s">
        <v>90</v>
      </c>
      <c r="B152" s="35" t="s">
        <v>47</v>
      </c>
      <c r="C152" s="34" t="s">
        <v>13</v>
      </c>
      <c r="D152" s="41">
        <v>0</v>
      </c>
      <c r="E152" s="41">
        <v>-6379.2946666666667</v>
      </c>
      <c r="F152" s="41">
        <v>-6461.2969999999996</v>
      </c>
      <c r="G152" s="41">
        <v>-6539.5573333333332</v>
      </c>
      <c r="H152" s="41">
        <v>-6593.1416666666664</v>
      </c>
      <c r="I152" s="41">
        <v>-6692.4570000000003</v>
      </c>
      <c r="J152" s="41">
        <v>-6796.8803333333344</v>
      </c>
      <c r="K152" s="41">
        <v>-6846.2246666666661</v>
      </c>
      <c r="L152" s="41">
        <v>-6955.567</v>
      </c>
      <c r="M152" s="41">
        <v>-7078.3043333333326</v>
      </c>
      <c r="N152" s="41">
        <v>-7183.2936666666674</v>
      </c>
      <c r="O152" s="41">
        <v>-3.4106051316484809E-13</v>
      </c>
      <c r="P152" s="41">
        <f t="shared" si="2"/>
        <v>-67526.017666666681</v>
      </c>
    </row>
    <row r="153" spans="1:16" x14ac:dyDescent="0.3">
      <c r="A153" s="34" t="s">
        <v>90</v>
      </c>
      <c r="B153" s="35" t="s">
        <v>28</v>
      </c>
      <c r="C153" s="34" t="s">
        <v>14</v>
      </c>
      <c r="P153" s="36">
        <f t="shared" si="2"/>
        <v>0</v>
      </c>
    </row>
    <row r="154" spans="1:16" x14ac:dyDescent="0.3">
      <c r="A154" s="34" t="s">
        <v>90</v>
      </c>
      <c r="B154" s="35" t="s">
        <v>30</v>
      </c>
      <c r="C154" s="34" t="s">
        <v>14</v>
      </c>
      <c r="P154" s="36">
        <f t="shared" si="2"/>
        <v>0</v>
      </c>
    </row>
    <row r="155" spans="1:16" x14ac:dyDescent="0.3">
      <c r="A155" s="34" t="s">
        <v>90</v>
      </c>
      <c r="B155" s="35" t="s">
        <v>31</v>
      </c>
      <c r="C155" s="34" t="s">
        <v>14</v>
      </c>
      <c r="P155" s="37">
        <f t="shared" si="2"/>
        <v>0</v>
      </c>
    </row>
    <row r="156" spans="1:16" x14ac:dyDescent="0.3">
      <c r="A156" s="34" t="s">
        <v>90</v>
      </c>
      <c r="B156" s="35" t="s">
        <v>33</v>
      </c>
      <c r="C156" s="34" t="s">
        <v>14</v>
      </c>
      <c r="I156" s="38">
        <v>0.52766619173658524</v>
      </c>
      <c r="P156" s="38">
        <f t="shared" si="2"/>
        <v>0.52766619173658524</v>
      </c>
    </row>
    <row r="157" spans="1:16" x14ac:dyDescent="0.3">
      <c r="A157" s="34" t="s">
        <v>90</v>
      </c>
      <c r="B157" s="39" t="s">
        <v>35</v>
      </c>
      <c r="C157" s="34" t="s">
        <v>14</v>
      </c>
      <c r="D157" s="40">
        <v>707.4</v>
      </c>
      <c r="O157" s="40">
        <v>707.4</v>
      </c>
      <c r="P157" s="41">
        <f t="shared" si="2"/>
        <v>1414.8</v>
      </c>
    </row>
    <row r="158" spans="1:16" x14ac:dyDescent="0.3">
      <c r="A158" s="34" t="s">
        <v>90</v>
      </c>
      <c r="B158" s="39" t="s">
        <v>37</v>
      </c>
      <c r="C158" s="34" t="s">
        <v>14</v>
      </c>
      <c r="O158" s="40">
        <v>127.6</v>
      </c>
      <c r="P158" s="41">
        <f t="shared" si="2"/>
        <v>127.6</v>
      </c>
    </row>
    <row r="159" spans="1:16" x14ac:dyDescent="0.3">
      <c r="A159" s="34" t="s">
        <v>90</v>
      </c>
      <c r="B159" s="39" t="s">
        <v>38</v>
      </c>
      <c r="C159" s="34" t="s">
        <v>14</v>
      </c>
      <c r="D159" s="40">
        <v>216.58099999999999</v>
      </c>
      <c r="E159" s="40">
        <v>270.50099999999998</v>
      </c>
      <c r="F159" s="40">
        <v>284.89999999999998</v>
      </c>
      <c r="G159" s="40">
        <v>255.54599999999999</v>
      </c>
      <c r="H159" s="40">
        <v>282.00599999999997</v>
      </c>
      <c r="I159" s="40">
        <v>243.47499999999999</v>
      </c>
      <c r="J159" s="40">
        <v>230.56700000000001</v>
      </c>
      <c r="K159" s="40">
        <v>261.608</v>
      </c>
      <c r="L159" s="40">
        <v>252.30199999999999</v>
      </c>
      <c r="M159" s="40">
        <v>192.37799999999999</v>
      </c>
      <c r="N159" s="40">
        <v>209.07</v>
      </c>
      <c r="O159" s="40">
        <v>13868.5</v>
      </c>
      <c r="P159" s="41">
        <f t="shared" si="2"/>
        <v>16567.434000000001</v>
      </c>
    </row>
    <row r="160" spans="1:16" x14ac:dyDescent="0.3">
      <c r="A160" s="34" t="s">
        <v>90</v>
      </c>
      <c r="B160" s="39" t="s">
        <v>39</v>
      </c>
      <c r="C160" s="34" t="s">
        <v>14</v>
      </c>
      <c r="O160" s="40">
        <v>0</v>
      </c>
      <c r="P160" s="41">
        <f t="shared" si="2"/>
        <v>0</v>
      </c>
    </row>
    <row r="161" spans="1:16" x14ac:dyDescent="0.3">
      <c r="A161" s="34" t="s">
        <v>90</v>
      </c>
      <c r="B161" s="39" t="s">
        <v>91</v>
      </c>
      <c r="C161" s="34" t="s">
        <v>14</v>
      </c>
      <c r="P161" s="41">
        <f t="shared" si="2"/>
        <v>0</v>
      </c>
    </row>
    <row r="162" spans="1:16" x14ac:dyDescent="0.3">
      <c r="A162" s="34" t="s">
        <v>90</v>
      </c>
      <c r="B162" s="39" t="s">
        <v>41</v>
      </c>
      <c r="C162" s="34" t="s">
        <v>14</v>
      </c>
      <c r="D162" s="40">
        <v>7428.2166666666672</v>
      </c>
      <c r="E162" s="40">
        <v>7372.3333333333339</v>
      </c>
      <c r="F162" s="40">
        <v>7316.4500000000007</v>
      </c>
      <c r="G162" s="40">
        <v>7260.5666666666666</v>
      </c>
      <c r="H162" s="40">
        <v>7204.6833333333334</v>
      </c>
      <c r="I162" s="40">
        <v>7148.8</v>
      </c>
      <c r="J162" s="40">
        <v>7092.916666666667</v>
      </c>
      <c r="K162" s="40">
        <v>7037.0333333333338</v>
      </c>
      <c r="L162" s="40">
        <v>6981.15</v>
      </c>
      <c r="M162" s="40">
        <v>6925.2666666666664</v>
      </c>
      <c r="N162" s="40">
        <v>6869.3833333333332</v>
      </c>
      <c r="O162" s="40">
        <v>6813.5</v>
      </c>
      <c r="P162" s="41">
        <f t="shared" si="2"/>
        <v>85450.3</v>
      </c>
    </row>
    <row r="163" spans="1:16" x14ac:dyDescent="0.3">
      <c r="A163" s="34" t="s">
        <v>90</v>
      </c>
      <c r="B163" s="39" t="s">
        <v>42</v>
      </c>
      <c r="C163" s="34" t="s">
        <v>14</v>
      </c>
      <c r="O163" s="40">
        <v>7301.9</v>
      </c>
      <c r="P163" s="41">
        <f t="shared" si="2"/>
        <v>7301.9</v>
      </c>
    </row>
    <row r="164" spans="1:16" x14ac:dyDescent="0.3">
      <c r="A164" s="34" t="s">
        <v>90</v>
      </c>
      <c r="B164" s="39" t="s">
        <v>43</v>
      </c>
      <c r="C164" s="34" t="s">
        <v>14</v>
      </c>
      <c r="D164" s="40">
        <v>-6504.2356666666674</v>
      </c>
      <c r="O164" s="40">
        <v>588.1</v>
      </c>
      <c r="P164" s="41">
        <f t="shared" si="2"/>
        <v>-5916.135666666667</v>
      </c>
    </row>
    <row r="165" spans="1:16" x14ac:dyDescent="0.3">
      <c r="A165" s="34" t="s">
        <v>90</v>
      </c>
      <c r="B165" s="35" t="s">
        <v>44</v>
      </c>
      <c r="C165" s="34" t="s">
        <v>14</v>
      </c>
      <c r="P165" s="37">
        <f t="shared" si="2"/>
        <v>0</v>
      </c>
    </row>
    <row r="166" spans="1:16" x14ac:dyDescent="0.3">
      <c r="A166" s="34" t="s">
        <v>90</v>
      </c>
      <c r="B166" s="35" t="s">
        <v>45</v>
      </c>
      <c r="C166" s="34" t="s">
        <v>14</v>
      </c>
      <c r="P166" s="41">
        <f t="shared" si="2"/>
        <v>0</v>
      </c>
    </row>
    <row r="167" spans="1:16" x14ac:dyDescent="0.3">
      <c r="A167" s="34" t="s">
        <v>90</v>
      </c>
      <c r="B167" s="35" t="s">
        <v>47</v>
      </c>
      <c r="C167" s="34" t="s">
        <v>14</v>
      </c>
      <c r="D167" s="41">
        <v>0</v>
      </c>
      <c r="E167" s="41">
        <v>-7101.8323333333337</v>
      </c>
      <c r="F167" s="41">
        <v>-7031.5500000000011</v>
      </c>
      <c r="G167" s="41">
        <v>-7005.0206666666663</v>
      </c>
      <c r="H167" s="41">
        <v>-6922.6773333333331</v>
      </c>
      <c r="I167" s="41">
        <v>-6905.3249999999998</v>
      </c>
      <c r="J167" s="41">
        <v>-6862.349666666667</v>
      </c>
      <c r="K167" s="41">
        <v>-6775.4253333333336</v>
      </c>
      <c r="L167" s="41">
        <v>-6728.848</v>
      </c>
      <c r="M167" s="41">
        <v>-6732.8886666666667</v>
      </c>
      <c r="N167" s="41">
        <v>-6660.3133333333344</v>
      </c>
      <c r="O167" s="41">
        <v>3.4106051316484809E-13</v>
      </c>
      <c r="P167" s="41">
        <f t="shared" si="2"/>
        <v>-68726.23033333334</v>
      </c>
    </row>
    <row r="168" spans="1:16" x14ac:dyDescent="0.3">
      <c r="A168" s="34" t="s">
        <v>90</v>
      </c>
      <c r="B168" s="35" t="s">
        <v>28</v>
      </c>
      <c r="C168" s="34" t="s">
        <v>15</v>
      </c>
      <c r="P168" s="36">
        <f t="shared" si="2"/>
        <v>0</v>
      </c>
    </row>
    <row r="169" spans="1:16" x14ac:dyDescent="0.3">
      <c r="A169" s="34" t="s">
        <v>90</v>
      </c>
      <c r="B169" s="35" t="s">
        <v>30</v>
      </c>
      <c r="C169" s="34" t="s">
        <v>15</v>
      </c>
      <c r="P169" s="36">
        <f t="shared" si="2"/>
        <v>0</v>
      </c>
    </row>
    <row r="170" spans="1:16" x14ac:dyDescent="0.3">
      <c r="A170" s="34" t="s">
        <v>90</v>
      </c>
      <c r="B170" s="35" t="s">
        <v>31</v>
      </c>
      <c r="C170" s="34" t="s">
        <v>15</v>
      </c>
      <c r="P170" s="37">
        <f t="shared" si="2"/>
        <v>0</v>
      </c>
    </row>
    <row r="171" spans="1:16" x14ac:dyDescent="0.3">
      <c r="A171" s="34" t="s">
        <v>90</v>
      </c>
      <c r="B171" s="35" t="s">
        <v>33</v>
      </c>
      <c r="C171" s="34" t="s">
        <v>15</v>
      </c>
      <c r="I171" s="38">
        <v>0.5532903821950903</v>
      </c>
      <c r="P171" s="38">
        <f t="shared" si="2"/>
        <v>0.5532903821950903</v>
      </c>
    </row>
    <row r="172" spans="1:16" x14ac:dyDescent="0.3">
      <c r="A172" s="34" t="s">
        <v>90</v>
      </c>
      <c r="B172" s="39" t="s">
        <v>35</v>
      </c>
      <c r="C172" s="34" t="s">
        <v>15</v>
      </c>
      <c r="D172" s="40">
        <v>588.1</v>
      </c>
      <c r="O172" s="40">
        <v>588.1</v>
      </c>
      <c r="P172" s="41">
        <f t="shared" si="2"/>
        <v>1176.2</v>
      </c>
    </row>
    <row r="173" spans="1:16" x14ac:dyDescent="0.3">
      <c r="A173" s="34" t="s">
        <v>90</v>
      </c>
      <c r="B173" s="39" t="s">
        <v>37</v>
      </c>
      <c r="C173" s="34" t="s">
        <v>15</v>
      </c>
      <c r="O173" s="40">
        <v>66.099999999999994</v>
      </c>
      <c r="P173" s="41">
        <f t="shared" si="2"/>
        <v>66.099999999999994</v>
      </c>
    </row>
    <row r="174" spans="1:16" x14ac:dyDescent="0.3">
      <c r="A174" s="34" t="s">
        <v>90</v>
      </c>
      <c r="B174" s="39" t="s">
        <v>38</v>
      </c>
      <c r="C174" s="34" t="s">
        <v>15</v>
      </c>
      <c r="D174" s="40">
        <v>152.453</v>
      </c>
      <c r="E174" s="40">
        <v>245.685</v>
      </c>
      <c r="F174" s="40">
        <v>275.93700000000001</v>
      </c>
      <c r="G174" s="40">
        <v>267.18099999999998</v>
      </c>
      <c r="H174" s="40">
        <v>277.08699999999999</v>
      </c>
      <c r="I174" s="40">
        <v>260.23</v>
      </c>
      <c r="J174" s="40">
        <v>234.43</v>
      </c>
      <c r="K174" s="40">
        <v>269.012</v>
      </c>
      <c r="L174" s="40">
        <v>252.672</v>
      </c>
      <c r="M174" s="40">
        <v>255.66300000000001</v>
      </c>
      <c r="N174" s="40">
        <v>252.66399999999999</v>
      </c>
      <c r="O174" s="40">
        <v>18551</v>
      </c>
      <c r="P174" s="41">
        <f t="shared" si="2"/>
        <v>21294.013999999999</v>
      </c>
    </row>
    <row r="175" spans="1:16" x14ac:dyDescent="0.3">
      <c r="A175" s="34" t="s">
        <v>90</v>
      </c>
      <c r="B175" s="39" t="s">
        <v>39</v>
      </c>
      <c r="C175" s="34" t="s">
        <v>15</v>
      </c>
      <c r="O175" s="40">
        <v>0</v>
      </c>
      <c r="P175" s="41">
        <f t="shared" si="2"/>
        <v>0</v>
      </c>
    </row>
    <row r="176" spans="1:16" x14ac:dyDescent="0.3">
      <c r="A176" s="34" t="s">
        <v>90</v>
      </c>
      <c r="B176" s="39" t="s">
        <v>91</v>
      </c>
      <c r="C176" s="34" t="s">
        <v>15</v>
      </c>
      <c r="P176" s="41">
        <f t="shared" si="2"/>
        <v>0</v>
      </c>
    </row>
    <row r="177" spans="1:16" x14ac:dyDescent="0.3">
      <c r="A177" s="34" t="s">
        <v>90</v>
      </c>
      <c r="B177" s="39" t="s">
        <v>41</v>
      </c>
      <c r="C177" s="34" t="s">
        <v>15</v>
      </c>
      <c r="D177" s="40">
        <v>6837.5083333333332</v>
      </c>
      <c r="E177" s="40">
        <v>6861.5166666666664</v>
      </c>
      <c r="F177" s="40">
        <v>6885.5249999999996</v>
      </c>
      <c r="G177" s="40">
        <v>6909.5333333333319</v>
      </c>
      <c r="H177" s="40">
        <v>6933.5416666666652</v>
      </c>
      <c r="I177" s="40">
        <v>6957.5499999999984</v>
      </c>
      <c r="J177" s="40">
        <v>6981.5583333333316</v>
      </c>
      <c r="K177" s="40">
        <v>7005.5666666666648</v>
      </c>
      <c r="L177" s="40">
        <v>7029.5749999999971</v>
      </c>
      <c r="M177" s="40">
        <v>7053.5833333333303</v>
      </c>
      <c r="N177" s="40">
        <v>7077.5916666666644</v>
      </c>
      <c r="O177" s="40">
        <v>7101.5999999999967</v>
      </c>
      <c r="P177" s="41">
        <f t="shared" si="2"/>
        <v>83634.64999999998</v>
      </c>
    </row>
    <row r="178" spans="1:16" x14ac:dyDescent="0.3">
      <c r="A178" s="34" t="s">
        <v>90</v>
      </c>
      <c r="B178" s="39" t="s">
        <v>42</v>
      </c>
      <c r="C178" s="34" t="s">
        <v>15</v>
      </c>
      <c r="O178" s="40">
        <v>9095.6</v>
      </c>
      <c r="P178" s="41">
        <f t="shared" si="2"/>
        <v>9095.6</v>
      </c>
    </row>
    <row r="179" spans="1:16" x14ac:dyDescent="0.3">
      <c r="A179" s="34" t="s">
        <v>90</v>
      </c>
      <c r="B179" s="39" t="s">
        <v>43</v>
      </c>
      <c r="C179" s="34" t="s">
        <v>15</v>
      </c>
      <c r="D179" s="40">
        <v>-6096.9553333333333</v>
      </c>
      <c r="O179" s="40">
        <v>3008</v>
      </c>
      <c r="P179" s="41">
        <f t="shared" si="2"/>
        <v>-3088.9553333333333</v>
      </c>
    </row>
    <row r="180" spans="1:16" x14ac:dyDescent="0.3">
      <c r="A180" s="34" t="s">
        <v>90</v>
      </c>
      <c r="B180" s="35" t="s">
        <v>44</v>
      </c>
      <c r="C180" s="34" t="s">
        <v>15</v>
      </c>
      <c r="P180" s="37">
        <f t="shared" si="2"/>
        <v>0</v>
      </c>
    </row>
    <row r="181" spans="1:16" x14ac:dyDescent="0.3">
      <c r="A181" s="34" t="s">
        <v>90</v>
      </c>
      <c r="B181" s="35" t="s">
        <v>45</v>
      </c>
      <c r="C181" s="34" t="s">
        <v>15</v>
      </c>
      <c r="P181" s="41">
        <f t="shared" si="2"/>
        <v>0</v>
      </c>
    </row>
    <row r="182" spans="1:16" x14ac:dyDescent="0.3">
      <c r="A182" s="34" t="s">
        <v>90</v>
      </c>
      <c r="B182" s="35" t="s">
        <v>47</v>
      </c>
      <c r="C182" s="34" t="s">
        <v>15</v>
      </c>
      <c r="D182" s="41">
        <v>0</v>
      </c>
      <c r="E182" s="41">
        <v>-6615.831666666666</v>
      </c>
      <c r="F182" s="41">
        <v>-6609.5879999999997</v>
      </c>
      <c r="G182" s="41">
        <v>-6642.3523333333324</v>
      </c>
      <c r="H182" s="41">
        <v>-6656.4546666666647</v>
      </c>
      <c r="I182" s="41">
        <v>-6697.3199999999979</v>
      </c>
      <c r="J182" s="41">
        <v>-6747.1283333333313</v>
      </c>
      <c r="K182" s="41">
        <v>-6736.5546666666651</v>
      </c>
      <c r="L182" s="41">
        <v>-6776.9029999999984</v>
      </c>
      <c r="M182" s="41">
        <v>-6797.9203333333298</v>
      </c>
      <c r="N182" s="41">
        <v>-6824.9276666666638</v>
      </c>
      <c r="O182" s="41">
        <v>0</v>
      </c>
      <c r="P182" s="41">
        <f t="shared" si="2"/>
        <v>-67104.980666666655</v>
      </c>
    </row>
    <row r="183" spans="1:16" x14ac:dyDescent="0.3">
      <c r="A183" s="34" t="s">
        <v>90</v>
      </c>
      <c r="B183" s="35" t="s">
        <v>28</v>
      </c>
      <c r="C183" s="34" t="s">
        <v>16</v>
      </c>
      <c r="P183" s="36">
        <f t="shared" si="2"/>
        <v>0</v>
      </c>
    </row>
    <row r="184" spans="1:16" x14ac:dyDescent="0.3">
      <c r="A184" s="34" t="s">
        <v>90</v>
      </c>
      <c r="B184" s="35" t="s">
        <v>30</v>
      </c>
      <c r="C184" s="34" t="s">
        <v>16</v>
      </c>
      <c r="P184" s="36">
        <f t="shared" si="2"/>
        <v>0</v>
      </c>
    </row>
    <row r="185" spans="1:16" x14ac:dyDescent="0.3">
      <c r="A185" s="34" t="s">
        <v>90</v>
      </c>
      <c r="B185" s="35" t="s">
        <v>31</v>
      </c>
      <c r="C185" s="34" t="s">
        <v>16</v>
      </c>
      <c r="P185" s="37">
        <f t="shared" si="2"/>
        <v>0</v>
      </c>
    </row>
    <row r="186" spans="1:16" x14ac:dyDescent="0.3">
      <c r="A186" s="34" t="s">
        <v>90</v>
      </c>
      <c r="B186" s="35" t="s">
        <v>33</v>
      </c>
      <c r="C186" s="34" t="s">
        <v>16</v>
      </c>
      <c r="I186" s="38">
        <v>0.59944672019314038</v>
      </c>
      <c r="P186" s="38">
        <f t="shared" si="2"/>
        <v>0.59944672019314038</v>
      </c>
    </row>
    <row r="187" spans="1:16" x14ac:dyDescent="0.3">
      <c r="A187" s="34" t="s">
        <v>90</v>
      </c>
      <c r="B187" s="39" t="s">
        <v>35</v>
      </c>
      <c r="C187" s="34" t="s">
        <v>16</v>
      </c>
      <c r="D187" s="40">
        <v>3008</v>
      </c>
      <c r="O187" s="40">
        <v>3008</v>
      </c>
      <c r="P187" s="41">
        <f t="shared" si="2"/>
        <v>6016</v>
      </c>
    </row>
    <row r="188" spans="1:16" x14ac:dyDescent="0.3">
      <c r="A188" s="34" t="s">
        <v>90</v>
      </c>
      <c r="B188" s="39" t="s">
        <v>37</v>
      </c>
      <c r="C188" s="34" t="s">
        <v>16</v>
      </c>
      <c r="O188" s="40">
        <v>76.599999999999994</v>
      </c>
      <c r="P188" s="41">
        <f t="shared" si="2"/>
        <v>76.599999999999994</v>
      </c>
    </row>
    <row r="189" spans="1:16" x14ac:dyDescent="0.3">
      <c r="A189" s="34" t="s">
        <v>90</v>
      </c>
      <c r="B189" s="39" t="s">
        <v>38</v>
      </c>
      <c r="C189" s="34" t="s">
        <v>16</v>
      </c>
      <c r="D189" s="40">
        <v>243.60599999999999</v>
      </c>
      <c r="E189" s="40">
        <v>272.51799999999997</v>
      </c>
      <c r="F189" s="40">
        <v>266.85500000000002</v>
      </c>
      <c r="G189" s="40">
        <v>232.79499999999999</v>
      </c>
      <c r="H189" s="40">
        <v>277.66199999999998</v>
      </c>
      <c r="I189" s="40">
        <v>280.99799999999999</v>
      </c>
      <c r="J189" s="40">
        <v>241.52500000000001</v>
      </c>
      <c r="K189" s="40">
        <v>293.20800000000003</v>
      </c>
      <c r="L189" s="40">
        <v>260.15199999999999</v>
      </c>
      <c r="M189" s="40">
        <v>251.30500000000001</v>
      </c>
      <c r="N189" s="40">
        <v>277.89999999999998</v>
      </c>
      <c r="O189" s="40">
        <v>16410.099999999999</v>
      </c>
      <c r="P189" s="41">
        <f t="shared" si="2"/>
        <v>19308.624</v>
      </c>
    </row>
    <row r="190" spans="1:16" x14ac:dyDescent="0.3">
      <c r="A190" s="34" t="s">
        <v>90</v>
      </c>
      <c r="B190" s="39" t="s">
        <v>39</v>
      </c>
      <c r="C190" s="34" t="s">
        <v>16</v>
      </c>
      <c r="O190" s="40">
        <v>0</v>
      </c>
      <c r="P190" s="41">
        <f t="shared" si="2"/>
        <v>0</v>
      </c>
    </row>
    <row r="191" spans="1:16" x14ac:dyDescent="0.3">
      <c r="A191" s="34" t="s">
        <v>90</v>
      </c>
      <c r="B191" s="39" t="s">
        <v>91</v>
      </c>
      <c r="C191" s="34" t="s">
        <v>16</v>
      </c>
      <c r="P191" s="41">
        <f t="shared" si="2"/>
        <v>0</v>
      </c>
    </row>
    <row r="192" spans="1:16" x14ac:dyDescent="0.3">
      <c r="A192" s="34" t="s">
        <v>90</v>
      </c>
      <c r="B192" s="39" t="s">
        <v>41</v>
      </c>
      <c r="C192" s="34" t="s">
        <v>16</v>
      </c>
      <c r="D192" s="40">
        <v>7156.3083333333298</v>
      </c>
      <c r="E192" s="40">
        <v>7211.0166666666637</v>
      </c>
      <c r="F192" s="40">
        <v>7265.7249999999967</v>
      </c>
      <c r="G192" s="40">
        <v>7320.4333333333307</v>
      </c>
      <c r="H192" s="40">
        <v>7375.1416666666637</v>
      </c>
      <c r="I192" s="40">
        <v>7429.8499999999967</v>
      </c>
      <c r="J192" s="40">
        <v>7484.5583333333307</v>
      </c>
      <c r="K192" s="40">
        <v>7539.2666666666637</v>
      </c>
      <c r="L192" s="40">
        <v>7593.9749999999976</v>
      </c>
      <c r="M192" s="40">
        <v>7648.6833333333307</v>
      </c>
      <c r="N192" s="40">
        <v>7703.3916666666646</v>
      </c>
      <c r="O192" s="40">
        <v>7758.0999999999976</v>
      </c>
      <c r="P192" s="41">
        <f t="shared" si="2"/>
        <v>89486.449999999953</v>
      </c>
    </row>
    <row r="193" spans="1:16" x14ac:dyDescent="0.3">
      <c r="A193" s="34" t="s">
        <v>90</v>
      </c>
      <c r="B193" s="39" t="s">
        <v>42</v>
      </c>
      <c r="C193" s="34" t="s">
        <v>16</v>
      </c>
      <c r="O193" s="40">
        <v>9163.2999999999993</v>
      </c>
      <c r="P193" s="41">
        <f t="shared" si="2"/>
        <v>9163.2999999999993</v>
      </c>
    </row>
    <row r="194" spans="1:16" x14ac:dyDescent="0.3">
      <c r="A194" s="34" t="s">
        <v>90</v>
      </c>
      <c r="B194" s="39" t="s">
        <v>43</v>
      </c>
      <c r="C194" s="34" t="s">
        <v>16</v>
      </c>
      <c r="D194" s="40">
        <v>-3904.70233333333</v>
      </c>
      <c r="O194" s="40">
        <v>2573.3000000000002</v>
      </c>
      <c r="P194" s="41">
        <f t="shared" si="2"/>
        <v>-1331.4023333333298</v>
      </c>
    </row>
    <row r="195" spans="1:16" x14ac:dyDescent="0.3">
      <c r="A195" s="34" t="s">
        <v>90</v>
      </c>
      <c r="B195" s="35" t="s">
        <v>44</v>
      </c>
      <c r="C195" s="34" t="s">
        <v>16</v>
      </c>
      <c r="P195" s="37">
        <f t="shared" ref="P195:P258" si="3">SUM(D195:O195)</f>
        <v>0</v>
      </c>
    </row>
    <row r="196" spans="1:16" x14ac:dyDescent="0.3">
      <c r="A196" s="34" t="s">
        <v>90</v>
      </c>
      <c r="B196" s="35" t="s">
        <v>45</v>
      </c>
      <c r="C196" s="34" t="s">
        <v>16</v>
      </c>
      <c r="P196" s="41">
        <f t="shared" si="3"/>
        <v>0</v>
      </c>
    </row>
    <row r="197" spans="1:16" x14ac:dyDescent="0.3">
      <c r="A197" s="34" t="s">
        <v>90</v>
      </c>
      <c r="B197" s="35" t="s">
        <v>47</v>
      </c>
      <c r="C197" s="34" t="s">
        <v>16</v>
      </c>
      <c r="D197" s="41">
        <v>0</v>
      </c>
      <c r="E197" s="41">
        <v>-6938.4986666666637</v>
      </c>
      <c r="F197" s="41">
        <v>-6998.8699999999972</v>
      </c>
      <c r="G197" s="41">
        <v>-7087.6383333333306</v>
      </c>
      <c r="H197" s="41">
        <v>-7097.4796666666634</v>
      </c>
      <c r="I197" s="41">
        <v>-7148.8519999999971</v>
      </c>
      <c r="J197" s="41">
        <v>-7243.033333333331</v>
      </c>
      <c r="K197" s="41">
        <v>-7246.0586666666641</v>
      </c>
      <c r="L197" s="41">
        <v>-7333.8229999999976</v>
      </c>
      <c r="M197" s="41">
        <v>-7397.3783333333304</v>
      </c>
      <c r="N197" s="41">
        <v>-7425.491666666665</v>
      </c>
      <c r="O197" s="41">
        <v>-9.0949470177292824E-13</v>
      </c>
      <c r="P197" s="41">
        <f t="shared" si="3"/>
        <v>-71917.123666666637</v>
      </c>
    </row>
    <row r="198" spans="1:16" x14ac:dyDescent="0.3">
      <c r="A198" s="34" t="s">
        <v>90</v>
      </c>
      <c r="B198" s="35" t="s">
        <v>28</v>
      </c>
      <c r="C198" s="34" t="s">
        <v>17</v>
      </c>
      <c r="P198" s="36">
        <f t="shared" si="3"/>
        <v>0</v>
      </c>
    </row>
    <row r="199" spans="1:16" x14ac:dyDescent="0.3">
      <c r="A199" s="34" t="s">
        <v>90</v>
      </c>
      <c r="B199" s="35" t="s">
        <v>30</v>
      </c>
      <c r="C199" s="34" t="s">
        <v>17</v>
      </c>
      <c r="P199" s="36">
        <f t="shared" si="3"/>
        <v>0</v>
      </c>
    </row>
    <row r="200" spans="1:16" x14ac:dyDescent="0.3">
      <c r="A200" s="34" t="s">
        <v>90</v>
      </c>
      <c r="B200" s="35" t="s">
        <v>31</v>
      </c>
      <c r="C200" s="34" t="s">
        <v>17</v>
      </c>
      <c r="P200" s="37">
        <f t="shared" si="3"/>
        <v>0</v>
      </c>
    </row>
    <row r="201" spans="1:16" x14ac:dyDescent="0.3">
      <c r="A201" s="34" t="s">
        <v>90</v>
      </c>
      <c r="B201" s="35" t="s">
        <v>33</v>
      </c>
      <c r="C201" s="34" t="s">
        <v>17</v>
      </c>
      <c r="I201" s="38">
        <v>0.64799080130465447</v>
      </c>
      <c r="P201" s="38">
        <f t="shared" si="3"/>
        <v>0.64799080130465447</v>
      </c>
    </row>
    <row r="202" spans="1:16" x14ac:dyDescent="0.3">
      <c r="A202" s="34" t="s">
        <v>90</v>
      </c>
      <c r="B202" s="39" t="s">
        <v>35</v>
      </c>
      <c r="C202" s="34" t="s">
        <v>17</v>
      </c>
      <c r="D202" s="40">
        <v>94.888999999999996</v>
      </c>
      <c r="E202" s="40">
        <v>98.581999999999994</v>
      </c>
      <c r="F202" s="40">
        <v>102.637</v>
      </c>
      <c r="G202" s="40">
        <v>93.77</v>
      </c>
      <c r="H202" s="40">
        <v>99.364000000000004</v>
      </c>
      <c r="I202" s="40">
        <v>104.783</v>
      </c>
      <c r="J202" s="40">
        <v>71.968999999999994</v>
      </c>
      <c r="K202" s="40">
        <v>97.096000000000004</v>
      </c>
      <c r="L202" s="40">
        <v>97.706999999999994</v>
      </c>
      <c r="M202" s="40">
        <v>80.667000000000002</v>
      </c>
      <c r="N202" s="40">
        <v>93.540999999999997</v>
      </c>
      <c r="O202" s="40">
        <v>2573.3000000000002</v>
      </c>
      <c r="P202" s="41">
        <f t="shared" si="3"/>
        <v>3608.3050000000003</v>
      </c>
    </row>
    <row r="203" spans="1:16" x14ac:dyDescent="0.3">
      <c r="A203" s="34" t="s">
        <v>90</v>
      </c>
      <c r="B203" s="39" t="s">
        <v>37</v>
      </c>
      <c r="C203" s="34" t="s">
        <v>17</v>
      </c>
      <c r="O203" s="40">
        <v>105</v>
      </c>
      <c r="P203" s="41">
        <f t="shared" si="3"/>
        <v>105</v>
      </c>
    </row>
    <row r="204" spans="1:16" x14ac:dyDescent="0.3">
      <c r="A204" s="34" t="s">
        <v>90</v>
      </c>
      <c r="B204" s="39" t="s">
        <v>38</v>
      </c>
      <c r="C204" s="34" t="s">
        <v>17</v>
      </c>
      <c r="D204" s="40">
        <v>259.32600000000002</v>
      </c>
      <c r="E204" s="40">
        <v>263.86399999999998</v>
      </c>
      <c r="F204" s="40">
        <v>310.91699999999997</v>
      </c>
      <c r="G204" s="40">
        <v>297.65100000000001</v>
      </c>
      <c r="H204" s="40">
        <v>321.64800000000002</v>
      </c>
      <c r="I204" s="40">
        <v>300.084</v>
      </c>
      <c r="J204" s="40">
        <v>308.86599999999999</v>
      </c>
      <c r="K204" s="40">
        <v>329.029</v>
      </c>
      <c r="L204" s="40">
        <v>265.91399999999999</v>
      </c>
      <c r="M204" s="40">
        <v>306.39</v>
      </c>
      <c r="N204" s="40">
        <v>306.03699999999998</v>
      </c>
      <c r="O204" s="40">
        <v>18376.5</v>
      </c>
      <c r="P204" s="41">
        <f t="shared" si="3"/>
        <v>21646.225999999999</v>
      </c>
    </row>
    <row r="205" spans="1:16" x14ac:dyDescent="0.3">
      <c r="A205" s="34" t="s">
        <v>90</v>
      </c>
      <c r="B205" s="39" t="s">
        <v>39</v>
      </c>
      <c r="C205" s="34" t="s">
        <v>17</v>
      </c>
      <c r="O205" s="40">
        <v>0</v>
      </c>
      <c r="P205" s="41">
        <f t="shared" si="3"/>
        <v>0</v>
      </c>
    </row>
    <row r="206" spans="1:16" x14ac:dyDescent="0.3">
      <c r="A206" s="34" t="s">
        <v>90</v>
      </c>
      <c r="B206" s="39" t="s">
        <v>91</v>
      </c>
      <c r="C206" s="34" t="s">
        <v>17</v>
      </c>
      <c r="P206" s="41">
        <f t="shared" si="3"/>
        <v>0</v>
      </c>
    </row>
    <row r="207" spans="1:16" x14ac:dyDescent="0.3">
      <c r="A207" s="34" t="s">
        <v>90</v>
      </c>
      <c r="B207" s="39" t="s">
        <v>41</v>
      </c>
      <c r="C207" s="34" t="s">
        <v>17</v>
      </c>
      <c r="D207" s="40">
        <v>259.32600000000002</v>
      </c>
      <c r="E207" s="40">
        <v>263.86399999999998</v>
      </c>
      <c r="F207" s="40">
        <v>310.91699999999997</v>
      </c>
      <c r="G207" s="40">
        <v>297.65100000000001</v>
      </c>
      <c r="H207" s="40">
        <v>321.64800000000002</v>
      </c>
      <c r="I207" s="40">
        <v>300.084</v>
      </c>
      <c r="J207" s="40">
        <v>308.86599999999999</v>
      </c>
      <c r="K207" s="40">
        <v>329.029</v>
      </c>
      <c r="L207" s="40">
        <v>265.91399999999999</v>
      </c>
      <c r="M207" s="40">
        <v>306.39</v>
      </c>
      <c r="N207" s="40">
        <v>306.03699999999998</v>
      </c>
      <c r="O207" s="40">
        <v>8665</v>
      </c>
      <c r="P207" s="41">
        <f t="shared" si="3"/>
        <v>11934.725999999999</v>
      </c>
    </row>
    <row r="208" spans="1:16" x14ac:dyDescent="0.3">
      <c r="A208" s="34" t="s">
        <v>90</v>
      </c>
      <c r="B208" s="39" t="s">
        <v>42</v>
      </c>
      <c r="C208" s="34" t="s">
        <v>17</v>
      </c>
      <c r="O208" s="40">
        <v>10299</v>
      </c>
      <c r="P208" s="41">
        <f t="shared" si="3"/>
        <v>10299</v>
      </c>
    </row>
    <row r="209" spans="1:16" x14ac:dyDescent="0.3">
      <c r="A209" s="34" t="s">
        <v>90</v>
      </c>
      <c r="B209" s="39" t="s">
        <v>43</v>
      </c>
      <c r="C209" s="34" t="s">
        <v>17</v>
      </c>
      <c r="D209" s="40">
        <v>94.888999999999996</v>
      </c>
      <c r="E209" s="40">
        <v>98.581999999999994</v>
      </c>
      <c r="F209" s="40">
        <v>102.637</v>
      </c>
      <c r="G209" s="40">
        <v>93.77</v>
      </c>
      <c r="H209" s="40">
        <v>99.364000000000004</v>
      </c>
      <c r="I209" s="40">
        <v>104.783</v>
      </c>
      <c r="J209" s="40">
        <v>71.968999999999994</v>
      </c>
      <c r="K209" s="40">
        <v>97.096000000000004</v>
      </c>
      <c r="L209" s="40">
        <v>97.706999999999994</v>
      </c>
      <c r="M209" s="40">
        <v>80.667000000000002</v>
      </c>
      <c r="N209" s="40">
        <v>93.540999999999997</v>
      </c>
      <c r="O209" s="40">
        <v>2090.8000000000002</v>
      </c>
      <c r="P209" s="41">
        <f t="shared" si="3"/>
        <v>3125.8050000000003</v>
      </c>
    </row>
    <row r="210" spans="1:16" x14ac:dyDescent="0.3">
      <c r="A210" s="34" t="s">
        <v>90</v>
      </c>
      <c r="B210" s="35" t="s">
        <v>44</v>
      </c>
      <c r="C210" s="34" t="s">
        <v>17</v>
      </c>
      <c r="P210" s="37">
        <f t="shared" si="3"/>
        <v>0</v>
      </c>
    </row>
    <row r="211" spans="1:16" x14ac:dyDescent="0.3">
      <c r="A211" s="34" t="s">
        <v>90</v>
      </c>
      <c r="B211" s="35" t="s">
        <v>45</v>
      </c>
      <c r="C211" s="34" t="s">
        <v>17</v>
      </c>
      <c r="P211" s="41">
        <f t="shared" si="3"/>
        <v>0</v>
      </c>
    </row>
    <row r="212" spans="1:16" x14ac:dyDescent="0.3">
      <c r="A212" s="34" t="s">
        <v>90</v>
      </c>
      <c r="B212" s="35" t="s">
        <v>47</v>
      </c>
      <c r="C212" s="34" t="s">
        <v>17</v>
      </c>
      <c r="D212" s="41">
        <v>1.4210854715202001E-14</v>
      </c>
      <c r="E212" s="41">
        <v>0</v>
      </c>
      <c r="F212" s="41">
        <v>0</v>
      </c>
      <c r="G212" s="41">
        <v>-1.4210854715202001E-14</v>
      </c>
      <c r="H212" s="41">
        <v>2.8421709430404007E-14</v>
      </c>
      <c r="I212" s="41">
        <v>1.4210854715202001E-14</v>
      </c>
      <c r="J212" s="41">
        <v>0</v>
      </c>
      <c r="K212" s="41">
        <v>0</v>
      </c>
      <c r="L212" s="41">
        <v>0</v>
      </c>
      <c r="M212" s="41">
        <v>2.8421709430404007E-14</v>
      </c>
      <c r="N212" s="41">
        <v>0</v>
      </c>
      <c r="O212" s="41">
        <v>-9.0949470177292824E-13</v>
      </c>
      <c r="P212" s="41">
        <f t="shared" si="3"/>
        <v>-8.3844042819691822E-13</v>
      </c>
    </row>
    <row r="213" spans="1:16" x14ac:dyDescent="0.3">
      <c r="A213" s="34" t="s">
        <v>90</v>
      </c>
      <c r="B213" s="35" t="s">
        <v>28</v>
      </c>
      <c r="C213" s="34" t="s">
        <v>18</v>
      </c>
      <c r="P213" s="36">
        <f t="shared" si="3"/>
        <v>0</v>
      </c>
    </row>
    <row r="214" spans="1:16" x14ac:dyDescent="0.3">
      <c r="A214" s="34" t="s">
        <v>90</v>
      </c>
      <c r="B214" s="35" t="s">
        <v>30</v>
      </c>
      <c r="C214" s="34" t="s">
        <v>18</v>
      </c>
      <c r="P214" s="36">
        <f t="shared" si="3"/>
        <v>0</v>
      </c>
    </row>
    <row r="215" spans="1:16" x14ac:dyDescent="0.3">
      <c r="A215" s="34" t="s">
        <v>90</v>
      </c>
      <c r="B215" s="35" t="s">
        <v>31</v>
      </c>
      <c r="C215" s="34" t="s">
        <v>18</v>
      </c>
      <c r="P215" s="37">
        <f t="shared" si="3"/>
        <v>0</v>
      </c>
    </row>
    <row r="216" spans="1:16" x14ac:dyDescent="0.3">
      <c r="A216" s="34" t="s">
        <v>90</v>
      </c>
      <c r="B216" s="35" t="s">
        <v>33</v>
      </c>
      <c r="C216" s="34" t="s">
        <v>18</v>
      </c>
      <c r="I216" s="38">
        <v>0.66645112462523404</v>
      </c>
      <c r="P216" s="38">
        <f t="shared" si="3"/>
        <v>0.66645112462523404</v>
      </c>
    </row>
    <row r="217" spans="1:16" x14ac:dyDescent="0.3">
      <c r="A217" s="34" t="s">
        <v>90</v>
      </c>
      <c r="B217" s="39" t="s">
        <v>35</v>
      </c>
      <c r="C217" s="34" t="s">
        <v>18</v>
      </c>
      <c r="D217" s="40">
        <v>70.186000000000007</v>
      </c>
      <c r="E217" s="40">
        <v>80.013999999999996</v>
      </c>
      <c r="F217" s="40">
        <v>62.863999999999997</v>
      </c>
      <c r="G217" s="40">
        <v>70.268000000000001</v>
      </c>
      <c r="H217" s="40">
        <v>96.448999999999998</v>
      </c>
      <c r="I217" s="40">
        <v>92.626999999999995</v>
      </c>
      <c r="J217" s="40">
        <v>97.867000000000004</v>
      </c>
      <c r="K217" s="40">
        <v>135.44999999999999</v>
      </c>
      <c r="L217" s="40">
        <v>99.936999999999998</v>
      </c>
      <c r="M217" s="40">
        <v>83.165000000000006</v>
      </c>
      <c r="N217" s="40">
        <v>95.673000000000002</v>
      </c>
      <c r="O217" s="40">
        <v>2090.8000000000002</v>
      </c>
      <c r="P217" s="41">
        <f t="shared" si="3"/>
        <v>3075.3</v>
      </c>
    </row>
    <row r="218" spans="1:16" x14ac:dyDescent="0.3">
      <c r="A218" s="34" t="s">
        <v>90</v>
      </c>
      <c r="B218" s="39" t="s">
        <v>37</v>
      </c>
      <c r="C218" s="34" t="s">
        <v>18</v>
      </c>
      <c r="O218" s="40">
        <v>94.5</v>
      </c>
      <c r="P218" s="41">
        <f t="shared" si="3"/>
        <v>94.5</v>
      </c>
    </row>
    <row r="219" spans="1:16" x14ac:dyDescent="0.3">
      <c r="A219" s="34" t="s">
        <v>90</v>
      </c>
      <c r="B219" s="39" t="s">
        <v>38</v>
      </c>
      <c r="C219" s="34" t="s">
        <v>18</v>
      </c>
      <c r="D219" s="40">
        <v>290.54399999999998</v>
      </c>
      <c r="E219" s="40">
        <v>339.09100000000001</v>
      </c>
      <c r="F219" s="40">
        <v>349.51600000000002</v>
      </c>
      <c r="G219" s="40">
        <v>349.24200000000002</v>
      </c>
      <c r="H219" s="40">
        <v>365.22500000000002</v>
      </c>
      <c r="I219" s="40">
        <v>346.346</v>
      </c>
      <c r="J219" s="40">
        <v>329.86599999999999</v>
      </c>
      <c r="K219" s="40">
        <v>358.86099999999999</v>
      </c>
      <c r="L219" s="40">
        <v>328.58</v>
      </c>
      <c r="M219" s="40">
        <v>310.77800000000002</v>
      </c>
      <c r="N219" s="40">
        <v>321.67099999999999</v>
      </c>
      <c r="O219" s="40">
        <v>19599.2</v>
      </c>
      <c r="P219" s="41">
        <f t="shared" si="3"/>
        <v>23288.920000000002</v>
      </c>
    </row>
    <row r="220" spans="1:16" x14ac:dyDescent="0.3">
      <c r="A220" s="34" t="s">
        <v>90</v>
      </c>
      <c r="B220" s="39" t="s">
        <v>39</v>
      </c>
      <c r="C220" s="34" t="s">
        <v>18</v>
      </c>
      <c r="O220" s="40">
        <v>0</v>
      </c>
      <c r="P220" s="41">
        <f t="shared" si="3"/>
        <v>0</v>
      </c>
    </row>
    <row r="221" spans="1:16" x14ac:dyDescent="0.3">
      <c r="A221" s="34" t="s">
        <v>90</v>
      </c>
      <c r="B221" s="39" t="s">
        <v>91</v>
      </c>
      <c r="C221" s="34" t="s">
        <v>18</v>
      </c>
      <c r="P221" s="41">
        <f t="shared" si="3"/>
        <v>0</v>
      </c>
    </row>
    <row r="222" spans="1:16" x14ac:dyDescent="0.3">
      <c r="A222" s="34" t="s">
        <v>90</v>
      </c>
      <c r="B222" s="39" t="s">
        <v>41</v>
      </c>
      <c r="C222" s="34" t="s">
        <v>18</v>
      </c>
      <c r="D222" s="40">
        <v>290.54399999999998</v>
      </c>
      <c r="E222" s="40">
        <v>339.09100000000001</v>
      </c>
      <c r="F222" s="40">
        <v>349.51600000000002</v>
      </c>
      <c r="G222" s="40">
        <v>349.24200000000002</v>
      </c>
      <c r="H222" s="40">
        <v>365.22500000000002</v>
      </c>
      <c r="I222" s="40">
        <v>346.346</v>
      </c>
      <c r="J222" s="40">
        <v>329.86599999999999</v>
      </c>
      <c r="K222" s="40">
        <v>358.86099999999999</v>
      </c>
      <c r="L222" s="40">
        <v>328.58</v>
      </c>
      <c r="M222" s="40">
        <v>310.77800000000002</v>
      </c>
      <c r="N222" s="40">
        <v>321.67099999999999</v>
      </c>
      <c r="O222" s="40">
        <v>9426.4</v>
      </c>
      <c r="P222" s="41">
        <f t="shared" si="3"/>
        <v>13116.119999999999</v>
      </c>
    </row>
    <row r="223" spans="1:16" x14ac:dyDescent="0.3">
      <c r="A223" s="34" t="s">
        <v>90</v>
      </c>
      <c r="B223" s="39" t="s">
        <v>42</v>
      </c>
      <c r="C223" s="34" t="s">
        <v>18</v>
      </c>
      <c r="O223" s="40">
        <v>11016.4</v>
      </c>
      <c r="P223" s="41">
        <f t="shared" si="3"/>
        <v>11016.4</v>
      </c>
    </row>
    <row r="224" spans="1:16" x14ac:dyDescent="0.3">
      <c r="A224" s="34" t="s">
        <v>90</v>
      </c>
      <c r="B224" s="39" t="s">
        <v>43</v>
      </c>
      <c r="C224" s="34" t="s">
        <v>18</v>
      </c>
      <c r="D224" s="40">
        <v>70.186000000000007</v>
      </c>
      <c r="E224" s="40">
        <v>80.013999999999996</v>
      </c>
      <c r="F224" s="40">
        <v>62.863999999999997</v>
      </c>
      <c r="G224" s="40">
        <v>70.268000000000001</v>
      </c>
      <c r="H224" s="40">
        <v>96.448999999999998</v>
      </c>
      <c r="I224" s="40">
        <v>92.626999999999995</v>
      </c>
      <c r="J224" s="40">
        <v>97.867000000000004</v>
      </c>
      <c r="K224" s="40">
        <v>135.44999999999999</v>
      </c>
      <c r="L224" s="40">
        <v>99.936999999999998</v>
      </c>
      <c r="M224" s="40">
        <v>83.165000000000006</v>
      </c>
      <c r="N224" s="40">
        <v>95.673000000000002</v>
      </c>
      <c r="O224" s="40">
        <v>1341.7</v>
      </c>
      <c r="P224" s="41">
        <f t="shared" si="3"/>
        <v>2326.1999999999998</v>
      </c>
    </row>
    <row r="225" spans="1:16" x14ac:dyDescent="0.3">
      <c r="A225" s="34" t="s">
        <v>90</v>
      </c>
      <c r="B225" s="35" t="s">
        <v>44</v>
      </c>
      <c r="C225" s="34" t="s">
        <v>18</v>
      </c>
      <c r="P225" s="37">
        <f t="shared" si="3"/>
        <v>0</v>
      </c>
    </row>
    <row r="226" spans="1:16" x14ac:dyDescent="0.3">
      <c r="A226" s="34" t="s">
        <v>90</v>
      </c>
      <c r="B226" s="35" t="s">
        <v>45</v>
      </c>
      <c r="C226" s="34" t="s">
        <v>18</v>
      </c>
      <c r="P226" s="41">
        <f t="shared" si="3"/>
        <v>0</v>
      </c>
    </row>
    <row r="227" spans="1:16" x14ac:dyDescent="0.3">
      <c r="A227" s="34" t="s">
        <v>90</v>
      </c>
      <c r="B227" s="35" t="s">
        <v>47</v>
      </c>
      <c r="C227" s="34" t="s">
        <v>18</v>
      </c>
      <c r="D227" s="41">
        <v>2.8421709430404007E-14</v>
      </c>
      <c r="E227" s="41">
        <v>1.4210854715202001E-14</v>
      </c>
      <c r="F227" s="41">
        <v>-2.1316282072803009E-14</v>
      </c>
      <c r="G227" s="41">
        <v>2.8421709430404007E-14</v>
      </c>
      <c r="H227" s="41">
        <v>1.4210854715202001E-14</v>
      </c>
      <c r="I227" s="41">
        <v>1.4210854715202001E-14</v>
      </c>
      <c r="J227" s="41">
        <v>1.4210854715202001E-14</v>
      </c>
      <c r="K227" s="41">
        <v>0</v>
      </c>
      <c r="L227" s="41">
        <v>1.4210854715202001E-14</v>
      </c>
      <c r="M227" s="41">
        <v>1.4210854715202001E-14</v>
      </c>
      <c r="N227" s="41">
        <v>0</v>
      </c>
      <c r="O227" s="41">
        <v>6.8212102632969618E-13</v>
      </c>
      <c r="P227" s="41">
        <f t="shared" si="3"/>
        <v>8.0291329140891321E-13</v>
      </c>
    </row>
    <row r="228" spans="1:16" x14ac:dyDescent="0.3">
      <c r="A228" s="34" t="s">
        <v>90</v>
      </c>
      <c r="B228" s="35" t="s">
        <v>28</v>
      </c>
      <c r="C228" s="34" t="s">
        <v>19</v>
      </c>
      <c r="P228" s="36">
        <f t="shared" si="3"/>
        <v>0</v>
      </c>
    </row>
    <row r="229" spans="1:16" x14ac:dyDescent="0.3">
      <c r="A229" s="34" t="s">
        <v>90</v>
      </c>
      <c r="B229" s="35" t="s">
        <v>30</v>
      </c>
      <c r="C229" s="34" t="s">
        <v>19</v>
      </c>
      <c r="P229" s="36">
        <f t="shared" si="3"/>
        <v>0</v>
      </c>
    </row>
    <row r="230" spans="1:16" x14ac:dyDescent="0.3">
      <c r="A230" s="34" t="s">
        <v>90</v>
      </c>
      <c r="B230" s="35" t="s">
        <v>31</v>
      </c>
      <c r="C230" s="34" t="s">
        <v>19</v>
      </c>
      <c r="P230" s="37">
        <f t="shared" si="3"/>
        <v>0</v>
      </c>
    </row>
    <row r="231" spans="1:16" x14ac:dyDescent="0.3">
      <c r="A231" s="34" t="s">
        <v>90</v>
      </c>
      <c r="B231" s="35" t="s">
        <v>33</v>
      </c>
      <c r="C231" s="34" t="s">
        <v>19</v>
      </c>
      <c r="I231" s="38">
        <v>0.66519896783698396</v>
      </c>
      <c r="P231" s="38">
        <f t="shared" si="3"/>
        <v>0.66519896783698396</v>
      </c>
    </row>
    <row r="232" spans="1:16" x14ac:dyDescent="0.3">
      <c r="A232" s="34" t="s">
        <v>90</v>
      </c>
      <c r="B232" s="39" t="s">
        <v>35</v>
      </c>
      <c r="C232" s="34" t="s">
        <v>19</v>
      </c>
      <c r="D232" s="40">
        <v>81.308999999999997</v>
      </c>
      <c r="E232" s="40">
        <v>97.807000000000002</v>
      </c>
      <c r="F232" s="40">
        <v>79.540999999999997</v>
      </c>
      <c r="G232" s="40">
        <v>79.578999999999994</v>
      </c>
      <c r="H232" s="40">
        <v>119.348</v>
      </c>
      <c r="I232" s="40">
        <v>115.79600000000001</v>
      </c>
      <c r="J232" s="40">
        <v>117.411</v>
      </c>
      <c r="K232" s="40">
        <v>133.79499999999999</v>
      </c>
      <c r="L232" s="40">
        <v>92.236999999999995</v>
      </c>
      <c r="M232" s="40">
        <v>80.114000000000004</v>
      </c>
      <c r="N232" s="40">
        <v>96.558999999999997</v>
      </c>
      <c r="O232" s="40">
        <v>1341.7</v>
      </c>
      <c r="P232" s="41">
        <f t="shared" si="3"/>
        <v>2435.1959999999999</v>
      </c>
    </row>
    <row r="233" spans="1:16" x14ac:dyDescent="0.3">
      <c r="A233" s="34" t="s">
        <v>90</v>
      </c>
      <c r="B233" s="39" t="s">
        <v>37</v>
      </c>
      <c r="C233" s="34" t="s">
        <v>19</v>
      </c>
      <c r="O233" s="40">
        <v>108</v>
      </c>
      <c r="P233" s="41">
        <f t="shared" si="3"/>
        <v>108</v>
      </c>
    </row>
    <row r="234" spans="1:16" x14ac:dyDescent="0.3">
      <c r="A234" s="34" t="s">
        <v>90</v>
      </c>
      <c r="B234" s="39" t="s">
        <v>38</v>
      </c>
      <c r="C234" s="34" t="s">
        <v>19</v>
      </c>
      <c r="D234" s="40">
        <v>275.59399999999999</v>
      </c>
      <c r="E234" s="40">
        <v>333.20600000000002</v>
      </c>
      <c r="F234" s="40">
        <v>385.40600000000001</v>
      </c>
      <c r="G234" s="40">
        <v>358.596</v>
      </c>
      <c r="H234" s="40">
        <v>369.06799999999998</v>
      </c>
      <c r="I234" s="40">
        <v>339.976</v>
      </c>
      <c r="J234" s="40">
        <v>302.00099999999998</v>
      </c>
      <c r="K234" s="40">
        <v>369.137</v>
      </c>
      <c r="L234" s="40">
        <v>352.39699999999999</v>
      </c>
      <c r="M234" s="40">
        <v>343.755</v>
      </c>
      <c r="N234" s="40">
        <v>334.18400000000003</v>
      </c>
      <c r="O234" s="40">
        <v>21458.1</v>
      </c>
      <c r="P234" s="41">
        <f t="shared" si="3"/>
        <v>25221.42</v>
      </c>
    </row>
    <row r="235" spans="1:16" x14ac:dyDescent="0.3">
      <c r="A235" s="34" t="s">
        <v>90</v>
      </c>
      <c r="B235" s="39" t="s">
        <v>39</v>
      </c>
      <c r="C235" s="34" t="s">
        <v>19</v>
      </c>
      <c r="O235" s="40">
        <v>0</v>
      </c>
      <c r="P235" s="41">
        <f t="shared" si="3"/>
        <v>0</v>
      </c>
    </row>
    <row r="236" spans="1:16" x14ac:dyDescent="0.3">
      <c r="A236" s="34" t="s">
        <v>90</v>
      </c>
      <c r="B236" s="39" t="s">
        <v>91</v>
      </c>
      <c r="C236" s="34" t="s">
        <v>19</v>
      </c>
      <c r="P236" s="41">
        <f t="shared" si="3"/>
        <v>0</v>
      </c>
    </row>
    <row r="237" spans="1:16" x14ac:dyDescent="0.3">
      <c r="A237" s="34" t="s">
        <v>90</v>
      </c>
      <c r="B237" s="39" t="s">
        <v>41</v>
      </c>
      <c r="C237" s="34" t="s">
        <v>19</v>
      </c>
      <c r="D237" s="40">
        <v>275.59400000000011</v>
      </c>
      <c r="E237" s="40">
        <v>333.20600000000002</v>
      </c>
      <c r="F237" s="40">
        <v>385.40600000000001</v>
      </c>
      <c r="G237" s="40">
        <v>358.596</v>
      </c>
      <c r="H237" s="40">
        <v>369.06799999999998</v>
      </c>
      <c r="I237" s="40">
        <v>339.976</v>
      </c>
      <c r="J237" s="40">
        <v>302.00099999999998</v>
      </c>
      <c r="K237" s="40">
        <v>369.13700000000011</v>
      </c>
      <c r="L237" s="40">
        <v>352.39699999999999</v>
      </c>
      <c r="M237" s="40">
        <v>343.755</v>
      </c>
      <c r="N237" s="40">
        <v>334.18400000000008</v>
      </c>
      <c r="O237" s="40">
        <v>9489.2000000000007</v>
      </c>
      <c r="P237" s="41">
        <f t="shared" si="3"/>
        <v>13252.52</v>
      </c>
    </row>
    <row r="238" spans="1:16" x14ac:dyDescent="0.3">
      <c r="A238" s="34" t="s">
        <v>90</v>
      </c>
      <c r="B238" s="39" t="s">
        <v>42</v>
      </c>
      <c r="C238" s="34" t="s">
        <v>19</v>
      </c>
      <c r="O238" s="40">
        <v>10782.9</v>
      </c>
      <c r="P238" s="41">
        <f t="shared" si="3"/>
        <v>10782.9</v>
      </c>
    </row>
    <row r="239" spans="1:16" x14ac:dyDescent="0.3">
      <c r="A239" s="34" t="s">
        <v>90</v>
      </c>
      <c r="B239" s="39" t="s">
        <v>43</v>
      </c>
      <c r="C239" s="34" t="s">
        <v>19</v>
      </c>
      <c r="D239" s="40">
        <v>81.308999999999997</v>
      </c>
      <c r="E239" s="40">
        <v>97.807000000000002</v>
      </c>
      <c r="F239" s="40">
        <v>79.540999999999997</v>
      </c>
      <c r="G239" s="40">
        <v>79.578999999999994</v>
      </c>
      <c r="H239" s="40">
        <v>119.348</v>
      </c>
      <c r="I239" s="40">
        <v>115.79600000000001</v>
      </c>
      <c r="J239" s="40">
        <v>117.411</v>
      </c>
      <c r="K239" s="40">
        <v>133.79499999999999</v>
      </c>
      <c r="L239" s="40">
        <v>92.236999999999995</v>
      </c>
      <c r="M239" s="40">
        <v>80.114000000000004</v>
      </c>
      <c r="N239" s="40">
        <v>96.558999999999997</v>
      </c>
      <c r="O239" s="40">
        <v>2635.7</v>
      </c>
      <c r="P239" s="41">
        <f t="shared" si="3"/>
        <v>3729.1959999999999</v>
      </c>
    </row>
    <row r="240" spans="1:16" x14ac:dyDescent="0.3">
      <c r="A240" s="34" t="s">
        <v>90</v>
      </c>
      <c r="B240" s="35" t="s">
        <v>44</v>
      </c>
      <c r="C240" s="34" t="s">
        <v>19</v>
      </c>
      <c r="P240" s="37">
        <f t="shared" si="3"/>
        <v>0</v>
      </c>
    </row>
    <row r="241" spans="1:16" x14ac:dyDescent="0.3">
      <c r="A241" s="34" t="s">
        <v>90</v>
      </c>
      <c r="B241" s="35" t="s">
        <v>45</v>
      </c>
      <c r="C241" s="34" t="s">
        <v>19</v>
      </c>
      <c r="P241" s="41">
        <f t="shared" si="3"/>
        <v>0</v>
      </c>
    </row>
    <row r="242" spans="1:16" x14ac:dyDescent="0.3">
      <c r="A242" s="34" t="s">
        <v>90</v>
      </c>
      <c r="B242" s="35" t="s">
        <v>47</v>
      </c>
      <c r="C242" s="34" t="s">
        <v>19</v>
      </c>
      <c r="D242" s="41">
        <v>-2.8421709430404007E-14</v>
      </c>
      <c r="E242" s="41">
        <v>1.4210854715202001E-14</v>
      </c>
      <c r="F242" s="41">
        <v>0</v>
      </c>
      <c r="G242" s="41">
        <v>1.4210854715202001E-14</v>
      </c>
      <c r="H242" s="41">
        <v>1.4210854715202001E-14</v>
      </c>
      <c r="I242" s="41">
        <v>-1.4210854715202001E-14</v>
      </c>
      <c r="J242" s="41">
        <v>0</v>
      </c>
      <c r="K242" s="41">
        <v>-2.8421709430404007E-14</v>
      </c>
      <c r="L242" s="41">
        <v>-2.8421709430404007E-14</v>
      </c>
      <c r="M242" s="41">
        <v>2.8421709430404007E-14</v>
      </c>
      <c r="N242" s="41">
        <v>-2.8421709430404007E-14</v>
      </c>
      <c r="O242" s="41">
        <v>-9.0949470177292824E-13</v>
      </c>
      <c r="P242" s="41">
        <f t="shared" si="3"/>
        <v>-9.6633812063373625E-13</v>
      </c>
    </row>
    <row r="243" spans="1:16" x14ac:dyDescent="0.3">
      <c r="A243" s="34" t="s">
        <v>90</v>
      </c>
      <c r="B243" s="35" t="s">
        <v>28</v>
      </c>
      <c r="C243" s="34" t="s">
        <v>20</v>
      </c>
      <c r="P243" s="36">
        <f t="shared" si="3"/>
        <v>0</v>
      </c>
    </row>
    <row r="244" spans="1:16" x14ac:dyDescent="0.3">
      <c r="A244" s="34" t="s">
        <v>90</v>
      </c>
      <c r="B244" s="35" t="s">
        <v>30</v>
      </c>
      <c r="C244" s="34" t="s">
        <v>20</v>
      </c>
      <c r="P244" s="36">
        <f t="shared" si="3"/>
        <v>0</v>
      </c>
    </row>
    <row r="245" spans="1:16" x14ac:dyDescent="0.3">
      <c r="A245" s="34" t="s">
        <v>90</v>
      </c>
      <c r="B245" s="35" t="s">
        <v>31</v>
      </c>
      <c r="C245" s="34" t="s">
        <v>20</v>
      </c>
      <c r="P245" s="37">
        <f t="shared" si="3"/>
        <v>0</v>
      </c>
    </row>
    <row r="246" spans="1:16" x14ac:dyDescent="0.3">
      <c r="A246" s="34" t="s">
        <v>90</v>
      </c>
      <c r="B246" s="35" t="s">
        <v>33</v>
      </c>
      <c r="C246" s="34" t="s">
        <v>20</v>
      </c>
      <c r="I246" s="38">
        <v>0.75775453522701219</v>
      </c>
      <c r="P246" s="38">
        <f t="shared" si="3"/>
        <v>0.75775453522701219</v>
      </c>
    </row>
    <row r="247" spans="1:16" x14ac:dyDescent="0.3">
      <c r="A247" s="34" t="s">
        <v>90</v>
      </c>
      <c r="B247" s="39" t="s">
        <v>35</v>
      </c>
      <c r="C247" s="34" t="s">
        <v>20</v>
      </c>
      <c r="D247" s="40">
        <v>95.668000000000006</v>
      </c>
      <c r="E247" s="40">
        <v>105.35299999999999</v>
      </c>
      <c r="F247" s="40">
        <v>110.422</v>
      </c>
      <c r="G247" s="40">
        <v>92.474000000000004</v>
      </c>
      <c r="H247" s="40">
        <v>121.384</v>
      </c>
      <c r="I247" s="40">
        <v>129.548</v>
      </c>
      <c r="J247" s="40">
        <v>126.139</v>
      </c>
      <c r="K247" s="40">
        <v>140.34100000000001</v>
      </c>
      <c r="L247" s="40">
        <v>108.193</v>
      </c>
      <c r="M247" s="40">
        <v>97.185000000000002</v>
      </c>
      <c r="N247" s="40">
        <v>87.921999999999997</v>
      </c>
      <c r="O247" s="40">
        <v>2635.7</v>
      </c>
      <c r="P247" s="41">
        <f t="shared" si="3"/>
        <v>3850.3289999999997</v>
      </c>
    </row>
    <row r="248" spans="1:16" x14ac:dyDescent="0.3">
      <c r="A248" s="34" t="s">
        <v>90</v>
      </c>
      <c r="B248" s="39" t="s">
        <v>37</v>
      </c>
      <c r="C248" s="34" t="s">
        <v>20</v>
      </c>
      <c r="O248" s="40">
        <v>146.5</v>
      </c>
      <c r="P248" s="41">
        <f t="shared" si="3"/>
        <v>146.5</v>
      </c>
    </row>
    <row r="249" spans="1:16" x14ac:dyDescent="0.3">
      <c r="A249" s="34" t="s">
        <v>90</v>
      </c>
      <c r="B249" s="39" t="s">
        <v>38</v>
      </c>
      <c r="C249" s="34" t="s">
        <v>20</v>
      </c>
      <c r="D249" s="40">
        <v>333.32400000000001</v>
      </c>
      <c r="E249" s="40">
        <v>305.49200000000002</v>
      </c>
      <c r="F249" s="40">
        <v>338.86700000000002</v>
      </c>
      <c r="G249" s="40">
        <v>351.37</v>
      </c>
      <c r="H249" s="40">
        <v>368.101</v>
      </c>
      <c r="I249" s="40">
        <v>359.74200000000002</v>
      </c>
      <c r="J249" s="40">
        <v>277.38200000000001</v>
      </c>
      <c r="K249" s="40">
        <v>313.28199999999998</v>
      </c>
      <c r="L249" s="40">
        <v>353.14400000000001</v>
      </c>
      <c r="M249" s="40">
        <v>354.61700000000002</v>
      </c>
      <c r="N249" s="40">
        <v>318.64800000000002</v>
      </c>
      <c r="O249" s="40">
        <v>20723.5</v>
      </c>
      <c r="P249" s="41">
        <f t="shared" si="3"/>
        <v>24397.469000000001</v>
      </c>
    </row>
    <row r="250" spans="1:16" x14ac:dyDescent="0.3">
      <c r="A250" s="34" t="s">
        <v>90</v>
      </c>
      <c r="B250" s="39" t="s">
        <v>39</v>
      </c>
      <c r="C250" s="34" t="s">
        <v>20</v>
      </c>
      <c r="O250" s="40">
        <v>0</v>
      </c>
      <c r="P250" s="41">
        <f t="shared" si="3"/>
        <v>0</v>
      </c>
    </row>
    <row r="251" spans="1:16" x14ac:dyDescent="0.3">
      <c r="A251" s="34" t="s">
        <v>90</v>
      </c>
      <c r="B251" s="39" t="s">
        <v>91</v>
      </c>
      <c r="C251" s="34" t="s">
        <v>20</v>
      </c>
      <c r="P251" s="41">
        <f t="shared" si="3"/>
        <v>0</v>
      </c>
    </row>
    <row r="252" spans="1:16" x14ac:dyDescent="0.3">
      <c r="A252" s="34" t="s">
        <v>90</v>
      </c>
      <c r="B252" s="39" t="s">
        <v>41</v>
      </c>
      <c r="C252" s="34" t="s">
        <v>20</v>
      </c>
      <c r="D252" s="40">
        <v>333.32400000000001</v>
      </c>
      <c r="E252" s="40">
        <v>305.49200000000002</v>
      </c>
      <c r="F252" s="40">
        <v>338.86700000000002</v>
      </c>
      <c r="G252" s="40">
        <v>351.37</v>
      </c>
      <c r="H252" s="40">
        <v>368.101</v>
      </c>
      <c r="I252" s="40">
        <v>359.74200000000002</v>
      </c>
      <c r="J252" s="40">
        <v>277.38200000000001</v>
      </c>
      <c r="K252" s="40">
        <v>313.28199999999998</v>
      </c>
      <c r="L252" s="40">
        <v>353.14400000000001</v>
      </c>
      <c r="M252" s="40">
        <v>354.61700000000002</v>
      </c>
      <c r="N252" s="40">
        <v>318.64800000000002</v>
      </c>
      <c r="O252" s="40">
        <v>9868.9</v>
      </c>
      <c r="P252" s="41">
        <f t="shared" si="3"/>
        <v>13542.869000000001</v>
      </c>
    </row>
    <row r="253" spans="1:16" x14ac:dyDescent="0.3">
      <c r="A253" s="34" t="s">
        <v>90</v>
      </c>
      <c r="B253" s="39" t="s">
        <v>42</v>
      </c>
      <c r="C253" s="34" t="s">
        <v>20</v>
      </c>
      <c r="O253" s="40">
        <v>9202</v>
      </c>
      <c r="P253" s="41">
        <f t="shared" si="3"/>
        <v>9202</v>
      </c>
    </row>
    <row r="254" spans="1:16" x14ac:dyDescent="0.3">
      <c r="A254" s="34" t="s">
        <v>90</v>
      </c>
      <c r="B254" s="39" t="s">
        <v>43</v>
      </c>
      <c r="C254" s="34" t="s">
        <v>20</v>
      </c>
      <c r="D254" s="40">
        <v>95.668000000000006</v>
      </c>
      <c r="E254" s="40">
        <v>105.35299999999999</v>
      </c>
      <c r="F254" s="40">
        <v>110.422</v>
      </c>
      <c r="G254" s="40">
        <v>92.474000000000004</v>
      </c>
      <c r="H254" s="40">
        <v>121.384</v>
      </c>
      <c r="I254" s="40">
        <v>129.548</v>
      </c>
      <c r="J254" s="40">
        <v>126.139</v>
      </c>
      <c r="K254" s="40">
        <v>140.34100000000001</v>
      </c>
      <c r="L254" s="40">
        <v>108.193</v>
      </c>
      <c r="M254" s="40">
        <v>97.185000000000002</v>
      </c>
      <c r="N254" s="40">
        <v>87.921999999999997</v>
      </c>
      <c r="O254" s="40">
        <v>4434.8</v>
      </c>
      <c r="P254" s="41">
        <f t="shared" si="3"/>
        <v>5649.4290000000001</v>
      </c>
    </row>
    <row r="255" spans="1:16" x14ac:dyDescent="0.3">
      <c r="A255" s="34" t="s">
        <v>90</v>
      </c>
      <c r="B255" s="35" t="s">
        <v>44</v>
      </c>
      <c r="C255" s="34" t="s">
        <v>20</v>
      </c>
      <c r="P255" s="37">
        <f t="shared" si="3"/>
        <v>0</v>
      </c>
    </row>
    <row r="256" spans="1:16" x14ac:dyDescent="0.3">
      <c r="A256" s="34" t="s">
        <v>90</v>
      </c>
      <c r="B256" s="35" t="s">
        <v>45</v>
      </c>
      <c r="C256" s="34" t="s">
        <v>20</v>
      </c>
      <c r="P256" s="41">
        <f t="shared" si="3"/>
        <v>0</v>
      </c>
    </row>
    <row r="257" spans="1:16" x14ac:dyDescent="0.3">
      <c r="A257" s="34" t="s">
        <v>90</v>
      </c>
      <c r="B257" s="35" t="s">
        <v>47</v>
      </c>
      <c r="C257" s="34" t="s">
        <v>20</v>
      </c>
      <c r="D257" s="41">
        <v>0</v>
      </c>
      <c r="E257" s="41">
        <v>1.4210854715202001E-14</v>
      </c>
      <c r="F257" s="41">
        <v>2.8421709430404007E-14</v>
      </c>
      <c r="G257" s="41">
        <v>-1.4210854715202001E-14</v>
      </c>
      <c r="H257" s="41">
        <v>1.4210854715202001E-14</v>
      </c>
      <c r="I257" s="41">
        <v>0</v>
      </c>
      <c r="J257" s="41">
        <v>1.4210854715202001E-14</v>
      </c>
      <c r="K257" s="41">
        <v>0</v>
      </c>
      <c r="L257" s="41">
        <v>-1.4210854715202001E-14</v>
      </c>
      <c r="M257" s="41">
        <v>0</v>
      </c>
      <c r="N257" s="41">
        <v>2.8421709430404007E-14</v>
      </c>
      <c r="O257" s="41">
        <v>-9.0949470177292824E-13</v>
      </c>
      <c r="P257" s="41">
        <f t="shared" si="3"/>
        <v>-8.3844042819691822E-13</v>
      </c>
    </row>
    <row r="258" spans="1:16" x14ac:dyDescent="0.3">
      <c r="A258" s="34" t="s">
        <v>90</v>
      </c>
      <c r="B258" s="35" t="s">
        <v>28</v>
      </c>
      <c r="C258" s="34" t="s">
        <v>21</v>
      </c>
      <c r="P258" s="36">
        <f t="shared" si="3"/>
        <v>0</v>
      </c>
    </row>
    <row r="259" spans="1:16" x14ac:dyDescent="0.3">
      <c r="A259" s="34" t="s">
        <v>90</v>
      </c>
      <c r="B259" s="35" t="s">
        <v>30</v>
      </c>
      <c r="C259" s="34" t="s">
        <v>21</v>
      </c>
      <c r="P259" s="36">
        <f t="shared" ref="P259:P322" si="4">SUM(D259:O259)</f>
        <v>0</v>
      </c>
    </row>
    <row r="260" spans="1:16" x14ac:dyDescent="0.3">
      <c r="A260" s="34" t="s">
        <v>90</v>
      </c>
      <c r="B260" s="35" t="s">
        <v>31</v>
      </c>
      <c r="C260" s="34" t="s">
        <v>21</v>
      </c>
      <c r="P260" s="37">
        <f t="shared" si="4"/>
        <v>0</v>
      </c>
    </row>
    <row r="261" spans="1:16" x14ac:dyDescent="0.3">
      <c r="A261" s="34" t="s">
        <v>90</v>
      </c>
      <c r="B261" s="35" t="s">
        <v>33</v>
      </c>
      <c r="C261" s="34" t="s">
        <v>21</v>
      </c>
      <c r="I261" s="38">
        <v>0.80438956551010099</v>
      </c>
      <c r="P261" s="38">
        <f t="shared" si="4"/>
        <v>0.80438956551010099</v>
      </c>
    </row>
    <row r="262" spans="1:16" x14ac:dyDescent="0.3">
      <c r="A262" s="34" t="s">
        <v>90</v>
      </c>
      <c r="B262" s="39" t="s">
        <v>35</v>
      </c>
      <c r="C262" s="34" t="s">
        <v>21</v>
      </c>
      <c r="D262" s="40">
        <v>90.948999999999998</v>
      </c>
      <c r="E262" s="40">
        <v>82.625</v>
      </c>
      <c r="F262" s="40">
        <v>78.682000000000002</v>
      </c>
      <c r="G262" s="40">
        <v>94.614999999999995</v>
      </c>
      <c r="H262" s="40">
        <v>112.988</v>
      </c>
      <c r="I262" s="40">
        <v>104.82899999999999</v>
      </c>
      <c r="J262" s="40">
        <v>100.92700000000001</v>
      </c>
      <c r="K262" s="40">
        <v>79.039000000000001</v>
      </c>
      <c r="L262" s="40">
        <v>101.405</v>
      </c>
      <c r="M262" s="40">
        <v>97.025000000000006</v>
      </c>
      <c r="N262" s="40">
        <v>107.896</v>
      </c>
      <c r="O262" s="40">
        <v>4434.8</v>
      </c>
      <c r="P262" s="41">
        <f t="shared" si="4"/>
        <v>5485.7800000000007</v>
      </c>
    </row>
    <row r="263" spans="1:16" x14ac:dyDescent="0.3">
      <c r="A263" s="34" t="s">
        <v>90</v>
      </c>
      <c r="B263" s="39" t="s">
        <v>37</v>
      </c>
      <c r="C263" s="34" t="s">
        <v>21</v>
      </c>
      <c r="O263" s="40">
        <v>132.5</v>
      </c>
      <c r="P263" s="41">
        <f t="shared" si="4"/>
        <v>132.5</v>
      </c>
    </row>
    <row r="264" spans="1:16" x14ac:dyDescent="0.3">
      <c r="A264" s="34" t="s">
        <v>90</v>
      </c>
      <c r="B264" s="39" t="s">
        <v>38</v>
      </c>
      <c r="C264" s="34" t="s">
        <v>21</v>
      </c>
      <c r="D264" s="40">
        <v>362.351</v>
      </c>
      <c r="E264" s="40">
        <v>335.47300000000001</v>
      </c>
      <c r="F264" s="40">
        <v>382.839</v>
      </c>
      <c r="G264" s="40">
        <v>360.18299999999999</v>
      </c>
      <c r="H264" s="40">
        <v>395.209</v>
      </c>
      <c r="I264" s="40">
        <v>375.30700000000002</v>
      </c>
      <c r="J264" s="40">
        <v>352.26799999999997</v>
      </c>
      <c r="K264" s="40">
        <v>386.96499999999997</v>
      </c>
      <c r="L264" s="40">
        <v>370.17599999999999</v>
      </c>
      <c r="M264" s="40">
        <v>375.88</v>
      </c>
      <c r="N264" s="40">
        <v>382.12099999999998</v>
      </c>
      <c r="O264" s="40">
        <v>19912.3</v>
      </c>
      <c r="P264" s="41">
        <f t="shared" si="4"/>
        <v>23991.072</v>
      </c>
    </row>
    <row r="265" spans="1:16" x14ac:dyDescent="0.3">
      <c r="A265" s="34" t="s">
        <v>90</v>
      </c>
      <c r="B265" s="39" t="s">
        <v>39</v>
      </c>
      <c r="C265" s="34" t="s">
        <v>21</v>
      </c>
      <c r="O265" s="40">
        <v>0</v>
      </c>
      <c r="P265" s="41">
        <f t="shared" si="4"/>
        <v>0</v>
      </c>
    </row>
    <row r="266" spans="1:16" x14ac:dyDescent="0.3">
      <c r="A266" s="34" t="s">
        <v>90</v>
      </c>
      <c r="B266" s="39" t="s">
        <v>91</v>
      </c>
      <c r="C266" s="34" t="s">
        <v>21</v>
      </c>
      <c r="P266" s="41">
        <f t="shared" si="4"/>
        <v>0</v>
      </c>
    </row>
    <row r="267" spans="1:16" x14ac:dyDescent="0.3">
      <c r="A267" s="34" t="s">
        <v>90</v>
      </c>
      <c r="B267" s="39" t="s">
        <v>41</v>
      </c>
      <c r="C267" s="34" t="s">
        <v>21</v>
      </c>
      <c r="D267" s="40">
        <v>362.351</v>
      </c>
      <c r="E267" s="40">
        <v>335.47300000000001</v>
      </c>
      <c r="F267" s="40">
        <v>382.839</v>
      </c>
      <c r="G267" s="40">
        <v>360.18299999999999</v>
      </c>
      <c r="H267" s="40">
        <v>395.209</v>
      </c>
      <c r="I267" s="40">
        <v>375.30700000000002</v>
      </c>
      <c r="J267" s="40">
        <v>352.26799999999997</v>
      </c>
      <c r="K267" s="40">
        <v>386.96499999999997</v>
      </c>
      <c r="L267" s="40">
        <v>370.17599999999999</v>
      </c>
      <c r="M267" s="40">
        <v>375.88</v>
      </c>
      <c r="N267" s="40">
        <v>382.12099999999998</v>
      </c>
      <c r="O267" s="40">
        <v>11005.3</v>
      </c>
      <c r="P267" s="41">
        <f t="shared" si="4"/>
        <v>15084.072</v>
      </c>
    </row>
    <row r="268" spans="1:16" x14ac:dyDescent="0.3">
      <c r="A268" s="34" t="s">
        <v>90</v>
      </c>
      <c r="B268" s="39" t="s">
        <v>42</v>
      </c>
      <c r="C268" s="34" t="s">
        <v>21</v>
      </c>
      <c r="O268" s="40">
        <v>10039.700000000001</v>
      </c>
      <c r="P268" s="41">
        <f t="shared" si="4"/>
        <v>10039.700000000001</v>
      </c>
    </row>
    <row r="269" spans="1:16" x14ac:dyDescent="0.3">
      <c r="A269" s="34" t="s">
        <v>90</v>
      </c>
      <c r="B269" s="39" t="s">
        <v>43</v>
      </c>
      <c r="C269" s="34" t="s">
        <v>21</v>
      </c>
      <c r="D269" s="40">
        <v>90.948999999999998</v>
      </c>
      <c r="E269" s="40">
        <v>82.625</v>
      </c>
      <c r="F269" s="40">
        <v>78.682000000000002</v>
      </c>
      <c r="G269" s="40">
        <v>94.614999999999995</v>
      </c>
      <c r="H269" s="40">
        <v>112.988</v>
      </c>
      <c r="I269" s="40">
        <v>104.82899999999999</v>
      </c>
      <c r="J269" s="40">
        <v>100.92700000000001</v>
      </c>
      <c r="K269" s="40">
        <v>79.039000000000001</v>
      </c>
      <c r="L269" s="40">
        <v>101.405</v>
      </c>
      <c r="M269" s="40">
        <v>97.025000000000006</v>
      </c>
      <c r="N269" s="40">
        <v>107.896</v>
      </c>
      <c r="O269" s="40">
        <v>3434.6</v>
      </c>
      <c r="P269" s="41">
        <f t="shared" si="4"/>
        <v>4485.58</v>
      </c>
    </row>
    <row r="270" spans="1:16" x14ac:dyDescent="0.3">
      <c r="A270" s="34" t="s">
        <v>90</v>
      </c>
      <c r="B270" s="35" t="s">
        <v>44</v>
      </c>
      <c r="C270" s="34" t="s">
        <v>21</v>
      </c>
      <c r="P270" s="37">
        <f t="shared" si="4"/>
        <v>0</v>
      </c>
    </row>
    <row r="271" spans="1:16" x14ac:dyDescent="0.3">
      <c r="A271" s="34" t="s">
        <v>90</v>
      </c>
      <c r="B271" s="35" t="s">
        <v>45</v>
      </c>
      <c r="C271" s="34" t="s">
        <v>21</v>
      </c>
      <c r="P271" s="41">
        <f t="shared" si="4"/>
        <v>0</v>
      </c>
    </row>
    <row r="272" spans="1:16" x14ac:dyDescent="0.3">
      <c r="A272" s="34" t="s">
        <v>90</v>
      </c>
      <c r="B272" s="35" t="s">
        <v>47</v>
      </c>
      <c r="C272" s="34" t="s">
        <v>21</v>
      </c>
      <c r="D272" s="41">
        <v>1.4210854715202001E-14</v>
      </c>
      <c r="E272" s="41">
        <v>0</v>
      </c>
      <c r="F272" s="41">
        <v>1.4210854715202001E-14</v>
      </c>
      <c r="G272" s="41">
        <v>1.4210854715202001E-14</v>
      </c>
      <c r="H272" s="41">
        <v>0</v>
      </c>
      <c r="I272" s="41">
        <v>1.4210854715202001E-14</v>
      </c>
      <c r="J272" s="41">
        <v>1.4210854715202001E-14</v>
      </c>
      <c r="K272" s="41">
        <v>-1.4210854715202001E-14</v>
      </c>
      <c r="L272" s="41">
        <v>-2.8421709430404007E-14</v>
      </c>
      <c r="M272" s="41">
        <v>-2.8421709430404007E-14</v>
      </c>
      <c r="N272" s="41">
        <v>1.4210854715202001E-14</v>
      </c>
      <c r="O272" s="41">
        <v>4.5474735088646412E-13</v>
      </c>
      <c r="P272" s="41">
        <f t="shared" si="4"/>
        <v>4.6895820560166612E-13</v>
      </c>
    </row>
    <row r="273" spans="1:16" x14ac:dyDescent="0.3">
      <c r="A273" s="34" t="s">
        <v>90</v>
      </c>
      <c r="B273" s="35" t="s">
        <v>28</v>
      </c>
      <c r="C273" s="34" t="s">
        <v>22</v>
      </c>
      <c r="P273" s="36">
        <f t="shared" si="4"/>
        <v>0</v>
      </c>
    </row>
    <row r="274" spans="1:16" x14ac:dyDescent="0.3">
      <c r="A274" s="34" t="s">
        <v>90</v>
      </c>
      <c r="B274" s="35" t="s">
        <v>30</v>
      </c>
      <c r="C274" s="34" t="s">
        <v>22</v>
      </c>
      <c r="P274" s="36">
        <f t="shared" si="4"/>
        <v>0</v>
      </c>
    </row>
    <row r="275" spans="1:16" x14ac:dyDescent="0.3">
      <c r="A275" s="34" t="s">
        <v>90</v>
      </c>
      <c r="B275" s="35" t="s">
        <v>31</v>
      </c>
      <c r="C275" s="34" t="s">
        <v>22</v>
      </c>
      <c r="P275" s="37">
        <f t="shared" si="4"/>
        <v>0</v>
      </c>
    </row>
    <row r="276" spans="1:16" x14ac:dyDescent="0.3">
      <c r="A276" s="34" t="s">
        <v>90</v>
      </c>
      <c r="B276" s="35" t="s">
        <v>33</v>
      </c>
      <c r="C276" s="34" t="s">
        <v>22</v>
      </c>
      <c r="I276" s="38">
        <v>0.7864905957463556</v>
      </c>
      <c r="P276" s="38">
        <f t="shared" si="4"/>
        <v>0.7864905957463556</v>
      </c>
    </row>
    <row r="277" spans="1:16" x14ac:dyDescent="0.3">
      <c r="A277" s="34" t="s">
        <v>90</v>
      </c>
      <c r="B277" s="39" t="s">
        <v>35</v>
      </c>
      <c r="C277" s="34" t="s">
        <v>22</v>
      </c>
      <c r="D277" s="40">
        <v>75.590999999999994</v>
      </c>
      <c r="E277" s="40">
        <v>72.673000000000002</v>
      </c>
      <c r="F277" s="40">
        <v>110.422</v>
      </c>
      <c r="G277" s="40">
        <v>124.741</v>
      </c>
      <c r="H277" s="40">
        <v>146.29300000000001</v>
      </c>
      <c r="I277" s="40">
        <v>139.78</v>
      </c>
      <c r="J277" s="40">
        <v>130.333</v>
      </c>
      <c r="K277" s="40">
        <v>101.723</v>
      </c>
      <c r="L277" s="40">
        <v>88.087000000000003</v>
      </c>
      <c r="M277" s="40">
        <v>90.781999999999996</v>
      </c>
      <c r="N277" s="40">
        <v>118.74</v>
      </c>
      <c r="O277" s="40">
        <v>3434.6</v>
      </c>
      <c r="P277" s="41">
        <f t="shared" si="4"/>
        <v>4633.7649999999994</v>
      </c>
    </row>
    <row r="278" spans="1:16" x14ac:dyDescent="0.3">
      <c r="A278" s="34" t="s">
        <v>90</v>
      </c>
      <c r="B278" s="39" t="s">
        <v>37</v>
      </c>
      <c r="C278" s="34" t="s">
        <v>22</v>
      </c>
      <c r="O278" s="40">
        <v>125.1</v>
      </c>
      <c r="P278" s="41">
        <f t="shared" si="4"/>
        <v>125.1</v>
      </c>
    </row>
    <row r="279" spans="1:16" x14ac:dyDescent="0.3">
      <c r="A279" s="34" t="s">
        <v>90</v>
      </c>
      <c r="B279" s="39" t="s">
        <v>38</v>
      </c>
      <c r="C279" s="34" t="s">
        <v>22</v>
      </c>
      <c r="D279" s="40">
        <v>363.42399999999998</v>
      </c>
      <c r="E279" s="40">
        <v>339.88400000000001</v>
      </c>
      <c r="F279" s="40">
        <v>400.90899999999999</v>
      </c>
      <c r="G279" s="40">
        <v>395.613</v>
      </c>
      <c r="H279" s="40">
        <v>397.85</v>
      </c>
      <c r="I279" s="40">
        <v>394.315</v>
      </c>
      <c r="J279" s="40">
        <v>346.41</v>
      </c>
      <c r="K279" s="40">
        <v>416.84899999999999</v>
      </c>
      <c r="L279" s="40">
        <v>391</v>
      </c>
      <c r="M279" s="40">
        <v>357.44600000000003</v>
      </c>
      <c r="N279" s="40">
        <v>362.13099999999997</v>
      </c>
      <c r="O279" s="40">
        <v>19484.7</v>
      </c>
      <c r="P279" s="41">
        <f t="shared" si="4"/>
        <v>23650.531000000003</v>
      </c>
    </row>
    <row r="280" spans="1:16" x14ac:dyDescent="0.3">
      <c r="A280" s="34" t="s">
        <v>90</v>
      </c>
      <c r="B280" s="39" t="s">
        <v>39</v>
      </c>
      <c r="C280" s="34" t="s">
        <v>22</v>
      </c>
      <c r="O280" s="40">
        <v>0</v>
      </c>
      <c r="P280" s="41">
        <f t="shared" si="4"/>
        <v>0</v>
      </c>
    </row>
    <row r="281" spans="1:16" x14ac:dyDescent="0.3">
      <c r="A281" s="34" t="s">
        <v>90</v>
      </c>
      <c r="B281" s="39" t="s">
        <v>91</v>
      </c>
      <c r="C281" s="34" t="s">
        <v>22</v>
      </c>
      <c r="P281" s="41">
        <f t="shared" si="4"/>
        <v>0</v>
      </c>
    </row>
    <row r="282" spans="1:16" x14ac:dyDescent="0.3">
      <c r="A282" s="34" t="s">
        <v>90</v>
      </c>
      <c r="B282" s="39" t="s">
        <v>41</v>
      </c>
      <c r="C282" s="34" t="s">
        <v>22</v>
      </c>
      <c r="D282" s="40">
        <v>363.42399999999998</v>
      </c>
      <c r="E282" s="40">
        <v>339.88400000000001</v>
      </c>
      <c r="F282" s="40">
        <v>400.90899999999999</v>
      </c>
      <c r="G282" s="40">
        <v>395.61300000000011</v>
      </c>
      <c r="H282" s="40">
        <v>397.85</v>
      </c>
      <c r="I282" s="40">
        <v>394.31500000000011</v>
      </c>
      <c r="J282" s="40">
        <v>346.41000000000008</v>
      </c>
      <c r="K282" s="40">
        <v>416.84899999999999</v>
      </c>
      <c r="L282" s="40">
        <v>391</v>
      </c>
      <c r="M282" s="40">
        <v>357.44600000000003</v>
      </c>
      <c r="N282" s="40">
        <v>362.13099999999997</v>
      </c>
      <c r="O282" s="40">
        <v>10679.8</v>
      </c>
      <c r="P282" s="41">
        <f t="shared" si="4"/>
        <v>14845.631000000001</v>
      </c>
    </row>
    <row r="283" spans="1:16" x14ac:dyDescent="0.3">
      <c r="A283" s="34" t="s">
        <v>90</v>
      </c>
      <c r="B283" s="39" t="s">
        <v>42</v>
      </c>
      <c r="C283" s="34" t="s">
        <v>22</v>
      </c>
      <c r="O283" s="40">
        <v>10588.6</v>
      </c>
      <c r="P283" s="41">
        <f t="shared" si="4"/>
        <v>10588.6</v>
      </c>
    </row>
    <row r="284" spans="1:16" x14ac:dyDescent="0.3">
      <c r="A284" s="34" t="s">
        <v>90</v>
      </c>
      <c r="B284" s="39" t="s">
        <v>43</v>
      </c>
      <c r="C284" s="34" t="s">
        <v>22</v>
      </c>
      <c r="D284" s="40">
        <v>75.590999999999994</v>
      </c>
      <c r="E284" s="40">
        <v>72.673000000000002</v>
      </c>
      <c r="F284" s="40">
        <v>110.422</v>
      </c>
      <c r="G284" s="40">
        <v>124.741</v>
      </c>
      <c r="H284" s="40">
        <v>146.29300000000001</v>
      </c>
      <c r="I284" s="40">
        <v>139.78</v>
      </c>
      <c r="J284" s="40">
        <v>130.333</v>
      </c>
      <c r="K284" s="40">
        <v>101.723</v>
      </c>
      <c r="L284" s="40">
        <v>88.087000000000003</v>
      </c>
      <c r="M284" s="40">
        <v>90.781999999999996</v>
      </c>
      <c r="N284" s="40">
        <v>118.74</v>
      </c>
      <c r="O284" s="40">
        <v>1776</v>
      </c>
      <c r="P284" s="41">
        <f t="shared" si="4"/>
        <v>2975.165</v>
      </c>
    </row>
    <row r="285" spans="1:16" x14ac:dyDescent="0.3">
      <c r="A285" s="34" t="s">
        <v>90</v>
      </c>
      <c r="B285" s="35" t="s">
        <v>44</v>
      </c>
      <c r="C285" s="34" t="s">
        <v>22</v>
      </c>
      <c r="P285" s="37">
        <f t="shared" si="4"/>
        <v>0</v>
      </c>
    </row>
    <row r="286" spans="1:16" x14ac:dyDescent="0.3">
      <c r="A286" s="34" t="s">
        <v>90</v>
      </c>
      <c r="B286" s="35" t="s">
        <v>45</v>
      </c>
      <c r="C286" s="34" t="s">
        <v>22</v>
      </c>
      <c r="P286" s="41">
        <f t="shared" si="4"/>
        <v>0</v>
      </c>
    </row>
    <row r="287" spans="1:16" x14ac:dyDescent="0.3">
      <c r="A287" s="34" t="s">
        <v>90</v>
      </c>
      <c r="B287" s="35" t="s">
        <v>47</v>
      </c>
      <c r="C287" s="34" t="s">
        <v>22</v>
      </c>
      <c r="D287" s="41">
        <v>1.4210854715202001E-14</v>
      </c>
      <c r="E287" s="41">
        <v>0</v>
      </c>
      <c r="F287" s="41">
        <v>2.8421709430404007E-14</v>
      </c>
      <c r="G287" s="41">
        <v>-1.4210854715202001E-14</v>
      </c>
      <c r="H287" s="41">
        <v>0</v>
      </c>
      <c r="I287" s="41">
        <v>-2.8421709430404007E-14</v>
      </c>
      <c r="J287" s="41">
        <v>-2.8421709430404007E-14</v>
      </c>
      <c r="K287" s="41">
        <v>1.4210854715202001E-14</v>
      </c>
      <c r="L287" s="41">
        <v>-1.4210854715202001E-14</v>
      </c>
      <c r="M287" s="41">
        <v>-1.4210854715202001E-14</v>
      </c>
      <c r="N287" s="41">
        <v>1.4210854715202001E-14</v>
      </c>
      <c r="O287" s="41">
        <v>0</v>
      </c>
      <c r="P287" s="41">
        <f t="shared" si="4"/>
        <v>-2.8421709430404007E-14</v>
      </c>
    </row>
    <row r="288" spans="1:16" x14ac:dyDescent="0.3">
      <c r="A288" s="34" t="s">
        <v>90</v>
      </c>
      <c r="B288" s="35" t="s">
        <v>28</v>
      </c>
      <c r="C288" s="34" t="s">
        <v>23</v>
      </c>
      <c r="P288" s="36">
        <f t="shared" si="4"/>
        <v>0</v>
      </c>
    </row>
    <row r="289" spans="1:16" x14ac:dyDescent="0.3">
      <c r="A289" s="34" t="s">
        <v>90</v>
      </c>
      <c r="B289" s="35" t="s">
        <v>30</v>
      </c>
      <c r="C289" s="34" t="s">
        <v>23</v>
      </c>
      <c r="P289" s="36">
        <f t="shared" si="4"/>
        <v>0</v>
      </c>
    </row>
    <row r="290" spans="1:16" x14ac:dyDescent="0.3">
      <c r="A290" s="34" t="s">
        <v>90</v>
      </c>
      <c r="B290" s="35" t="s">
        <v>31</v>
      </c>
      <c r="C290" s="34" t="s">
        <v>23</v>
      </c>
      <c r="P290" s="37">
        <f t="shared" si="4"/>
        <v>0</v>
      </c>
    </row>
    <row r="291" spans="1:16" x14ac:dyDescent="0.3">
      <c r="A291" s="34" t="s">
        <v>90</v>
      </c>
      <c r="B291" s="35" t="s">
        <v>33</v>
      </c>
      <c r="C291" s="34" t="s">
        <v>23</v>
      </c>
      <c r="I291" s="38">
        <v>0.56383176955342773</v>
      </c>
      <c r="P291" s="38">
        <f t="shared" si="4"/>
        <v>0.56383176955342773</v>
      </c>
    </row>
    <row r="292" spans="1:16" x14ac:dyDescent="0.3">
      <c r="A292" s="34" t="s">
        <v>90</v>
      </c>
      <c r="B292" s="39" t="s">
        <v>35</v>
      </c>
      <c r="C292" s="34" t="s">
        <v>23</v>
      </c>
      <c r="D292" s="40">
        <v>104.07899999999999</v>
      </c>
      <c r="E292" s="40">
        <v>98.866</v>
      </c>
      <c r="F292" s="40">
        <v>89.828999999999994</v>
      </c>
      <c r="G292" s="40">
        <v>103.276</v>
      </c>
      <c r="H292" s="40">
        <v>139.756</v>
      </c>
      <c r="I292" s="40">
        <v>111.51</v>
      </c>
      <c r="J292" s="40">
        <v>106.825</v>
      </c>
      <c r="K292" s="40">
        <v>92.435000000000002</v>
      </c>
      <c r="L292" s="40">
        <v>96.236000000000004</v>
      </c>
      <c r="M292" s="40">
        <v>73.945999999999998</v>
      </c>
      <c r="N292" s="40">
        <v>79.652000000000001</v>
      </c>
      <c r="O292" s="40">
        <v>1776</v>
      </c>
      <c r="P292" s="41">
        <f t="shared" si="4"/>
        <v>2872.41</v>
      </c>
    </row>
    <row r="293" spans="1:16" x14ac:dyDescent="0.3">
      <c r="A293" s="34" t="s">
        <v>90</v>
      </c>
      <c r="B293" s="39" t="s">
        <v>37</v>
      </c>
      <c r="C293" s="34" t="s">
        <v>23</v>
      </c>
      <c r="O293" s="40">
        <v>104.7</v>
      </c>
      <c r="P293" s="41">
        <f t="shared" si="4"/>
        <v>104.7</v>
      </c>
    </row>
    <row r="294" spans="1:16" x14ac:dyDescent="0.3">
      <c r="A294" s="34" t="s">
        <v>90</v>
      </c>
      <c r="B294" s="39" t="s">
        <v>38</v>
      </c>
      <c r="C294" s="34" t="s">
        <v>23</v>
      </c>
      <c r="D294" s="40">
        <v>287.29500000000002</v>
      </c>
      <c r="E294" s="40">
        <v>320.56400000000002</v>
      </c>
      <c r="F294" s="40">
        <v>360.22300000000001</v>
      </c>
      <c r="G294" s="40">
        <v>325.47399999999999</v>
      </c>
      <c r="H294" s="40">
        <v>293.94499999999999</v>
      </c>
      <c r="I294" s="40">
        <v>271.62900000000002</v>
      </c>
      <c r="J294" s="40">
        <v>262.73200000000003</v>
      </c>
      <c r="K294" s="40">
        <v>308.44900000000001</v>
      </c>
      <c r="L294" s="40">
        <v>293.81200000000001</v>
      </c>
      <c r="M294" s="40">
        <v>247.535</v>
      </c>
      <c r="N294" s="40">
        <v>276.38900000000001</v>
      </c>
      <c r="O294" s="40">
        <v>14248.3</v>
      </c>
      <c r="P294" s="41">
        <f t="shared" si="4"/>
        <v>17496.346999999998</v>
      </c>
    </row>
    <row r="295" spans="1:16" x14ac:dyDescent="0.3">
      <c r="A295" s="34" t="s">
        <v>90</v>
      </c>
      <c r="B295" s="39" t="s">
        <v>39</v>
      </c>
      <c r="C295" s="34" t="s">
        <v>23</v>
      </c>
      <c r="O295" s="40">
        <v>0</v>
      </c>
      <c r="P295" s="41">
        <f t="shared" si="4"/>
        <v>0</v>
      </c>
    </row>
    <row r="296" spans="1:16" x14ac:dyDescent="0.3">
      <c r="A296" s="34" t="s">
        <v>90</v>
      </c>
      <c r="B296" s="39" t="s">
        <v>91</v>
      </c>
      <c r="C296" s="34" t="s">
        <v>23</v>
      </c>
      <c r="P296" s="41">
        <f t="shared" si="4"/>
        <v>0</v>
      </c>
    </row>
    <row r="297" spans="1:16" x14ac:dyDescent="0.3">
      <c r="A297" s="34" t="s">
        <v>90</v>
      </c>
      <c r="B297" s="39" t="s">
        <v>41</v>
      </c>
      <c r="C297" s="34" t="s">
        <v>23</v>
      </c>
      <c r="D297" s="40">
        <v>287.29500000000002</v>
      </c>
      <c r="E297" s="40">
        <v>320.56400000000002</v>
      </c>
      <c r="F297" s="40">
        <v>360.22300000000001</v>
      </c>
      <c r="G297" s="40">
        <v>325.47399999999999</v>
      </c>
      <c r="H297" s="40">
        <v>293.94500000000011</v>
      </c>
      <c r="I297" s="40">
        <v>271.62900000000002</v>
      </c>
      <c r="J297" s="40">
        <v>262.73200000000003</v>
      </c>
      <c r="K297" s="40">
        <v>308.44900000000001</v>
      </c>
      <c r="L297" s="40">
        <v>293.81200000000001</v>
      </c>
      <c r="M297" s="40">
        <v>247.535</v>
      </c>
      <c r="N297" s="40">
        <v>276.38900000000001</v>
      </c>
      <c r="O297" s="40">
        <v>9399.9</v>
      </c>
      <c r="P297" s="41">
        <f t="shared" si="4"/>
        <v>12647.947</v>
      </c>
    </row>
    <row r="298" spans="1:16" x14ac:dyDescent="0.3">
      <c r="A298" s="34" t="s">
        <v>90</v>
      </c>
      <c r="B298" s="39" t="s">
        <v>42</v>
      </c>
      <c r="C298" s="34" t="s">
        <v>23</v>
      </c>
      <c r="O298" s="40">
        <v>5245</v>
      </c>
      <c r="P298" s="41">
        <f t="shared" si="4"/>
        <v>5245</v>
      </c>
    </row>
    <row r="299" spans="1:16" x14ac:dyDescent="0.3">
      <c r="A299" s="34" t="s">
        <v>90</v>
      </c>
      <c r="B299" s="39" t="s">
        <v>43</v>
      </c>
      <c r="C299" s="34" t="s">
        <v>23</v>
      </c>
      <c r="D299" s="40">
        <v>104.07899999999999</v>
      </c>
      <c r="E299" s="40">
        <v>98.866</v>
      </c>
      <c r="F299" s="40">
        <v>89.828999999999994</v>
      </c>
      <c r="G299" s="40">
        <v>103.276</v>
      </c>
      <c r="H299" s="40">
        <v>139.756</v>
      </c>
      <c r="I299" s="40">
        <v>111.51</v>
      </c>
      <c r="J299" s="40">
        <v>106.825</v>
      </c>
      <c r="K299" s="40">
        <v>92.435000000000002</v>
      </c>
      <c r="L299" s="40">
        <v>96.236000000000004</v>
      </c>
      <c r="M299" s="40">
        <v>73.945999999999998</v>
      </c>
      <c r="N299" s="40">
        <v>79.652000000000001</v>
      </c>
      <c r="O299" s="40">
        <v>1484.1</v>
      </c>
      <c r="P299" s="41">
        <f t="shared" si="4"/>
        <v>2580.5100000000002</v>
      </c>
    </row>
    <row r="300" spans="1:16" x14ac:dyDescent="0.3">
      <c r="A300" s="34" t="s">
        <v>90</v>
      </c>
      <c r="B300" s="35" t="s">
        <v>44</v>
      </c>
      <c r="C300" s="34" t="s">
        <v>23</v>
      </c>
      <c r="P300" s="37">
        <f t="shared" si="4"/>
        <v>0</v>
      </c>
    </row>
    <row r="301" spans="1:16" x14ac:dyDescent="0.3">
      <c r="A301" s="34" t="s">
        <v>90</v>
      </c>
      <c r="B301" s="35" t="s">
        <v>45</v>
      </c>
      <c r="C301" s="34" t="s">
        <v>23</v>
      </c>
      <c r="P301" s="41">
        <f t="shared" si="4"/>
        <v>0</v>
      </c>
    </row>
    <row r="302" spans="1:16" x14ac:dyDescent="0.3">
      <c r="A302" s="34" t="s">
        <v>90</v>
      </c>
      <c r="B302" s="35" t="s">
        <v>47</v>
      </c>
      <c r="C302" s="34" t="s">
        <v>23</v>
      </c>
      <c r="D302" s="41">
        <v>1.4210854715202001E-14</v>
      </c>
      <c r="E302" s="41">
        <v>-1.4210854715202001E-14</v>
      </c>
      <c r="F302" s="41">
        <v>1.4210854715202001E-14</v>
      </c>
      <c r="G302" s="41">
        <v>1.4210854715202001E-14</v>
      </c>
      <c r="H302" s="41">
        <v>-2.8421709430404007E-14</v>
      </c>
      <c r="I302" s="41">
        <v>-1.4210854715202001E-14</v>
      </c>
      <c r="J302" s="41">
        <v>-1.4210854715202001E-14</v>
      </c>
      <c r="K302" s="41">
        <v>0</v>
      </c>
      <c r="L302" s="41">
        <v>-1.4210854715202001E-14</v>
      </c>
      <c r="M302" s="41">
        <v>0</v>
      </c>
      <c r="N302" s="41">
        <v>-1.4210854715202001E-14</v>
      </c>
      <c r="O302" s="41">
        <v>4.5474735088646412E-13</v>
      </c>
      <c r="P302" s="41">
        <f t="shared" si="4"/>
        <v>3.979039320256561E-13</v>
      </c>
    </row>
    <row r="303" spans="1:16" x14ac:dyDescent="0.3">
      <c r="A303" s="34" t="s">
        <v>90</v>
      </c>
      <c r="B303" s="35" t="s">
        <v>28</v>
      </c>
      <c r="C303" s="34" t="s">
        <v>24</v>
      </c>
      <c r="P303" s="36">
        <f t="shared" si="4"/>
        <v>0</v>
      </c>
    </row>
    <row r="304" spans="1:16" x14ac:dyDescent="0.3">
      <c r="A304" s="34" t="s">
        <v>90</v>
      </c>
      <c r="B304" s="35" t="s">
        <v>30</v>
      </c>
      <c r="C304" s="34" t="s">
        <v>24</v>
      </c>
      <c r="P304" s="36">
        <f t="shared" si="4"/>
        <v>0</v>
      </c>
    </row>
    <row r="305" spans="1:16" x14ac:dyDescent="0.3">
      <c r="A305" s="34" t="s">
        <v>90</v>
      </c>
      <c r="B305" s="35" t="s">
        <v>31</v>
      </c>
      <c r="C305" s="34" t="s">
        <v>24</v>
      </c>
      <c r="P305" s="37">
        <f t="shared" si="4"/>
        <v>0</v>
      </c>
    </row>
    <row r="306" spans="1:16" x14ac:dyDescent="0.3">
      <c r="A306" s="34" t="s">
        <v>90</v>
      </c>
      <c r="B306" s="35" t="s">
        <v>33</v>
      </c>
      <c r="C306" s="34" t="s">
        <v>24</v>
      </c>
      <c r="I306" s="38">
        <v>0.73341970224169761</v>
      </c>
      <c r="P306" s="38">
        <f t="shared" si="4"/>
        <v>0.73341970224169761</v>
      </c>
    </row>
    <row r="307" spans="1:16" x14ac:dyDescent="0.3">
      <c r="A307" s="34" t="s">
        <v>90</v>
      </c>
      <c r="B307" s="39" t="s">
        <v>35</v>
      </c>
      <c r="C307" s="34" t="s">
        <v>24</v>
      </c>
      <c r="D307" s="40">
        <v>71.176000000000002</v>
      </c>
      <c r="E307" s="40">
        <v>69.823999999999998</v>
      </c>
      <c r="F307" s="40">
        <v>70.852999999999994</v>
      </c>
      <c r="G307" s="40">
        <v>71.594999999999999</v>
      </c>
      <c r="H307" s="40">
        <v>114.54300000000001</v>
      </c>
      <c r="I307" s="40">
        <v>93.387</v>
      </c>
      <c r="J307" s="40">
        <v>110.143</v>
      </c>
      <c r="K307" s="40">
        <v>93.257999999999996</v>
      </c>
      <c r="L307" s="40">
        <v>99.400999999999996</v>
      </c>
      <c r="M307" s="40">
        <v>78.632999999999996</v>
      </c>
      <c r="N307" s="40">
        <v>95.381</v>
      </c>
      <c r="O307" s="40">
        <v>1484.1</v>
      </c>
      <c r="P307" s="41">
        <f t="shared" si="4"/>
        <v>2452.2939999999999</v>
      </c>
    </row>
    <row r="308" spans="1:16" x14ac:dyDescent="0.3">
      <c r="A308" s="34" t="s">
        <v>90</v>
      </c>
      <c r="B308" s="39" t="s">
        <v>37</v>
      </c>
      <c r="C308" s="34" t="s">
        <v>24</v>
      </c>
      <c r="O308" s="40">
        <v>151.30000000000001</v>
      </c>
      <c r="P308" s="41">
        <f t="shared" si="4"/>
        <v>151.30000000000001</v>
      </c>
    </row>
    <row r="309" spans="1:16" x14ac:dyDescent="0.3">
      <c r="A309" s="34" t="s">
        <v>90</v>
      </c>
      <c r="B309" s="39" t="s">
        <v>38</v>
      </c>
      <c r="C309" s="34" t="s">
        <v>24</v>
      </c>
      <c r="D309" s="40">
        <v>261.54000000000002</v>
      </c>
      <c r="E309" s="40">
        <v>331.68299999999999</v>
      </c>
      <c r="F309" s="40">
        <v>366.91500000000002</v>
      </c>
      <c r="G309" s="40">
        <v>361.14499999999998</v>
      </c>
      <c r="H309" s="40">
        <v>345.68700000000001</v>
      </c>
      <c r="I309" s="40">
        <v>364.03100000000001</v>
      </c>
      <c r="J309" s="40">
        <v>336.86599999999999</v>
      </c>
      <c r="K309" s="40">
        <v>384.81700000000001</v>
      </c>
      <c r="L309" s="40">
        <v>371.69299999999998</v>
      </c>
      <c r="M309" s="40">
        <v>323.21699999999998</v>
      </c>
      <c r="N309" s="40">
        <v>300.07799999999997</v>
      </c>
      <c r="O309" s="40">
        <v>18849.8</v>
      </c>
      <c r="P309" s="41">
        <f t="shared" si="4"/>
        <v>22597.471999999998</v>
      </c>
    </row>
    <row r="310" spans="1:16" x14ac:dyDescent="0.3">
      <c r="A310" s="34" t="s">
        <v>90</v>
      </c>
      <c r="B310" s="39" t="s">
        <v>39</v>
      </c>
      <c r="C310" s="34" t="s">
        <v>24</v>
      </c>
      <c r="O310" s="40">
        <v>0</v>
      </c>
      <c r="P310" s="41">
        <f t="shared" si="4"/>
        <v>0</v>
      </c>
    </row>
    <row r="311" spans="1:16" x14ac:dyDescent="0.3">
      <c r="A311" s="34" t="s">
        <v>90</v>
      </c>
      <c r="B311" s="39" t="s">
        <v>91</v>
      </c>
      <c r="C311" s="34" t="s">
        <v>24</v>
      </c>
      <c r="P311" s="41">
        <f t="shared" si="4"/>
        <v>0</v>
      </c>
    </row>
    <row r="312" spans="1:16" x14ac:dyDescent="0.3">
      <c r="A312" s="34" t="s">
        <v>90</v>
      </c>
      <c r="B312" s="39" t="s">
        <v>41</v>
      </c>
      <c r="C312" s="34" t="s">
        <v>24</v>
      </c>
      <c r="D312" s="40">
        <v>261.54000000000002</v>
      </c>
      <c r="E312" s="40">
        <v>331.68299999999999</v>
      </c>
      <c r="F312" s="40">
        <v>366.91500000000002</v>
      </c>
      <c r="G312" s="40">
        <v>361.14499999999998</v>
      </c>
      <c r="H312" s="40">
        <v>345.68700000000001</v>
      </c>
      <c r="I312" s="40">
        <v>364.03100000000001</v>
      </c>
      <c r="J312" s="40">
        <v>336.86599999999999</v>
      </c>
      <c r="K312" s="40">
        <v>384.81700000000001</v>
      </c>
      <c r="L312" s="40">
        <v>371.69299999999998</v>
      </c>
      <c r="M312" s="40">
        <v>323.21699999999998</v>
      </c>
      <c r="N312" s="40">
        <v>300.07799999999997</v>
      </c>
      <c r="O312" s="40">
        <v>10672.6</v>
      </c>
      <c r="P312" s="41">
        <f t="shared" si="4"/>
        <v>14420.272000000001</v>
      </c>
    </row>
    <row r="313" spans="1:16" x14ac:dyDescent="0.3">
      <c r="A313" s="34" t="s">
        <v>90</v>
      </c>
      <c r="B313" s="39" t="s">
        <v>42</v>
      </c>
      <c r="C313" s="34" t="s">
        <v>24</v>
      </c>
      <c r="O313" s="40">
        <v>7950.1</v>
      </c>
      <c r="P313" s="41">
        <f t="shared" si="4"/>
        <v>7950.1</v>
      </c>
    </row>
    <row r="314" spans="1:16" x14ac:dyDescent="0.3">
      <c r="A314" s="34" t="s">
        <v>90</v>
      </c>
      <c r="B314" s="39" t="s">
        <v>43</v>
      </c>
      <c r="C314" s="34" t="s">
        <v>24</v>
      </c>
      <c r="D314" s="40">
        <v>71.176000000000002</v>
      </c>
      <c r="E314" s="40">
        <v>69.823999999999998</v>
      </c>
      <c r="F314" s="40">
        <v>70.852999999999994</v>
      </c>
      <c r="G314" s="40">
        <v>71.594999999999999</v>
      </c>
      <c r="H314" s="40">
        <v>114.54300000000001</v>
      </c>
      <c r="I314" s="40">
        <v>93.387</v>
      </c>
      <c r="J314" s="40">
        <v>110.143</v>
      </c>
      <c r="K314" s="40">
        <v>93.257999999999996</v>
      </c>
      <c r="L314" s="40">
        <v>99.400999999999996</v>
      </c>
      <c r="M314" s="40">
        <v>78.632999999999996</v>
      </c>
      <c r="N314" s="40">
        <v>95.381</v>
      </c>
      <c r="O314" s="40">
        <v>1862.5</v>
      </c>
      <c r="P314" s="41">
        <f t="shared" si="4"/>
        <v>2830.694</v>
      </c>
    </row>
    <row r="315" spans="1:16" x14ac:dyDescent="0.3">
      <c r="A315" s="34" t="s">
        <v>90</v>
      </c>
      <c r="B315" s="35" t="s">
        <v>44</v>
      </c>
      <c r="C315" s="34" t="s">
        <v>24</v>
      </c>
      <c r="P315" s="37">
        <f t="shared" si="4"/>
        <v>0</v>
      </c>
    </row>
    <row r="316" spans="1:16" x14ac:dyDescent="0.3">
      <c r="A316" s="34" t="s">
        <v>90</v>
      </c>
      <c r="B316" s="35" t="s">
        <v>45</v>
      </c>
      <c r="C316" s="34" t="s">
        <v>24</v>
      </c>
      <c r="P316" s="41">
        <f t="shared" si="4"/>
        <v>0</v>
      </c>
    </row>
    <row r="317" spans="1:16" x14ac:dyDescent="0.3">
      <c r="A317" s="34" t="s">
        <v>90</v>
      </c>
      <c r="B317" s="35" t="s">
        <v>47</v>
      </c>
      <c r="C317" s="34" t="s">
        <v>24</v>
      </c>
      <c r="D317" s="41">
        <v>-1.4210854715202001E-14</v>
      </c>
      <c r="E317" s="41">
        <v>1.4210854715202001E-14</v>
      </c>
      <c r="F317" s="41">
        <v>1.4210854715202001E-14</v>
      </c>
      <c r="G317" s="41">
        <v>2.8421709430404007E-14</v>
      </c>
      <c r="H317" s="41">
        <v>0</v>
      </c>
      <c r="I317" s="41">
        <v>0</v>
      </c>
      <c r="J317" s="41">
        <v>2.8421709430404007E-14</v>
      </c>
      <c r="K317" s="41">
        <v>-1.4210854715202001E-14</v>
      </c>
      <c r="L317" s="41">
        <v>1.4210854715202001E-14</v>
      </c>
      <c r="M317" s="41">
        <v>-1.4210854715202001E-14</v>
      </c>
      <c r="N317" s="41">
        <v>-2.8421709430404007E-14</v>
      </c>
      <c r="O317" s="41">
        <v>0</v>
      </c>
      <c r="P317" s="41">
        <f t="shared" si="4"/>
        <v>2.8421709430404007E-14</v>
      </c>
    </row>
    <row r="318" spans="1:16" x14ac:dyDescent="0.3">
      <c r="A318" s="34" t="s">
        <v>90</v>
      </c>
      <c r="B318" s="35" t="s">
        <v>28</v>
      </c>
      <c r="C318" s="34" t="s">
        <v>25</v>
      </c>
      <c r="P318" s="36">
        <f t="shared" si="4"/>
        <v>0</v>
      </c>
    </row>
    <row r="319" spans="1:16" x14ac:dyDescent="0.3">
      <c r="A319" s="34" t="s">
        <v>90</v>
      </c>
      <c r="B319" s="35" t="s">
        <v>30</v>
      </c>
      <c r="C319" s="34" t="s">
        <v>25</v>
      </c>
      <c r="P319" s="36">
        <f t="shared" si="4"/>
        <v>0</v>
      </c>
    </row>
    <row r="320" spans="1:16" x14ac:dyDescent="0.3">
      <c r="A320" s="34" t="s">
        <v>90</v>
      </c>
      <c r="B320" s="35" t="s">
        <v>31</v>
      </c>
      <c r="C320" s="34" t="s">
        <v>25</v>
      </c>
      <c r="P320" s="37">
        <f t="shared" si="4"/>
        <v>0</v>
      </c>
    </row>
    <row r="321" spans="1:16" x14ac:dyDescent="0.3">
      <c r="A321" s="34" t="s">
        <v>90</v>
      </c>
      <c r="B321" s="35" t="s">
        <v>33</v>
      </c>
      <c r="C321" s="34" t="s">
        <v>25</v>
      </c>
      <c r="I321" s="38">
        <v>0.80385614346298484</v>
      </c>
      <c r="P321" s="38">
        <f t="shared" si="4"/>
        <v>0.80385614346298484</v>
      </c>
    </row>
    <row r="322" spans="1:16" x14ac:dyDescent="0.3">
      <c r="A322" s="34" t="s">
        <v>90</v>
      </c>
      <c r="B322" s="39" t="s">
        <v>35</v>
      </c>
      <c r="C322" s="34" t="s">
        <v>25</v>
      </c>
      <c r="D322" s="40">
        <v>67.433000000000007</v>
      </c>
      <c r="E322" s="40">
        <v>73.417000000000002</v>
      </c>
      <c r="F322" s="40">
        <v>79.721999999999994</v>
      </c>
      <c r="G322" s="40">
        <v>68.474000000000004</v>
      </c>
      <c r="H322" s="40">
        <v>84.953999999999994</v>
      </c>
      <c r="I322" s="40">
        <v>95.206999999999994</v>
      </c>
      <c r="J322" s="40">
        <v>100.45399999999999</v>
      </c>
      <c r="K322" s="40">
        <v>102.184</v>
      </c>
      <c r="L322" s="40">
        <v>89.182000000000002</v>
      </c>
      <c r="M322" s="40">
        <v>79.352999999999994</v>
      </c>
      <c r="N322" s="40">
        <v>76.367999999999995</v>
      </c>
      <c r="O322" s="40">
        <v>1862.5</v>
      </c>
      <c r="P322" s="41">
        <f t="shared" si="4"/>
        <v>2779.2479999999996</v>
      </c>
    </row>
    <row r="323" spans="1:16" x14ac:dyDescent="0.3">
      <c r="A323" s="34" t="s">
        <v>90</v>
      </c>
      <c r="B323" s="39" t="s">
        <v>37</v>
      </c>
      <c r="C323" s="34" t="s">
        <v>25</v>
      </c>
      <c r="O323" s="40">
        <v>276.10000000000002</v>
      </c>
      <c r="P323" s="41">
        <f t="shared" ref="P323:P386" si="5">SUM(D323:O323)</f>
        <v>276.10000000000002</v>
      </c>
    </row>
    <row r="324" spans="1:16" x14ac:dyDescent="0.3">
      <c r="A324" s="34" t="s">
        <v>90</v>
      </c>
      <c r="B324" s="39" t="s">
        <v>38</v>
      </c>
      <c r="C324" s="34" t="s">
        <v>25</v>
      </c>
      <c r="D324" s="40">
        <v>347.60599999999999</v>
      </c>
      <c r="E324" s="40">
        <v>390.46</v>
      </c>
      <c r="F324" s="40">
        <v>411.66399999999999</v>
      </c>
      <c r="G324" s="40">
        <v>386.86700000000002</v>
      </c>
      <c r="H324" s="40">
        <v>402.18299999999999</v>
      </c>
      <c r="I324" s="40">
        <v>398.50700000000001</v>
      </c>
      <c r="J324" s="40">
        <v>382.01299999999998</v>
      </c>
      <c r="K324" s="40">
        <v>410.916</v>
      </c>
      <c r="L324" s="40">
        <v>412.86700000000002</v>
      </c>
      <c r="M324" s="40">
        <v>393.50099999999998</v>
      </c>
      <c r="N324" s="40">
        <v>334.90899999999999</v>
      </c>
      <c r="O324" s="40">
        <v>19463.599999999999</v>
      </c>
      <c r="P324" s="41">
        <f t="shared" si="5"/>
        <v>23735.092999999997</v>
      </c>
    </row>
    <row r="325" spans="1:16" x14ac:dyDescent="0.3">
      <c r="A325" s="34" t="s">
        <v>90</v>
      </c>
      <c r="B325" s="39" t="s">
        <v>39</v>
      </c>
      <c r="C325" s="34" t="s">
        <v>25</v>
      </c>
      <c r="O325" s="40">
        <v>0</v>
      </c>
      <c r="P325" s="41">
        <f t="shared" si="5"/>
        <v>0</v>
      </c>
    </row>
    <row r="326" spans="1:16" x14ac:dyDescent="0.3">
      <c r="A326" s="34" t="s">
        <v>90</v>
      </c>
      <c r="B326" s="39" t="s">
        <v>91</v>
      </c>
      <c r="C326" s="34" t="s">
        <v>25</v>
      </c>
      <c r="P326" s="41">
        <f t="shared" si="5"/>
        <v>0</v>
      </c>
    </row>
    <row r="327" spans="1:16" x14ac:dyDescent="0.3">
      <c r="A327" s="34" t="s">
        <v>90</v>
      </c>
      <c r="B327" s="39" t="s">
        <v>41</v>
      </c>
      <c r="C327" s="34" t="s">
        <v>25</v>
      </c>
      <c r="D327" s="40">
        <v>347.60599999999999</v>
      </c>
      <c r="E327" s="40">
        <v>390.45999999999992</v>
      </c>
      <c r="F327" s="40">
        <v>411.66399999999999</v>
      </c>
      <c r="G327" s="40">
        <v>386.86700000000002</v>
      </c>
      <c r="H327" s="40">
        <v>402.18299999999999</v>
      </c>
      <c r="I327" s="40">
        <v>398.50700000000001</v>
      </c>
      <c r="J327" s="40">
        <v>382.01299999999998</v>
      </c>
      <c r="K327" s="40">
        <v>410.91600000000011</v>
      </c>
      <c r="L327" s="40">
        <v>412.86700000000002</v>
      </c>
      <c r="M327" s="40">
        <v>393.50099999999998</v>
      </c>
      <c r="N327" s="40">
        <v>334.90899999999999</v>
      </c>
      <c r="O327" s="40">
        <v>11633.2</v>
      </c>
      <c r="P327" s="41">
        <f t="shared" si="5"/>
        <v>15904.692999999999</v>
      </c>
    </row>
    <row r="328" spans="1:16" x14ac:dyDescent="0.3">
      <c r="A328" s="34" t="s">
        <v>90</v>
      </c>
      <c r="B328" s="39" t="s">
        <v>42</v>
      </c>
      <c r="C328" s="34" t="s">
        <v>25</v>
      </c>
      <c r="O328" s="40">
        <v>6744.2</v>
      </c>
      <c r="P328" s="41">
        <f t="shared" si="5"/>
        <v>6744.2</v>
      </c>
    </row>
    <row r="329" spans="1:16" x14ac:dyDescent="0.3">
      <c r="A329" s="34" t="s">
        <v>90</v>
      </c>
      <c r="B329" s="39" t="s">
        <v>43</v>
      </c>
      <c r="C329" s="34" t="s">
        <v>25</v>
      </c>
      <c r="D329" s="40">
        <v>67.433000000000007</v>
      </c>
      <c r="E329" s="40">
        <v>73.417000000000002</v>
      </c>
      <c r="F329" s="40">
        <v>79.721999999999994</v>
      </c>
      <c r="G329" s="40">
        <v>68.474000000000004</v>
      </c>
      <c r="H329" s="40">
        <v>84.953999999999994</v>
      </c>
      <c r="I329" s="40">
        <v>95.206999999999994</v>
      </c>
      <c r="J329" s="40">
        <v>100.45399999999999</v>
      </c>
      <c r="K329" s="40">
        <v>102.184</v>
      </c>
      <c r="L329" s="40">
        <v>89.182000000000002</v>
      </c>
      <c r="M329" s="40">
        <v>79.352999999999994</v>
      </c>
      <c r="N329" s="40">
        <v>76.367999999999995</v>
      </c>
      <c r="O329" s="40">
        <v>3224.8</v>
      </c>
      <c r="P329" s="41">
        <f t="shared" si="5"/>
        <v>4141.5479999999998</v>
      </c>
    </row>
    <row r="330" spans="1:16" x14ac:dyDescent="0.3">
      <c r="A330" s="34" t="s">
        <v>90</v>
      </c>
      <c r="B330" s="35" t="s">
        <v>44</v>
      </c>
      <c r="C330" s="34" t="s">
        <v>25</v>
      </c>
      <c r="P330" s="37">
        <f t="shared" si="5"/>
        <v>0</v>
      </c>
    </row>
    <row r="331" spans="1:16" x14ac:dyDescent="0.3">
      <c r="A331" s="34" t="s">
        <v>90</v>
      </c>
      <c r="B331" s="35" t="s">
        <v>45</v>
      </c>
      <c r="C331" s="34" t="s">
        <v>25</v>
      </c>
      <c r="P331" s="41">
        <f t="shared" si="5"/>
        <v>0</v>
      </c>
    </row>
    <row r="332" spans="1:16" x14ac:dyDescent="0.3">
      <c r="A332" s="34" t="s">
        <v>90</v>
      </c>
      <c r="B332" s="35" t="s">
        <v>47</v>
      </c>
      <c r="C332" s="34" t="s">
        <v>25</v>
      </c>
      <c r="D332" s="41">
        <v>-1.4210854715202001E-14</v>
      </c>
      <c r="E332" s="41">
        <v>2.8421709430404007E-14</v>
      </c>
      <c r="F332" s="41">
        <v>-1.4210854715202001E-14</v>
      </c>
      <c r="G332" s="41">
        <v>-1.4210854715202001E-14</v>
      </c>
      <c r="H332" s="41">
        <v>1.4210854715202001E-14</v>
      </c>
      <c r="I332" s="41">
        <v>0</v>
      </c>
      <c r="J332" s="41">
        <v>1.4210854715202001E-14</v>
      </c>
      <c r="K332" s="41">
        <v>-2.8421709430404007E-14</v>
      </c>
      <c r="L332" s="41">
        <v>1.4210854715202001E-14</v>
      </c>
      <c r="M332" s="41">
        <v>1.4210854715202001E-14</v>
      </c>
      <c r="N332" s="41">
        <v>0</v>
      </c>
      <c r="O332" s="41">
        <v>0</v>
      </c>
      <c r="P332" s="41">
        <f t="shared" si="5"/>
        <v>1.4210854715202001E-14</v>
      </c>
    </row>
    <row r="333" spans="1:16" x14ac:dyDescent="0.3">
      <c r="A333" s="34" t="s">
        <v>90</v>
      </c>
      <c r="B333" s="35" t="s">
        <v>28</v>
      </c>
      <c r="C333" s="34" t="s">
        <v>26</v>
      </c>
      <c r="P333" s="36">
        <f t="shared" si="5"/>
        <v>0</v>
      </c>
    </row>
    <row r="334" spans="1:16" x14ac:dyDescent="0.3">
      <c r="A334" s="34" t="s">
        <v>90</v>
      </c>
      <c r="B334" s="35" t="s">
        <v>30</v>
      </c>
      <c r="C334" s="34" t="s">
        <v>26</v>
      </c>
      <c r="P334" s="36">
        <f t="shared" si="5"/>
        <v>0</v>
      </c>
    </row>
    <row r="335" spans="1:16" x14ac:dyDescent="0.3">
      <c r="A335" s="34" t="s">
        <v>90</v>
      </c>
      <c r="B335" s="35" t="s">
        <v>31</v>
      </c>
      <c r="C335" s="34" t="s">
        <v>26</v>
      </c>
      <c r="P335" s="37">
        <f t="shared" si="5"/>
        <v>0</v>
      </c>
    </row>
    <row r="336" spans="1:16" x14ac:dyDescent="0.3">
      <c r="A336" s="34" t="s">
        <v>90</v>
      </c>
      <c r="B336" s="35" t="s">
        <v>33</v>
      </c>
      <c r="C336" s="34" t="s">
        <v>26</v>
      </c>
      <c r="I336" s="38">
        <v>0.86870672200346799</v>
      </c>
      <c r="P336" s="38">
        <f t="shared" si="5"/>
        <v>0.86870672200346799</v>
      </c>
    </row>
    <row r="337" spans="1:16" x14ac:dyDescent="0.3">
      <c r="A337" s="34" t="s">
        <v>90</v>
      </c>
      <c r="B337" s="39" t="s">
        <v>35</v>
      </c>
      <c r="C337" s="34" t="s">
        <v>26</v>
      </c>
      <c r="D337" s="40">
        <v>107.458</v>
      </c>
      <c r="E337" s="40">
        <v>98.242000000000004</v>
      </c>
      <c r="F337" s="40">
        <v>118.461</v>
      </c>
      <c r="G337" s="40">
        <v>105.271</v>
      </c>
      <c r="H337" s="40">
        <v>105.962</v>
      </c>
      <c r="I337" s="40">
        <v>116.84099999999999</v>
      </c>
      <c r="J337" s="40">
        <v>106.884</v>
      </c>
      <c r="K337" s="40">
        <v>124.086</v>
      </c>
      <c r="L337" s="40">
        <v>142.80199999999999</v>
      </c>
      <c r="M337" s="40">
        <v>115.73399999999999</v>
      </c>
      <c r="N337" s="40">
        <v>99.793999999999997</v>
      </c>
      <c r="O337" s="40">
        <v>3224.8</v>
      </c>
      <c r="P337" s="41">
        <f t="shared" si="5"/>
        <v>4466.335</v>
      </c>
    </row>
    <row r="338" spans="1:16" x14ac:dyDescent="0.3">
      <c r="A338" s="34" t="s">
        <v>90</v>
      </c>
      <c r="B338" s="39" t="s">
        <v>37</v>
      </c>
      <c r="C338" s="34" t="s">
        <v>26</v>
      </c>
      <c r="O338" s="40">
        <v>130.9</v>
      </c>
      <c r="P338" s="41">
        <f t="shared" si="5"/>
        <v>130.9</v>
      </c>
    </row>
    <row r="339" spans="1:16" x14ac:dyDescent="0.3">
      <c r="A339" s="34" t="s">
        <v>90</v>
      </c>
      <c r="B339" s="39" t="s">
        <v>38</v>
      </c>
      <c r="C339" s="34" t="s">
        <v>26</v>
      </c>
      <c r="D339" s="40">
        <v>363.16500000000002</v>
      </c>
      <c r="E339" s="40">
        <v>394.851</v>
      </c>
      <c r="F339" s="40">
        <v>459.22</v>
      </c>
      <c r="G339" s="40">
        <v>427.36599999999999</v>
      </c>
      <c r="H339" s="40">
        <v>426.51900000000001</v>
      </c>
      <c r="I339" s="40">
        <v>423.80200000000002</v>
      </c>
      <c r="J339" s="40">
        <v>373.42700000000002</v>
      </c>
      <c r="K339" s="40">
        <v>436.06</v>
      </c>
      <c r="L339" s="40">
        <v>390.27600000000001</v>
      </c>
      <c r="M339" s="40">
        <v>353.21800000000002</v>
      </c>
      <c r="N339" s="40">
        <v>364.59199999999998</v>
      </c>
      <c r="O339" s="40">
        <v>19239.5</v>
      </c>
      <c r="P339" s="41">
        <f t="shared" si="5"/>
        <v>23651.995999999999</v>
      </c>
    </row>
    <row r="340" spans="1:16" x14ac:dyDescent="0.3">
      <c r="A340" s="34" t="s">
        <v>90</v>
      </c>
      <c r="B340" s="39" t="s">
        <v>39</v>
      </c>
      <c r="C340" s="34" t="s">
        <v>26</v>
      </c>
      <c r="O340" s="40">
        <v>0</v>
      </c>
      <c r="P340" s="41">
        <f t="shared" si="5"/>
        <v>0</v>
      </c>
    </row>
    <row r="341" spans="1:16" x14ac:dyDescent="0.3">
      <c r="A341" s="34" t="s">
        <v>90</v>
      </c>
      <c r="B341" s="39" t="s">
        <v>91</v>
      </c>
      <c r="C341" s="34" t="s">
        <v>26</v>
      </c>
      <c r="P341" s="41">
        <f t="shared" si="5"/>
        <v>0</v>
      </c>
    </row>
    <row r="342" spans="1:16" x14ac:dyDescent="0.3">
      <c r="A342" s="34" t="s">
        <v>90</v>
      </c>
      <c r="B342" s="39" t="s">
        <v>41</v>
      </c>
      <c r="C342" s="34" t="s">
        <v>26</v>
      </c>
      <c r="D342" s="40">
        <v>363.16500000000008</v>
      </c>
      <c r="E342" s="40">
        <v>394.851</v>
      </c>
      <c r="F342" s="40">
        <v>459.22</v>
      </c>
      <c r="G342" s="40">
        <v>427.36599999999987</v>
      </c>
      <c r="H342" s="40">
        <v>426.51900000000001</v>
      </c>
      <c r="I342" s="40">
        <v>423.80200000000002</v>
      </c>
      <c r="J342" s="40">
        <v>373.42700000000002</v>
      </c>
      <c r="K342" s="40">
        <v>436.06</v>
      </c>
      <c r="L342" s="40">
        <v>390.27600000000001</v>
      </c>
      <c r="M342" s="40">
        <v>353.21800000000002</v>
      </c>
      <c r="N342" s="40">
        <v>364.59199999999998</v>
      </c>
      <c r="O342" s="40">
        <v>11618.6</v>
      </c>
      <c r="P342" s="41">
        <f t="shared" si="5"/>
        <v>16031.096000000001</v>
      </c>
    </row>
    <row r="343" spans="1:16" x14ac:dyDescent="0.3">
      <c r="A343" s="34" t="s">
        <v>90</v>
      </c>
      <c r="B343" s="39" t="s">
        <v>42</v>
      </c>
      <c r="C343" s="34" t="s">
        <v>26</v>
      </c>
      <c r="O343" s="40">
        <v>9379.2999999999993</v>
      </c>
      <c r="P343" s="41">
        <f t="shared" si="5"/>
        <v>9379.2999999999993</v>
      </c>
    </row>
    <row r="344" spans="1:16" x14ac:dyDescent="0.3">
      <c r="A344" s="34" t="s">
        <v>90</v>
      </c>
      <c r="B344" s="39" t="s">
        <v>43</v>
      </c>
      <c r="C344" s="34" t="s">
        <v>26</v>
      </c>
      <c r="D344" s="40">
        <v>107.458</v>
      </c>
      <c r="E344" s="40">
        <v>98.242000000000004</v>
      </c>
      <c r="F344" s="40">
        <v>118.461</v>
      </c>
      <c r="G344" s="40">
        <v>105.271</v>
      </c>
      <c r="H344" s="40">
        <v>105.962</v>
      </c>
      <c r="I344" s="40">
        <v>116.84099999999999</v>
      </c>
      <c r="J344" s="40">
        <v>106.884</v>
      </c>
      <c r="K344" s="40">
        <v>124.086</v>
      </c>
      <c r="L344" s="40">
        <v>142.80199999999999</v>
      </c>
      <c r="M344" s="40">
        <v>115.73399999999999</v>
      </c>
      <c r="N344" s="40">
        <v>99.793999999999997</v>
      </c>
      <c r="O344" s="40">
        <v>1597.3</v>
      </c>
      <c r="P344" s="41">
        <f t="shared" si="5"/>
        <v>2838.835</v>
      </c>
    </row>
    <row r="345" spans="1:16" x14ac:dyDescent="0.3">
      <c r="A345" s="34" t="s">
        <v>90</v>
      </c>
      <c r="B345" s="35" t="s">
        <v>44</v>
      </c>
      <c r="C345" s="34" t="s">
        <v>26</v>
      </c>
      <c r="P345" s="37">
        <f t="shared" si="5"/>
        <v>0</v>
      </c>
    </row>
    <row r="346" spans="1:16" x14ac:dyDescent="0.3">
      <c r="A346" s="34" t="s">
        <v>90</v>
      </c>
      <c r="B346" s="35" t="s">
        <v>45</v>
      </c>
      <c r="C346" s="34" t="s">
        <v>26</v>
      </c>
      <c r="P346" s="41">
        <f t="shared" si="5"/>
        <v>0</v>
      </c>
    </row>
    <row r="347" spans="1:16" x14ac:dyDescent="0.3">
      <c r="A347" s="34" t="s">
        <v>90</v>
      </c>
      <c r="B347" s="35" t="s">
        <v>47</v>
      </c>
      <c r="C347" s="34" t="s">
        <v>26</v>
      </c>
      <c r="D347" s="41">
        <v>-2.8421709430404007E-14</v>
      </c>
      <c r="E347" s="41">
        <v>1.4210854715202001E-14</v>
      </c>
      <c r="F347" s="41">
        <v>1.4210854715202001E-14</v>
      </c>
      <c r="G347" s="41">
        <v>1.4210854715202001E-14</v>
      </c>
      <c r="H347" s="41">
        <v>-1.4210854715202001E-14</v>
      </c>
      <c r="I347" s="41">
        <v>1.4210854715202001E-14</v>
      </c>
      <c r="J347" s="41">
        <v>1.4210854715202001E-14</v>
      </c>
      <c r="K347" s="41">
        <v>1.4210854715202001E-14</v>
      </c>
      <c r="L347" s="41">
        <v>2.8421709430404007E-14</v>
      </c>
      <c r="M347" s="41">
        <v>-1.4210854715202001E-14</v>
      </c>
      <c r="N347" s="41">
        <v>-1.4210854715202001E-14</v>
      </c>
      <c r="O347" s="41">
        <v>-6.8212102632969618E-13</v>
      </c>
      <c r="P347" s="41">
        <f t="shared" si="5"/>
        <v>-6.3948846218409017E-13</v>
      </c>
    </row>
    <row r="348" spans="1:16" x14ac:dyDescent="0.3">
      <c r="A348" s="34" t="s">
        <v>90</v>
      </c>
      <c r="B348" s="42" t="s">
        <v>47</v>
      </c>
      <c r="C348" s="43" t="s">
        <v>36</v>
      </c>
      <c r="D348" s="40">
        <v>0</v>
      </c>
      <c r="E348" s="40">
        <v>0</v>
      </c>
      <c r="F348" s="40">
        <v>0</v>
      </c>
      <c r="G348" s="40">
        <v>0</v>
      </c>
      <c r="H348" s="40">
        <v>0</v>
      </c>
      <c r="I348" s="40">
        <v>0</v>
      </c>
      <c r="J348" s="40">
        <v>0</v>
      </c>
      <c r="K348" s="40">
        <v>0</v>
      </c>
      <c r="L348" s="40">
        <v>0</v>
      </c>
      <c r="M348" s="40">
        <v>0</v>
      </c>
      <c r="N348" s="40">
        <v>0</v>
      </c>
      <c r="O348" s="40">
        <v>0</v>
      </c>
      <c r="P348" s="44">
        <v>0</v>
      </c>
    </row>
  </sheetData>
  <mergeCells count="1">
    <mergeCell ref="A1:C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P348"/>
  <sheetViews>
    <sheetView workbookViewId="0">
      <selection sqref="A1:C1"/>
    </sheetView>
  </sheetViews>
  <sheetFormatPr defaultRowHeight="14.4" x14ac:dyDescent="0.3"/>
  <cols>
    <col min="1" max="1" width="18" customWidth="1"/>
    <col min="2" max="2" width="28" customWidth="1"/>
    <col min="3" max="3" width="10" customWidth="1"/>
    <col min="4" max="15" width="8" customWidth="1"/>
    <col min="16" max="16" width="12" customWidth="1"/>
  </cols>
  <sheetData>
    <row r="1" spans="1:16" ht="15.6" customHeight="1" x14ac:dyDescent="0.3">
      <c r="A1" s="59" t="s">
        <v>92</v>
      </c>
      <c r="B1" s="58"/>
      <c r="C1" s="58"/>
    </row>
    <row r="2" spans="1:16" x14ac:dyDescent="0.3">
      <c r="A2" s="33" t="s">
        <v>1</v>
      </c>
      <c r="B2" s="33" t="s">
        <v>2</v>
      </c>
      <c r="C2" s="33" t="s">
        <v>48</v>
      </c>
      <c r="D2" s="33" t="s">
        <v>106</v>
      </c>
      <c r="E2" s="33" t="s">
        <v>95</v>
      </c>
      <c r="F2" s="33" t="s">
        <v>96</v>
      </c>
      <c r="G2" s="33" t="s">
        <v>97</v>
      </c>
      <c r="H2" s="33" t="s">
        <v>98</v>
      </c>
      <c r="I2" s="33" t="s">
        <v>99</v>
      </c>
      <c r="J2" s="33" t="s">
        <v>100</v>
      </c>
      <c r="K2" s="33" t="s">
        <v>101</v>
      </c>
      <c r="L2" s="33" t="s">
        <v>102</v>
      </c>
      <c r="M2" s="33" t="s">
        <v>103</v>
      </c>
      <c r="N2" s="33" t="s">
        <v>104</v>
      </c>
      <c r="O2" s="33" t="s">
        <v>105</v>
      </c>
      <c r="P2" s="33" t="s">
        <v>107</v>
      </c>
    </row>
    <row r="3" spans="1:16" x14ac:dyDescent="0.3">
      <c r="A3" s="34" t="s">
        <v>92</v>
      </c>
      <c r="B3" s="35" t="s">
        <v>28</v>
      </c>
      <c r="C3" s="34" t="s">
        <v>4</v>
      </c>
      <c r="P3" s="36">
        <f t="shared" ref="P3:P66" si="0">SUM(D3:O3)</f>
        <v>0</v>
      </c>
    </row>
    <row r="4" spans="1:16" x14ac:dyDescent="0.3">
      <c r="A4" s="34" t="s">
        <v>92</v>
      </c>
      <c r="B4" s="35" t="s">
        <v>30</v>
      </c>
      <c r="C4" s="34" t="s">
        <v>4</v>
      </c>
      <c r="P4" s="36">
        <f t="shared" si="0"/>
        <v>0</v>
      </c>
    </row>
    <row r="5" spans="1:16" x14ac:dyDescent="0.3">
      <c r="A5" s="34" t="s">
        <v>92</v>
      </c>
      <c r="B5" s="35" t="s">
        <v>31</v>
      </c>
      <c r="C5" s="34" t="s">
        <v>4</v>
      </c>
      <c r="P5" s="37">
        <f t="shared" si="0"/>
        <v>0</v>
      </c>
    </row>
    <row r="6" spans="1:16" x14ac:dyDescent="0.3">
      <c r="A6" s="34" t="s">
        <v>92</v>
      </c>
      <c r="B6" s="35" t="s">
        <v>33</v>
      </c>
      <c r="C6" s="34" t="s">
        <v>4</v>
      </c>
      <c r="P6" s="38">
        <f t="shared" si="0"/>
        <v>0</v>
      </c>
    </row>
    <row r="7" spans="1:16" x14ac:dyDescent="0.3">
      <c r="A7" s="34" t="s">
        <v>92</v>
      </c>
      <c r="B7" s="39" t="s">
        <v>35</v>
      </c>
      <c r="C7" s="34" t="s">
        <v>4</v>
      </c>
      <c r="O7" s="40">
        <v>2047.5</v>
      </c>
      <c r="P7" s="41">
        <f t="shared" si="0"/>
        <v>2047.5</v>
      </c>
    </row>
    <row r="8" spans="1:16" x14ac:dyDescent="0.3">
      <c r="A8" s="34" t="s">
        <v>92</v>
      </c>
      <c r="B8" s="39" t="s">
        <v>37</v>
      </c>
      <c r="C8" s="34" t="s">
        <v>4</v>
      </c>
      <c r="O8" s="40">
        <v>258.8</v>
      </c>
      <c r="P8" s="41">
        <f t="shared" si="0"/>
        <v>258.8</v>
      </c>
    </row>
    <row r="9" spans="1:16" x14ac:dyDescent="0.3">
      <c r="A9" s="34" t="s">
        <v>92</v>
      </c>
      <c r="B9" s="39" t="s">
        <v>38</v>
      </c>
      <c r="C9" s="34" t="s">
        <v>4</v>
      </c>
      <c r="O9" s="40">
        <v>7467.7</v>
      </c>
      <c r="P9" s="41">
        <f t="shared" si="0"/>
        <v>7467.7</v>
      </c>
    </row>
    <row r="10" spans="1:16" x14ac:dyDescent="0.3">
      <c r="A10" s="34" t="s">
        <v>92</v>
      </c>
      <c r="B10" s="39" t="s">
        <v>39</v>
      </c>
      <c r="C10" s="34" t="s">
        <v>4</v>
      </c>
      <c r="O10" s="40">
        <v>6.1</v>
      </c>
      <c r="P10" s="41">
        <f t="shared" si="0"/>
        <v>6.1</v>
      </c>
    </row>
    <row r="11" spans="1:16" x14ac:dyDescent="0.3">
      <c r="A11" s="34" t="s">
        <v>92</v>
      </c>
      <c r="B11" s="39" t="s">
        <v>40</v>
      </c>
      <c r="C11" s="34" t="s">
        <v>4</v>
      </c>
      <c r="O11" s="40">
        <v>311.5</v>
      </c>
      <c r="P11" s="41">
        <f t="shared" si="0"/>
        <v>311.5</v>
      </c>
    </row>
    <row r="12" spans="1:16" x14ac:dyDescent="0.3">
      <c r="A12" s="34" t="s">
        <v>92</v>
      </c>
      <c r="B12" s="39" t="s">
        <v>41</v>
      </c>
      <c r="C12" s="34" t="s">
        <v>4</v>
      </c>
      <c r="O12" s="40">
        <v>7036.5999999999995</v>
      </c>
      <c r="P12" s="41">
        <f t="shared" si="0"/>
        <v>7036.5999999999995</v>
      </c>
    </row>
    <row r="13" spans="1:16" x14ac:dyDescent="0.3">
      <c r="A13" s="34" t="s">
        <v>92</v>
      </c>
      <c r="B13" s="39" t="s">
        <v>42</v>
      </c>
      <c r="C13" s="34" t="s">
        <v>4</v>
      </c>
      <c r="O13" s="40">
        <v>945</v>
      </c>
      <c r="P13" s="41">
        <f t="shared" si="0"/>
        <v>945</v>
      </c>
    </row>
    <row r="14" spans="1:16" x14ac:dyDescent="0.3">
      <c r="A14" s="34" t="s">
        <v>92</v>
      </c>
      <c r="B14" s="39" t="s">
        <v>43</v>
      </c>
      <c r="C14" s="34" t="s">
        <v>4</v>
      </c>
      <c r="O14" s="40">
        <v>1474.8</v>
      </c>
      <c r="P14" s="41">
        <f t="shared" si="0"/>
        <v>1474.8</v>
      </c>
    </row>
    <row r="15" spans="1:16" x14ac:dyDescent="0.3">
      <c r="A15" s="34" t="s">
        <v>92</v>
      </c>
      <c r="B15" s="35" t="s">
        <v>44</v>
      </c>
      <c r="C15" s="34" t="s">
        <v>4</v>
      </c>
      <c r="P15" s="37">
        <f t="shared" si="0"/>
        <v>0</v>
      </c>
    </row>
    <row r="16" spans="1:16" x14ac:dyDescent="0.3">
      <c r="A16" s="34" t="s">
        <v>92</v>
      </c>
      <c r="B16" s="35" t="s">
        <v>45</v>
      </c>
      <c r="C16" s="34" t="s">
        <v>4</v>
      </c>
      <c r="P16" s="41">
        <f t="shared" si="0"/>
        <v>0</v>
      </c>
    </row>
    <row r="17" spans="1:16" x14ac:dyDescent="0.3">
      <c r="A17" s="34" t="s">
        <v>92</v>
      </c>
      <c r="B17" s="35" t="s">
        <v>47</v>
      </c>
      <c r="C17" s="34" t="s">
        <v>4</v>
      </c>
      <c r="O17" s="41">
        <v>2.2737367544323211E-13</v>
      </c>
      <c r="P17" s="41">
        <f t="shared" si="0"/>
        <v>2.2737367544323211E-13</v>
      </c>
    </row>
    <row r="18" spans="1:16" x14ac:dyDescent="0.3">
      <c r="A18" s="34" t="s">
        <v>92</v>
      </c>
      <c r="B18" s="35" t="s">
        <v>28</v>
      </c>
      <c r="C18" s="34" t="s">
        <v>5</v>
      </c>
      <c r="P18" s="36">
        <f t="shared" si="0"/>
        <v>0</v>
      </c>
    </row>
    <row r="19" spans="1:16" x14ac:dyDescent="0.3">
      <c r="A19" s="34" t="s">
        <v>92</v>
      </c>
      <c r="B19" s="35" t="s">
        <v>30</v>
      </c>
      <c r="C19" s="34" t="s">
        <v>5</v>
      </c>
      <c r="P19" s="36">
        <f t="shared" si="0"/>
        <v>0</v>
      </c>
    </row>
    <row r="20" spans="1:16" x14ac:dyDescent="0.3">
      <c r="A20" s="34" t="s">
        <v>92</v>
      </c>
      <c r="B20" s="35" t="s">
        <v>31</v>
      </c>
      <c r="C20" s="34" t="s">
        <v>5</v>
      </c>
      <c r="P20" s="37">
        <f t="shared" si="0"/>
        <v>0</v>
      </c>
    </row>
    <row r="21" spans="1:16" x14ac:dyDescent="0.3">
      <c r="A21" s="34" t="s">
        <v>92</v>
      </c>
      <c r="B21" s="35" t="s">
        <v>33</v>
      </c>
      <c r="C21" s="34" t="s">
        <v>5</v>
      </c>
      <c r="P21" s="38">
        <f t="shared" si="0"/>
        <v>0</v>
      </c>
    </row>
    <row r="22" spans="1:16" x14ac:dyDescent="0.3">
      <c r="A22" s="34" t="s">
        <v>92</v>
      </c>
      <c r="B22" s="39" t="s">
        <v>35</v>
      </c>
      <c r="C22" s="34" t="s">
        <v>5</v>
      </c>
      <c r="O22" s="40">
        <v>1474.8</v>
      </c>
      <c r="P22" s="41">
        <f t="shared" si="0"/>
        <v>1474.8</v>
      </c>
    </row>
    <row r="23" spans="1:16" x14ac:dyDescent="0.3">
      <c r="A23" s="34" t="s">
        <v>92</v>
      </c>
      <c r="B23" s="39" t="s">
        <v>37</v>
      </c>
      <c r="C23" s="34" t="s">
        <v>5</v>
      </c>
      <c r="O23" s="40">
        <v>35.5</v>
      </c>
      <c r="P23" s="41">
        <f t="shared" si="0"/>
        <v>35.5</v>
      </c>
    </row>
    <row r="24" spans="1:16" x14ac:dyDescent="0.3">
      <c r="A24" s="34" t="s">
        <v>92</v>
      </c>
      <c r="B24" s="39" t="s">
        <v>38</v>
      </c>
      <c r="C24" s="34" t="s">
        <v>5</v>
      </c>
      <c r="O24" s="40">
        <v>12164.2</v>
      </c>
      <c r="P24" s="41">
        <f t="shared" si="0"/>
        <v>12164.2</v>
      </c>
    </row>
    <row r="25" spans="1:16" x14ac:dyDescent="0.3">
      <c r="A25" s="34" t="s">
        <v>92</v>
      </c>
      <c r="B25" s="39" t="s">
        <v>39</v>
      </c>
      <c r="C25" s="34" t="s">
        <v>5</v>
      </c>
      <c r="O25" s="40">
        <v>9</v>
      </c>
      <c r="P25" s="41">
        <f t="shared" si="0"/>
        <v>9</v>
      </c>
    </row>
    <row r="26" spans="1:16" x14ac:dyDescent="0.3">
      <c r="A26" s="34" t="s">
        <v>92</v>
      </c>
      <c r="B26" s="39" t="s">
        <v>40</v>
      </c>
      <c r="C26" s="34" t="s">
        <v>5</v>
      </c>
      <c r="O26" s="40">
        <v>277.89999999999998</v>
      </c>
      <c r="P26" s="41">
        <f t="shared" si="0"/>
        <v>277.89999999999998</v>
      </c>
    </row>
    <row r="27" spans="1:16" x14ac:dyDescent="0.3">
      <c r="A27" s="34" t="s">
        <v>92</v>
      </c>
      <c r="B27" s="39" t="s">
        <v>41</v>
      </c>
      <c r="C27" s="34" t="s">
        <v>5</v>
      </c>
      <c r="O27" s="40">
        <v>8804.7999999999993</v>
      </c>
      <c r="P27" s="41">
        <f t="shared" si="0"/>
        <v>8804.7999999999993</v>
      </c>
    </row>
    <row r="28" spans="1:16" x14ac:dyDescent="0.3">
      <c r="A28" s="34" t="s">
        <v>92</v>
      </c>
      <c r="B28" s="39" t="s">
        <v>42</v>
      </c>
      <c r="C28" s="34" t="s">
        <v>5</v>
      </c>
      <c r="O28" s="40">
        <v>2480.8000000000002</v>
      </c>
      <c r="P28" s="41">
        <f t="shared" si="0"/>
        <v>2480.8000000000002</v>
      </c>
    </row>
    <row r="29" spans="1:16" x14ac:dyDescent="0.3">
      <c r="A29" s="34" t="s">
        <v>92</v>
      </c>
      <c r="B29" s="39" t="s">
        <v>43</v>
      </c>
      <c r="C29" s="34" t="s">
        <v>5</v>
      </c>
      <c r="O29" s="40">
        <v>2102</v>
      </c>
      <c r="P29" s="41">
        <f t="shared" si="0"/>
        <v>2102</v>
      </c>
    </row>
    <row r="30" spans="1:16" x14ac:dyDescent="0.3">
      <c r="A30" s="34" t="s">
        <v>92</v>
      </c>
      <c r="B30" s="35" t="s">
        <v>44</v>
      </c>
      <c r="C30" s="34" t="s">
        <v>5</v>
      </c>
      <c r="P30" s="37">
        <f t="shared" si="0"/>
        <v>0</v>
      </c>
    </row>
    <row r="31" spans="1:16" x14ac:dyDescent="0.3">
      <c r="A31" s="34" t="s">
        <v>92</v>
      </c>
      <c r="B31" s="35" t="s">
        <v>45</v>
      </c>
      <c r="C31" s="34" t="s">
        <v>5</v>
      </c>
      <c r="P31" s="41">
        <f t="shared" si="0"/>
        <v>0</v>
      </c>
    </row>
    <row r="32" spans="1:16" x14ac:dyDescent="0.3">
      <c r="A32" s="34" t="s">
        <v>92</v>
      </c>
      <c r="B32" s="35" t="s">
        <v>47</v>
      </c>
      <c r="C32" s="34" t="s">
        <v>5</v>
      </c>
      <c r="O32" s="41">
        <v>9.0949470177292824E-13</v>
      </c>
      <c r="P32" s="41">
        <f t="shared" si="0"/>
        <v>9.0949470177292824E-13</v>
      </c>
    </row>
    <row r="33" spans="1:16" x14ac:dyDescent="0.3">
      <c r="A33" s="34" t="s">
        <v>92</v>
      </c>
      <c r="B33" s="35" t="s">
        <v>28</v>
      </c>
      <c r="C33" s="34" t="s">
        <v>6</v>
      </c>
      <c r="P33" s="36">
        <f t="shared" si="0"/>
        <v>0</v>
      </c>
    </row>
    <row r="34" spans="1:16" x14ac:dyDescent="0.3">
      <c r="A34" s="34" t="s">
        <v>92</v>
      </c>
      <c r="B34" s="35" t="s">
        <v>30</v>
      </c>
      <c r="C34" s="34" t="s">
        <v>6</v>
      </c>
      <c r="P34" s="36">
        <f t="shared" si="0"/>
        <v>0</v>
      </c>
    </row>
    <row r="35" spans="1:16" x14ac:dyDescent="0.3">
      <c r="A35" s="34" t="s">
        <v>92</v>
      </c>
      <c r="B35" s="35" t="s">
        <v>31</v>
      </c>
      <c r="C35" s="34" t="s">
        <v>6</v>
      </c>
      <c r="P35" s="37">
        <f t="shared" si="0"/>
        <v>0</v>
      </c>
    </row>
    <row r="36" spans="1:16" x14ac:dyDescent="0.3">
      <c r="A36" s="34" t="s">
        <v>92</v>
      </c>
      <c r="B36" s="35" t="s">
        <v>33</v>
      </c>
      <c r="C36" s="34" t="s">
        <v>6</v>
      </c>
      <c r="P36" s="38">
        <f t="shared" si="0"/>
        <v>0</v>
      </c>
    </row>
    <row r="37" spans="1:16" x14ac:dyDescent="0.3">
      <c r="A37" s="34" t="s">
        <v>92</v>
      </c>
      <c r="B37" s="39" t="s">
        <v>35</v>
      </c>
      <c r="C37" s="34" t="s">
        <v>6</v>
      </c>
      <c r="O37" s="40">
        <v>2102</v>
      </c>
      <c r="P37" s="41">
        <f t="shared" si="0"/>
        <v>2102</v>
      </c>
    </row>
    <row r="38" spans="1:16" x14ac:dyDescent="0.3">
      <c r="A38" s="34" t="s">
        <v>92</v>
      </c>
      <c r="B38" s="39" t="s">
        <v>37</v>
      </c>
      <c r="C38" s="34" t="s">
        <v>6</v>
      </c>
      <c r="O38" s="40">
        <v>82.6</v>
      </c>
      <c r="P38" s="41">
        <f t="shared" si="0"/>
        <v>82.6</v>
      </c>
    </row>
    <row r="39" spans="1:16" x14ac:dyDescent="0.3">
      <c r="A39" s="34" t="s">
        <v>92</v>
      </c>
      <c r="B39" s="39" t="s">
        <v>38</v>
      </c>
      <c r="C39" s="34" t="s">
        <v>6</v>
      </c>
      <c r="O39" s="40">
        <v>12556.7</v>
      </c>
      <c r="P39" s="41">
        <f t="shared" si="0"/>
        <v>12556.7</v>
      </c>
    </row>
    <row r="40" spans="1:16" x14ac:dyDescent="0.3">
      <c r="A40" s="34" t="s">
        <v>92</v>
      </c>
      <c r="B40" s="39" t="s">
        <v>39</v>
      </c>
      <c r="C40" s="34" t="s">
        <v>6</v>
      </c>
      <c r="O40" s="40">
        <v>9.5</v>
      </c>
      <c r="P40" s="41">
        <f t="shared" si="0"/>
        <v>9.5</v>
      </c>
    </row>
    <row r="41" spans="1:16" x14ac:dyDescent="0.3">
      <c r="A41" s="34" t="s">
        <v>92</v>
      </c>
      <c r="B41" s="39" t="s">
        <v>40</v>
      </c>
      <c r="C41" s="34" t="s">
        <v>6</v>
      </c>
      <c r="O41" s="40">
        <v>257.60000000000002</v>
      </c>
      <c r="P41" s="41">
        <f t="shared" si="0"/>
        <v>257.60000000000002</v>
      </c>
    </row>
    <row r="42" spans="1:16" x14ac:dyDescent="0.3">
      <c r="A42" s="34" t="s">
        <v>92</v>
      </c>
      <c r="B42" s="39" t="s">
        <v>41</v>
      </c>
      <c r="C42" s="34" t="s">
        <v>6</v>
      </c>
      <c r="O42" s="40">
        <v>9175.9</v>
      </c>
      <c r="P42" s="41">
        <f t="shared" si="0"/>
        <v>9175.9</v>
      </c>
    </row>
    <row r="43" spans="1:16" x14ac:dyDescent="0.3">
      <c r="A43" s="34" t="s">
        <v>92</v>
      </c>
      <c r="B43" s="39" t="s">
        <v>42</v>
      </c>
      <c r="C43" s="34" t="s">
        <v>6</v>
      </c>
      <c r="O43" s="40">
        <v>1863.2</v>
      </c>
      <c r="P43" s="41">
        <f t="shared" si="0"/>
        <v>1863.2</v>
      </c>
    </row>
    <row r="44" spans="1:16" x14ac:dyDescent="0.3">
      <c r="A44" s="34" t="s">
        <v>92</v>
      </c>
      <c r="B44" s="39" t="s">
        <v>43</v>
      </c>
      <c r="C44" s="34" t="s">
        <v>6</v>
      </c>
      <c r="O44" s="40">
        <v>3435.1</v>
      </c>
      <c r="P44" s="41">
        <f t="shared" si="0"/>
        <v>3435.1</v>
      </c>
    </row>
    <row r="45" spans="1:16" x14ac:dyDescent="0.3">
      <c r="A45" s="34" t="s">
        <v>92</v>
      </c>
      <c r="B45" s="35" t="s">
        <v>44</v>
      </c>
      <c r="C45" s="34" t="s">
        <v>6</v>
      </c>
      <c r="P45" s="37">
        <f t="shared" si="0"/>
        <v>0</v>
      </c>
    </row>
    <row r="46" spans="1:16" x14ac:dyDescent="0.3">
      <c r="A46" s="34" t="s">
        <v>92</v>
      </c>
      <c r="B46" s="35" t="s">
        <v>45</v>
      </c>
      <c r="C46" s="34" t="s">
        <v>6</v>
      </c>
      <c r="P46" s="41">
        <f t="shared" si="0"/>
        <v>0</v>
      </c>
    </row>
    <row r="47" spans="1:16" x14ac:dyDescent="0.3">
      <c r="A47" s="34" t="s">
        <v>92</v>
      </c>
      <c r="B47" s="35" t="s">
        <v>47</v>
      </c>
      <c r="C47" s="34" t="s">
        <v>6</v>
      </c>
      <c r="O47" s="41">
        <v>1.364242052659392E-12</v>
      </c>
      <c r="P47" s="41">
        <f t="shared" si="0"/>
        <v>1.364242052659392E-12</v>
      </c>
    </row>
    <row r="48" spans="1:16" x14ac:dyDescent="0.3">
      <c r="A48" s="34" t="s">
        <v>92</v>
      </c>
      <c r="B48" s="35" t="s">
        <v>28</v>
      </c>
      <c r="C48" s="34" t="s">
        <v>7</v>
      </c>
      <c r="P48" s="36">
        <f t="shared" si="0"/>
        <v>0</v>
      </c>
    </row>
    <row r="49" spans="1:16" x14ac:dyDescent="0.3">
      <c r="A49" s="34" t="s">
        <v>92</v>
      </c>
      <c r="B49" s="35" t="s">
        <v>30</v>
      </c>
      <c r="C49" s="34" t="s">
        <v>7</v>
      </c>
      <c r="P49" s="36">
        <f t="shared" si="0"/>
        <v>0</v>
      </c>
    </row>
    <row r="50" spans="1:16" x14ac:dyDescent="0.3">
      <c r="A50" s="34" t="s">
        <v>92</v>
      </c>
      <c r="B50" s="35" t="s">
        <v>31</v>
      </c>
      <c r="C50" s="34" t="s">
        <v>7</v>
      </c>
      <c r="P50" s="37">
        <f t="shared" si="0"/>
        <v>0</v>
      </c>
    </row>
    <row r="51" spans="1:16" x14ac:dyDescent="0.3">
      <c r="A51" s="34" t="s">
        <v>92</v>
      </c>
      <c r="B51" s="35" t="s">
        <v>33</v>
      </c>
      <c r="C51" s="34" t="s">
        <v>7</v>
      </c>
      <c r="P51" s="38">
        <f t="shared" si="0"/>
        <v>0</v>
      </c>
    </row>
    <row r="52" spans="1:16" x14ac:dyDescent="0.3">
      <c r="A52" s="34" t="s">
        <v>92</v>
      </c>
      <c r="B52" s="39" t="s">
        <v>35</v>
      </c>
      <c r="C52" s="34" t="s">
        <v>7</v>
      </c>
      <c r="O52" s="40">
        <v>3435.1</v>
      </c>
      <c r="P52" s="41">
        <f t="shared" si="0"/>
        <v>3435.1</v>
      </c>
    </row>
    <row r="53" spans="1:16" x14ac:dyDescent="0.3">
      <c r="A53" s="34" t="s">
        <v>92</v>
      </c>
      <c r="B53" s="39" t="s">
        <v>37</v>
      </c>
      <c r="C53" s="34" t="s">
        <v>7</v>
      </c>
      <c r="O53" s="40">
        <v>45.8</v>
      </c>
      <c r="P53" s="41">
        <f t="shared" si="0"/>
        <v>45.8</v>
      </c>
    </row>
    <row r="54" spans="1:16" x14ac:dyDescent="0.3">
      <c r="A54" s="34" t="s">
        <v>92</v>
      </c>
      <c r="B54" s="39" t="s">
        <v>38</v>
      </c>
      <c r="C54" s="34" t="s">
        <v>7</v>
      </c>
      <c r="O54" s="40">
        <v>11677.6</v>
      </c>
      <c r="P54" s="41">
        <f t="shared" si="0"/>
        <v>11677.6</v>
      </c>
    </row>
    <row r="55" spans="1:16" x14ac:dyDescent="0.3">
      <c r="A55" s="34" t="s">
        <v>92</v>
      </c>
      <c r="B55" s="39" t="s">
        <v>39</v>
      </c>
      <c r="C55" s="34" t="s">
        <v>7</v>
      </c>
      <c r="O55" s="40">
        <v>13.5</v>
      </c>
      <c r="P55" s="41">
        <f t="shared" si="0"/>
        <v>13.5</v>
      </c>
    </row>
    <row r="56" spans="1:16" x14ac:dyDescent="0.3">
      <c r="A56" s="34" t="s">
        <v>92</v>
      </c>
      <c r="B56" s="39" t="s">
        <v>40</v>
      </c>
      <c r="C56" s="34" t="s">
        <v>7</v>
      </c>
      <c r="O56" s="40">
        <v>153.30000000000001</v>
      </c>
      <c r="P56" s="41">
        <f t="shared" si="0"/>
        <v>153.30000000000001</v>
      </c>
    </row>
    <row r="57" spans="1:16" x14ac:dyDescent="0.3">
      <c r="A57" s="34" t="s">
        <v>92</v>
      </c>
      <c r="B57" s="39" t="s">
        <v>41</v>
      </c>
      <c r="C57" s="34" t="s">
        <v>7</v>
      </c>
      <c r="O57" s="40">
        <v>8727.9000000000015</v>
      </c>
      <c r="P57" s="41">
        <f t="shared" si="0"/>
        <v>8727.9000000000015</v>
      </c>
    </row>
    <row r="58" spans="1:16" x14ac:dyDescent="0.3">
      <c r="A58" s="34" t="s">
        <v>92</v>
      </c>
      <c r="B58" s="39" t="s">
        <v>42</v>
      </c>
      <c r="C58" s="34" t="s">
        <v>7</v>
      </c>
      <c r="O58" s="40">
        <v>2975.1</v>
      </c>
      <c r="P58" s="41">
        <f t="shared" si="0"/>
        <v>2975.1</v>
      </c>
    </row>
    <row r="59" spans="1:16" x14ac:dyDescent="0.3">
      <c r="A59" s="34" t="s">
        <v>92</v>
      </c>
      <c r="B59" s="39" t="s">
        <v>43</v>
      </c>
      <c r="C59" s="34" t="s">
        <v>7</v>
      </c>
      <c r="O59" s="40">
        <v>3288.7</v>
      </c>
      <c r="P59" s="41">
        <f t="shared" si="0"/>
        <v>3288.7</v>
      </c>
    </row>
    <row r="60" spans="1:16" x14ac:dyDescent="0.3">
      <c r="A60" s="34" t="s">
        <v>92</v>
      </c>
      <c r="B60" s="35" t="s">
        <v>44</v>
      </c>
      <c r="C60" s="34" t="s">
        <v>7</v>
      </c>
      <c r="P60" s="37">
        <f t="shared" si="0"/>
        <v>0</v>
      </c>
    </row>
    <row r="61" spans="1:16" x14ac:dyDescent="0.3">
      <c r="A61" s="34" t="s">
        <v>92</v>
      </c>
      <c r="B61" s="35" t="s">
        <v>45</v>
      </c>
      <c r="C61" s="34" t="s">
        <v>7</v>
      </c>
      <c r="P61" s="41">
        <f t="shared" si="0"/>
        <v>0</v>
      </c>
    </row>
    <row r="62" spans="1:16" x14ac:dyDescent="0.3">
      <c r="A62" s="34" t="s">
        <v>92</v>
      </c>
      <c r="B62" s="35" t="s">
        <v>47</v>
      </c>
      <c r="C62" s="34" t="s">
        <v>7</v>
      </c>
      <c r="O62" s="41">
        <v>-4.5474735088646412E-13</v>
      </c>
      <c r="P62" s="41">
        <f t="shared" si="0"/>
        <v>-4.5474735088646412E-13</v>
      </c>
    </row>
    <row r="63" spans="1:16" x14ac:dyDescent="0.3">
      <c r="A63" s="34" t="s">
        <v>92</v>
      </c>
      <c r="B63" s="35" t="s">
        <v>28</v>
      </c>
      <c r="C63" s="34" t="s">
        <v>8</v>
      </c>
      <c r="P63" s="36">
        <f t="shared" si="0"/>
        <v>0</v>
      </c>
    </row>
    <row r="64" spans="1:16" x14ac:dyDescent="0.3">
      <c r="A64" s="34" t="s">
        <v>92</v>
      </c>
      <c r="B64" s="35" t="s">
        <v>30</v>
      </c>
      <c r="C64" s="34" t="s">
        <v>8</v>
      </c>
      <c r="P64" s="36">
        <f t="shared" si="0"/>
        <v>0</v>
      </c>
    </row>
    <row r="65" spans="1:16" x14ac:dyDescent="0.3">
      <c r="A65" s="34" t="s">
        <v>92</v>
      </c>
      <c r="B65" s="35" t="s">
        <v>31</v>
      </c>
      <c r="C65" s="34" t="s">
        <v>8</v>
      </c>
      <c r="P65" s="37">
        <f t="shared" si="0"/>
        <v>0</v>
      </c>
    </row>
    <row r="66" spans="1:16" x14ac:dyDescent="0.3">
      <c r="A66" s="34" t="s">
        <v>92</v>
      </c>
      <c r="B66" s="35" t="s">
        <v>33</v>
      </c>
      <c r="C66" s="34" t="s">
        <v>8</v>
      </c>
      <c r="P66" s="38">
        <f t="shared" si="0"/>
        <v>0</v>
      </c>
    </row>
    <row r="67" spans="1:16" x14ac:dyDescent="0.3">
      <c r="A67" s="34" t="s">
        <v>92</v>
      </c>
      <c r="B67" s="39" t="s">
        <v>35</v>
      </c>
      <c r="C67" s="34" t="s">
        <v>8</v>
      </c>
      <c r="O67" s="40">
        <v>3288.7</v>
      </c>
      <c r="P67" s="41">
        <f t="shared" ref="P67:P130" si="1">SUM(D67:O67)</f>
        <v>3288.7</v>
      </c>
    </row>
    <row r="68" spans="1:16" x14ac:dyDescent="0.3">
      <c r="A68" s="34" t="s">
        <v>92</v>
      </c>
      <c r="B68" s="39" t="s">
        <v>37</v>
      </c>
      <c r="C68" s="34" t="s">
        <v>8</v>
      </c>
      <c r="O68" s="40">
        <v>43.6</v>
      </c>
      <c r="P68" s="41">
        <f t="shared" si="1"/>
        <v>43.6</v>
      </c>
    </row>
    <row r="69" spans="1:16" x14ac:dyDescent="0.3">
      <c r="A69" s="34" t="s">
        <v>92</v>
      </c>
      <c r="B69" s="39" t="s">
        <v>38</v>
      </c>
      <c r="C69" s="34" t="s">
        <v>8</v>
      </c>
      <c r="O69" s="40">
        <v>9573.1</v>
      </c>
      <c r="P69" s="41">
        <f t="shared" si="1"/>
        <v>9573.1</v>
      </c>
    </row>
    <row r="70" spans="1:16" x14ac:dyDescent="0.3">
      <c r="A70" s="34" t="s">
        <v>92</v>
      </c>
      <c r="B70" s="39" t="s">
        <v>39</v>
      </c>
      <c r="C70" s="34" t="s">
        <v>8</v>
      </c>
      <c r="O70" s="40">
        <v>21.5</v>
      </c>
      <c r="P70" s="41">
        <f t="shared" si="1"/>
        <v>21.5</v>
      </c>
    </row>
    <row r="71" spans="1:16" x14ac:dyDescent="0.3">
      <c r="A71" s="34" t="s">
        <v>92</v>
      </c>
      <c r="B71" s="39" t="s">
        <v>40</v>
      </c>
      <c r="C71" s="34" t="s">
        <v>8</v>
      </c>
      <c r="O71" s="40">
        <v>169.8</v>
      </c>
      <c r="P71" s="41">
        <f t="shared" si="1"/>
        <v>169.8</v>
      </c>
    </row>
    <row r="72" spans="1:16" x14ac:dyDescent="0.3">
      <c r="A72" s="34" t="s">
        <v>92</v>
      </c>
      <c r="B72" s="39" t="s">
        <v>41</v>
      </c>
      <c r="C72" s="34" t="s">
        <v>8</v>
      </c>
      <c r="O72" s="40">
        <v>9195.1</v>
      </c>
      <c r="P72" s="41">
        <f t="shared" si="1"/>
        <v>9195.1</v>
      </c>
    </row>
    <row r="73" spans="1:16" x14ac:dyDescent="0.3">
      <c r="A73" s="34" t="s">
        <v>92</v>
      </c>
      <c r="B73" s="39" t="s">
        <v>42</v>
      </c>
      <c r="C73" s="34" t="s">
        <v>8</v>
      </c>
      <c r="O73" s="40">
        <v>2028.3</v>
      </c>
      <c r="P73" s="41">
        <f t="shared" si="1"/>
        <v>2028.3</v>
      </c>
    </row>
    <row r="74" spans="1:16" x14ac:dyDescent="0.3">
      <c r="A74" s="34" t="s">
        <v>92</v>
      </c>
      <c r="B74" s="39" t="s">
        <v>43</v>
      </c>
      <c r="C74" s="34" t="s">
        <v>8</v>
      </c>
      <c r="O74" s="40">
        <v>1490.7</v>
      </c>
      <c r="P74" s="41">
        <f t="shared" si="1"/>
        <v>1490.7</v>
      </c>
    </row>
    <row r="75" spans="1:16" x14ac:dyDescent="0.3">
      <c r="A75" s="34" t="s">
        <v>92</v>
      </c>
      <c r="B75" s="35" t="s">
        <v>44</v>
      </c>
      <c r="C75" s="34" t="s">
        <v>8</v>
      </c>
      <c r="P75" s="37">
        <f t="shared" si="1"/>
        <v>0</v>
      </c>
    </row>
    <row r="76" spans="1:16" x14ac:dyDescent="0.3">
      <c r="A76" s="34" t="s">
        <v>92</v>
      </c>
      <c r="B76" s="35" t="s">
        <v>45</v>
      </c>
      <c r="C76" s="34" t="s">
        <v>8</v>
      </c>
      <c r="P76" s="41">
        <f t="shared" si="1"/>
        <v>0</v>
      </c>
    </row>
    <row r="77" spans="1:16" x14ac:dyDescent="0.3">
      <c r="A77" s="34" t="s">
        <v>92</v>
      </c>
      <c r="B77" s="35" t="s">
        <v>47</v>
      </c>
      <c r="C77" s="34" t="s">
        <v>8</v>
      </c>
      <c r="O77" s="41">
        <v>1.8189894035458561E-12</v>
      </c>
      <c r="P77" s="41">
        <f t="shared" si="1"/>
        <v>1.8189894035458561E-12</v>
      </c>
    </row>
    <row r="78" spans="1:16" x14ac:dyDescent="0.3">
      <c r="A78" s="34" t="s">
        <v>92</v>
      </c>
      <c r="B78" s="35" t="s">
        <v>28</v>
      </c>
      <c r="C78" s="34" t="s">
        <v>9</v>
      </c>
      <c r="P78" s="36">
        <f t="shared" si="1"/>
        <v>0</v>
      </c>
    </row>
    <row r="79" spans="1:16" x14ac:dyDescent="0.3">
      <c r="A79" s="34" t="s">
        <v>92</v>
      </c>
      <c r="B79" s="35" t="s">
        <v>30</v>
      </c>
      <c r="C79" s="34" t="s">
        <v>9</v>
      </c>
      <c r="P79" s="36">
        <f t="shared" si="1"/>
        <v>0</v>
      </c>
    </row>
    <row r="80" spans="1:16" x14ac:dyDescent="0.3">
      <c r="A80" s="34" t="s">
        <v>92</v>
      </c>
      <c r="B80" s="35" t="s">
        <v>31</v>
      </c>
      <c r="C80" s="34" t="s">
        <v>9</v>
      </c>
      <c r="P80" s="37">
        <f t="shared" si="1"/>
        <v>0</v>
      </c>
    </row>
    <row r="81" spans="1:16" x14ac:dyDescent="0.3">
      <c r="A81" s="34" t="s">
        <v>92</v>
      </c>
      <c r="B81" s="35" t="s">
        <v>33</v>
      </c>
      <c r="C81" s="34" t="s">
        <v>9</v>
      </c>
      <c r="P81" s="38">
        <f t="shared" si="1"/>
        <v>0</v>
      </c>
    </row>
    <row r="82" spans="1:16" x14ac:dyDescent="0.3">
      <c r="A82" s="34" t="s">
        <v>92</v>
      </c>
      <c r="B82" s="39" t="s">
        <v>35</v>
      </c>
      <c r="C82" s="34" t="s">
        <v>9</v>
      </c>
      <c r="O82" s="40">
        <v>1490.7</v>
      </c>
      <c r="P82" s="41">
        <f t="shared" si="1"/>
        <v>1490.7</v>
      </c>
    </row>
    <row r="83" spans="1:16" x14ac:dyDescent="0.3">
      <c r="A83" s="34" t="s">
        <v>92</v>
      </c>
      <c r="B83" s="39" t="s">
        <v>37</v>
      </c>
      <c r="C83" s="34" t="s">
        <v>9</v>
      </c>
      <c r="O83" s="40">
        <v>57.8</v>
      </c>
      <c r="P83" s="41">
        <f t="shared" si="1"/>
        <v>57.8</v>
      </c>
    </row>
    <row r="84" spans="1:16" x14ac:dyDescent="0.3">
      <c r="A84" s="34" t="s">
        <v>92</v>
      </c>
      <c r="B84" s="39" t="s">
        <v>38</v>
      </c>
      <c r="C84" s="34" t="s">
        <v>9</v>
      </c>
      <c r="O84" s="40">
        <v>10909.8</v>
      </c>
      <c r="P84" s="41">
        <f t="shared" si="1"/>
        <v>10909.8</v>
      </c>
    </row>
    <row r="85" spans="1:16" x14ac:dyDescent="0.3">
      <c r="A85" s="34" t="s">
        <v>92</v>
      </c>
      <c r="B85" s="39" t="s">
        <v>39</v>
      </c>
      <c r="C85" s="34" t="s">
        <v>9</v>
      </c>
      <c r="O85" s="40">
        <v>15.7</v>
      </c>
      <c r="P85" s="41">
        <f t="shared" si="1"/>
        <v>15.7</v>
      </c>
    </row>
    <row r="86" spans="1:16" x14ac:dyDescent="0.3">
      <c r="A86" s="34" t="s">
        <v>92</v>
      </c>
      <c r="B86" s="39" t="s">
        <v>40</v>
      </c>
      <c r="C86" s="34" t="s">
        <v>9</v>
      </c>
      <c r="O86" s="40">
        <v>140.30000000000001</v>
      </c>
      <c r="P86" s="41">
        <f t="shared" si="1"/>
        <v>140.30000000000001</v>
      </c>
    </row>
    <row r="87" spans="1:16" x14ac:dyDescent="0.3">
      <c r="A87" s="34" t="s">
        <v>92</v>
      </c>
      <c r="B87" s="39" t="s">
        <v>41</v>
      </c>
      <c r="C87" s="34" t="s">
        <v>9</v>
      </c>
      <c r="O87" s="40">
        <v>6822.6999999999989</v>
      </c>
      <c r="P87" s="41">
        <f t="shared" si="1"/>
        <v>6822.6999999999989</v>
      </c>
    </row>
    <row r="88" spans="1:16" x14ac:dyDescent="0.3">
      <c r="A88" s="34" t="s">
        <v>92</v>
      </c>
      <c r="B88" s="39" t="s">
        <v>42</v>
      </c>
      <c r="C88" s="34" t="s">
        <v>9</v>
      </c>
      <c r="O88" s="40">
        <v>3911.2</v>
      </c>
      <c r="P88" s="41">
        <f t="shared" si="1"/>
        <v>3911.2</v>
      </c>
    </row>
    <row r="89" spans="1:16" x14ac:dyDescent="0.3">
      <c r="A89" s="34" t="s">
        <v>92</v>
      </c>
      <c r="B89" s="39" t="s">
        <v>43</v>
      </c>
      <c r="C89" s="34" t="s">
        <v>9</v>
      </c>
      <c r="O89" s="40">
        <v>1568.4</v>
      </c>
      <c r="P89" s="41">
        <f t="shared" si="1"/>
        <v>1568.4</v>
      </c>
    </row>
    <row r="90" spans="1:16" x14ac:dyDescent="0.3">
      <c r="A90" s="34" t="s">
        <v>92</v>
      </c>
      <c r="B90" s="35" t="s">
        <v>44</v>
      </c>
      <c r="C90" s="34" t="s">
        <v>9</v>
      </c>
      <c r="P90" s="37">
        <f t="shared" si="1"/>
        <v>0</v>
      </c>
    </row>
    <row r="91" spans="1:16" x14ac:dyDescent="0.3">
      <c r="A91" s="34" t="s">
        <v>92</v>
      </c>
      <c r="B91" s="35" t="s">
        <v>45</v>
      </c>
      <c r="C91" s="34" t="s">
        <v>9</v>
      </c>
      <c r="P91" s="41">
        <f t="shared" si="1"/>
        <v>0</v>
      </c>
    </row>
    <row r="92" spans="1:16" x14ac:dyDescent="0.3">
      <c r="A92" s="34" t="s">
        <v>92</v>
      </c>
      <c r="B92" s="35" t="s">
        <v>47</v>
      </c>
      <c r="C92" s="34" t="s">
        <v>9</v>
      </c>
      <c r="O92" s="41">
        <v>4.5474735088646412E-13</v>
      </c>
      <c r="P92" s="41">
        <f t="shared" si="1"/>
        <v>4.5474735088646412E-13</v>
      </c>
    </row>
    <row r="93" spans="1:16" x14ac:dyDescent="0.3">
      <c r="A93" s="34" t="s">
        <v>92</v>
      </c>
      <c r="B93" s="35" t="s">
        <v>28</v>
      </c>
      <c r="C93" s="34" t="s">
        <v>10</v>
      </c>
      <c r="P93" s="36">
        <f t="shared" si="1"/>
        <v>0</v>
      </c>
    </row>
    <row r="94" spans="1:16" x14ac:dyDescent="0.3">
      <c r="A94" s="34" t="s">
        <v>92</v>
      </c>
      <c r="B94" s="35" t="s">
        <v>30</v>
      </c>
      <c r="C94" s="34" t="s">
        <v>10</v>
      </c>
      <c r="P94" s="36">
        <f t="shared" si="1"/>
        <v>0</v>
      </c>
    </row>
    <row r="95" spans="1:16" x14ac:dyDescent="0.3">
      <c r="A95" s="34" t="s">
        <v>92</v>
      </c>
      <c r="B95" s="35" t="s">
        <v>31</v>
      </c>
      <c r="C95" s="34" t="s">
        <v>10</v>
      </c>
      <c r="P95" s="37">
        <f t="shared" si="1"/>
        <v>0</v>
      </c>
    </row>
    <row r="96" spans="1:16" x14ac:dyDescent="0.3">
      <c r="A96" s="34" t="s">
        <v>92</v>
      </c>
      <c r="B96" s="35" t="s">
        <v>33</v>
      </c>
      <c r="C96" s="34" t="s">
        <v>10</v>
      </c>
      <c r="P96" s="38">
        <f t="shared" si="1"/>
        <v>0</v>
      </c>
    </row>
    <row r="97" spans="1:16" x14ac:dyDescent="0.3">
      <c r="A97" s="34" t="s">
        <v>92</v>
      </c>
      <c r="B97" s="39" t="s">
        <v>35</v>
      </c>
      <c r="C97" s="34" t="s">
        <v>10</v>
      </c>
      <c r="O97" s="40">
        <v>1568.4</v>
      </c>
      <c r="P97" s="41">
        <f t="shared" si="1"/>
        <v>1568.4</v>
      </c>
    </row>
    <row r="98" spans="1:16" x14ac:dyDescent="0.3">
      <c r="A98" s="34" t="s">
        <v>92</v>
      </c>
      <c r="B98" s="39" t="s">
        <v>37</v>
      </c>
      <c r="C98" s="34" t="s">
        <v>10</v>
      </c>
      <c r="O98" s="40">
        <v>41.7</v>
      </c>
      <c r="P98" s="41">
        <f t="shared" si="1"/>
        <v>41.7</v>
      </c>
    </row>
    <row r="99" spans="1:16" x14ac:dyDescent="0.3">
      <c r="A99" s="34" t="s">
        <v>92</v>
      </c>
      <c r="B99" s="39" t="s">
        <v>38</v>
      </c>
      <c r="C99" s="34" t="s">
        <v>10</v>
      </c>
      <c r="O99" s="40">
        <v>11785.8</v>
      </c>
      <c r="P99" s="41">
        <f t="shared" si="1"/>
        <v>11785.8</v>
      </c>
    </row>
    <row r="100" spans="1:16" x14ac:dyDescent="0.3">
      <c r="A100" s="34" t="s">
        <v>92</v>
      </c>
      <c r="B100" s="39" t="s">
        <v>39</v>
      </c>
      <c r="C100" s="34" t="s">
        <v>10</v>
      </c>
      <c r="O100" s="40">
        <v>15.6</v>
      </c>
      <c r="P100" s="41">
        <f t="shared" si="1"/>
        <v>15.6</v>
      </c>
    </row>
    <row r="101" spans="1:16" x14ac:dyDescent="0.3">
      <c r="A101" s="34" t="s">
        <v>92</v>
      </c>
      <c r="B101" s="39" t="s">
        <v>40</v>
      </c>
      <c r="C101" s="34" t="s">
        <v>10</v>
      </c>
      <c r="O101" s="40">
        <v>143.80000000000001</v>
      </c>
      <c r="P101" s="41">
        <f t="shared" si="1"/>
        <v>143.80000000000001</v>
      </c>
    </row>
    <row r="102" spans="1:16" x14ac:dyDescent="0.3">
      <c r="A102" s="34" t="s">
        <v>92</v>
      </c>
      <c r="B102" s="39" t="s">
        <v>41</v>
      </c>
      <c r="C102" s="34" t="s">
        <v>10</v>
      </c>
      <c r="O102" s="40">
        <v>7874.1999999999989</v>
      </c>
      <c r="P102" s="41">
        <f t="shared" si="1"/>
        <v>7874.1999999999989</v>
      </c>
    </row>
    <row r="103" spans="1:16" x14ac:dyDescent="0.3">
      <c r="A103" s="34" t="s">
        <v>92</v>
      </c>
      <c r="B103" s="39" t="s">
        <v>42</v>
      </c>
      <c r="C103" s="34" t="s">
        <v>10</v>
      </c>
      <c r="O103" s="40">
        <v>2398.6999999999998</v>
      </c>
      <c r="P103" s="41">
        <f t="shared" si="1"/>
        <v>2398.6999999999998</v>
      </c>
    </row>
    <row r="104" spans="1:16" x14ac:dyDescent="0.3">
      <c r="A104" s="34" t="s">
        <v>92</v>
      </c>
      <c r="B104" s="39" t="s">
        <v>43</v>
      </c>
      <c r="C104" s="34" t="s">
        <v>10</v>
      </c>
      <c r="O104" s="40">
        <v>2963.6</v>
      </c>
      <c r="P104" s="41">
        <f t="shared" si="1"/>
        <v>2963.6</v>
      </c>
    </row>
    <row r="105" spans="1:16" x14ac:dyDescent="0.3">
      <c r="A105" s="34" t="s">
        <v>92</v>
      </c>
      <c r="B105" s="35" t="s">
        <v>44</v>
      </c>
      <c r="C105" s="34" t="s">
        <v>10</v>
      </c>
      <c r="P105" s="37">
        <f t="shared" si="1"/>
        <v>0</v>
      </c>
    </row>
    <row r="106" spans="1:16" x14ac:dyDescent="0.3">
      <c r="A106" s="34" t="s">
        <v>92</v>
      </c>
      <c r="B106" s="35" t="s">
        <v>45</v>
      </c>
      <c r="C106" s="34" t="s">
        <v>10</v>
      </c>
      <c r="P106" s="41">
        <f t="shared" si="1"/>
        <v>0</v>
      </c>
    </row>
    <row r="107" spans="1:16" x14ac:dyDescent="0.3">
      <c r="A107" s="34" t="s">
        <v>92</v>
      </c>
      <c r="B107" s="35" t="s">
        <v>47</v>
      </c>
      <c r="C107" s="34" t="s">
        <v>10</v>
      </c>
      <c r="O107" s="41">
        <v>1.364242052659392E-12</v>
      </c>
      <c r="P107" s="41">
        <f t="shared" si="1"/>
        <v>1.364242052659392E-12</v>
      </c>
    </row>
    <row r="108" spans="1:16" x14ac:dyDescent="0.3">
      <c r="A108" s="34" t="s">
        <v>92</v>
      </c>
      <c r="B108" s="35" t="s">
        <v>28</v>
      </c>
      <c r="C108" s="34" t="s">
        <v>11</v>
      </c>
      <c r="P108" s="36">
        <f t="shared" si="1"/>
        <v>0</v>
      </c>
    </row>
    <row r="109" spans="1:16" x14ac:dyDescent="0.3">
      <c r="A109" s="34" t="s">
        <v>92</v>
      </c>
      <c r="B109" s="35" t="s">
        <v>30</v>
      </c>
      <c r="C109" s="34" t="s">
        <v>11</v>
      </c>
      <c r="P109" s="36">
        <f t="shared" si="1"/>
        <v>0</v>
      </c>
    </row>
    <row r="110" spans="1:16" x14ac:dyDescent="0.3">
      <c r="A110" s="34" t="s">
        <v>92</v>
      </c>
      <c r="B110" s="35" t="s">
        <v>31</v>
      </c>
      <c r="C110" s="34" t="s">
        <v>11</v>
      </c>
      <c r="P110" s="37">
        <f t="shared" si="1"/>
        <v>0</v>
      </c>
    </row>
    <row r="111" spans="1:16" x14ac:dyDescent="0.3">
      <c r="A111" s="34" t="s">
        <v>92</v>
      </c>
      <c r="B111" s="35" t="s">
        <v>33</v>
      </c>
      <c r="C111" s="34" t="s">
        <v>11</v>
      </c>
      <c r="P111" s="38">
        <f t="shared" si="1"/>
        <v>0</v>
      </c>
    </row>
    <row r="112" spans="1:16" x14ac:dyDescent="0.3">
      <c r="A112" s="34" t="s">
        <v>92</v>
      </c>
      <c r="B112" s="39" t="s">
        <v>35</v>
      </c>
      <c r="C112" s="34" t="s">
        <v>11</v>
      </c>
      <c r="O112" s="40">
        <v>2963.6</v>
      </c>
      <c r="P112" s="41">
        <f t="shared" si="1"/>
        <v>2963.6</v>
      </c>
    </row>
    <row r="113" spans="1:16" x14ac:dyDescent="0.3">
      <c r="A113" s="34" t="s">
        <v>92</v>
      </c>
      <c r="B113" s="39" t="s">
        <v>37</v>
      </c>
      <c r="C113" s="34" t="s">
        <v>11</v>
      </c>
      <c r="O113" s="40">
        <v>42.4</v>
      </c>
      <c r="P113" s="41">
        <f t="shared" si="1"/>
        <v>42.4</v>
      </c>
    </row>
    <row r="114" spans="1:16" x14ac:dyDescent="0.3">
      <c r="A114" s="34" t="s">
        <v>92</v>
      </c>
      <c r="B114" s="39" t="s">
        <v>38</v>
      </c>
      <c r="C114" s="34" t="s">
        <v>11</v>
      </c>
      <c r="O114" s="40">
        <v>9528.2000000000007</v>
      </c>
      <c r="P114" s="41">
        <f t="shared" si="1"/>
        <v>9528.2000000000007</v>
      </c>
    </row>
    <row r="115" spans="1:16" x14ac:dyDescent="0.3">
      <c r="A115" s="34" t="s">
        <v>92</v>
      </c>
      <c r="B115" s="39" t="s">
        <v>39</v>
      </c>
      <c r="C115" s="34" t="s">
        <v>11</v>
      </c>
      <c r="O115" s="40">
        <v>10.1</v>
      </c>
      <c r="P115" s="41">
        <f t="shared" si="1"/>
        <v>10.1</v>
      </c>
    </row>
    <row r="116" spans="1:16" x14ac:dyDescent="0.3">
      <c r="A116" s="34" t="s">
        <v>92</v>
      </c>
      <c r="B116" s="39" t="s">
        <v>40</v>
      </c>
      <c r="C116" s="34" t="s">
        <v>11</v>
      </c>
      <c r="O116" s="40">
        <v>125</v>
      </c>
      <c r="P116" s="41">
        <f t="shared" si="1"/>
        <v>125</v>
      </c>
    </row>
    <row r="117" spans="1:16" x14ac:dyDescent="0.3">
      <c r="A117" s="34" t="s">
        <v>92</v>
      </c>
      <c r="B117" s="39" t="s">
        <v>41</v>
      </c>
      <c r="C117" s="34" t="s">
        <v>11</v>
      </c>
      <c r="O117" s="40">
        <v>7748.3000000000011</v>
      </c>
      <c r="P117" s="41">
        <f t="shared" si="1"/>
        <v>7748.3000000000011</v>
      </c>
    </row>
    <row r="118" spans="1:16" x14ac:dyDescent="0.3">
      <c r="A118" s="34" t="s">
        <v>92</v>
      </c>
      <c r="B118" s="39" t="s">
        <v>42</v>
      </c>
      <c r="C118" s="34" t="s">
        <v>11</v>
      </c>
      <c r="O118" s="40">
        <v>2149.1999999999998</v>
      </c>
      <c r="P118" s="41">
        <f t="shared" si="1"/>
        <v>2149.1999999999998</v>
      </c>
    </row>
    <row r="119" spans="1:16" x14ac:dyDescent="0.3">
      <c r="A119" s="34" t="s">
        <v>92</v>
      </c>
      <c r="B119" s="39" t="s">
        <v>43</v>
      </c>
      <c r="C119" s="34" t="s">
        <v>11</v>
      </c>
      <c r="O119" s="40">
        <v>2501.6</v>
      </c>
      <c r="P119" s="41">
        <f t="shared" si="1"/>
        <v>2501.6</v>
      </c>
    </row>
    <row r="120" spans="1:16" x14ac:dyDescent="0.3">
      <c r="A120" s="34" t="s">
        <v>92</v>
      </c>
      <c r="B120" s="35" t="s">
        <v>44</v>
      </c>
      <c r="C120" s="34" t="s">
        <v>11</v>
      </c>
      <c r="P120" s="37">
        <f t="shared" si="1"/>
        <v>0</v>
      </c>
    </row>
    <row r="121" spans="1:16" x14ac:dyDescent="0.3">
      <c r="A121" s="34" t="s">
        <v>92</v>
      </c>
      <c r="B121" s="35" t="s">
        <v>45</v>
      </c>
      <c r="C121" s="34" t="s">
        <v>11</v>
      </c>
      <c r="P121" s="41">
        <f t="shared" si="1"/>
        <v>0</v>
      </c>
    </row>
    <row r="122" spans="1:16" x14ac:dyDescent="0.3">
      <c r="A122" s="34" t="s">
        <v>92</v>
      </c>
      <c r="B122" s="35" t="s">
        <v>47</v>
      </c>
      <c r="C122" s="34" t="s">
        <v>11</v>
      </c>
      <c r="O122" s="41">
        <v>-4.5474735088646412E-13</v>
      </c>
      <c r="P122" s="41">
        <f t="shared" si="1"/>
        <v>-4.5474735088646412E-13</v>
      </c>
    </row>
    <row r="123" spans="1:16" x14ac:dyDescent="0.3">
      <c r="A123" s="34" t="s">
        <v>92</v>
      </c>
      <c r="B123" s="35" t="s">
        <v>28</v>
      </c>
      <c r="C123" s="34" t="s">
        <v>12</v>
      </c>
      <c r="P123" s="36">
        <f t="shared" si="1"/>
        <v>0</v>
      </c>
    </row>
    <row r="124" spans="1:16" x14ac:dyDescent="0.3">
      <c r="A124" s="34" t="s">
        <v>92</v>
      </c>
      <c r="B124" s="35" t="s">
        <v>30</v>
      </c>
      <c r="C124" s="34" t="s">
        <v>12</v>
      </c>
      <c r="P124" s="36">
        <f t="shared" si="1"/>
        <v>0</v>
      </c>
    </row>
    <row r="125" spans="1:16" x14ac:dyDescent="0.3">
      <c r="A125" s="34" t="s">
        <v>92</v>
      </c>
      <c r="B125" s="35" t="s">
        <v>31</v>
      </c>
      <c r="C125" s="34" t="s">
        <v>12</v>
      </c>
      <c r="P125" s="37">
        <f t="shared" si="1"/>
        <v>0</v>
      </c>
    </row>
    <row r="126" spans="1:16" x14ac:dyDescent="0.3">
      <c r="A126" s="34" t="s">
        <v>92</v>
      </c>
      <c r="B126" s="35" t="s">
        <v>33</v>
      </c>
      <c r="C126" s="34" t="s">
        <v>12</v>
      </c>
      <c r="P126" s="38">
        <f t="shared" si="1"/>
        <v>0</v>
      </c>
    </row>
    <row r="127" spans="1:16" x14ac:dyDescent="0.3">
      <c r="A127" s="34" t="s">
        <v>92</v>
      </c>
      <c r="B127" s="39" t="s">
        <v>35</v>
      </c>
      <c r="C127" s="34" t="s">
        <v>12</v>
      </c>
      <c r="O127" s="40">
        <v>2501.6</v>
      </c>
      <c r="P127" s="41">
        <f t="shared" si="1"/>
        <v>2501.6</v>
      </c>
    </row>
    <row r="128" spans="1:16" x14ac:dyDescent="0.3">
      <c r="A128" s="34" t="s">
        <v>92</v>
      </c>
      <c r="B128" s="39" t="s">
        <v>37</v>
      </c>
      <c r="C128" s="34" t="s">
        <v>12</v>
      </c>
      <c r="O128" s="40">
        <v>42.7</v>
      </c>
      <c r="P128" s="41">
        <f t="shared" si="1"/>
        <v>42.7</v>
      </c>
    </row>
    <row r="129" spans="1:16" x14ac:dyDescent="0.3">
      <c r="A129" s="34" t="s">
        <v>92</v>
      </c>
      <c r="B129" s="39" t="s">
        <v>38</v>
      </c>
      <c r="C129" s="34" t="s">
        <v>12</v>
      </c>
      <c r="O129" s="40">
        <v>7627.2</v>
      </c>
      <c r="P129" s="41">
        <f t="shared" si="1"/>
        <v>7627.2</v>
      </c>
    </row>
    <row r="130" spans="1:16" x14ac:dyDescent="0.3">
      <c r="A130" s="34" t="s">
        <v>92</v>
      </c>
      <c r="B130" s="39" t="s">
        <v>39</v>
      </c>
      <c r="C130" s="34" t="s">
        <v>12</v>
      </c>
      <c r="O130" s="40">
        <v>27.9</v>
      </c>
      <c r="P130" s="41">
        <f t="shared" si="1"/>
        <v>27.9</v>
      </c>
    </row>
    <row r="131" spans="1:16" x14ac:dyDescent="0.3">
      <c r="A131" s="34" t="s">
        <v>92</v>
      </c>
      <c r="B131" s="39" t="s">
        <v>40</v>
      </c>
      <c r="C131" s="34" t="s">
        <v>12</v>
      </c>
      <c r="O131" s="40">
        <v>127.1</v>
      </c>
      <c r="P131" s="41">
        <f t="shared" ref="P131:P194" si="2">SUM(D131:O131)</f>
        <v>127.1</v>
      </c>
    </row>
    <row r="132" spans="1:16" x14ac:dyDescent="0.3">
      <c r="A132" s="34" t="s">
        <v>92</v>
      </c>
      <c r="B132" s="39" t="s">
        <v>41</v>
      </c>
      <c r="C132" s="34" t="s">
        <v>12</v>
      </c>
      <c r="O132" s="40">
        <v>6497.9</v>
      </c>
      <c r="P132" s="41">
        <f t="shared" si="2"/>
        <v>6497.9</v>
      </c>
    </row>
    <row r="133" spans="1:16" x14ac:dyDescent="0.3">
      <c r="A133" s="34" t="s">
        <v>92</v>
      </c>
      <c r="B133" s="39" t="s">
        <v>42</v>
      </c>
      <c r="C133" s="34" t="s">
        <v>12</v>
      </c>
      <c r="O133" s="40">
        <v>2016.7</v>
      </c>
      <c r="P133" s="41">
        <f t="shared" si="2"/>
        <v>2016.7</v>
      </c>
    </row>
    <row r="134" spans="1:16" x14ac:dyDescent="0.3">
      <c r="A134" s="34" t="s">
        <v>92</v>
      </c>
      <c r="B134" s="39" t="s">
        <v>43</v>
      </c>
      <c r="C134" s="34" t="s">
        <v>12</v>
      </c>
      <c r="O134" s="40">
        <v>1501.9</v>
      </c>
      <c r="P134" s="41">
        <f t="shared" si="2"/>
        <v>1501.9</v>
      </c>
    </row>
    <row r="135" spans="1:16" x14ac:dyDescent="0.3">
      <c r="A135" s="34" t="s">
        <v>92</v>
      </c>
      <c r="B135" s="35" t="s">
        <v>44</v>
      </c>
      <c r="C135" s="34" t="s">
        <v>12</v>
      </c>
      <c r="P135" s="37">
        <f t="shared" si="2"/>
        <v>0</v>
      </c>
    </row>
    <row r="136" spans="1:16" x14ac:dyDescent="0.3">
      <c r="A136" s="34" t="s">
        <v>92</v>
      </c>
      <c r="B136" s="35" t="s">
        <v>45</v>
      </c>
      <c r="C136" s="34" t="s">
        <v>12</v>
      </c>
      <c r="P136" s="41">
        <f t="shared" si="2"/>
        <v>0</v>
      </c>
    </row>
    <row r="137" spans="1:16" x14ac:dyDescent="0.3">
      <c r="A137" s="34" t="s">
        <v>92</v>
      </c>
      <c r="B137" s="35" t="s">
        <v>47</v>
      </c>
      <c r="C137" s="34" t="s">
        <v>12</v>
      </c>
      <c r="O137" s="41">
        <v>2.2737367544323211E-13</v>
      </c>
      <c r="P137" s="41">
        <f t="shared" si="2"/>
        <v>2.2737367544323211E-13</v>
      </c>
    </row>
    <row r="138" spans="1:16" x14ac:dyDescent="0.3">
      <c r="A138" s="34" t="s">
        <v>92</v>
      </c>
      <c r="B138" s="35" t="s">
        <v>28</v>
      </c>
      <c r="C138" s="34" t="s">
        <v>13</v>
      </c>
      <c r="P138" s="36">
        <f t="shared" si="2"/>
        <v>0</v>
      </c>
    </row>
    <row r="139" spans="1:16" x14ac:dyDescent="0.3">
      <c r="A139" s="34" t="s">
        <v>92</v>
      </c>
      <c r="B139" s="35" t="s">
        <v>30</v>
      </c>
      <c r="C139" s="34" t="s">
        <v>13</v>
      </c>
      <c r="P139" s="36">
        <f t="shared" si="2"/>
        <v>0</v>
      </c>
    </row>
    <row r="140" spans="1:16" x14ac:dyDescent="0.3">
      <c r="A140" s="34" t="s">
        <v>92</v>
      </c>
      <c r="B140" s="35" t="s">
        <v>31</v>
      </c>
      <c r="C140" s="34" t="s">
        <v>13</v>
      </c>
      <c r="P140" s="37">
        <f t="shared" si="2"/>
        <v>0</v>
      </c>
    </row>
    <row r="141" spans="1:16" x14ac:dyDescent="0.3">
      <c r="A141" s="34" t="s">
        <v>92</v>
      </c>
      <c r="B141" s="35" t="s">
        <v>33</v>
      </c>
      <c r="C141" s="34" t="s">
        <v>13</v>
      </c>
      <c r="P141" s="38">
        <f t="shared" si="2"/>
        <v>0</v>
      </c>
    </row>
    <row r="142" spans="1:16" x14ac:dyDescent="0.3">
      <c r="A142" s="34" t="s">
        <v>92</v>
      </c>
      <c r="B142" s="39" t="s">
        <v>35</v>
      </c>
      <c r="C142" s="34" t="s">
        <v>13</v>
      </c>
      <c r="O142" s="40">
        <v>1501.9</v>
      </c>
      <c r="P142" s="41">
        <f t="shared" si="2"/>
        <v>1501.9</v>
      </c>
    </row>
    <row r="143" spans="1:16" x14ac:dyDescent="0.3">
      <c r="A143" s="34" t="s">
        <v>92</v>
      </c>
      <c r="B143" s="39" t="s">
        <v>37</v>
      </c>
      <c r="C143" s="34" t="s">
        <v>13</v>
      </c>
      <c r="O143" s="40">
        <v>13.5</v>
      </c>
      <c r="P143" s="41">
        <f t="shared" si="2"/>
        <v>13.5</v>
      </c>
    </row>
    <row r="144" spans="1:16" x14ac:dyDescent="0.3">
      <c r="A144" s="34" t="s">
        <v>92</v>
      </c>
      <c r="B144" s="39" t="s">
        <v>38</v>
      </c>
      <c r="C144" s="34" t="s">
        <v>13</v>
      </c>
      <c r="O144" s="40">
        <v>7891.5</v>
      </c>
      <c r="P144" s="41">
        <f t="shared" si="2"/>
        <v>7891.5</v>
      </c>
    </row>
    <row r="145" spans="1:16" x14ac:dyDescent="0.3">
      <c r="A145" s="34" t="s">
        <v>92</v>
      </c>
      <c r="B145" s="39" t="s">
        <v>39</v>
      </c>
      <c r="C145" s="34" t="s">
        <v>13</v>
      </c>
      <c r="O145" s="40">
        <v>23.6</v>
      </c>
      <c r="P145" s="41">
        <f t="shared" si="2"/>
        <v>23.6</v>
      </c>
    </row>
    <row r="146" spans="1:16" x14ac:dyDescent="0.3">
      <c r="A146" s="34" t="s">
        <v>92</v>
      </c>
      <c r="B146" s="39" t="s">
        <v>40</v>
      </c>
      <c r="C146" s="34" t="s">
        <v>13</v>
      </c>
      <c r="O146" s="40">
        <v>96.3</v>
      </c>
      <c r="P146" s="41">
        <f t="shared" si="2"/>
        <v>96.3</v>
      </c>
    </row>
    <row r="147" spans="1:16" x14ac:dyDescent="0.3">
      <c r="A147" s="34" t="s">
        <v>92</v>
      </c>
      <c r="B147" s="39" t="s">
        <v>41</v>
      </c>
      <c r="C147" s="34" t="s">
        <v>13</v>
      </c>
      <c r="O147" s="40">
        <v>6033</v>
      </c>
      <c r="P147" s="41">
        <f t="shared" si="2"/>
        <v>6033</v>
      </c>
    </row>
    <row r="148" spans="1:16" x14ac:dyDescent="0.3">
      <c r="A148" s="34" t="s">
        <v>92</v>
      </c>
      <c r="B148" s="39" t="s">
        <v>42</v>
      </c>
      <c r="C148" s="34" t="s">
        <v>13</v>
      </c>
      <c r="O148" s="40">
        <v>2058.6</v>
      </c>
      <c r="P148" s="41">
        <f t="shared" si="2"/>
        <v>2058.6</v>
      </c>
    </row>
    <row r="149" spans="1:16" x14ac:dyDescent="0.3">
      <c r="A149" s="34" t="s">
        <v>92</v>
      </c>
      <c r="B149" s="39" t="s">
        <v>43</v>
      </c>
      <c r="C149" s="34" t="s">
        <v>13</v>
      </c>
      <c r="O149" s="40">
        <v>1195.4000000000001</v>
      </c>
      <c r="P149" s="41">
        <f t="shared" si="2"/>
        <v>1195.4000000000001</v>
      </c>
    </row>
    <row r="150" spans="1:16" x14ac:dyDescent="0.3">
      <c r="A150" s="34" t="s">
        <v>92</v>
      </c>
      <c r="B150" s="35" t="s">
        <v>44</v>
      </c>
      <c r="C150" s="34" t="s">
        <v>13</v>
      </c>
      <c r="P150" s="37">
        <f t="shared" si="2"/>
        <v>0</v>
      </c>
    </row>
    <row r="151" spans="1:16" x14ac:dyDescent="0.3">
      <c r="A151" s="34" t="s">
        <v>92</v>
      </c>
      <c r="B151" s="35" t="s">
        <v>45</v>
      </c>
      <c r="C151" s="34" t="s">
        <v>13</v>
      </c>
      <c r="P151" s="41">
        <f t="shared" si="2"/>
        <v>0</v>
      </c>
    </row>
    <row r="152" spans="1:16" x14ac:dyDescent="0.3">
      <c r="A152" s="34" t="s">
        <v>92</v>
      </c>
      <c r="B152" s="35" t="s">
        <v>47</v>
      </c>
      <c r="C152" s="34" t="s">
        <v>13</v>
      </c>
      <c r="O152" s="41">
        <v>0</v>
      </c>
      <c r="P152" s="41">
        <f t="shared" si="2"/>
        <v>0</v>
      </c>
    </row>
    <row r="153" spans="1:16" x14ac:dyDescent="0.3">
      <c r="A153" s="34" t="s">
        <v>92</v>
      </c>
      <c r="B153" s="35" t="s">
        <v>28</v>
      </c>
      <c r="C153" s="34" t="s">
        <v>14</v>
      </c>
      <c r="P153" s="36">
        <f t="shared" si="2"/>
        <v>0</v>
      </c>
    </row>
    <row r="154" spans="1:16" x14ac:dyDescent="0.3">
      <c r="A154" s="34" t="s">
        <v>92</v>
      </c>
      <c r="B154" s="35" t="s">
        <v>30</v>
      </c>
      <c r="C154" s="34" t="s">
        <v>14</v>
      </c>
      <c r="P154" s="36">
        <f t="shared" si="2"/>
        <v>0</v>
      </c>
    </row>
    <row r="155" spans="1:16" x14ac:dyDescent="0.3">
      <c r="A155" s="34" t="s">
        <v>92</v>
      </c>
      <c r="B155" s="35" t="s">
        <v>31</v>
      </c>
      <c r="C155" s="34" t="s">
        <v>14</v>
      </c>
      <c r="P155" s="37">
        <f t="shared" si="2"/>
        <v>0</v>
      </c>
    </row>
    <row r="156" spans="1:16" x14ac:dyDescent="0.3">
      <c r="A156" s="34" t="s">
        <v>92</v>
      </c>
      <c r="B156" s="35" t="s">
        <v>33</v>
      </c>
      <c r="C156" s="34" t="s">
        <v>14</v>
      </c>
      <c r="P156" s="38">
        <f t="shared" si="2"/>
        <v>0</v>
      </c>
    </row>
    <row r="157" spans="1:16" x14ac:dyDescent="0.3">
      <c r="A157" s="34" t="s">
        <v>92</v>
      </c>
      <c r="B157" s="39" t="s">
        <v>35</v>
      </c>
      <c r="C157" s="34" t="s">
        <v>14</v>
      </c>
      <c r="O157" s="40">
        <v>1195.4000000000001</v>
      </c>
      <c r="P157" s="41">
        <f t="shared" si="2"/>
        <v>1195.4000000000001</v>
      </c>
    </row>
    <row r="158" spans="1:16" x14ac:dyDescent="0.3">
      <c r="A158" s="34" t="s">
        <v>92</v>
      </c>
      <c r="B158" s="39" t="s">
        <v>37</v>
      </c>
      <c r="C158" s="34" t="s">
        <v>14</v>
      </c>
      <c r="O158" s="40">
        <v>19</v>
      </c>
      <c r="P158" s="41">
        <f t="shared" si="2"/>
        <v>19</v>
      </c>
    </row>
    <row r="159" spans="1:16" x14ac:dyDescent="0.3">
      <c r="A159" s="34" t="s">
        <v>92</v>
      </c>
      <c r="B159" s="39" t="s">
        <v>38</v>
      </c>
      <c r="C159" s="34" t="s">
        <v>14</v>
      </c>
      <c r="O159" s="40">
        <v>8012.3</v>
      </c>
      <c r="P159" s="41">
        <f t="shared" si="2"/>
        <v>8012.3</v>
      </c>
    </row>
    <row r="160" spans="1:16" x14ac:dyDescent="0.3">
      <c r="A160" s="34" t="s">
        <v>92</v>
      </c>
      <c r="B160" s="39" t="s">
        <v>39</v>
      </c>
      <c r="C160" s="34" t="s">
        <v>14</v>
      </c>
      <c r="O160" s="40">
        <v>24.9</v>
      </c>
      <c r="P160" s="41">
        <f t="shared" si="2"/>
        <v>24.9</v>
      </c>
    </row>
    <row r="161" spans="1:16" x14ac:dyDescent="0.3">
      <c r="A161" s="34" t="s">
        <v>92</v>
      </c>
      <c r="B161" s="39" t="s">
        <v>40</v>
      </c>
      <c r="C161" s="34" t="s">
        <v>14</v>
      </c>
      <c r="O161" s="40">
        <v>109.1</v>
      </c>
      <c r="P161" s="41">
        <f t="shared" si="2"/>
        <v>109.1</v>
      </c>
    </row>
    <row r="162" spans="1:16" x14ac:dyDescent="0.3">
      <c r="A162" s="34" t="s">
        <v>92</v>
      </c>
      <c r="B162" s="39" t="s">
        <v>41</v>
      </c>
      <c r="C162" s="34" t="s">
        <v>14</v>
      </c>
      <c r="O162" s="40">
        <v>5925.0000000000009</v>
      </c>
      <c r="P162" s="41">
        <f t="shared" si="2"/>
        <v>5925.0000000000009</v>
      </c>
    </row>
    <row r="163" spans="1:16" x14ac:dyDescent="0.3">
      <c r="A163" s="34" t="s">
        <v>92</v>
      </c>
      <c r="B163" s="39" t="s">
        <v>42</v>
      </c>
      <c r="C163" s="34" t="s">
        <v>14</v>
      </c>
      <c r="O163" s="40">
        <v>2184.3000000000002</v>
      </c>
      <c r="P163" s="41">
        <f t="shared" si="2"/>
        <v>2184.3000000000002</v>
      </c>
    </row>
    <row r="164" spans="1:16" x14ac:dyDescent="0.3">
      <c r="A164" s="34" t="s">
        <v>92</v>
      </c>
      <c r="B164" s="39" t="s">
        <v>43</v>
      </c>
      <c r="C164" s="34" t="s">
        <v>14</v>
      </c>
      <c r="O164" s="40">
        <v>983.4</v>
      </c>
      <c r="P164" s="41">
        <f t="shared" si="2"/>
        <v>983.4</v>
      </c>
    </row>
    <row r="165" spans="1:16" x14ac:dyDescent="0.3">
      <c r="A165" s="34" t="s">
        <v>92</v>
      </c>
      <c r="B165" s="35" t="s">
        <v>44</v>
      </c>
      <c r="C165" s="34" t="s">
        <v>14</v>
      </c>
      <c r="P165" s="37">
        <f t="shared" si="2"/>
        <v>0</v>
      </c>
    </row>
    <row r="166" spans="1:16" x14ac:dyDescent="0.3">
      <c r="A166" s="34" t="s">
        <v>92</v>
      </c>
      <c r="B166" s="35" t="s">
        <v>45</v>
      </c>
      <c r="C166" s="34" t="s">
        <v>14</v>
      </c>
      <c r="P166" s="41">
        <f t="shared" si="2"/>
        <v>0</v>
      </c>
    </row>
    <row r="167" spans="1:16" x14ac:dyDescent="0.3">
      <c r="A167" s="34" t="s">
        <v>92</v>
      </c>
      <c r="B167" s="35" t="s">
        <v>47</v>
      </c>
      <c r="C167" s="34" t="s">
        <v>14</v>
      </c>
      <c r="O167" s="41">
        <v>-3.4106051316484809E-13</v>
      </c>
      <c r="P167" s="41">
        <f t="shared" si="2"/>
        <v>-3.4106051316484809E-13</v>
      </c>
    </row>
    <row r="168" spans="1:16" x14ac:dyDescent="0.3">
      <c r="A168" s="34" t="s">
        <v>92</v>
      </c>
      <c r="B168" s="35" t="s">
        <v>28</v>
      </c>
      <c r="C168" s="34" t="s">
        <v>15</v>
      </c>
      <c r="P168" s="36">
        <f t="shared" si="2"/>
        <v>0</v>
      </c>
    </row>
    <row r="169" spans="1:16" x14ac:dyDescent="0.3">
      <c r="A169" s="34" t="s">
        <v>92</v>
      </c>
      <c r="B169" s="35" t="s">
        <v>30</v>
      </c>
      <c r="C169" s="34" t="s">
        <v>15</v>
      </c>
      <c r="P169" s="36">
        <f t="shared" si="2"/>
        <v>0</v>
      </c>
    </row>
    <row r="170" spans="1:16" x14ac:dyDescent="0.3">
      <c r="A170" s="34" t="s">
        <v>92</v>
      </c>
      <c r="B170" s="35" t="s">
        <v>31</v>
      </c>
      <c r="C170" s="34" t="s">
        <v>15</v>
      </c>
      <c r="P170" s="37">
        <f t="shared" si="2"/>
        <v>0</v>
      </c>
    </row>
    <row r="171" spans="1:16" x14ac:dyDescent="0.3">
      <c r="A171" s="34" t="s">
        <v>92</v>
      </c>
      <c r="B171" s="35" t="s">
        <v>33</v>
      </c>
      <c r="C171" s="34" t="s">
        <v>15</v>
      </c>
      <c r="P171" s="38">
        <f t="shared" si="2"/>
        <v>0</v>
      </c>
    </row>
    <row r="172" spans="1:16" x14ac:dyDescent="0.3">
      <c r="A172" s="34" t="s">
        <v>92</v>
      </c>
      <c r="B172" s="39" t="s">
        <v>35</v>
      </c>
      <c r="C172" s="34" t="s">
        <v>15</v>
      </c>
      <c r="O172" s="40">
        <v>983.4</v>
      </c>
      <c r="P172" s="41">
        <f t="shared" si="2"/>
        <v>983.4</v>
      </c>
    </row>
    <row r="173" spans="1:16" x14ac:dyDescent="0.3">
      <c r="A173" s="34" t="s">
        <v>92</v>
      </c>
      <c r="B173" s="39" t="s">
        <v>37</v>
      </c>
      <c r="C173" s="34" t="s">
        <v>15</v>
      </c>
      <c r="O173" s="40">
        <v>9</v>
      </c>
      <c r="P173" s="41">
        <f t="shared" si="2"/>
        <v>9</v>
      </c>
    </row>
    <row r="174" spans="1:16" x14ac:dyDescent="0.3">
      <c r="A174" s="34" t="s">
        <v>92</v>
      </c>
      <c r="B174" s="39" t="s">
        <v>38</v>
      </c>
      <c r="C174" s="34" t="s">
        <v>15</v>
      </c>
      <c r="O174" s="40">
        <v>10281.6</v>
      </c>
      <c r="P174" s="41">
        <f t="shared" si="2"/>
        <v>10281.6</v>
      </c>
    </row>
    <row r="175" spans="1:16" x14ac:dyDescent="0.3">
      <c r="A175" s="34" t="s">
        <v>92</v>
      </c>
      <c r="B175" s="39" t="s">
        <v>39</v>
      </c>
      <c r="C175" s="34" t="s">
        <v>15</v>
      </c>
      <c r="O175" s="40">
        <v>23.9</v>
      </c>
      <c r="P175" s="41">
        <f t="shared" si="2"/>
        <v>23.9</v>
      </c>
    </row>
    <row r="176" spans="1:16" x14ac:dyDescent="0.3">
      <c r="A176" s="34" t="s">
        <v>92</v>
      </c>
      <c r="B176" s="39" t="s">
        <v>40</v>
      </c>
      <c r="C176" s="34" t="s">
        <v>15</v>
      </c>
      <c r="O176" s="40">
        <v>90.2</v>
      </c>
      <c r="P176" s="41">
        <f t="shared" si="2"/>
        <v>90.2</v>
      </c>
    </row>
    <row r="177" spans="1:16" x14ac:dyDescent="0.3">
      <c r="A177" s="34" t="s">
        <v>92</v>
      </c>
      <c r="B177" s="39" t="s">
        <v>41</v>
      </c>
      <c r="C177" s="34" t="s">
        <v>15</v>
      </c>
      <c r="O177" s="40">
        <v>6827</v>
      </c>
      <c r="P177" s="41">
        <f t="shared" si="2"/>
        <v>6827</v>
      </c>
    </row>
    <row r="178" spans="1:16" x14ac:dyDescent="0.3">
      <c r="A178" s="34" t="s">
        <v>92</v>
      </c>
      <c r="B178" s="39" t="s">
        <v>42</v>
      </c>
      <c r="C178" s="34" t="s">
        <v>15</v>
      </c>
      <c r="O178" s="40">
        <v>2390.9</v>
      </c>
      <c r="P178" s="41">
        <f t="shared" si="2"/>
        <v>2390.9</v>
      </c>
    </row>
    <row r="179" spans="1:16" x14ac:dyDescent="0.3">
      <c r="A179" s="34" t="s">
        <v>92</v>
      </c>
      <c r="B179" s="39" t="s">
        <v>43</v>
      </c>
      <c r="C179" s="34" t="s">
        <v>15</v>
      </c>
      <c r="O179" s="40">
        <v>1942</v>
      </c>
      <c r="P179" s="41">
        <f t="shared" si="2"/>
        <v>1942</v>
      </c>
    </row>
    <row r="180" spans="1:16" x14ac:dyDescent="0.3">
      <c r="A180" s="34" t="s">
        <v>92</v>
      </c>
      <c r="B180" s="35" t="s">
        <v>44</v>
      </c>
      <c r="C180" s="34" t="s">
        <v>15</v>
      </c>
      <c r="P180" s="37">
        <f t="shared" si="2"/>
        <v>0</v>
      </c>
    </row>
    <row r="181" spans="1:16" x14ac:dyDescent="0.3">
      <c r="A181" s="34" t="s">
        <v>92</v>
      </c>
      <c r="B181" s="35" t="s">
        <v>45</v>
      </c>
      <c r="C181" s="34" t="s">
        <v>15</v>
      </c>
      <c r="P181" s="41">
        <f t="shared" si="2"/>
        <v>0</v>
      </c>
    </row>
    <row r="182" spans="1:16" x14ac:dyDescent="0.3">
      <c r="A182" s="34" t="s">
        <v>92</v>
      </c>
      <c r="B182" s="35" t="s">
        <v>47</v>
      </c>
      <c r="C182" s="34" t="s">
        <v>15</v>
      </c>
      <c r="O182" s="41">
        <v>-4.5474735088646412E-13</v>
      </c>
      <c r="P182" s="41">
        <f t="shared" si="2"/>
        <v>-4.5474735088646412E-13</v>
      </c>
    </row>
    <row r="183" spans="1:16" x14ac:dyDescent="0.3">
      <c r="A183" s="34" t="s">
        <v>92</v>
      </c>
      <c r="B183" s="35" t="s">
        <v>28</v>
      </c>
      <c r="C183" s="34" t="s">
        <v>16</v>
      </c>
      <c r="P183" s="36">
        <f t="shared" si="2"/>
        <v>0</v>
      </c>
    </row>
    <row r="184" spans="1:16" x14ac:dyDescent="0.3">
      <c r="A184" s="34" t="s">
        <v>92</v>
      </c>
      <c r="B184" s="35" t="s">
        <v>30</v>
      </c>
      <c r="C184" s="34" t="s">
        <v>16</v>
      </c>
      <c r="P184" s="36">
        <f t="shared" si="2"/>
        <v>0</v>
      </c>
    </row>
    <row r="185" spans="1:16" x14ac:dyDescent="0.3">
      <c r="A185" s="34" t="s">
        <v>92</v>
      </c>
      <c r="B185" s="35" t="s">
        <v>31</v>
      </c>
      <c r="C185" s="34" t="s">
        <v>16</v>
      </c>
      <c r="P185" s="37">
        <f t="shared" si="2"/>
        <v>0</v>
      </c>
    </row>
    <row r="186" spans="1:16" x14ac:dyDescent="0.3">
      <c r="A186" s="34" t="s">
        <v>92</v>
      </c>
      <c r="B186" s="35" t="s">
        <v>33</v>
      </c>
      <c r="C186" s="34" t="s">
        <v>16</v>
      </c>
      <c r="P186" s="38">
        <f t="shared" si="2"/>
        <v>0</v>
      </c>
    </row>
    <row r="187" spans="1:16" x14ac:dyDescent="0.3">
      <c r="A187" s="34" t="s">
        <v>92</v>
      </c>
      <c r="B187" s="39" t="s">
        <v>35</v>
      </c>
      <c r="C187" s="34" t="s">
        <v>16</v>
      </c>
      <c r="O187" s="40">
        <v>1942</v>
      </c>
      <c r="P187" s="41">
        <f t="shared" si="2"/>
        <v>1942</v>
      </c>
    </row>
    <row r="188" spans="1:16" x14ac:dyDescent="0.3">
      <c r="A188" s="34" t="s">
        <v>92</v>
      </c>
      <c r="B188" s="39" t="s">
        <v>37</v>
      </c>
      <c r="C188" s="34" t="s">
        <v>16</v>
      </c>
      <c r="O188" s="40">
        <v>136.1</v>
      </c>
      <c r="P188" s="41">
        <f t="shared" si="2"/>
        <v>136.1</v>
      </c>
    </row>
    <row r="189" spans="1:16" x14ac:dyDescent="0.3">
      <c r="A189" s="34" t="s">
        <v>92</v>
      </c>
      <c r="B189" s="39" t="s">
        <v>38</v>
      </c>
      <c r="C189" s="34" t="s">
        <v>16</v>
      </c>
      <c r="O189" s="40">
        <v>7116.8</v>
      </c>
      <c r="P189" s="41">
        <f t="shared" si="2"/>
        <v>7116.8</v>
      </c>
    </row>
    <row r="190" spans="1:16" x14ac:dyDescent="0.3">
      <c r="A190" s="34" t="s">
        <v>92</v>
      </c>
      <c r="B190" s="39" t="s">
        <v>39</v>
      </c>
      <c r="C190" s="34" t="s">
        <v>16</v>
      </c>
      <c r="O190" s="40">
        <v>18.399999999999999</v>
      </c>
      <c r="P190" s="41">
        <f t="shared" si="2"/>
        <v>18.399999999999999</v>
      </c>
    </row>
    <row r="191" spans="1:16" x14ac:dyDescent="0.3">
      <c r="A191" s="34" t="s">
        <v>92</v>
      </c>
      <c r="B191" s="39" t="s">
        <v>40</v>
      </c>
      <c r="C191" s="34" t="s">
        <v>16</v>
      </c>
      <c r="O191" s="40">
        <v>160.69999999999999</v>
      </c>
      <c r="P191" s="41">
        <f t="shared" si="2"/>
        <v>160.69999999999999</v>
      </c>
    </row>
    <row r="192" spans="1:16" x14ac:dyDescent="0.3">
      <c r="A192" s="34" t="s">
        <v>92</v>
      </c>
      <c r="B192" s="39" t="s">
        <v>41</v>
      </c>
      <c r="C192" s="34" t="s">
        <v>16</v>
      </c>
      <c r="O192" s="40">
        <v>5335.4999999999991</v>
      </c>
      <c r="P192" s="41">
        <f t="shared" si="2"/>
        <v>5335.4999999999991</v>
      </c>
    </row>
    <row r="193" spans="1:16" x14ac:dyDescent="0.3">
      <c r="A193" s="34" t="s">
        <v>92</v>
      </c>
      <c r="B193" s="39" t="s">
        <v>42</v>
      </c>
      <c r="C193" s="34" t="s">
        <v>16</v>
      </c>
      <c r="O193" s="40">
        <v>2463</v>
      </c>
      <c r="P193" s="41">
        <f t="shared" si="2"/>
        <v>2463</v>
      </c>
    </row>
    <row r="194" spans="1:16" x14ac:dyDescent="0.3">
      <c r="A194" s="34" t="s">
        <v>92</v>
      </c>
      <c r="B194" s="39" t="s">
        <v>43</v>
      </c>
      <c r="C194" s="34" t="s">
        <v>16</v>
      </c>
      <c r="O194" s="40">
        <v>1217.3</v>
      </c>
      <c r="P194" s="41">
        <f t="shared" si="2"/>
        <v>1217.3</v>
      </c>
    </row>
    <row r="195" spans="1:16" x14ac:dyDescent="0.3">
      <c r="A195" s="34" t="s">
        <v>92</v>
      </c>
      <c r="B195" s="35" t="s">
        <v>44</v>
      </c>
      <c r="C195" s="34" t="s">
        <v>16</v>
      </c>
      <c r="P195" s="37">
        <f t="shared" ref="P195:P258" si="3">SUM(D195:O195)</f>
        <v>0</v>
      </c>
    </row>
    <row r="196" spans="1:16" x14ac:dyDescent="0.3">
      <c r="A196" s="34" t="s">
        <v>92</v>
      </c>
      <c r="B196" s="35" t="s">
        <v>45</v>
      </c>
      <c r="C196" s="34" t="s">
        <v>16</v>
      </c>
      <c r="P196" s="41">
        <f t="shared" si="3"/>
        <v>0</v>
      </c>
    </row>
    <row r="197" spans="1:16" x14ac:dyDescent="0.3">
      <c r="A197" s="34" t="s">
        <v>92</v>
      </c>
      <c r="B197" s="35" t="s">
        <v>47</v>
      </c>
      <c r="C197" s="34" t="s">
        <v>16</v>
      </c>
      <c r="O197" s="41">
        <v>2.2737367544323211E-13</v>
      </c>
      <c r="P197" s="41">
        <f t="shared" si="3"/>
        <v>2.2737367544323211E-13</v>
      </c>
    </row>
    <row r="198" spans="1:16" x14ac:dyDescent="0.3">
      <c r="A198" s="34" t="s">
        <v>92</v>
      </c>
      <c r="B198" s="35" t="s">
        <v>28</v>
      </c>
      <c r="C198" s="34" t="s">
        <v>17</v>
      </c>
      <c r="P198" s="36">
        <f t="shared" si="3"/>
        <v>0</v>
      </c>
    </row>
    <row r="199" spans="1:16" x14ac:dyDescent="0.3">
      <c r="A199" s="34" t="s">
        <v>92</v>
      </c>
      <c r="B199" s="35" t="s">
        <v>30</v>
      </c>
      <c r="C199" s="34" t="s">
        <v>17</v>
      </c>
      <c r="P199" s="36">
        <f t="shared" si="3"/>
        <v>0</v>
      </c>
    </row>
    <row r="200" spans="1:16" x14ac:dyDescent="0.3">
      <c r="A200" s="34" t="s">
        <v>92</v>
      </c>
      <c r="B200" s="35" t="s">
        <v>31</v>
      </c>
      <c r="C200" s="34" t="s">
        <v>17</v>
      </c>
      <c r="P200" s="37">
        <f t="shared" si="3"/>
        <v>0</v>
      </c>
    </row>
    <row r="201" spans="1:16" x14ac:dyDescent="0.3">
      <c r="A201" s="34" t="s">
        <v>92</v>
      </c>
      <c r="B201" s="35" t="s">
        <v>33</v>
      </c>
      <c r="C201" s="34" t="s">
        <v>17</v>
      </c>
      <c r="P201" s="38">
        <f t="shared" si="3"/>
        <v>0</v>
      </c>
    </row>
    <row r="202" spans="1:16" x14ac:dyDescent="0.3">
      <c r="A202" s="34" t="s">
        <v>92</v>
      </c>
      <c r="B202" s="39" t="s">
        <v>35</v>
      </c>
      <c r="C202" s="34" t="s">
        <v>17</v>
      </c>
      <c r="O202" s="40">
        <v>1217.3</v>
      </c>
      <c r="P202" s="41">
        <f t="shared" si="3"/>
        <v>1217.3</v>
      </c>
    </row>
    <row r="203" spans="1:16" x14ac:dyDescent="0.3">
      <c r="A203" s="34" t="s">
        <v>92</v>
      </c>
      <c r="B203" s="39" t="s">
        <v>37</v>
      </c>
      <c r="C203" s="34" t="s">
        <v>17</v>
      </c>
      <c r="O203" s="40">
        <v>160.9</v>
      </c>
      <c r="P203" s="41">
        <f t="shared" si="3"/>
        <v>160.9</v>
      </c>
    </row>
    <row r="204" spans="1:16" x14ac:dyDescent="0.3">
      <c r="A204" s="34" t="s">
        <v>92</v>
      </c>
      <c r="B204" s="39" t="s">
        <v>38</v>
      </c>
      <c r="C204" s="34" t="s">
        <v>17</v>
      </c>
      <c r="O204" s="40">
        <v>8256.6</v>
      </c>
      <c r="P204" s="41">
        <f t="shared" si="3"/>
        <v>8256.6</v>
      </c>
    </row>
    <row r="205" spans="1:16" x14ac:dyDescent="0.3">
      <c r="A205" s="34" t="s">
        <v>92</v>
      </c>
      <c r="B205" s="39" t="s">
        <v>39</v>
      </c>
      <c r="C205" s="34" t="s">
        <v>17</v>
      </c>
      <c r="O205" s="40">
        <v>10.199999999999999</v>
      </c>
      <c r="P205" s="41">
        <f t="shared" si="3"/>
        <v>10.199999999999999</v>
      </c>
    </row>
    <row r="206" spans="1:16" x14ac:dyDescent="0.3">
      <c r="A206" s="34" t="s">
        <v>92</v>
      </c>
      <c r="B206" s="39" t="s">
        <v>40</v>
      </c>
      <c r="C206" s="34" t="s">
        <v>17</v>
      </c>
      <c r="O206" s="40">
        <v>126.1</v>
      </c>
      <c r="P206" s="41">
        <f t="shared" si="3"/>
        <v>126.1</v>
      </c>
    </row>
    <row r="207" spans="1:16" x14ac:dyDescent="0.3">
      <c r="A207" s="34" t="s">
        <v>92</v>
      </c>
      <c r="B207" s="39" t="s">
        <v>41</v>
      </c>
      <c r="C207" s="34" t="s">
        <v>17</v>
      </c>
      <c r="O207" s="40">
        <v>6063.4999999999991</v>
      </c>
      <c r="P207" s="41">
        <f t="shared" si="3"/>
        <v>6063.4999999999991</v>
      </c>
    </row>
    <row r="208" spans="1:16" x14ac:dyDescent="0.3">
      <c r="A208" s="34" t="s">
        <v>92</v>
      </c>
      <c r="B208" s="39" t="s">
        <v>42</v>
      </c>
      <c r="C208" s="34" t="s">
        <v>17</v>
      </c>
      <c r="O208" s="40">
        <v>1992.3</v>
      </c>
      <c r="P208" s="41">
        <f t="shared" si="3"/>
        <v>1992.3</v>
      </c>
    </row>
    <row r="209" spans="1:16" x14ac:dyDescent="0.3">
      <c r="A209" s="34" t="s">
        <v>92</v>
      </c>
      <c r="B209" s="39" t="s">
        <v>43</v>
      </c>
      <c r="C209" s="34" t="s">
        <v>17</v>
      </c>
      <c r="O209" s="40">
        <v>1442.7</v>
      </c>
      <c r="P209" s="41">
        <f t="shared" si="3"/>
        <v>1442.7</v>
      </c>
    </row>
    <row r="210" spans="1:16" x14ac:dyDescent="0.3">
      <c r="A210" s="34" t="s">
        <v>92</v>
      </c>
      <c r="B210" s="35" t="s">
        <v>44</v>
      </c>
      <c r="C210" s="34" t="s">
        <v>17</v>
      </c>
      <c r="P210" s="37">
        <f t="shared" si="3"/>
        <v>0</v>
      </c>
    </row>
    <row r="211" spans="1:16" x14ac:dyDescent="0.3">
      <c r="A211" s="34" t="s">
        <v>92</v>
      </c>
      <c r="B211" s="35" t="s">
        <v>45</v>
      </c>
      <c r="C211" s="34" t="s">
        <v>17</v>
      </c>
      <c r="P211" s="41">
        <f t="shared" si="3"/>
        <v>0</v>
      </c>
    </row>
    <row r="212" spans="1:16" x14ac:dyDescent="0.3">
      <c r="A212" s="34" t="s">
        <v>92</v>
      </c>
      <c r="B212" s="35" t="s">
        <v>47</v>
      </c>
      <c r="C212" s="34" t="s">
        <v>17</v>
      </c>
      <c r="O212" s="41">
        <v>-9.0949470177292824E-13</v>
      </c>
      <c r="P212" s="41">
        <f t="shared" si="3"/>
        <v>-9.0949470177292824E-13</v>
      </c>
    </row>
    <row r="213" spans="1:16" x14ac:dyDescent="0.3">
      <c r="A213" s="34" t="s">
        <v>92</v>
      </c>
      <c r="B213" s="35" t="s">
        <v>28</v>
      </c>
      <c r="C213" s="34" t="s">
        <v>18</v>
      </c>
      <c r="P213" s="36">
        <f t="shared" si="3"/>
        <v>0</v>
      </c>
    </row>
    <row r="214" spans="1:16" x14ac:dyDescent="0.3">
      <c r="A214" s="34" t="s">
        <v>92</v>
      </c>
      <c r="B214" s="35" t="s">
        <v>30</v>
      </c>
      <c r="C214" s="34" t="s">
        <v>18</v>
      </c>
      <c r="P214" s="36">
        <f t="shared" si="3"/>
        <v>0</v>
      </c>
    </row>
    <row r="215" spans="1:16" x14ac:dyDescent="0.3">
      <c r="A215" s="34" t="s">
        <v>92</v>
      </c>
      <c r="B215" s="35" t="s">
        <v>31</v>
      </c>
      <c r="C215" s="34" t="s">
        <v>18</v>
      </c>
      <c r="P215" s="37">
        <f t="shared" si="3"/>
        <v>0</v>
      </c>
    </row>
    <row r="216" spans="1:16" x14ac:dyDescent="0.3">
      <c r="A216" s="34" t="s">
        <v>92</v>
      </c>
      <c r="B216" s="35" t="s">
        <v>33</v>
      </c>
      <c r="C216" s="34" t="s">
        <v>18</v>
      </c>
      <c r="P216" s="38">
        <f t="shared" si="3"/>
        <v>0</v>
      </c>
    </row>
    <row r="217" spans="1:16" x14ac:dyDescent="0.3">
      <c r="A217" s="34" t="s">
        <v>92</v>
      </c>
      <c r="B217" s="39" t="s">
        <v>35</v>
      </c>
      <c r="C217" s="34" t="s">
        <v>18</v>
      </c>
      <c r="O217" s="40">
        <v>1442.7</v>
      </c>
      <c r="P217" s="41">
        <f t="shared" si="3"/>
        <v>1442.7</v>
      </c>
    </row>
    <row r="218" spans="1:16" x14ac:dyDescent="0.3">
      <c r="A218" s="34" t="s">
        <v>92</v>
      </c>
      <c r="B218" s="39" t="s">
        <v>37</v>
      </c>
      <c r="C218" s="34" t="s">
        <v>18</v>
      </c>
      <c r="O218" s="40">
        <v>63.6</v>
      </c>
      <c r="P218" s="41">
        <f t="shared" si="3"/>
        <v>63.6</v>
      </c>
    </row>
    <row r="219" spans="1:16" x14ac:dyDescent="0.3">
      <c r="A219" s="34" t="s">
        <v>92</v>
      </c>
      <c r="B219" s="39" t="s">
        <v>38</v>
      </c>
      <c r="C219" s="34" t="s">
        <v>18</v>
      </c>
      <c r="O219" s="40">
        <v>8839.4</v>
      </c>
      <c r="P219" s="41">
        <f t="shared" si="3"/>
        <v>8839.4</v>
      </c>
    </row>
    <row r="220" spans="1:16" x14ac:dyDescent="0.3">
      <c r="A220" s="34" t="s">
        <v>92</v>
      </c>
      <c r="B220" s="39" t="s">
        <v>39</v>
      </c>
      <c r="C220" s="34" t="s">
        <v>18</v>
      </c>
      <c r="O220" s="40">
        <v>17.5</v>
      </c>
      <c r="P220" s="41">
        <f t="shared" si="3"/>
        <v>17.5</v>
      </c>
    </row>
    <row r="221" spans="1:16" x14ac:dyDescent="0.3">
      <c r="A221" s="34" t="s">
        <v>92</v>
      </c>
      <c r="B221" s="39" t="s">
        <v>40</v>
      </c>
      <c r="C221" s="34" t="s">
        <v>18</v>
      </c>
      <c r="O221" s="40">
        <v>74.2</v>
      </c>
      <c r="P221" s="41">
        <f t="shared" si="3"/>
        <v>74.2</v>
      </c>
    </row>
    <row r="222" spans="1:16" x14ac:dyDescent="0.3">
      <c r="A222" s="34" t="s">
        <v>92</v>
      </c>
      <c r="B222" s="39" t="s">
        <v>41</v>
      </c>
      <c r="C222" s="34" t="s">
        <v>18</v>
      </c>
      <c r="O222" s="40">
        <v>5809.5000000000009</v>
      </c>
      <c r="P222" s="41">
        <f t="shared" si="3"/>
        <v>5809.5000000000009</v>
      </c>
    </row>
    <row r="223" spans="1:16" x14ac:dyDescent="0.3">
      <c r="A223" s="34" t="s">
        <v>92</v>
      </c>
      <c r="B223" s="39" t="s">
        <v>42</v>
      </c>
      <c r="C223" s="34" t="s">
        <v>18</v>
      </c>
      <c r="O223" s="40">
        <v>2322.6999999999998</v>
      </c>
      <c r="P223" s="41">
        <f t="shared" si="3"/>
        <v>2322.6999999999998</v>
      </c>
    </row>
    <row r="224" spans="1:16" x14ac:dyDescent="0.3">
      <c r="A224" s="34" t="s">
        <v>92</v>
      </c>
      <c r="B224" s="39" t="s">
        <v>43</v>
      </c>
      <c r="C224" s="34" t="s">
        <v>18</v>
      </c>
      <c r="O224" s="40">
        <v>2121.8000000000002</v>
      </c>
      <c r="P224" s="41">
        <f t="shared" si="3"/>
        <v>2121.8000000000002</v>
      </c>
    </row>
    <row r="225" spans="1:16" x14ac:dyDescent="0.3">
      <c r="A225" s="34" t="s">
        <v>92</v>
      </c>
      <c r="B225" s="35" t="s">
        <v>44</v>
      </c>
      <c r="C225" s="34" t="s">
        <v>18</v>
      </c>
      <c r="P225" s="37">
        <f t="shared" si="3"/>
        <v>0</v>
      </c>
    </row>
    <row r="226" spans="1:16" x14ac:dyDescent="0.3">
      <c r="A226" s="34" t="s">
        <v>92</v>
      </c>
      <c r="B226" s="35" t="s">
        <v>45</v>
      </c>
      <c r="C226" s="34" t="s">
        <v>18</v>
      </c>
      <c r="P226" s="41">
        <f t="shared" si="3"/>
        <v>0</v>
      </c>
    </row>
    <row r="227" spans="1:16" x14ac:dyDescent="0.3">
      <c r="A227" s="34" t="s">
        <v>92</v>
      </c>
      <c r="B227" s="35" t="s">
        <v>47</v>
      </c>
      <c r="C227" s="34" t="s">
        <v>18</v>
      </c>
      <c r="O227" s="41">
        <v>-9.0949470177292824E-13</v>
      </c>
      <c r="P227" s="41">
        <f t="shared" si="3"/>
        <v>-9.0949470177292824E-13</v>
      </c>
    </row>
    <row r="228" spans="1:16" x14ac:dyDescent="0.3">
      <c r="A228" s="34" t="s">
        <v>92</v>
      </c>
      <c r="B228" s="35" t="s">
        <v>28</v>
      </c>
      <c r="C228" s="34" t="s">
        <v>19</v>
      </c>
      <c r="P228" s="36">
        <f t="shared" si="3"/>
        <v>0</v>
      </c>
    </row>
    <row r="229" spans="1:16" x14ac:dyDescent="0.3">
      <c r="A229" s="34" t="s">
        <v>92</v>
      </c>
      <c r="B229" s="35" t="s">
        <v>30</v>
      </c>
      <c r="C229" s="34" t="s">
        <v>19</v>
      </c>
      <c r="P229" s="36">
        <f t="shared" si="3"/>
        <v>0</v>
      </c>
    </row>
    <row r="230" spans="1:16" x14ac:dyDescent="0.3">
      <c r="A230" s="34" t="s">
        <v>92</v>
      </c>
      <c r="B230" s="35" t="s">
        <v>31</v>
      </c>
      <c r="C230" s="34" t="s">
        <v>19</v>
      </c>
      <c r="P230" s="37">
        <f t="shared" si="3"/>
        <v>0</v>
      </c>
    </row>
    <row r="231" spans="1:16" x14ac:dyDescent="0.3">
      <c r="A231" s="34" t="s">
        <v>92</v>
      </c>
      <c r="B231" s="35" t="s">
        <v>33</v>
      </c>
      <c r="C231" s="34" t="s">
        <v>19</v>
      </c>
      <c r="P231" s="38">
        <f t="shared" si="3"/>
        <v>0</v>
      </c>
    </row>
    <row r="232" spans="1:16" x14ac:dyDescent="0.3">
      <c r="A232" s="34" t="s">
        <v>92</v>
      </c>
      <c r="B232" s="39" t="s">
        <v>35</v>
      </c>
      <c r="C232" s="34" t="s">
        <v>19</v>
      </c>
      <c r="O232" s="40">
        <v>2121.8000000000002</v>
      </c>
      <c r="P232" s="41">
        <f t="shared" si="3"/>
        <v>2121.8000000000002</v>
      </c>
    </row>
    <row r="233" spans="1:16" x14ac:dyDescent="0.3">
      <c r="A233" s="34" t="s">
        <v>92</v>
      </c>
      <c r="B233" s="39" t="s">
        <v>37</v>
      </c>
      <c r="C233" s="34" t="s">
        <v>19</v>
      </c>
      <c r="O233" s="40">
        <v>58.7</v>
      </c>
      <c r="P233" s="41">
        <f t="shared" si="3"/>
        <v>58.7</v>
      </c>
    </row>
    <row r="234" spans="1:16" x14ac:dyDescent="0.3">
      <c r="A234" s="34" t="s">
        <v>92</v>
      </c>
      <c r="B234" s="39" t="s">
        <v>38</v>
      </c>
      <c r="C234" s="34" t="s">
        <v>19</v>
      </c>
      <c r="O234" s="40">
        <v>7891.3</v>
      </c>
      <c r="P234" s="41">
        <f t="shared" si="3"/>
        <v>7891.3</v>
      </c>
    </row>
    <row r="235" spans="1:16" x14ac:dyDescent="0.3">
      <c r="A235" s="34" t="s">
        <v>92</v>
      </c>
      <c r="B235" s="39" t="s">
        <v>39</v>
      </c>
      <c r="C235" s="34" t="s">
        <v>19</v>
      </c>
      <c r="O235" s="40">
        <v>21.1</v>
      </c>
      <c r="P235" s="41">
        <f t="shared" si="3"/>
        <v>21.1</v>
      </c>
    </row>
    <row r="236" spans="1:16" x14ac:dyDescent="0.3">
      <c r="A236" s="34" t="s">
        <v>92</v>
      </c>
      <c r="B236" s="39" t="s">
        <v>40</v>
      </c>
      <c r="C236" s="34" t="s">
        <v>19</v>
      </c>
      <c r="O236" s="40">
        <v>40.5</v>
      </c>
      <c r="P236" s="41">
        <f t="shared" si="3"/>
        <v>40.5</v>
      </c>
    </row>
    <row r="237" spans="1:16" x14ac:dyDescent="0.3">
      <c r="A237" s="34" t="s">
        <v>92</v>
      </c>
      <c r="B237" s="39" t="s">
        <v>41</v>
      </c>
      <c r="C237" s="34" t="s">
        <v>19</v>
      </c>
      <c r="O237" s="40">
        <v>5943.1000000000022</v>
      </c>
      <c r="P237" s="41">
        <f t="shared" si="3"/>
        <v>5943.1000000000022</v>
      </c>
    </row>
    <row r="238" spans="1:16" x14ac:dyDescent="0.3">
      <c r="A238" s="34" t="s">
        <v>92</v>
      </c>
      <c r="B238" s="39" t="s">
        <v>42</v>
      </c>
      <c r="C238" s="34" t="s">
        <v>19</v>
      </c>
      <c r="O238" s="40">
        <v>2822.7</v>
      </c>
      <c r="P238" s="41">
        <f t="shared" si="3"/>
        <v>2822.7</v>
      </c>
    </row>
    <row r="239" spans="1:16" x14ac:dyDescent="0.3">
      <c r="A239" s="34" t="s">
        <v>92</v>
      </c>
      <c r="B239" s="39" t="s">
        <v>43</v>
      </c>
      <c r="C239" s="34" t="s">
        <v>19</v>
      </c>
      <c r="O239" s="40">
        <v>1244.4000000000001</v>
      </c>
      <c r="P239" s="41">
        <f t="shared" si="3"/>
        <v>1244.4000000000001</v>
      </c>
    </row>
    <row r="240" spans="1:16" x14ac:dyDescent="0.3">
      <c r="A240" s="34" t="s">
        <v>92</v>
      </c>
      <c r="B240" s="35" t="s">
        <v>44</v>
      </c>
      <c r="C240" s="34" t="s">
        <v>19</v>
      </c>
      <c r="P240" s="37">
        <f t="shared" si="3"/>
        <v>0</v>
      </c>
    </row>
    <row r="241" spans="1:16" x14ac:dyDescent="0.3">
      <c r="A241" s="34" t="s">
        <v>92</v>
      </c>
      <c r="B241" s="35" t="s">
        <v>45</v>
      </c>
      <c r="C241" s="34" t="s">
        <v>19</v>
      </c>
      <c r="P241" s="41">
        <f t="shared" si="3"/>
        <v>0</v>
      </c>
    </row>
    <row r="242" spans="1:16" x14ac:dyDescent="0.3">
      <c r="A242" s="34" t="s">
        <v>92</v>
      </c>
      <c r="B242" s="35" t="s">
        <v>47</v>
      </c>
      <c r="C242" s="34" t="s">
        <v>19</v>
      </c>
      <c r="O242" s="41">
        <v>-1.364242052659392E-12</v>
      </c>
      <c r="P242" s="41">
        <f t="shared" si="3"/>
        <v>-1.364242052659392E-12</v>
      </c>
    </row>
    <row r="243" spans="1:16" x14ac:dyDescent="0.3">
      <c r="A243" s="34" t="s">
        <v>92</v>
      </c>
      <c r="B243" s="35" t="s">
        <v>28</v>
      </c>
      <c r="C243" s="34" t="s">
        <v>20</v>
      </c>
      <c r="P243" s="36">
        <f t="shared" si="3"/>
        <v>0</v>
      </c>
    </row>
    <row r="244" spans="1:16" x14ac:dyDescent="0.3">
      <c r="A244" s="34" t="s">
        <v>92</v>
      </c>
      <c r="B244" s="35" t="s">
        <v>30</v>
      </c>
      <c r="C244" s="34" t="s">
        <v>20</v>
      </c>
      <c r="P244" s="36">
        <f t="shared" si="3"/>
        <v>0</v>
      </c>
    </row>
    <row r="245" spans="1:16" x14ac:dyDescent="0.3">
      <c r="A245" s="34" t="s">
        <v>92</v>
      </c>
      <c r="B245" s="35" t="s">
        <v>31</v>
      </c>
      <c r="C245" s="34" t="s">
        <v>20</v>
      </c>
      <c r="P245" s="37">
        <f t="shared" si="3"/>
        <v>0</v>
      </c>
    </row>
    <row r="246" spans="1:16" x14ac:dyDescent="0.3">
      <c r="A246" s="34" t="s">
        <v>92</v>
      </c>
      <c r="B246" s="35" t="s">
        <v>33</v>
      </c>
      <c r="C246" s="34" t="s">
        <v>20</v>
      </c>
      <c r="P246" s="38">
        <f t="shared" si="3"/>
        <v>0</v>
      </c>
    </row>
    <row r="247" spans="1:16" x14ac:dyDescent="0.3">
      <c r="A247" s="34" t="s">
        <v>92</v>
      </c>
      <c r="B247" s="39" t="s">
        <v>35</v>
      </c>
      <c r="C247" s="34" t="s">
        <v>20</v>
      </c>
      <c r="O247" s="40">
        <v>1244.4000000000001</v>
      </c>
      <c r="P247" s="41">
        <f t="shared" si="3"/>
        <v>1244.4000000000001</v>
      </c>
    </row>
    <row r="248" spans="1:16" x14ac:dyDescent="0.3">
      <c r="A248" s="34" t="s">
        <v>92</v>
      </c>
      <c r="B248" s="39" t="s">
        <v>37</v>
      </c>
      <c r="C248" s="34" t="s">
        <v>20</v>
      </c>
      <c r="O248" s="40">
        <v>42.8</v>
      </c>
      <c r="P248" s="41">
        <f t="shared" si="3"/>
        <v>42.8</v>
      </c>
    </row>
    <row r="249" spans="1:16" x14ac:dyDescent="0.3">
      <c r="A249" s="34" t="s">
        <v>92</v>
      </c>
      <c r="B249" s="39" t="s">
        <v>38</v>
      </c>
      <c r="C249" s="34" t="s">
        <v>20</v>
      </c>
      <c r="O249" s="40">
        <v>8379.7000000000007</v>
      </c>
      <c r="P249" s="41">
        <f t="shared" si="3"/>
        <v>8379.7000000000007</v>
      </c>
    </row>
    <row r="250" spans="1:16" x14ac:dyDescent="0.3">
      <c r="A250" s="34" t="s">
        <v>92</v>
      </c>
      <c r="B250" s="39" t="s">
        <v>39</v>
      </c>
      <c r="C250" s="34" t="s">
        <v>20</v>
      </c>
      <c r="O250" s="40">
        <v>16.3</v>
      </c>
      <c r="P250" s="41">
        <f t="shared" si="3"/>
        <v>16.3</v>
      </c>
    </row>
    <row r="251" spans="1:16" x14ac:dyDescent="0.3">
      <c r="A251" s="34" t="s">
        <v>92</v>
      </c>
      <c r="B251" s="39" t="s">
        <v>40</v>
      </c>
      <c r="C251" s="34" t="s">
        <v>20</v>
      </c>
      <c r="O251" s="40">
        <v>300.89999999999998</v>
      </c>
      <c r="P251" s="41">
        <f t="shared" si="3"/>
        <v>300.89999999999998</v>
      </c>
    </row>
    <row r="252" spans="1:16" x14ac:dyDescent="0.3">
      <c r="A252" s="34" t="s">
        <v>92</v>
      </c>
      <c r="B252" s="39" t="s">
        <v>41</v>
      </c>
      <c r="C252" s="34" t="s">
        <v>20</v>
      </c>
      <c r="O252" s="40">
        <v>5429.0999999999995</v>
      </c>
      <c r="P252" s="41">
        <f t="shared" si="3"/>
        <v>5429.0999999999995</v>
      </c>
    </row>
    <row r="253" spans="1:16" x14ac:dyDescent="0.3">
      <c r="A253" s="34" t="s">
        <v>92</v>
      </c>
      <c r="B253" s="39" t="s">
        <v>42</v>
      </c>
      <c r="C253" s="34" t="s">
        <v>20</v>
      </c>
      <c r="O253" s="40">
        <v>3058</v>
      </c>
      <c r="P253" s="41">
        <f t="shared" si="3"/>
        <v>3058</v>
      </c>
    </row>
    <row r="254" spans="1:16" x14ac:dyDescent="0.3">
      <c r="A254" s="34" t="s">
        <v>92</v>
      </c>
      <c r="B254" s="39" t="s">
        <v>43</v>
      </c>
      <c r="C254" s="34" t="s">
        <v>20</v>
      </c>
      <c r="O254" s="40">
        <v>862.6</v>
      </c>
      <c r="P254" s="41">
        <f t="shared" si="3"/>
        <v>862.6</v>
      </c>
    </row>
    <row r="255" spans="1:16" x14ac:dyDescent="0.3">
      <c r="A255" s="34" t="s">
        <v>92</v>
      </c>
      <c r="B255" s="35" t="s">
        <v>44</v>
      </c>
      <c r="C255" s="34" t="s">
        <v>20</v>
      </c>
      <c r="P255" s="37">
        <f t="shared" si="3"/>
        <v>0</v>
      </c>
    </row>
    <row r="256" spans="1:16" x14ac:dyDescent="0.3">
      <c r="A256" s="34" t="s">
        <v>92</v>
      </c>
      <c r="B256" s="35" t="s">
        <v>45</v>
      </c>
      <c r="C256" s="34" t="s">
        <v>20</v>
      </c>
      <c r="P256" s="41">
        <f t="shared" si="3"/>
        <v>0</v>
      </c>
    </row>
    <row r="257" spans="1:16" x14ac:dyDescent="0.3">
      <c r="A257" s="34" t="s">
        <v>92</v>
      </c>
      <c r="B257" s="35" t="s">
        <v>47</v>
      </c>
      <c r="C257" s="34" t="s">
        <v>20</v>
      </c>
      <c r="O257" s="41">
        <v>1.2505552149377769E-12</v>
      </c>
      <c r="P257" s="41">
        <f t="shared" si="3"/>
        <v>1.2505552149377769E-12</v>
      </c>
    </row>
    <row r="258" spans="1:16" x14ac:dyDescent="0.3">
      <c r="A258" s="34" t="s">
        <v>92</v>
      </c>
      <c r="B258" s="35" t="s">
        <v>28</v>
      </c>
      <c r="C258" s="34" t="s">
        <v>21</v>
      </c>
      <c r="P258" s="36">
        <f t="shared" si="3"/>
        <v>0</v>
      </c>
    </row>
    <row r="259" spans="1:16" x14ac:dyDescent="0.3">
      <c r="A259" s="34" t="s">
        <v>92</v>
      </c>
      <c r="B259" s="35" t="s">
        <v>30</v>
      </c>
      <c r="C259" s="34" t="s">
        <v>21</v>
      </c>
      <c r="P259" s="36">
        <f t="shared" ref="P259:P322" si="4">SUM(D259:O259)</f>
        <v>0</v>
      </c>
    </row>
    <row r="260" spans="1:16" x14ac:dyDescent="0.3">
      <c r="A260" s="34" t="s">
        <v>92</v>
      </c>
      <c r="B260" s="35" t="s">
        <v>31</v>
      </c>
      <c r="C260" s="34" t="s">
        <v>21</v>
      </c>
      <c r="P260" s="37">
        <f t="shared" si="4"/>
        <v>0</v>
      </c>
    </row>
    <row r="261" spans="1:16" x14ac:dyDescent="0.3">
      <c r="A261" s="34" t="s">
        <v>92</v>
      </c>
      <c r="B261" s="35" t="s">
        <v>33</v>
      </c>
      <c r="C261" s="34" t="s">
        <v>21</v>
      </c>
      <c r="P261" s="38">
        <f t="shared" si="4"/>
        <v>0</v>
      </c>
    </row>
    <row r="262" spans="1:16" x14ac:dyDescent="0.3">
      <c r="A262" s="34" t="s">
        <v>92</v>
      </c>
      <c r="B262" s="39" t="s">
        <v>35</v>
      </c>
      <c r="C262" s="34" t="s">
        <v>21</v>
      </c>
      <c r="O262" s="40">
        <v>862.6</v>
      </c>
      <c r="P262" s="41">
        <f t="shared" si="4"/>
        <v>862.6</v>
      </c>
    </row>
    <row r="263" spans="1:16" x14ac:dyDescent="0.3">
      <c r="A263" s="34" t="s">
        <v>92</v>
      </c>
      <c r="B263" s="39" t="s">
        <v>37</v>
      </c>
      <c r="C263" s="34" t="s">
        <v>21</v>
      </c>
      <c r="O263" s="40">
        <v>63.1</v>
      </c>
      <c r="P263" s="41">
        <f t="shared" si="4"/>
        <v>63.1</v>
      </c>
    </row>
    <row r="264" spans="1:16" x14ac:dyDescent="0.3">
      <c r="A264" s="34" t="s">
        <v>92</v>
      </c>
      <c r="B264" s="39" t="s">
        <v>38</v>
      </c>
      <c r="C264" s="34" t="s">
        <v>21</v>
      </c>
      <c r="O264" s="40">
        <v>10382.6</v>
      </c>
      <c r="P264" s="41">
        <f t="shared" si="4"/>
        <v>10382.6</v>
      </c>
    </row>
    <row r="265" spans="1:16" x14ac:dyDescent="0.3">
      <c r="A265" s="34" t="s">
        <v>92</v>
      </c>
      <c r="B265" s="39" t="s">
        <v>39</v>
      </c>
      <c r="C265" s="34" t="s">
        <v>21</v>
      </c>
      <c r="O265" s="40">
        <v>18.3</v>
      </c>
      <c r="P265" s="41">
        <f t="shared" si="4"/>
        <v>18.3</v>
      </c>
    </row>
    <row r="266" spans="1:16" x14ac:dyDescent="0.3">
      <c r="A266" s="34" t="s">
        <v>92</v>
      </c>
      <c r="B266" s="39" t="s">
        <v>40</v>
      </c>
      <c r="C266" s="34" t="s">
        <v>21</v>
      </c>
      <c r="O266" s="40">
        <v>259.7</v>
      </c>
      <c r="P266" s="41">
        <f t="shared" si="4"/>
        <v>259.7</v>
      </c>
    </row>
    <row r="267" spans="1:16" x14ac:dyDescent="0.3">
      <c r="A267" s="34" t="s">
        <v>92</v>
      </c>
      <c r="B267" s="39" t="s">
        <v>41</v>
      </c>
      <c r="C267" s="34" t="s">
        <v>21</v>
      </c>
      <c r="O267" s="40">
        <v>7122.1000000000013</v>
      </c>
      <c r="P267" s="41">
        <f t="shared" si="4"/>
        <v>7122.1000000000013</v>
      </c>
    </row>
    <row r="268" spans="1:16" x14ac:dyDescent="0.3">
      <c r="A268" s="34" t="s">
        <v>92</v>
      </c>
      <c r="B268" s="39" t="s">
        <v>42</v>
      </c>
      <c r="C268" s="34" t="s">
        <v>21</v>
      </c>
      <c r="O268" s="40">
        <v>2951.7</v>
      </c>
      <c r="P268" s="41">
        <f t="shared" si="4"/>
        <v>2951.7</v>
      </c>
    </row>
    <row r="269" spans="1:16" x14ac:dyDescent="0.3">
      <c r="A269" s="34" t="s">
        <v>92</v>
      </c>
      <c r="B269" s="39" t="s">
        <v>43</v>
      </c>
      <c r="C269" s="34" t="s">
        <v>21</v>
      </c>
      <c r="O269" s="40">
        <v>956.5</v>
      </c>
      <c r="P269" s="41">
        <f t="shared" si="4"/>
        <v>956.5</v>
      </c>
    </row>
    <row r="270" spans="1:16" x14ac:dyDescent="0.3">
      <c r="A270" s="34" t="s">
        <v>92</v>
      </c>
      <c r="B270" s="35" t="s">
        <v>44</v>
      </c>
      <c r="C270" s="34" t="s">
        <v>21</v>
      </c>
      <c r="P270" s="37">
        <f t="shared" si="4"/>
        <v>0</v>
      </c>
    </row>
    <row r="271" spans="1:16" x14ac:dyDescent="0.3">
      <c r="A271" s="34" t="s">
        <v>92</v>
      </c>
      <c r="B271" s="35" t="s">
        <v>45</v>
      </c>
      <c r="C271" s="34" t="s">
        <v>21</v>
      </c>
      <c r="P271" s="41">
        <f t="shared" si="4"/>
        <v>0</v>
      </c>
    </row>
    <row r="272" spans="1:16" x14ac:dyDescent="0.3">
      <c r="A272" s="34" t="s">
        <v>92</v>
      </c>
      <c r="B272" s="35" t="s">
        <v>47</v>
      </c>
      <c r="C272" s="34" t="s">
        <v>21</v>
      </c>
      <c r="O272" s="41">
        <v>0</v>
      </c>
      <c r="P272" s="41">
        <f t="shared" si="4"/>
        <v>0</v>
      </c>
    </row>
    <row r="273" spans="1:16" x14ac:dyDescent="0.3">
      <c r="A273" s="34" t="s">
        <v>92</v>
      </c>
      <c r="B273" s="35" t="s">
        <v>28</v>
      </c>
      <c r="C273" s="34" t="s">
        <v>22</v>
      </c>
      <c r="P273" s="36">
        <f t="shared" si="4"/>
        <v>0</v>
      </c>
    </row>
    <row r="274" spans="1:16" x14ac:dyDescent="0.3">
      <c r="A274" s="34" t="s">
        <v>92</v>
      </c>
      <c r="B274" s="35" t="s">
        <v>30</v>
      </c>
      <c r="C274" s="34" t="s">
        <v>22</v>
      </c>
      <c r="P274" s="36">
        <f t="shared" si="4"/>
        <v>0</v>
      </c>
    </row>
    <row r="275" spans="1:16" x14ac:dyDescent="0.3">
      <c r="A275" s="34" t="s">
        <v>92</v>
      </c>
      <c r="B275" s="35" t="s">
        <v>31</v>
      </c>
      <c r="C275" s="34" t="s">
        <v>22</v>
      </c>
      <c r="P275" s="37">
        <f t="shared" si="4"/>
        <v>0</v>
      </c>
    </row>
    <row r="276" spans="1:16" x14ac:dyDescent="0.3">
      <c r="A276" s="34" t="s">
        <v>92</v>
      </c>
      <c r="B276" s="35" t="s">
        <v>33</v>
      </c>
      <c r="C276" s="34" t="s">
        <v>22</v>
      </c>
      <c r="P276" s="38">
        <f t="shared" si="4"/>
        <v>0</v>
      </c>
    </row>
    <row r="277" spans="1:16" x14ac:dyDescent="0.3">
      <c r="A277" s="34" t="s">
        <v>92</v>
      </c>
      <c r="B277" s="39" t="s">
        <v>35</v>
      </c>
      <c r="C277" s="34" t="s">
        <v>22</v>
      </c>
      <c r="O277" s="40">
        <v>956.5</v>
      </c>
      <c r="P277" s="41">
        <f t="shared" si="4"/>
        <v>956.5</v>
      </c>
    </row>
    <row r="278" spans="1:16" x14ac:dyDescent="0.3">
      <c r="A278" s="34" t="s">
        <v>92</v>
      </c>
      <c r="B278" s="39" t="s">
        <v>37</v>
      </c>
      <c r="C278" s="34" t="s">
        <v>22</v>
      </c>
      <c r="O278" s="40">
        <v>293.89999999999998</v>
      </c>
      <c r="P278" s="41">
        <f t="shared" si="4"/>
        <v>293.89999999999998</v>
      </c>
    </row>
    <row r="279" spans="1:16" x14ac:dyDescent="0.3">
      <c r="A279" s="34" t="s">
        <v>92</v>
      </c>
      <c r="B279" s="39" t="s">
        <v>38</v>
      </c>
      <c r="C279" s="34" t="s">
        <v>22</v>
      </c>
      <c r="O279" s="40">
        <v>10740.6</v>
      </c>
      <c r="P279" s="41">
        <f t="shared" si="4"/>
        <v>10740.6</v>
      </c>
    </row>
    <row r="280" spans="1:16" x14ac:dyDescent="0.3">
      <c r="A280" s="34" t="s">
        <v>92</v>
      </c>
      <c r="B280" s="39" t="s">
        <v>39</v>
      </c>
      <c r="C280" s="34" t="s">
        <v>22</v>
      </c>
      <c r="O280" s="40">
        <v>18.600000000000001</v>
      </c>
      <c r="P280" s="41">
        <f t="shared" si="4"/>
        <v>18.600000000000001</v>
      </c>
    </row>
    <row r="281" spans="1:16" x14ac:dyDescent="0.3">
      <c r="A281" s="34" t="s">
        <v>92</v>
      </c>
      <c r="B281" s="39" t="s">
        <v>40</v>
      </c>
      <c r="C281" s="34" t="s">
        <v>22</v>
      </c>
      <c r="O281" s="40">
        <v>279.89999999999998</v>
      </c>
      <c r="P281" s="41">
        <f t="shared" si="4"/>
        <v>279.89999999999998</v>
      </c>
    </row>
    <row r="282" spans="1:16" x14ac:dyDescent="0.3">
      <c r="A282" s="34" t="s">
        <v>92</v>
      </c>
      <c r="B282" s="39" t="s">
        <v>41</v>
      </c>
      <c r="C282" s="34" t="s">
        <v>22</v>
      </c>
      <c r="O282" s="40">
        <v>6704.3</v>
      </c>
      <c r="P282" s="41">
        <f t="shared" si="4"/>
        <v>6704.3</v>
      </c>
    </row>
    <row r="283" spans="1:16" x14ac:dyDescent="0.3">
      <c r="A283" s="34" t="s">
        <v>92</v>
      </c>
      <c r="B283" s="39" t="s">
        <v>42</v>
      </c>
      <c r="C283" s="34" t="s">
        <v>22</v>
      </c>
      <c r="O283" s="40">
        <v>4277.3999999999996</v>
      </c>
      <c r="P283" s="41">
        <f t="shared" si="4"/>
        <v>4277.3999999999996</v>
      </c>
    </row>
    <row r="284" spans="1:16" x14ac:dyDescent="0.3">
      <c r="A284" s="34" t="s">
        <v>92</v>
      </c>
      <c r="B284" s="39" t="s">
        <v>43</v>
      </c>
      <c r="C284" s="34" t="s">
        <v>22</v>
      </c>
      <c r="O284" s="40">
        <v>710.8</v>
      </c>
      <c r="P284" s="41">
        <f t="shared" si="4"/>
        <v>710.8</v>
      </c>
    </row>
    <row r="285" spans="1:16" x14ac:dyDescent="0.3">
      <c r="A285" s="34" t="s">
        <v>92</v>
      </c>
      <c r="B285" s="35" t="s">
        <v>44</v>
      </c>
      <c r="C285" s="34" t="s">
        <v>22</v>
      </c>
      <c r="P285" s="37">
        <f t="shared" si="4"/>
        <v>0</v>
      </c>
    </row>
    <row r="286" spans="1:16" x14ac:dyDescent="0.3">
      <c r="A286" s="34" t="s">
        <v>92</v>
      </c>
      <c r="B286" s="35" t="s">
        <v>45</v>
      </c>
      <c r="C286" s="34" t="s">
        <v>22</v>
      </c>
      <c r="P286" s="41">
        <f t="shared" si="4"/>
        <v>0</v>
      </c>
    </row>
    <row r="287" spans="1:16" x14ac:dyDescent="0.3">
      <c r="A287" s="34" t="s">
        <v>92</v>
      </c>
      <c r="B287" s="35" t="s">
        <v>47</v>
      </c>
      <c r="C287" s="34" t="s">
        <v>22</v>
      </c>
      <c r="O287" s="41">
        <v>2.2737367544323211E-13</v>
      </c>
      <c r="P287" s="41">
        <f t="shared" si="4"/>
        <v>2.2737367544323211E-13</v>
      </c>
    </row>
    <row r="288" spans="1:16" x14ac:dyDescent="0.3">
      <c r="A288" s="34" t="s">
        <v>92</v>
      </c>
      <c r="B288" s="35" t="s">
        <v>28</v>
      </c>
      <c r="C288" s="34" t="s">
        <v>23</v>
      </c>
      <c r="P288" s="36">
        <f t="shared" si="4"/>
        <v>0</v>
      </c>
    </row>
    <row r="289" spans="1:16" x14ac:dyDescent="0.3">
      <c r="A289" s="34" t="s">
        <v>92</v>
      </c>
      <c r="B289" s="35" t="s">
        <v>30</v>
      </c>
      <c r="C289" s="34" t="s">
        <v>23</v>
      </c>
      <c r="P289" s="36">
        <f t="shared" si="4"/>
        <v>0</v>
      </c>
    </row>
    <row r="290" spans="1:16" x14ac:dyDescent="0.3">
      <c r="A290" s="34" t="s">
        <v>92</v>
      </c>
      <c r="B290" s="35" t="s">
        <v>31</v>
      </c>
      <c r="C290" s="34" t="s">
        <v>23</v>
      </c>
      <c r="P290" s="37">
        <f t="shared" si="4"/>
        <v>0</v>
      </c>
    </row>
    <row r="291" spans="1:16" x14ac:dyDescent="0.3">
      <c r="A291" s="34" t="s">
        <v>92</v>
      </c>
      <c r="B291" s="35" t="s">
        <v>33</v>
      </c>
      <c r="C291" s="34" t="s">
        <v>23</v>
      </c>
      <c r="P291" s="38">
        <f t="shared" si="4"/>
        <v>0</v>
      </c>
    </row>
    <row r="292" spans="1:16" x14ac:dyDescent="0.3">
      <c r="A292" s="34" t="s">
        <v>92</v>
      </c>
      <c r="B292" s="39" t="s">
        <v>35</v>
      </c>
      <c r="C292" s="34" t="s">
        <v>23</v>
      </c>
      <c r="O292" s="40">
        <v>710.8</v>
      </c>
      <c r="P292" s="41">
        <f t="shared" si="4"/>
        <v>710.8</v>
      </c>
    </row>
    <row r="293" spans="1:16" x14ac:dyDescent="0.3">
      <c r="A293" s="34" t="s">
        <v>92</v>
      </c>
      <c r="B293" s="39" t="s">
        <v>37</v>
      </c>
      <c r="C293" s="34" t="s">
        <v>23</v>
      </c>
      <c r="O293" s="40">
        <v>227.9</v>
      </c>
      <c r="P293" s="41">
        <f t="shared" si="4"/>
        <v>227.9</v>
      </c>
    </row>
    <row r="294" spans="1:16" x14ac:dyDescent="0.3">
      <c r="A294" s="34" t="s">
        <v>92</v>
      </c>
      <c r="B294" s="39" t="s">
        <v>38</v>
      </c>
      <c r="C294" s="34" t="s">
        <v>23</v>
      </c>
      <c r="O294" s="40">
        <v>6983.9</v>
      </c>
      <c r="P294" s="41">
        <f t="shared" si="4"/>
        <v>6983.9</v>
      </c>
    </row>
    <row r="295" spans="1:16" x14ac:dyDescent="0.3">
      <c r="A295" s="34" t="s">
        <v>92</v>
      </c>
      <c r="B295" s="39" t="s">
        <v>39</v>
      </c>
      <c r="C295" s="34" t="s">
        <v>23</v>
      </c>
      <c r="O295" s="40">
        <v>17.7</v>
      </c>
      <c r="P295" s="41">
        <f t="shared" si="4"/>
        <v>17.7</v>
      </c>
    </row>
    <row r="296" spans="1:16" x14ac:dyDescent="0.3">
      <c r="A296" s="34" t="s">
        <v>92</v>
      </c>
      <c r="B296" s="39" t="s">
        <v>40</v>
      </c>
      <c r="C296" s="34" t="s">
        <v>23</v>
      </c>
      <c r="O296" s="40">
        <v>266.60000000000002</v>
      </c>
      <c r="P296" s="41">
        <f t="shared" si="4"/>
        <v>266.60000000000002</v>
      </c>
    </row>
    <row r="297" spans="1:16" x14ac:dyDescent="0.3">
      <c r="A297" s="34" t="s">
        <v>92</v>
      </c>
      <c r="B297" s="39" t="s">
        <v>41</v>
      </c>
      <c r="C297" s="34" t="s">
        <v>23</v>
      </c>
      <c r="O297" s="40">
        <v>4422.2999999999993</v>
      </c>
      <c r="P297" s="41">
        <f t="shared" si="4"/>
        <v>4422.2999999999993</v>
      </c>
    </row>
    <row r="298" spans="1:16" x14ac:dyDescent="0.3">
      <c r="A298" s="34" t="s">
        <v>92</v>
      </c>
      <c r="B298" s="39" t="s">
        <v>42</v>
      </c>
      <c r="C298" s="34" t="s">
        <v>23</v>
      </c>
      <c r="O298" s="40">
        <v>2673.2</v>
      </c>
      <c r="P298" s="41">
        <f t="shared" si="4"/>
        <v>2673.2</v>
      </c>
    </row>
    <row r="299" spans="1:16" x14ac:dyDescent="0.3">
      <c r="A299" s="34" t="s">
        <v>92</v>
      </c>
      <c r="B299" s="39" t="s">
        <v>43</v>
      </c>
      <c r="C299" s="34" t="s">
        <v>23</v>
      </c>
      <c r="O299" s="40">
        <v>542.79999999999995</v>
      </c>
      <c r="P299" s="41">
        <f t="shared" si="4"/>
        <v>542.79999999999995</v>
      </c>
    </row>
    <row r="300" spans="1:16" x14ac:dyDescent="0.3">
      <c r="A300" s="34" t="s">
        <v>92</v>
      </c>
      <c r="B300" s="35" t="s">
        <v>44</v>
      </c>
      <c r="C300" s="34" t="s">
        <v>23</v>
      </c>
      <c r="P300" s="37">
        <f t="shared" si="4"/>
        <v>0</v>
      </c>
    </row>
    <row r="301" spans="1:16" x14ac:dyDescent="0.3">
      <c r="A301" s="34" t="s">
        <v>92</v>
      </c>
      <c r="B301" s="35" t="s">
        <v>45</v>
      </c>
      <c r="C301" s="34" t="s">
        <v>23</v>
      </c>
      <c r="P301" s="41">
        <f t="shared" si="4"/>
        <v>0</v>
      </c>
    </row>
    <row r="302" spans="1:16" x14ac:dyDescent="0.3">
      <c r="A302" s="34" t="s">
        <v>92</v>
      </c>
      <c r="B302" s="35" t="s">
        <v>47</v>
      </c>
      <c r="C302" s="34" t="s">
        <v>23</v>
      </c>
      <c r="O302" s="41">
        <v>2.2737367544323211E-13</v>
      </c>
      <c r="P302" s="41">
        <f t="shared" si="4"/>
        <v>2.2737367544323211E-13</v>
      </c>
    </row>
    <row r="303" spans="1:16" x14ac:dyDescent="0.3">
      <c r="A303" s="34" t="s">
        <v>92</v>
      </c>
      <c r="B303" s="35" t="s">
        <v>28</v>
      </c>
      <c r="C303" s="34" t="s">
        <v>24</v>
      </c>
      <c r="P303" s="36">
        <f t="shared" si="4"/>
        <v>0</v>
      </c>
    </row>
    <row r="304" spans="1:16" x14ac:dyDescent="0.3">
      <c r="A304" s="34" t="s">
        <v>92</v>
      </c>
      <c r="B304" s="35" t="s">
        <v>30</v>
      </c>
      <c r="C304" s="34" t="s">
        <v>24</v>
      </c>
      <c r="P304" s="36">
        <f t="shared" si="4"/>
        <v>0</v>
      </c>
    </row>
    <row r="305" spans="1:16" x14ac:dyDescent="0.3">
      <c r="A305" s="34" t="s">
        <v>92</v>
      </c>
      <c r="B305" s="35" t="s">
        <v>31</v>
      </c>
      <c r="C305" s="34" t="s">
        <v>24</v>
      </c>
      <c r="P305" s="37">
        <f t="shared" si="4"/>
        <v>0</v>
      </c>
    </row>
    <row r="306" spans="1:16" x14ac:dyDescent="0.3">
      <c r="A306" s="34" t="s">
        <v>92</v>
      </c>
      <c r="B306" s="35" t="s">
        <v>33</v>
      </c>
      <c r="C306" s="34" t="s">
        <v>24</v>
      </c>
      <c r="P306" s="38">
        <f t="shared" si="4"/>
        <v>0</v>
      </c>
    </row>
    <row r="307" spans="1:16" x14ac:dyDescent="0.3">
      <c r="A307" s="34" t="s">
        <v>92</v>
      </c>
      <c r="B307" s="39" t="s">
        <v>35</v>
      </c>
      <c r="C307" s="34" t="s">
        <v>24</v>
      </c>
      <c r="O307" s="40">
        <v>542.79999999999995</v>
      </c>
      <c r="P307" s="41">
        <f t="shared" si="4"/>
        <v>542.79999999999995</v>
      </c>
    </row>
    <row r="308" spans="1:16" x14ac:dyDescent="0.3">
      <c r="A308" s="34" t="s">
        <v>92</v>
      </c>
      <c r="B308" s="39" t="s">
        <v>37</v>
      </c>
      <c r="C308" s="34" t="s">
        <v>24</v>
      </c>
      <c r="O308" s="40">
        <v>25.1</v>
      </c>
      <c r="P308" s="41">
        <f t="shared" si="4"/>
        <v>25.1</v>
      </c>
    </row>
    <row r="309" spans="1:16" x14ac:dyDescent="0.3">
      <c r="A309" s="34" t="s">
        <v>92</v>
      </c>
      <c r="B309" s="39" t="s">
        <v>38</v>
      </c>
      <c r="C309" s="34" t="s">
        <v>24</v>
      </c>
      <c r="O309" s="40">
        <v>9986.7000000000007</v>
      </c>
      <c r="P309" s="41">
        <f t="shared" si="4"/>
        <v>9986.7000000000007</v>
      </c>
    </row>
    <row r="310" spans="1:16" x14ac:dyDescent="0.3">
      <c r="A310" s="34" t="s">
        <v>92</v>
      </c>
      <c r="B310" s="39" t="s">
        <v>39</v>
      </c>
      <c r="C310" s="34" t="s">
        <v>24</v>
      </c>
      <c r="O310" s="40">
        <v>18.5</v>
      </c>
      <c r="P310" s="41">
        <f t="shared" si="4"/>
        <v>18.5</v>
      </c>
    </row>
    <row r="311" spans="1:16" x14ac:dyDescent="0.3">
      <c r="A311" s="34" t="s">
        <v>92</v>
      </c>
      <c r="B311" s="39" t="s">
        <v>40</v>
      </c>
      <c r="C311" s="34" t="s">
        <v>24</v>
      </c>
      <c r="O311" s="40">
        <v>86.1</v>
      </c>
      <c r="P311" s="41">
        <f t="shared" si="4"/>
        <v>86.1</v>
      </c>
    </row>
    <row r="312" spans="1:16" x14ac:dyDescent="0.3">
      <c r="A312" s="34" t="s">
        <v>92</v>
      </c>
      <c r="B312" s="39" t="s">
        <v>41</v>
      </c>
      <c r="C312" s="34" t="s">
        <v>24</v>
      </c>
      <c r="O312" s="40">
        <v>5851.9000000000005</v>
      </c>
      <c r="P312" s="41">
        <f t="shared" si="4"/>
        <v>5851.9000000000005</v>
      </c>
    </row>
    <row r="313" spans="1:16" x14ac:dyDescent="0.3">
      <c r="A313" s="34" t="s">
        <v>92</v>
      </c>
      <c r="B313" s="39" t="s">
        <v>42</v>
      </c>
      <c r="C313" s="34" t="s">
        <v>24</v>
      </c>
      <c r="O313" s="40">
        <v>3889.6</v>
      </c>
      <c r="P313" s="41">
        <f t="shared" si="4"/>
        <v>3889.6</v>
      </c>
    </row>
    <row r="314" spans="1:16" x14ac:dyDescent="0.3">
      <c r="A314" s="34" t="s">
        <v>92</v>
      </c>
      <c r="B314" s="39" t="s">
        <v>43</v>
      </c>
      <c r="C314" s="34" t="s">
        <v>24</v>
      </c>
      <c r="O314" s="40">
        <v>708.5</v>
      </c>
      <c r="P314" s="41">
        <f t="shared" si="4"/>
        <v>708.5</v>
      </c>
    </row>
    <row r="315" spans="1:16" x14ac:dyDescent="0.3">
      <c r="A315" s="34" t="s">
        <v>92</v>
      </c>
      <c r="B315" s="35" t="s">
        <v>44</v>
      </c>
      <c r="C315" s="34" t="s">
        <v>24</v>
      </c>
      <c r="P315" s="37">
        <f t="shared" si="4"/>
        <v>0</v>
      </c>
    </row>
    <row r="316" spans="1:16" x14ac:dyDescent="0.3">
      <c r="A316" s="34" t="s">
        <v>92</v>
      </c>
      <c r="B316" s="35" t="s">
        <v>45</v>
      </c>
      <c r="C316" s="34" t="s">
        <v>24</v>
      </c>
      <c r="P316" s="41">
        <f t="shared" si="4"/>
        <v>0</v>
      </c>
    </row>
    <row r="317" spans="1:16" x14ac:dyDescent="0.3">
      <c r="A317" s="34" t="s">
        <v>92</v>
      </c>
      <c r="B317" s="35" t="s">
        <v>47</v>
      </c>
      <c r="C317" s="34" t="s">
        <v>24</v>
      </c>
      <c r="O317" s="41">
        <v>-4.5474735088646412E-13</v>
      </c>
      <c r="P317" s="41">
        <f t="shared" si="4"/>
        <v>-4.5474735088646412E-13</v>
      </c>
    </row>
    <row r="318" spans="1:16" x14ac:dyDescent="0.3">
      <c r="A318" s="34" t="s">
        <v>92</v>
      </c>
      <c r="B318" s="35" t="s">
        <v>28</v>
      </c>
      <c r="C318" s="34" t="s">
        <v>25</v>
      </c>
      <c r="P318" s="36">
        <f t="shared" si="4"/>
        <v>0</v>
      </c>
    </row>
    <row r="319" spans="1:16" x14ac:dyDescent="0.3">
      <c r="A319" s="34" t="s">
        <v>92</v>
      </c>
      <c r="B319" s="35" t="s">
        <v>30</v>
      </c>
      <c r="C319" s="34" t="s">
        <v>25</v>
      </c>
      <c r="P319" s="36">
        <f t="shared" si="4"/>
        <v>0</v>
      </c>
    </row>
    <row r="320" spans="1:16" x14ac:dyDescent="0.3">
      <c r="A320" s="34" t="s">
        <v>92</v>
      </c>
      <c r="B320" s="35" t="s">
        <v>31</v>
      </c>
      <c r="C320" s="34" t="s">
        <v>25</v>
      </c>
      <c r="P320" s="37">
        <f t="shared" si="4"/>
        <v>0</v>
      </c>
    </row>
    <row r="321" spans="1:16" x14ac:dyDescent="0.3">
      <c r="A321" s="34" t="s">
        <v>92</v>
      </c>
      <c r="B321" s="35" t="s">
        <v>33</v>
      </c>
      <c r="C321" s="34" t="s">
        <v>25</v>
      </c>
      <c r="P321" s="38">
        <f t="shared" si="4"/>
        <v>0</v>
      </c>
    </row>
    <row r="322" spans="1:16" x14ac:dyDescent="0.3">
      <c r="A322" s="34" t="s">
        <v>92</v>
      </c>
      <c r="B322" s="39" t="s">
        <v>35</v>
      </c>
      <c r="C322" s="34" t="s">
        <v>25</v>
      </c>
      <c r="O322" s="40">
        <v>708.5</v>
      </c>
      <c r="P322" s="41">
        <f t="shared" si="4"/>
        <v>708.5</v>
      </c>
    </row>
    <row r="323" spans="1:16" x14ac:dyDescent="0.3">
      <c r="A323" s="34" t="s">
        <v>92</v>
      </c>
      <c r="B323" s="39" t="s">
        <v>37</v>
      </c>
      <c r="C323" s="34" t="s">
        <v>25</v>
      </c>
      <c r="O323" s="40">
        <v>117.3</v>
      </c>
      <c r="P323" s="41">
        <f t="shared" ref="P323:P386" si="5">SUM(D323:O323)</f>
        <v>117.3</v>
      </c>
    </row>
    <row r="324" spans="1:16" x14ac:dyDescent="0.3">
      <c r="A324" s="34" t="s">
        <v>92</v>
      </c>
      <c r="B324" s="39" t="s">
        <v>38</v>
      </c>
      <c r="C324" s="34" t="s">
        <v>25</v>
      </c>
      <c r="O324" s="40">
        <v>8905.4</v>
      </c>
      <c r="P324" s="41">
        <f t="shared" si="5"/>
        <v>8905.4</v>
      </c>
    </row>
    <row r="325" spans="1:16" x14ac:dyDescent="0.3">
      <c r="A325" s="34" t="s">
        <v>92</v>
      </c>
      <c r="B325" s="39" t="s">
        <v>39</v>
      </c>
      <c r="C325" s="34" t="s">
        <v>25</v>
      </c>
      <c r="O325" s="40">
        <v>18.600000000000001</v>
      </c>
      <c r="P325" s="41">
        <f t="shared" si="5"/>
        <v>18.600000000000001</v>
      </c>
    </row>
    <row r="326" spans="1:16" x14ac:dyDescent="0.3">
      <c r="A326" s="34" t="s">
        <v>92</v>
      </c>
      <c r="B326" s="39" t="s">
        <v>40</v>
      </c>
      <c r="C326" s="34" t="s">
        <v>25</v>
      </c>
      <c r="O326" s="40">
        <v>71.099999999999994</v>
      </c>
      <c r="P326" s="41">
        <f t="shared" si="5"/>
        <v>71.099999999999994</v>
      </c>
    </row>
    <row r="327" spans="1:16" x14ac:dyDescent="0.3">
      <c r="A327" s="34" t="s">
        <v>92</v>
      </c>
      <c r="B327" s="39" t="s">
        <v>41</v>
      </c>
      <c r="C327" s="34" t="s">
        <v>25</v>
      </c>
      <c r="O327" s="40">
        <v>5426.6999999999989</v>
      </c>
      <c r="P327" s="41">
        <f t="shared" si="5"/>
        <v>5426.6999999999989</v>
      </c>
    </row>
    <row r="328" spans="1:16" x14ac:dyDescent="0.3">
      <c r="A328" s="34" t="s">
        <v>92</v>
      </c>
      <c r="B328" s="39" t="s">
        <v>42</v>
      </c>
      <c r="C328" s="34" t="s">
        <v>25</v>
      </c>
      <c r="O328" s="40">
        <v>3063.2</v>
      </c>
      <c r="P328" s="41">
        <f t="shared" si="5"/>
        <v>3063.2</v>
      </c>
    </row>
    <row r="329" spans="1:16" x14ac:dyDescent="0.3">
      <c r="A329" s="34" t="s">
        <v>92</v>
      </c>
      <c r="B329" s="39" t="s">
        <v>43</v>
      </c>
      <c r="C329" s="34" t="s">
        <v>25</v>
      </c>
      <c r="O329" s="40">
        <v>1151.5999999999999</v>
      </c>
      <c r="P329" s="41">
        <f t="shared" si="5"/>
        <v>1151.5999999999999</v>
      </c>
    </row>
    <row r="330" spans="1:16" x14ac:dyDescent="0.3">
      <c r="A330" s="34" t="s">
        <v>92</v>
      </c>
      <c r="B330" s="35" t="s">
        <v>44</v>
      </c>
      <c r="C330" s="34" t="s">
        <v>25</v>
      </c>
      <c r="P330" s="37">
        <f t="shared" si="5"/>
        <v>0</v>
      </c>
    </row>
    <row r="331" spans="1:16" x14ac:dyDescent="0.3">
      <c r="A331" s="34" t="s">
        <v>92</v>
      </c>
      <c r="B331" s="35" t="s">
        <v>45</v>
      </c>
      <c r="C331" s="34" t="s">
        <v>25</v>
      </c>
      <c r="P331" s="41">
        <f t="shared" si="5"/>
        <v>0</v>
      </c>
    </row>
    <row r="332" spans="1:16" x14ac:dyDescent="0.3">
      <c r="A332" s="34" t="s">
        <v>92</v>
      </c>
      <c r="B332" s="35" t="s">
        <v>47</v>
      </c>
      <c r="C332" s="34" t="s">
        <v>25</v>
      </c>
      <c r="O332" s="41">
        <v>-4.5474735088646412E-13</v>
      </c>
      <c r="P332" s="41">
        <f t="shared" si="5"/>
        <v>-4.5474735088646412E-13</v>
      </c>
    </row>
    <row r="333" spans="1:16" x14ac:dyDescent="0.3">
      <c r="A333" s="34" t="s">
        <v>92</v>
      </c>
      <c r="B333" s="35" t="s">
        <v>28</v>
      </c>
      <c r="C333" s="34" t="s">
        <v>26</v>
      </c>
      <c r="P333" s="36">
        <f t="shared" si="5"/>
        <v>0</v>
      </c>
    </row>
    <row r="334" spans="1:16" x14ac:dyDescent="0.3">
      <c r="A334" s="34" t="s">
        <v>92</v>
      </c>
      <c r="B334" s="35" t="s">
        <v>30</v>
      </c>
      <c r="C334" s="34" t="s">
        <v>26</v>
      </c>
      <c r="P334" s="36">
        <f t="shared" si="5"/>
        <v>0</v>
      </c>
    </row>
    <row r="335" spans="1:16" x14ac:dyDescent="0.3">
      <c r="A335" s="34" t="s">
        <v>92</v>
      </c>
      <c r="B335" s="35" t="s">
        <v>31</v>
      </c>
      <c r="C335" s="34" t="s">
        <v>26</v>
      </c>
      <c r="P335" s="37">
        <f t="shared" si="5"/>
        <v>0</v>
      </c>
    </row>
    <row r="336" spans="1:16" x14ac:dyDescent="0.3">
      <c r="A336" s="34" t="s">
        <v>92</v>
      </c>
      <c r="B336" s="35" t="s">
        <v>33</v>
      </c>
      <c r="C336" s="34" t="s">
        <v>26</v>
      </c>
      <c r="P336" s="38">
        <f t="shared" si="5"/>
        <v>0</v>
      </c>
    </row>
    <row r="337" spans="1:16" x14ac:dyDescent="0.3">
      <c r="A337" s="34" t="s">
        <v>92</v>
      </c>
      <c r="B337" s="39" t="s">
        <v>35</v>
      </c>
      <c r="C337" s="34" t="s">
        <v>26</v>
      </c>
      <c r="O337" s="40">
        <v>1151.5999999999999</v>
      </c>
      <c r="P337" s="41">
        <f t="shared" si="5"/>
        <v>1151.5999999999999</v>
      </c>
    </row>
    <row r="338" spans="1:16" x14ac:dyDescent="0.3">
      <c r="A338" s="34" t="s">
        <v>92</v>
      </c>
      <c r="B338" s="39" t="s">
        <v>37</v>
      </c>
      <c r="C338" s="34" t="s">
        <v>26</v>
      </c>
      <c r="O338" s="40">
        <v>168.7</v>
      </c>
      <c r="P338" s="41">
        <f t="shared" si="5"/>
        <v>168.7</v>
      </c>
    </row>
    <row r="339" spans="1:16" x14ac:dyDescent="0.3">
      <c r="A339" s="34" t="s">
        <v>92</v>
      </c>
      <c r="B339" s="39" t="s">
        <v>38</v>
      </c>
      <c r="C339" s="34" t="s">
        <v>26</v>
      </c>
      <c r="O339" s="40">
        <v>8143.9</v>
      </c>
      <c r="P339" s="41">
        <f t="shared" si="5"/>
        <v>8143.9</v>
      </c>
    </row>
    <row r="340" spans="1:16" x14ac:dyDescent="0.3">
      <c r="A340" s="34" t="s">
        <v>92</v>
      </c>
      <c r="B340" s="39" t="s">
        <v>39</v>
      </c>
      <c r="C340" s="34" t="s">
        <v>26</v>
      </c>
      <c r="O340" s="40">
        <v>18.600000000000001</v>
      </c>
      <c r="P340" s="41">
        <f t="shared" si="5"/>
        <v>18.600000000000001</v>
      </c>
    </row>
    <row r="341" spans="1:16" x14ac:dyDescent="0.3">
      <c r="A341" s="34" t="s">
        <v>92</v>
      </c>
      <c r="B341" s="39" t="s">
        <v>40</v>
      </c>
      <c r="C341" s="34" t="s">
        <v>26</v>
      </c>
      <c r="O341" s="40">
        <v>74.3</v>
      </c>
      <c r="P341" s="41">
        <f t="shared" si="5"/>
        <v>74.3</v>
      </c>
    </row>
    <row r="342" spans="1:16" x14ac:dyDescent="0.3">
      <c r="A342" s="34" t="s">
        <v>92</v>
      </c>
      <c r="B342" s="39" t="s">
        <v>41</v>
      </c>
      <c r="C342" s="34" t="s">
        <v>26</v>
      </c>
      <c r="O342" s="40">
        <v>5280.4000000000005</v>
      </c>
      <c r="P342" s="41">
        <f t="shared" si="5"/>
        <v>5280.4000000000005</v>
      </c>
    </row>
    <row r="343" spans="1:16" x14ac:dyDescent="0.3">
      <c r="A343" s="34" t="s">
        <v>92</v>
      </c>
      <c r="B343" s="39" t="s">
        <v>42</v>
      </c>
      <c r="C343" s="34" t="s">
        <v>26</v>
      </c>
      <c r="O343" s="40">
        <v>2842.2</v>
      </c>
      <c r="P343" s="41">
        <f t="shared" si="5"/>
        <v>2842.2</v>
      </c>
    </row>
    <row r="344" spans="1:16" x14ac:dyDescent="0.3">
      <c r="A344" s="34" t="s">
        <v>92</v>
      </c>
      <c r="B344" s="39" t="s">
        <v>43</v>
      </c>
      <c r="C344" s="34" t="s">
        <v>26</v>
      </c>
      <c r="O344" s="40">
        <v>1248.7</v>
      </c>
      <c r="P344" s="41">
        <f t="shared" si="5"/>
        <v>1248.7</v>
      </c>
    </row>
    <row r="345" spans="1:16" x14ac:dyDescent="0.3">
      <c r="A345" s="34" t="s">
        <v>92</v>
      </c>
      <c r="B345" s="35" t="s">
        <v>44</v>
      </c>
      <c r="C345" s="34" t="s">
        <v>26</v>
      </c>
      <c r="P345" s="37">
        <f t="shared" si="5"/>
        <v>0</v>
      </c>
    </row>
    <row r="346" spans="1:16" x14ac:dyDescent="0.3">
      <c r="A346" s="34" t="s">
        <v>92</v>
      </c>
      <c r="B346" s="35" t="s">
        <v>45</v>
      </c>
      <c r="C346" s="34" t="s">
        <v>26</v>
      </c>
      <c r="P346" s="41">
        <f t="shared" si="5"/>
        <v>0</v>
      </c>
    </row>
    <row r="347" spans="1:16" x14ac:dyDescent="0.3">
      <c r="A347" s="34" t="s">
        <v>92</v>
      </c>
      <c r="B347" s="35" t="s">
        <v>47</v>
      </c>
      <c r="C347" s="34" t="s">
        <v>26</v>
      </c>
      <c r="O347" s="41">
        <v>6.8212102632969618E-13</v>
      </c>
      <c r="P347" s="41">
        <f t="shared" si="5"/>
        <v>6.8212102632969618E-13</v>
      </c>
    </row>
    <row r="348" spans="1:16" x14ac:dyDescent="0.3">
      <c r="A348" s="34" t="s">
        <v>92</v>
      </c>
      <c r="B348" s="42" t="s">
        <v>47</v>
      </c>
      <c r="C348" s="43" t="s">
        <v>36</v>
      </c>
      <c r="D348" s="40">
        <v>0</v>
      </c>
      <c r="E348" s="40">
        <v>0</v>
      </c>
      <c r="F348" s="40">
        <v>0</v>
      </c>
      <c r="G348" s="40">
        <v>0</v>
      </c>
      <c r="H348" s="40">
        <v>0</v>
      </c>
      <c r="I348" s="40">
        <v>0</v>
      </c>
      <c r="J348" s="40">
        <v>0</v>
      </c>
      <c r="K348" s="40">
        <v>0</v>
      </c>
      <c r="L348" s="40">
        <v>0</v>
      </c>
      <c r="M348" s="40">
        <v>0</v>
      </c>
      <c r="N348" s="40">
        <v>0</v>
      </c>
      <c r="O348" s="40">
        <v>0</v>
      </c>
      <c r="P348" s="44">
        <v>0</v>
      </c>
    </row>
  </sheetData>
  <mergeCells count="1">
    <mergeCell ref="A1:C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P348"/>
  <sheetViews>
    <sheetView workbookViewId="0">
      <selection sqref="A1:C1"/>
    </sheetView>
  </sheetViews>
  <sheetFormatPr defaultRowHeight="14.4" x14ac:dyDescent="0.3"/>
  <cols>
    <col min="1" max="1" width="18" customWidth="1"/>
    <col min="2" max="2" width="28" customWidth="1"/>
    <col min="3" max="3" width="10" customWidth="1"/>
    <col min="4" max="15" width="8" customWidth="1"/>
    <col min="16" max="16" width="12" customWidth="1"/>
  </cols>
  <sheetData>
    <row r="1" spans="1:16" ht="15.6" customHeight="1" x14ac:dyDescent="0.3">
      <c r="A1" s="59" t="s">
        <v>93</v>
      </c>
      <c r="B1" s="58"/>
      <c r="C1" s="58"/>
    </row>
    <row r="2" spans="1:16" x14ac:dyDescent="0.3">
      <c r="A2" s="33" t="s">
        <v>1</v>
      </c>
      <c r="B2" s="33" t="s">
        <v>2</v>
      </c>
      <c r="C2" s="33" t="s">
        <v>48</v>
      </c>
      <c r="D2" s="33" t="s">
        <v>106</v>
      </c>
      <c r="E2" s="33" t="s">
        <v>95</v>
      </c>
      <c r="F2" s="33" t="s">
        <v>96</v>
      </c>
      <c r="G2" s="33" t="s">
        <v>97</v>
      </c>
      <c r="H2" s="33" t="s">
        <v>98</v>
      </c>
      <c r="I2" s="33" t="s">
        <v>99</v>
      </c>
      <c r="J2" s="33" t="s">
        <v>100</v>
      </c>
      <c r="K2" s="33" t="s">
        <v>101</v>
      </c>
      <c r="L2" s="33" t="s">
        <v>102</v>
      </c>
      <c r="M2" s="33" t="s">
        <v>103</v>
      </c>
      <c r="N2" s="33" t="s">
        <v>104</v>
      </c>
      <c r="O2" s="33" t="s">
        <v>105</v>
      </c>
      <c r="P2" s="33" t="s">
        <v>107</v>
      </c>
    </row>
    <row r="3" spans="1:16" x14ac:dyDescent="0.3">
      <c r="A3" s="34" t="s">
        <v>93</v>
      </c>
      <c r="B3" s="35" t="s">
        <v>28</v>
      </c>
      <c r="C3" s="34" t="s">
        <v>4</v>
      </c>
      <c r="P3" s="36">
        <f t="shared" ref="P3:P66" si="0">SUM(D3:O3)</f>
        <v>0</v>
      </c>
    </row>
    <row r="4" spans="1:16" x14ac:dyDescent="0.3">
      <c r="A4" s="34" t="s">
        <v>93</v>
      </c>
      <c r="B4" s="35" t="s">
        <v>30</v>
      </c>
      <c r="C4" s="34" t="s">
        <v>4</v>
      </c>
      <c r="P4" s="36">
        <f t="shared" si="0"/>
        <v>0</v>
      </c>
    </row>
    <row r="5" spans="1:16" x14ac:dyDescent="0.3">
      <c r="A5" s="34" t="s">
        <v>93</v>
      </c>
      <c r="B5" s="35" t="s">
        <v>31</v>
      </c>
      <c r="C5" s="34" t="s">
        <v>4</v>
      </c>
      <c r="P5" s="37">
        <f t="shared" si="0"/>
        <v>0</v>
      </c>
    </row>
    <row r="6" spans="1:16" x14ac:dyDescent="0.3">
      <c r="A6" s="34" t="s">
        <v>93</v>
      </c>
      <c r="B6" s="35" t="s">
        <v>33</v>
      </c>
      <c r="C6" s="34" t="s">
        <v>4</v>
      </c>
      <c r="P6" s="38">
        <f t="shared" si="0"/>
        <v>0</v>
      </c>
    </row>
    <row r="7" spans="1:16" x14ac:dyDescent="0.3">
      <c r="A7" s="34" t="s">
        <v>93</v>
      </c>
      <c r="B7" s="39" t="s">
        <v>35</v>
      </c>
      <c r="C7" s="34" t="s">
        <v>4</v>
      </c>
      <c r="O7" s="40">
        <v>362.8</v>
      </c>
      <c r="P7" s="41">
        <f t="shared" si="0"/>
        <v>362.8</v>
      </c>
    </row>
    <row r="8" spans="1:16" x14ac:dyDescent="0.3">
      <c r="A8" s="34" t="s">
        <v>93</v>
      </c>
      <c r="B8" s="39" t="s">
        <v>37</v>
      </c>
      <c r="C8" s="34" t="s">
        <v>4</v>
      </c>
      <c r="O8" s="40">
        <v>20.7</v>
      </c>
      <c r="P8" s="41">
        <f t="shared" si="0"/>
        <v>20.7</v>
      </c>
    </row>
    <row r="9" spans="1:16" x14ac:dyDescent="0.3">
      <c r="A9" s="34" t="s">
        <v>93</v>
      </c>
      <c r="B9" s="39" t="s">
        <v>38</v>
      </c>
      <c r="C9" s="34" t="s">
        <v>4</v>
      </c>
      <c r="O9" s="40">
        <v>2910.7</v>
      </c>
      <c r="P9" s="41">
        <f t="shared" si="0"/>
        <v>2910.7</v>
      </c>
    </row>
    <row r="10" spans="1:16" x14ac:dyDescent="0.3">
      <c r="A10" s="34" t="s">
        <v>93</v>
      </c>
      <c r="B10" s="39" t="s">
        <v>39</v>
      </c>
      <c r="C10" s="34" t="s">
        <v>4</v>
      </c>
      <c r="O10" s="40">
        <v>132.1</v>
      </c>
      <c r="P10" s="41">
        <f t="shared" si="0"/>
        <v>132.1</v>
      </c>
    </row>
    <row r="11" spans="1:16" x14ac:dyDescent="0.3">
      <c r="A11" s="34" t="s">
        <v>93</v>
      </c>
      <c r="B11" s="39" t="s">
        <v>40</v>
      </c>
      <c r="C11" s="34" t="s">
        <v>4</v>
      </c>
      <c r="O11" s="40">
        <v>0</v>
      </c>
      <c r="P11" s="41">
        <f t="shared" si="0"/>
        <v>0</v>
      </c>
    </row>
    <row r="12" spans="1:16" x14ac:dyDescent="0.3">
      <c r="A12" s="34" t="s">
        <v>93</v>
      </c>
      <c r="B12" s="39" t="s">
        <v>41</v>
      </c>
      <c r="C12" s="34" t="s">
        <v>4</v>
      </c>
      <c r="O12" s="40">
        <v>1448.4</v>
      </c>
      <c r="P12" s="41">
        <f t="shared" si="0"/>
        <v>1448.4</v>
      </c>
    </row>
    <row r="13" spans="1:16" x14ac:dyDescent="0.3">
      <c r="A13" s="34" t="s">
        <v>93</v>
      </c>
      <c r="B13" s="39" t="s">
        <v>42</v>
      </c>
      <c r="C13" s="34" t="s">
        <v>4</v>
      </c>
      <c r="O13" s="40">
        <v>1189.8</v>
      </c>
      <c r="P13" s="41">
        <f t="shared" si="0"/>
        <v>1189.8</v>
      </c>
    </row>
    <row r="14" spans="1:16" x14ac:dyDescent="0.3">
      <c r="A14" s="34" t="s">
        <v>93</v>
      </c>
      <c r="B14" s="39" t="s">
        <v>43</v>
      </c>
      <c r="C14" s="34" t="s">
        <v>4</v>
      </c>
      <c r="O14" s="40">
        <v>523.9</v>
      </c>
      <c r="P14" s="41">
        <f t="shared" si="0"/>
        <v>523.9</v>
      </c>
    </row>
    <row r="15" spans="1:16" x14ac:dyDescent="0.3">
      <c r="A15" s="34" t="s">
        <v>93</v>
      </c>
      <c r="B15" s="35" t="s">
        <v>44</v>
      </c>
      <c r="C15" s="34" t="s">
        <v>4</v>
      </c>
      <c r="P15" s="37">
        <f t="shared" si="0"/>
        <v>0</v>
      </c>
    </row>
    <row r="16" spans="1:16" x14ac:dyDescent="0.3">
      <c r="A16" s="34" t="s">
        <v>93</v>
      </c>
      <c r="B16" s="35" t="s">
        <v>45</v>
      </c>
      <c r="C16" s="34" t="s">
        <v>4</v>
      </c>
      <c r="P16" s="41">
        <f t="shared" si="0"/>
        <v>0</v>
      </c>
    </row>
    <row r="17" spans="1:16" x14ac:dyDescent="0.3">
      <c r="A17" s="34" t="s">
        <v>93</v>
      </c>
      <c r="B17" s="35" t="s">
        <v>47</v>
      </c>
      <c r="C17" s="34" t="s">
        <v>4</v>
      </c>
      <c r="O17" s="41">
        <v>-1.1368683772161611E-13</v>
      </c>
      <c r="P17" s="41">
        <f t="shared" si="0"/>
        <v>-1.1368683772161611E-13</v>
      </c>
    </row>
    <row r="18" spans="1:16" x14ac:dyDescent="0.3">
      <c r="A18" s="34" t="s">
        <v>93</v>
      </c>
      <c r="B18" s="35" t="s">
        <v>28</v>
      </c>
      <c r="C18" s="34" t="s">
        <v>5</v>
      </c>
      <c r="P18" s="36">
        <f t="shared" si="0"/>
        <v>0</v>
      </c>
    </row>
    <row r="19" spans="1:16" x14ac:dyDescent="0.3">
      <c r="A19" s="34" t="s">
        <v>93</v>
      </c>
      <c r="B19" s="35" t="s">
        <v>30</v>
      </c>
      <c r="C19" s="34" t="s">
        <v>5</v>
      </c>
      <c r="P19" s="36">
        <f t="shared" si="0"/>
        <v>0</v>
      </c>
    </row>
    <row r="20" spans="1:16" x14ac:dyDescent="0.3">
      <c r="A20" s="34" t="s">
        <v>93</v>
      </c>
      <c r="B20" s="35" t="s">
        <v>31</v>
      </c>
      <c r="C20" s="34" t="s">
        <v>5</v>
      </c>
      <c r="P20" s="37">
        <f t="shared" si="0"/>
        <v>0</v>
      </c>
    </row>
    <row r="21" spans="1:16" x14ac:dyDescent="0.3">
      <c r="A21" s="34" t="s">
        <v>93</v>
      </c>
      <c r="B21" s="35" t="s">
        <v>33</v>
      </c>
      <c r="C21" s="34" t="s">
        <v>5</v>
      </c>
      <c r="P21" s="38">
        <f t="shared" si="0"/>
        <v>0</v>
      </c>
    </row>
    <row r="22" spans="1:16" x14ac:dyDescent="0.3">
      <c r="A22" s="34" t="s">
        <v>93</v>
      </c>
      <c r="B22" s="39" t="s">
        <v>35</v>
      </c>
      <c r="C22" s="34" t="s">
        <v>5</v>
      </c>
      <c r="O22" s="40">
        <v>523.9</v>
      </c>
      <c r="P22" s="41">
        <f t="shared" si="0"/>
        <v>523.9</v>
      </c>
    </row>
    <row r="23" spans="1:16" x14ac:dyDescent="0.3">
      <c r="A23" s="34" t="s">
        <v>93</v>
      </c>
      <c r="B23" s="39" t="s">
        <v>37</v>
      </c>
      <c r="C23" s="34" t="s">
        <v>5</v>
      </c>
      <c r="O23" s="40">
        <v>18.899999999999999</v>
      </c>
      <c r="P23" s="41">
        <f t="shared" si="0"/>
        <v>18.899999999999999</v>
      </c>
    </row>
    <row r="24" spans="1:16" x14ac:dyDescent="0.3">
      <c r="A24" s="34" t="s">
        <v>93</v>
      </c>
      <c r="B24" s="39" t="s">
        <v>38</v>
      </c>
      <c r="C24" s="34" t="s">
        <v>5</v>
      </c>
      <c r="O24" s="40">
        <v>3376.7</v>
      </c>
      <c r="P24" s="41">
        <f t="shared" si="0"/>
        <v>3376.7</v>
      </c>
    </row>
    <row r="25" spans="1:16" x14ac:dyDescent="0.3">
      <c r="A25" s="34" t="s">
        <v>93</v>
      </c>
      <c r="B25" s="39" t="s">
        <v>39</v>
      </c>
      <c r="C25" s="34" t="s">
        <v>5</v>
      </c>
      <c r="O25" s="40">
        <v>139.80000000000001</v>
      </c>
      <c r="P25" s="41">
        <f t="shared" si="0"/>
        <v>139.80000000000001</v>
      </c>
    </row>
    <row r="26" spans="1:16" x14ac:dyDescent="0.3">
      <c r="A26" s="34" t="s">
        <v>93</v>
      </c>
      <c r="B26" s="39" t="s">
        <v>40</v>
      </c>
      <c r="C26" s="34" t="s">
        <v>5</v>
      </c>
      <c r="O26" s="40">
        <v>0</v>
      </c>
      <c r="P26" s="41">
        <f t="shared" si="0"/>
        <v>0</v>
      </c>
    </row>
    <row r="27" spans="1:16" x14ac:dyDescent="0.3">
      <c r="A27" s="34" t="s">
        <v>93</v>
      </c>
      <c r="B27" s="39" t="s">
        <v>41</v>
      </c>
      <c r="C27" s="34" t="s">
        <v>5</v>
      </c>
      <c r="O27" s="40">
        <v>1434</v>
      </c>
      <c r="P27" s="41">
        <f t="shared" si="0"/>
        <v>1434</v>
      </c>
    </row>
    <row r="28" spans="1:16" x14ac:dyDescent="0.3">
      <c r="A28" s="34" t="s">
        <v>93</v>
      </c>
      <c r="B28" s="39" t="s">
        <v>42</v>
      </c>
      <c r="C28" s="34" t="s">
        <v>5</v>
      </c>
      <c r="O28" s="40">
        <v>1557.6</v>
      </c>
      <c r="P28" s="41">
        <f t="shared" si="0"/>
        <v>1557.6</v>
      </c>
    </row>
    <row r="29" spans="1:16" x14ac:dyDescent="0.3">
      <c r="A29" s="34" t="s">
        <v>93</v>
      </c>
      <c r="B29" s="39" t="s">
        <v>43</v>
      </c>
      <c r="C29" s="34" t="s">
        <v>5</v>
      </c>
      <c r="O29" s="40">
        <v>788.1</v>
      </c>
      <c r="P29" s="41">
        <f t="shared" si="0"/>
        <v>788.1</v>
      </c>
    </row>
    <row r="30" spans="1:16" x14ac:dyDescent="0.3">
      <c r="A30" s="34" t="s">
        <v>93</v>
      </c>
      <c r="B30" s="35" t="s">
        <v>44</v>
      </c>
      <c r="C30" s="34" t="s">
        <v>5</v>
      </c>
      <c r="P30" s="37">
        <f t="shared" si="0"/>
        <v>0</v>
      </c>
    </row>
    <row r="31" spans="1:16" x14ac:dyDescent="0.3">
      <c r="A31" s="34" t="s">
        <v>93</v>
      </c>
      <c r="B31" s="35" t="s">
        <v>45</v>
      </c>
      <c r="C31" s="34" t="s">
        <v>5</v>
      </c>
      <c r="P31" s="41">
        <f t="shared" si="0"/>
        <v>0</v>
      </c>
    </row>
    <row r="32" spans="1:16" x14ac:dyDescent="0.3">
      <c r="A32" s="34" t="s">
        <v>93</v>
      </c>
      <c r="B32" s="35" t="s">
        <v>47</v>
      </c>
      <c r="C32" s="34" t="s">
        <v>5</v>
      </c>
      <c r="O32" s="41">
        <v>-5.6843418860808015E-13</v>
      </c>
      <c r="P32" s="41">
        <f t="shared" si="0"/>
        <v>-5.6843418860808015E-13</v>
      </c>
    </row>
    <row r="33" spans="1:16" x14ac:dyDescent="0.3">
      <c r="A33" s="34" t="s">
        <v>93</v>
      </c>
      <c r="B33" s="35" t="s">
        <v>28</v>
      </c>
      <c r="C33" s="34" t="s">
        <v>6</v>
      </c>
      <c r="P33" s="36">
        <f t="shared" si="0"/>
        <v>0</v>
      </c>
    </row>
    <row r="34" spans="1:16" x14ac:dyDescent="0.3">
      <c r="A34" s="34" t="s">
        <v>93</v>
      </c>
      <c r="B34" s="35" t="s">
        <v>30</v>
      </c>
      <c r="C34" s="34" t="s">
        <v>6</v>
      </c>
      <c r="P34" s="36">
        <f t="shared" si="0"/>
        <v>0</v>
      </c>
    </row>
    <row r="35" spans="1:16" x14ac:dyDescent="0.3">
      <c r="A35" s="34" t="s">
        <v>93</v>
      </c>
      <c r="B35" s="35" t="s">
        <v>31</v>
      </c>
      <c r="C35" s="34" t="s">
        <v>6</v>
      </c>
      <c r="P35" s="37">
        <f t="shared" si="0"/>
        <v>0</v>
      </c>
    </row>
    <row r="36" spans="1:16" x14ac:dyDescent="0.3">
      <c r="A36" s="34" t="s">
        <v>93</v>
      </c>
      <c r="B36" s="35" t="s">
        <v>33</v>
      </c>
      <c r="C36" s="34" t="s">
        <v>6</v>
      </c>
      <c r="P36" s="38">
        <f t="shared" si="0"/>
        <v>0</v>
      </c>
    </row>
    <row r="37" spans="1:16" x14ac:dyDescent="0.3">
      <c r="A37" s="34" t="s">
        <v>93</v>
      </c>
      <c r="B37" s="39" t="s">
        <v>35</v>
      </c>
      <c r="C37" s="34" t="s">
        <v>6</v>
      </c>
      <c r="O37" s="40">
        <v>788.1</v>
      </c>
      <c r="P37" s="41">
        <f t="shared" si="0"/>
        <v>788.1</v>
      </c>
    </row>
    <row r="38" spans="1:16" x14ac:dyDescent="0.3">
      <c r="A38" s="34" t="s">
        <v>93</v>
      </c>
      <c r="B38" s="39" t="s">
        <v>37</v>
      </c>
      <c r="C38" s="34" t="s">
        <v>6</v>
      </c>
      <c r="O38" s="40">
        <v>25.7</v>
      </c>
      <c r="P38" s="41">
        <f t="shared" si="0"/>
        <v>25.7</v>
      </c>
    </row>
    <row r="39" spans="1:16" x14ac:dyDescent="0.3">
      <c r="A39" s="34" t="s">
        <v>93</v>
      </c>
      <c r="B39" s="39" t="s">
        <v>38</v>
      </c>
      <c r="C39" s="34" t="s">
        <v>6</v>
      </c>
      <c r="O39" s="40">
        <v>3467.2</v>
      </c>
      <c r="P39" s="41">
        <f t="shared" si="0"/>
        <v>3467.2</v>
      </c>
    </row>
    <row r="40" spans="1:16" x14ac:dyDescent="0.3">
      <c r="A40" s="34" t="s">
        <v>93</v>
      </c>
      <c r="B40" s="39" t="s">
        <v>39</v>
      </c>
      <c r="C40" s="34" t="s">
        <v>6</v>
      </c>
      <c r="O40" s="40">
        <v>117.5</v>
      </c>
      <c r="P40" s="41">
        <f t="shared" si="0"/>
        <v>117.5</v>
      </c>
    </row>
    <row r="41" spans="1:16" x14ac:dyDescent="0.3">
      <c r="A41" s="34" t="s">
        <v>93</v>
      </c>
      <c r="B41" s="39" t="s">
        <v>40</v>
      </c>
      <c r="C41" s="34" t="s">
        <v>6</v>
      </c>
      <c r="O41" s="40">
        <v>0</v>
      </c>
      <c r="P41" s="41">
        <f t="shared" si="0"/>
        <v>0</v>
      </c>
    </row>
    <row r="42" spans="1:16" x14ac:dyDescent="0.3">
      <c r="A42" s="34" t="s">
        <v>93</v>
      </c>
      <c r="B42" s="39" t="s">
        <v>41</v>
      </c>
      <c r="C42" s="34" t="s">
        <v>6</v>
      </c>
      <c r="O42" s="40">
        <v>1514.2</v>
      </c>
      <c r="P42" s="41">
        <f t="shared" si="0"/>
        <v>1514.2</v>
      </c>
    </row>
    <row r="43" spans="1:16" x14ac:dyDescent="0.3">
      <c r="A43" s="34" t="s">
        <v>93</v>
      </c>
      <c r="B43" s="39" t="s">
        <v>42</v>
      </c>
      <c r="C43" s="34" t="s">
        <v>6</v>
      </c>
      <c r="O43" s="40">
        <v>1674.9</v>
      </c>
      <c r="P43" s="41">
        <f t="shared" si="0"/>
        <v>1674.9</v>
      </c>
    </row>
    <row r="44" spans="1:16" x14ac:dyDescent="0.3">
      <c r="A44" s="34" t="s">
        <v>93</v>
      </c>
      <c r="B44" s="39" t="s">
        <v>43</v>
      </c>
      <c r="C44" s="34" t="s">
        <v>6</v>
      </c>
      <c r="O44" s="40">
        <v>974.4</v>
      </c>
      <c r="P44" s="41">
        <f t="shared" si="0"/>
        <v>974.4</v>
      </c>
    </row>
    <row r="45" spans="1:16" x14ac:dyDescent="0.3">
      <c r="A45" s="34" t="s">
        <v>93</v>
      </c>
      <c r="B45" s="35" t="s">
        <v>44</v>
      </c>
      <c r="C45" s="34" t="s">
        <v>6</v>
      </c>
      <c r="P45" s="37">
        <f t="shared" si="0"/>
        <v>0</v>
      </c>
    </row>
    <row r="46" spans="1:16" x14ac:dyDescent="0.3">
      <c r="A46" s="34" t="s">
        <v>93</v>
      </c>
      <c r="B46" s="35" t="s">
        <v>45</v>
      </c>
      <c r="C46" s="34" t="s">
        <v>6</v>
      </c>
      <c r="P46" s="41">
        <f t="shared" si="0"/>
        <v>0</v>
      </c>
    </row>
    <row r="47" spans="1:16" x14ac:dyDescent="0.3">
      <c r="A47" s="34" t="s">
        <v>93</v>
      </c>
      <c r="B47" s="35" t="s">
        <v>47</v>
      </c>
      <c r="C47" s="34" t="s">
        <v>6</v>
      </c>
      <c r="O47" s="41">
        <v>1.1368683772161611E-13</v>
      </c>
      <c r="P47" s="41">
        <f t="shared" si="0"/>
        <v>1.1368683772161611E-13</v>
      </c>
    </row>
    <row r="48" spans="1:16" x14ac:dyDescent="0.3">
      <c r="A48" s="34" t="s">
        <v>93</v>
      </c>
      <c r="B48" s="35" t="s">
        <v>28</v>
      </c>
      <c r="C48" s="34" t="s">
        <v>7</v>
      </c>
      <c r="P48" s="36">
        <f t="shared" si="0"/>
        <v>0</v>
      </c>
    </row>
    <row r="49" spans="1:16" x14ac:dyDescent="0.3">
      <c r="A49" s="34" t="s">
        <v>93</v>
      </c>
      <c r="B49" s="35" t="s">
        <v>30</v>
      </c>
      <c r="C49" s="34" t="s">
        <v>7</v>
      </c>
      <c r="P49" s="36">
        <f t="shared" si="0"/>
        <v>0</v>
      </c>
    </row>
    <row r="50" spans="1:16" x14ac:dyDescent="0.3">
      <c r="A50" s="34" t="s">
        <v>93</v>
      </c>
      <c r="B50" s="35" t="s">
        <v>31</v>
      </c>
      <c r="C50" s="34" t="s">
        <v>7</v>
      </c>
      <c r="P50" s="37">
        <f t="shared" si="0"/>
        <v>0</v>
      </c>
    </row>
    <row r="51" spans="1:16" x14ac:dyDescent="0.3">
      <c r="A51" s="34" t="s">
        <v>93</v>
      </c>
      <c r="B51" s="35" t="s">
        <v>33</v>
      </c>
      <c r="C51" s="34" t="s">
        <v>7</v>
      </c>
      <c r="P51" s="38">
        <f t="shared" si="0"/>
        <v>0</v>
      </c>
    </row>
    <row r="52" spans="1:16" x14ac:dyDescent="0.3">
      <c r="A52" s="34" t="s">
        <v>93</v>
      </c>
      <c r="B52" s="39" t="s">
        <v>35</v>
      </c>
      <c r="C52" s="34" t="s">
        <v>7</v>
      </c>
      <c r="O52" s="40">
        <v>974.4</v>
      </c>
      <c r="P52" s="41">
        <f t="shared" si="0"/>
        <v>974.4</v>
      </c>
    </row>
    <row r="53" spans="1:16" x14ac:dyDescent="0.3">
      <c r="A53" s="34" t="s">
        <v>93</v>
      </c>
      <c r="B53" s="39" t="s">
        <v>37</v>
      </c>
      <c r="C53" s="34" t="s">
        <v>7</v>
      </c>
      <c r="O53" s="40">
        <v>20.2</v>
      </c>
      <c r="P53" s="41">
        <f t="shared" si="0"/>
        <v>20.2</v>
      </c>
    </row>
    <row r="54" spans="1:16" x14ac:dyDescent="0.3">
      <c r="A54" s="34" t="s">
        <v>93</v>
      </c>
      <c r="B54" s="39" t="s">
        <v>38</v>
      </c>
      <c r="C54" s="34" t="s">
        <v>7</v>
      </c>
      <c r="O54" s="40">
        <v>3282.7</v>
      </c>
      <c r="P54" s="41">
        <f t="shared" si="0"/>
        <v>3282.7</v>
      </c>
    </row>
    <row r="55" spans="1:16" x14ac:dyDescent="0.3">
      <c r="A55" s="34" t="s">
        <v>93</v>
      </c>
      <c r="B55" s="39" t="s">
        <v>39</v>
      </c>
      <c r="C55" s="34" t="s">
        <v>7</v>
      </c>
      <c r="O55" s="40">
        <v>78.7</v>
      </c>
      <c r="P55" s="41">
        <f t="shared" si="0"/>
        <v>78.7</v>
      </c>
    </row>
    <row r="56" spans="1:16" x14ac:dyDescent="0.3">
      <c r="A56" s="34" t="s">
        <v>93</v>
      </c>
      <c r="B56" s="39" t="s">
        <v>40</v>
      </c>
      <c r="C56" s="34" t="s">
        <v>7</v>
      </c>
      <c r="O56" s="40">
        <v>0</v>
      </c>
      <c r="P56" s="41">
        <f t="shared" si="0"/>
        <v>0</v>
      </c>
    </row>
    <row r="57" spans="1:16" x14ac:dyDescent="0.3">
      <c r="A57" s="34" t="s">
        <v>93</v>
      </c>
      <c r="B57" s="39" t="s">
        <v>41</v>
      </c>
      <c r="C57" s="34" t="s">
        <v>7</v>
      </c>
      <c r="O57" s="40">
        <v>1457.4999999999991</v>
      </c>
      <c r="P57" s="41">
        <f t="shared" si="0"/>
        <v>1457.4999999999991</v>
      </c>
    </row>
    <row r="58" spans="1:16" x14ac:dyDescent="0.3">
      <c r="A58" s="34" t="s">
        <v>93</v>
      </c>
      <c r="B58" s="39" t="s">
        <v>42</v>
      </c>
      <c r="C58" s="34" t="s">
        <v>7</v>
      </c>
      <c r="O58" s="40">
        <v>1869.4</v>
      </c>
      <c r="P58" s="41">
        <f t="shared" si="0"/>
        <v>1869.4</v>
      </c>
    </row>
    <row r="59" spans="1:16" x14ac:dyDescent="0.3">
      <c r="A59" s="34" t="s">
        <v>93</v>
      </c>
      <c r="B59" s="39" t="s">
        <v>43</v>
      </c>
      <c r="C59" s="34" t="s">
        <v>7</v>
      </c>
      <c r="O59" s="40">
        <v>871.7</v>
      </c>
      <c r="P59" s="41">
        <f t="shared" si="0"/>
        <v>871.7</v>
      </c>
    </row>
    <row r="60" spans="1:16" x14ac:dyDescent="0.3">
      <c r="A60" s="34" t="s">
        <v>93</v>
      </c>
      <c r="B60" s="35" t="s">
        <v>44</v>
      </c>
      <c r="C60" s="34" t="s">
        <v>7</v>
      </c>
      <c r="P60" s="37">
        <f t="shared" si="0"/>
        <v>0</v>
      </c>
    </row>
    <row r="61" spans="1:16" x14ac:dyDescent="0.3">
      <c r="A61" s="34" t="s">
        <v>93</v>
      </c>
      <c r="B61" s="35" t="s">
        <v>45</v>
      </c>
      <c r="C61" s="34" t="s">
        <v>7</v>
      </c>
      <c r="P61" s="41">
        <f t="shared" si="0"/>
        <v>0</v>
      </c>
    </row>
    <row r="62" spans="1:16" x14ac:dyDescent="0.3">
      <c r="A62" s="34" t="s">
        <v>93</v>
      </c>
      <c r="B62" s="35" t="s">
        <v>47</v>
      </c>
      <c r="C62" s="34" t="s">
        <v>7</v>
      </c>
      <c r="O62" s="41">
        <v>2.2737367544323211E-13</v>
      </c>
      <c r="P62" s="41">
        <f t="shared" si="0"/>
        <v>2.2737367544323211E-13</v>
      </c>
    </row>
    <row r="63" spans="1:16" x14ac:dyDescent="0.3">
      <c r="A63" s="34" t="s">
        <v>93</v>
      </c>
      <c r="B63" s="35" t="s">
        <v>28</v>
      </c>
      <c r="C63" s="34" t="s">
        <v>8</v>
      </c>
      <c r="P63" s="36">
        <f t="shared" si="0"/>
        <v>0</v>
      </c>
    </row>
    <row r="64" spans="1:16" x14ac:dyDescent="0.3">
      <c r="A64" s="34" t="s">
        <v>93</v>
      </c>
      <c r="B64" s="35" t="s">
        <v>30</v>
      </c>
      <c r="C64" s="34" t="s">
        <v>8</v>
      </c>
      <c r="P64" s="36">
        <f t="shared" si="0"/>
        <v>0</v>
      </c>
    </row>
    <row r="65" spans="1:16" x14ac:dyDescent="0.3">
      <c r="A65" s="34" t="s">
        <v>93</v>
      </c>
      <c r="B65" s="35" t="s">
        <v>31</v>
      </c>
      <c r="C65" s="34" t="s">
        <v>8</v>
      </c>
      <c r="P65" s="37">
        <f t="shared" si="0"/>
        <v>0</v>
      </c>
    </row>
    <row r="66" spans="1:16" x14ac:dyDescent="0.3">
      <c r="A66" s="34" t="s">
        <v>93</v>
      </c>
      <c r="B66" s="35" t="s">
        <v>33</v>
      </c>
      <c r="C66" s="34" t="s">
        <v>8</v>
      </c>
      <c r="P66" s="38">
        <f t="shared" si="0"/>
        <v>0</v>
      </c>
    </row>
    <row r="67" spans="1:16" x14ac:dyDescent="0.3">
      <c r="A67" s="34" t="s">
        <v>93</v>
      </c>
      <c r="B67" s="39" t="s">
        <v>35</v>
      </c>
      <c r="C67" s="34" t="s">
        <v>8</v>
      </c>
      <c r="O67" s="40">
        <v>871.7</v>
      </c>
      <c r="P67" s="41">
        <f t="shared" ref="P67:P130" si="1">SUM(D67:O67)</f>
        <v>871.7</v>
      </c>
    </row>
    <row r="68" spans="1:16" x14ac:dyDescent="0.3">
      <c r="A68" s="34" t="s">
        <v>93</v>
      </c>
      <c r="B68" s="39" t="s">
        <v>37</v>
      </c>
      <c r="C68" s="34" t="s">
        <v>8</v>
      </c>
      <c r="O68" s="40">
        <v>17.5</v>
      </c>
      <c r="P68" s="41">
        <f t="shared" si="1"/>
        <v>17.5</v>
      </c>
    </row>
    <row r="69" spans="1:16" x14ac:dyDescent="0.3">
      <c r="A69" s="34" t="s">
        <v>93</v>
      </c>
      <c r="B69" s="39" t="s">
        <v>38</v>
      </c>
      <c r="C69" s="34" t="s">
        <v>8</v>
      </c>
      <c r="O69" s="40">
        <v>3852.2</v>
      </c>
      <c r="P69" s="41">
        <f t="shared" si="1"/>
        <v>3852.2</v>
      </c>
    </row>
    <row r="70" spans="1:16" x14ac:dyDescent="0.3">
      <c r="A70" s="34" t="s">
        <v>93</v>
      </c>
      <c r="B70" s="39" t="s">
        <v>39</v>
      </c>
      <c r="C70" s="34" t="s">
        <v>8</v>
      </c>
      <c r="O70" s="40">
        <v>92.1</v>
      </c>
      <c r="P70" s="41">
        <f t="shared" si="1"/>
        <v>92.1</v>
      </c>
    </row>
    <row r="71" spans="1:16" x14ac:dyDescent="0.3">
      <c r="A71" s="34" t="s">
        <v>93</v>
      </c>
      <c r="B71" s="39" t="s">
        <v>40</v>
      </c>
      <c r="C71" s="34" t="s">
        <v>8</v>
      </c>
      <c r="O71" s="40">
        <v>0</v>
      </c>
      <c r="P71" s="41">
        <f t="shared" si="1"/>
        <v>0</v>
      </c>
    </row>
    <row r="72" spans="1:16" x14ac:dyDescent="0.3">
      <c r="A72" s="34" t="s">
        <v>93</v>
      </c>
      <c r="B72" s="39" t="s">
        <v>41</v>
      </c>
      <c r="C72" s="34" t="s">
        <v>8</v>
      </c>
      <c r="O72" s="40">
        <v>1789</v>
      </c>
      <c r="P72" s="41">
        <f t="shared" si="1"/>
        <v>1789</v>
      </c>
    </row>
    <row r="73" spans="1:16" x14ac:dyDescent="0.3">
      <c r="A73" s="34" t="s">
        <v>93</v>
      </c>
      <c r="B73" s="39" t="s">
        <v>42</v>
      </c>
      <c r="C73" s="34" t="s">
        <v>8</v>
      </c>
      <c r="O73" s="40">
        <v>2304.1</v>
      </c>
      <c r="P73" s="41">
        <f t="shared" si="1"/>
        <v>2304.1</v>
      </c>
    </row>
    <row r="74" spans="1:16" x14ac:dyDescent="0.3">
      <c r="A74" s="34" t="s">
        <v>93</v>
      </c>
      <c r="B74" s="39" t="s">
        <v>43</v>
      </c>
      <c r="C74" s="34" t="s">
        <v>8</v>
      </c>
      <c r="O74" s="40">
        <v>556.20000000000005</v>
      </c>
      <c r="P74" s="41">
        <f t="shared" si="1"/>
        <v>556.20000000000005</v>
      </c>
    </row>
    <row r="75" spans="1:16" x14ac:dyDescent="0.3">
      <c r="A75" s="34" t="s">
        <v>93</v>
      </c>
      <c r="B75" s="35" t="s">
        <v>44</v>
      </c>
      <c r="C75" s="34" t="s">
        <v>8</v>
      </c>
      <c r="P75" s="37">
        <f t="shared" si="1"/>
        <v>0</v>
      </c>
    </row>
    <row r="76" spans="1:16" x14ac:dyDescent="0.3">
      <c r="A76" s="34" t="s">
        <v>93</v>
      </c>
      <c r="B76" s="35" t="s">
        <v>45</v>
      </c>
      <c r="C76" s="34" t="s">
        <v>8</v>
      </c>
      <c r="P76" s="41">
        <f t="shared" si="1"/>
        <v>0</v>
      </c>
    </row>
    <row r="77" spans="1:16" x14ac:dyDescent="0.3">
      <c r="A77" s="34" t="s">
        <v>93</v>
      </c>
      <c r="B77" s="35" t="s">
        <v>47</v>
      </c>
      <c r="C77" s="34" t="s">
        <v>8</v>
      </c>
      <c r="O77" s="41">
        <v>-6.8212102632969618E-13</v>
      </c>
      <c r="P77" s="41">
        <f t="shared" si="1"/>
        <v>-6.8212102632969618E-13</v>
      </c>
    </row>
    <row r="78" spans="1:16" x14ac:dyDescent="0.3">
      <c r="A78" s="34" t="s">
        <v>93</v>
      </c>
      <c r="B78" s="35" t="s">
        <v>28</v>
      </c>
      <c r="C78" s="34" t="s">
        <v>9</v>
      </c>
      <c r="P78" s="36">
        <f t="shared" si="1"/>
        <v>0</v>
      </c>
    </row>
    <row r="79" spans="1:16" x14ac:dyDescent="0.3">
      <c r="A79" s="34" t="s">
        <v>93</v>
      </c>
      <c r="B79" s="35" t="s">
        <v>30</v>
      </c>
      <c r="C79" s="34" t="s">
        <v>9</v>
      </c>
      <c r="P79" s="36">
        <f t="shared" si="1"/>
        <v>0</v>
      </c>
    </row>
    <row r="80" spans="1:16" x14ac:dyDescent="0.3">
      <c r="A80" s="34" t="s">
        <v>93</v>
      </c>
      <c r="B80" s="35" t="s">
        <v>31</v>
      </c>
      <c r="C80" s="34" t="s">
        <v>9</v>
      </c>
      <c r="P80" s="37">
        <f t="shared" si="1"/>
        <v>0</v>
      </c>
    </row>
    <row r="81" spans="1:16" x14ac:dyDescent="0.3">
      <c r="A81" s="34" t="s">
        <v>93</v>
      </c>
      <c r="B81" s="35" t="s">
        <v>33</v>
      </c>
      <c r="C81" s="34" t="s">
        <v>9</v>
      </c>
      <c r="P81" s="38">
        <f t="shared" si="1"/>
        <v>0</v>
      </c>
    </row>
    <row r="82" spans="1:16" x14ac:dyDescent="0.3">
      <c r="A82" s="34" t="s">
        <v>93</v>
      </c>
      <c r="B82" s="39" t="s">
        <v>35</v>
      </c>
      <c r="C82" s="34" t="s">
        <v>9</v>
      </c>
      <c r="O82" s="40">
        <v>556.20000000000005</v>
      </c>
      <c r="P82" s="41">
        <f t="shared" si="1"/>
        <v>556.20000000000005</v>
      </c>
    </row>
    <row r="83" spans="1:16" x14ac:dyDescent="0.3">
      <c r="A83" s="34" t="s">
        <v>93</v>
      </c>
      <c r="B83" s="39" t="s">
        <v>37</v>
      </c>
      <c r="C83" s="34" t="s">
        <v>9</v>
      </c>
      <c r="O83" s="40">
        <v>16.7</v>
      </c>
      <c r="P83" s="41">
        <f t="shared" si="1"/>
        <v>16.7</v>
      </c>
    </row>
    <row r="84" spans="1:16" x14ac:dyDescent="0.3">
      <c r="A84" s="34" t="s">
        <v>93</v>
      </c>
      <c r="B84" s="39" t="s">
        <v>38</v>
      </c>
      <c r="C84" s="34" t="s">
        <v>9</v>
      </c>
      <c r="O84" s="40">
        <v>4618.3999999999996</v>
      </c>
      <c r="P84" s="41">
        <f t="shared" si="1"/>
        <v>4618.3999999999996</v>
      </c>
    </row>
    <row r="85" spans="1:16" x14ac:dyDescent="0.3">
      <c r="A85" s="34" t="s">
        <v>93</v>
      </c>
      <c r="B85" s="39" t="s">
        <v>39</v>
      </c>
      <c r="C85" s="34" t="s">
        <v>9</v>
      </c>
      <c r="O85" s="40">
        <v>70.2</v>
      </c>
      <c r="P85" s="41">
        <f t="shared" si="1"/>
        <v>70.2</v>
      </c>
    </row>
    <row r="86" spans="1:16" x14ac:dyDescent="0.3">
      <c r="A86" s="34" t="s">
        <v>93</v>
      </c>
      <c r="B86" s="39" t="s">
        <v>40</v>
      </c>
      <c r="C86" s="34" t="s">
        <v>9</v>
      </c>
      <c r="O86" s="40">
        <v>0</v>
      </c>
      <c r="P86" s="41">
        <f t="shared" si="1"/>
        <v>0</v>
      </c>
    </row>
    <row r="87" spans="1:16" x14ac:dyDescent="0.3">
      <c r="A87" s="34" t="s">
        <v>93</v>
      </c>
      <c r="B87" s="39" t="s">
        <v>41</v>
      </c>
      <c r="C87" s="34" t="s">
        <v>9</v>
      </c>
      <c r="O87" s="40">
        <v>1366.5</v>
      </c>
      <c r="P87" s="41">
        <f t="shared" si="1"/>
        <v>1366.5</v>
      </c>
    </row>
    <row r="88" spans="1:16" x14ac:dyDescent="0.3">
      <c r="A88" s="34" t="s">
        <v>93</v>
      </c>
      <c r="B88" s="39" t="s">
        <v>42</v>
      </c>
      <c r="C88" s="34" t="s">
        <v>9</v>
      </c>
      <c r="O88" s="40">
        <v>2805.1</v>
      </c>
      <c r="P88" s="41">
        <f t="shared" si="1"/>
        <v>2805.1</v>
      </c>
    </row>
    <row r="89" spans="1:16" x14ac:dyDescent="0.3">
      <c r="A89" s="34" t="s">
        <v>93</v>
      </c>
      <c r="B89" s="39" t="s">
        <v>43</v>
      </c>
      <c r="C89" s="34" t="s">
        <v>9</v>
      </c>
      <c r="O89" s="40">
        <v>949.5</v>
      </c>
      <c r="P89" s="41">
        <f t="shared" si="1"/>
        <v>949.5</v>
      </c>
    </row>
    <row r="90" spans="1:16" x14ac:dyDescent="0.3">
      <c r="A90" s="34" t="s">
        <v>93</v>
      </c>
      <c r="B90" s="35" t="s">
        <v>44</v>
      </c>
      <c r="C90" s="34" t="s">
        <v>9</v>
      </c>
      <c r="P90" s="37">
        <f t="shared" si="1"/>
        <v>0</v>
      </c>
    </row>
    <row r="91" spans="1:16" x14ac:dyDescent="0.3">
      <c r="A91" s="34" t="s">
        <v>93</v>
      </c>
      <c r="B91" s="35" t="s">
        <v>45</v>
      </c>
      <c r="C91" s="34" t="s">
        <v>9</v>
      </c>
      <c r="P91" s="41">
        <f t="shared" si="1"/>
        <v>0</v>
      </c>
    </row>
    <row r="92" spans="1:16" x14ac:dyDescent="0.3">
      <c r="A92" s="34" t="s">
        <v>93</v>
      </c>
      <c r="B92" s="35" t="s">
        <v>47</v>
      </c>
      <c r="C92" s="34" t="s">
        <v>9</v>
      </c>
      <c r="O92" s="41">
        <v>0</v>
      </c>
      <c r="P92" s="41">
        <f t="shared" si="1"/>
        <v>0</v>
      </c>
    </row>
    <row r="93" spans="1:16" x14ac:dyDescent="0.3">
      <c r="A93" s="34" t="s">
        <v>93</v>
      </c>
      <c r="B93" s="35" t="s">
        <v>28</v>
      </c>
      <c r="C93" s="34" t="s">
        <v>10</v>
      </c>
      <c r="P93" s="36">
        <f t="shared" si="1"/>
        <v>0</v>
      </c>
    </row>
    <row r="94" spans="1:16" x14ac:dyDescent="0.3">
      <c r="A94" s="34" t="s">
        <v>93</v>
      </c>
      <c r="B94" s="35" t="s">
        <v>30</v>
      </c>
      <c r="C94" s="34" t="s">
        <v>10</v>
      </c>
      <c r="P94" s="36">
        <f t="shared" si="1"/>
        <v>0</v>
      </c>
    </row>
    <row r="95" spans="1:16" x14ac:dyDescent="0.3">
      <c r="A95" s="34" t="s">
        <v>93</v>
      </c>
      <c r="B95" s="35" t="s">
        <v>31</v>
      </c>
      <c r="C95" s="34" t="s">
        <v>10</v>
      </c>
      <c r="P95" s="37">
        <f t="shared" si="1"/>
        <v>0</v>
      </c>
    </row>
    <row r="96" spans="1:16" x14ac:dyDescent="0.3">
      <c r="A96" s="34" t="s">
        <v>93</v>
      </c>
      <c r="B96" s="35" t="s">
        <v>33</v>
      </c>
      <c r="C96" s="34" t="s">
        <v>10</v>
      </c>
      <c r="P96" s="38">
        <f t="shared" si="1"/>
        <v>0</v>
      </c>
    </row>
    <row r="97" spans="1:16" x14ac:dyDescent="0.3">
      <c r="A97" s="34" t="s">
        <v>93</v>
      </c>
      <c r="B97" s="39" t="s">
        <v>35</v>
      </c>
      <c r="C97" s="34" t="s">
        <v>10</v>
      </c>
      <c r="O97" s="40">
        <v>949.5</v>
      </c>
      <c r="P97" s="41">
        <f t="shared" si="1"/>
        <v>949.5</v>
      </c>
    </row>
    <row r="98" spans="1:16" x14ac:dyDescent="0.3">
      <c r="A98" s="34" t="s">
        <v>93</v>
      </c>
      <c r="B98" s="39" t="s">
        <v>37</v>
      </c>
      <c r="C98" s="34" t="s">
        <v>10</v>
      </c>
      <c r="O98" s="40">
        <v>17.399999999999999</v>
      </c>
      <c r="P98" s="41">
        <f t="shared" si="1"/>
        <v>17.399999999999999</v>
      </c>
    </row>
    <row r="99" spans="1:16" x14ac:dyDescent="0.3">
      <c r="A99" s="34" t="s">
        <v>93</v>
      </c>
      <c r="B99" s="39" t="s">
        <v>38</v>
      </c>
      <c r="C99" s="34" t="s">
        <v>10</v>
      </c>
      <c r="O99" s="40">
        <v>4272.6000000000004</v>
      </c>
      <c r="P99" s="41">
        <f t="shared" si="1"/>
        <v>4272.6000000000004</v>
      </c>
    </row>
    <row r="100" spans="1:16" x14ac:dyDescent="0.3">
      <c r="A100" s="34" t="s">
        <v>93</v>
      </c>
      <c r="B100" s="39" t="s">
        <v>39</v>
      </c>
      <c r="C100" s="34" t="s">
        <v>10</v>
      </c>
      <c r="O100" s="40">
        <v>69.3</v>
      </c>
      <c r="P100" s="41">
        <f t="shared" si="1"/>
        <v>69.3</v>
      </c>
    </row>
    <row r="101" spans="1:16" x14ac:dyDescent="0.3">
      <c r="A101" s="34" t="s">
        <v>93</v>
      </c>
      <c r="B101" s="39" t="s">
        <v>40</v>
      </c>
      <c r="C101" s="34" t="s">
        <v>10</v>
      </c>
      <c r="O101" s="40">
        <v>0</v>
      </c>
      <c r="P101" s="41">
        <f t="shared" si="1"/>
        <v>0</v>
      </c>
    </row>
    <row r="102" spans="1:16" x14ac:dyDescent="0.3">
      <c r="A102" s="34" t="s">
        <v>93</v>
      </c>
      <c r="B102" s="39" t="s">
        <v>41</v>
      </c>
      <c r="C102" s="34" t="s">
        <v>10</v>
      </c>
      <c r="O102" s="40">
        <v>1212.5999999999999</v>
      </c>
      <c r="P102" s="41">
        <f t="shared" si="1"/>
        <v>1212.5999999999999</v>
      </c>
    </row>
    <row r="103" spans="1:16" x14ac:dyDescent="0.3">
      <c r="A103" s="34" t="s">
        <v>93</v>
      </c>
      <c r="B103" s="39" t="s">
        <v>42</v>
      </c>
      <c r="C103" s="34" t="s">
        <v>10</v>
      </c>
      <c r="O103" s="40">
        <v>2430.4</v>
      </c>
      <c r="P103" s="41">
        <f t="shared" si="1"/>
        <v>2430.4</v>
      </c>
    </row>
    <row r="104" spans="1:16" x14ac:dyDescent="0.3">
      <c r="A104" s="34" t="s">
        <v>93</v>
      </c>
      <c r="B104" s="39" t="s">
        <v>43</v>
      </c>
      <c r="C104" s="34" t="s">
        <v>10</v>
      </c>
      <c r="O104" s="40">
        <v>1527.2</v>
      </c>
      <c r="P104" s="41">
        <f t="shared" si="1"/>
        <v>1527.2</v>
      </c>
    </row>
    <row r="105" spans="1:16" x14ac:dyDescent="0.3">
      <c r="A105" s="34" t="s">
        <v>93</v>
      </c>
      <c r="B105" s="35" t="s">
        <v>44</v>
      </c>
      <c r="C105" s="34" t="s">
        <v>10</v>
      </c>
      <c r="P105" s="37">
        <f t="shared" si="1"/>
        <v>0</v>
      </c>
    </row>
    <row r="106" spans="1:16" x14ac:dyDescent="0.3">
      <c r="A106" s="34" t="s">
        <v>93</v>
      </c>
      <c r="B106" s="35" t="s">
        <v>45</v>
      </c>
      <c r="C106" s="34" t="s">
        <v>10</v>
      </c>
      <c r="P106" s="41">
        <f t="shared" si="1"/>
        <v>0</v>
      </c>
    </row>
    <row r="107" spans="1:16" x14ac:dyDescent="0.3">
      <c r="A107" s="34" t="s">
        <v>93</v>
      </c>
      <c r="B107" s="35" t="s">
        <v>47</v>
      </c>
      <c r="C107" s="34" t="s">
        <v>10</v>
      </c>
      <c r="O107" s="41">
        <v>2.2737367544323211E-13</v>
      </c>
      <c r="P107" s="41">
        <f t="shared" si="1"/>
        <v>2.2737367544323211E-13</v>
      </c>
    </row>
    <row r="108" spans="1:16" x14ac:dyDescent="0.3">
      <c r="A108" s="34" t="s">
        <v>93</v>
      </c>
      <c r="B108" s="35" t="s">
        <v>28</v>
      </c>
      <c r="C108" s="34" t="s">
        <v>11</v>
      </c>
      <c r="P108" s="36">
        <f t="shared" si="1"/>
        <v>0</v>
      </c>
    </row>
    <row r="109" spans="1:16" x14ac:dyDescent="0.3">
      <c r="A109" s="34" t="s">
        <v>93</v>
      </c>
      <c r="B109" s="35" t="s">
        <v>30</v>
      </c>
      <c r="C109" s="34" t="s">
        <v>11</v>
      </c>
      <c r="P109" s="36">
        <f t="shared" si="1"/>
        <v>0</v>
      </c>
    </row>
    <row r="110" spans="1:16" x14ac:dyDescent="0.3">
      <c r="A110" s="34" t="s">
        <v>93</v>
      </c>
      <c r="B110" s="35" t="s">
        <v>31</v>
      </c>
      <c r="C110" s="34" t="s">
        <v>11</v>
      </c>
      <c r="P110" s="37">
        <f t="shared" si="1"/>
        <v>0</v>
      </c>
    </row>
    <row r="111" spans="1:16" x14ac:dyDescent="0.3">
      <c r="A111" s="34" t="s">
        <v>93</v>
      </c>
      <c r="B111" s="35" t="s">
        <v>33</v>
      </c>
      <c r="C111" s="34" t="s">
        <v>11</v>
      </c>
      <c r="P111" s="38">
        <f t="shared" si="1"/>
        <v>0</v>
      </c>
    </row>
    <row r="112" spans="1:16" x14ac:dyDescent="0.3">
      <c r="A112" s="34" t="s">
        <v>93</v>
      </c>
      <c r="B112" s="39" t="s">
        <v>35</v>
      </c>
      <c r="C112" s="34" t="s">
        <v>11</v>
      </c>
      <c r="O112" s="40">
        <v>1527.2</v>
      </c>
      <c r="P112" s="41">
        <f t="shared" si="1"/>
        <v>1527.2</v>
      </c>
    </row>
    <row r="113" spans="1:16" x14ac:dyDescent="0.3">
      <c r="A113" s="34" t="s">
        <v>93</v>
      </c>
      <c r="B113" s="39" t="s">
        <v>37</v>
      </c>
      <c r="C113" s="34" t="s">
        <v>11</v>
      </c>
      <c r="O113" s="40">
        <v>16.5</v>
      </c>
      <c r="P113" s="41">
        <f t="shared" si="1"/>
        <v>16.5</v>
      </c>
    </row>
    <row r="114" spans="1:16" x14ac:dyDescent="0.3">
      <c r="A114" s="34" t="s">
        <v>93</v>
      </c>
      <c r="B114" s="39" t="s">
        <v>38</v>
      </c>
      <c r="C114" s="34" t="s">
        <v>11</v>
      </c>
      <c r="O114" s="40">
        <v>2911.5</v>
      </c>
      <c r="P114" s="41">
        <f t="shared" si="1"/>
        <v>2911.5</v>
      </c>
    </row>
    <row r="115" spans="1:16" x14ac:dyDescent="0.3">
      <c r="A115" s="34" t="s">
        <v>93</v>
      </c>
      <c r="B115" s="39" t="s">
        <v>39</v>
      </c>
      <c r="C115" s="34" t="s">
        <v>11</v>
      </c>
      <c r="O115" s="40">
        <v>59.8</v>
      </c>
      <c r="P115" s="41">
        <f t="shared" si="1"/>
        <v>59.8</v>
      </c>
    </row>
    <row r="116" spans="1:16" x14ac:dyDescent="0.3">
      <c r="A116" s="34" t="s">
        <v>93</v>
      </c>
      <c r="B116" s="39" t="s">
        <v>40</v>
      </c>
      <c r="C116" s="34" t="s">
        <v>11</v>
      </c>
      <c r="O116" s="40">
        <v>0</v>
      </c>
      <c r="P116" s="41">
        <f t="shared" si="1"/>
        <v>0</v>
      </c>
    </row>
    <row r="117" spans="1:16" x14ac:dyDescent="0.3">
      <c r="A117" s="34" t="s">
        <v>93</v>
      </c>
      <c r="B117" s="39" t="s">
        <v>41</v>
      </c>
      <c r="C117" s="34" t="s">
        <v>11</v>
      </c>
      <c r="O117" s="40">
        <v>1158.0999999999999</v>
      </c>
      <c r="P117" s="41">
        <f t="shared" si="1"/>
        <v>1158.0999999999999</v>
      </c>
    </row>
    <row r="118" spans="1:16" x14ac:dyDescent="0.3">
      <c r="A118" s="34" t="s">
        <v>93</v>
      </c>
      <c r="B118" s="39" t="s">
        <v>42</v>
      </c>
      <c r="C118" s="34" t="s">
        <v>11</v>
      </c>
      <c r="O118" s="40">
        <v>2075.5</v>
      </c>
      <c r="P118" s="41">
        <f t="shared" si="1"/>
        <v>2075.5</v>
      </c>
    </row>
    <row r="119" spans="1:16" x14ac:dyDescent="0.3">
      <c r="A119" s="34" t="s">
        <v>93</v>
      </c>
      <c r="B119" s="39" t="s">
        <v>43</v>
      </c>
      <c r="C119" s="34" t="s">
        <v>11</v>
      </c>
      <c r="O119" s="40">
        <v>1161.8</v>
      </c>
      <c r="P119" s="41">
        <f t="shared" si="1"/>
        <v>1161.8</v>
      </c>
    </row>
    <row r="120" spans="1:16" x14ac:dyDescent="0.3">
      <c r="A120" s="34" t="s">
        <v>93</v>
      </c>
      <c r="B120" s="35" t="s">
        <v>44</v>
      </c>
      <c r="C120" s="34" t="s">
        <v>11</v>
      </c>
      <c r="P120" s="37">
        <f t="shared" si="1"/>
        <v>0</v>
      </c>
    </row>
    <row r="121" spans="1:16" x14ac:dyDescent="0.3">
      <c r="A121" s="34" t="s">
        <v>93</v>
      </c>
      <c r="B121" s="35" t="s">
        <v>45</v>
      </c>
      <c r="C121" s="34" t="s">
        <v>11</v>
      </c>
      <c r="P121" s="41">
        <f t="shared" si="1"/>
        <v>0</v>
      </c>
    </row>
    <row r="122" spans="1:16" x14ac:dyDescent="0.3">
      <c r="A122" s="34" t="s">
        <v>93</v>
      </c>
      <c r="B122" s="35" t="s">
        <v>47</v>
      </c>
      <c r="C122" s="34" t="s">
        <v>11</v>
      </c>
      <c r="O122" s="41">
        <v>2.2737367544323211E-13</v>
      </c>
      <c r="P122" s="41">
        <f t="shared" si="1"/>
        <v>2.2737367544323211E-13</v>
      </c>
    </row>
    <row r="123" spans="1:16" x14ac:dyDescent="0.3">
      <c r="A123" s="34" t="s">
        <v>93</v>
      </c>
      <c r="B123" s="35" t="s">
        <v>28</v>
      </c>
      <c r="C123" s="34" t="s">
        <v>12</v>
      </c>
      <c r="P123" s="36">
        <f t="shared" si="1"/>
        <v>0</v>
      </c>
    </row>
    <row r="124" spans="1:16" x14ac:dyDescent="0.3">
      <c r="A124" s="34" t="s">
        <v>93</v>
      </c>
      <c r="B124" s="35" t="s">
        <v>30</v>
      </c>
      <c r="C124" s="34" t="s">
        <v>12</v>
      </c>
      <c r="P124" s="36">
        <f t="shared" si="1"/>
        <v>0</v>
      </c>
    </row>
    <row r="125" spans="1:16" x14ac:dyDescent="0.3">
      <c r="A125" s="34" t="s">
        <v>93</v>
      </c>
      <c r="B125" s="35" t="s">
        <v>31</v>
      </c>
      <c r="C125" s="34" t="s">
        <v>12</v>
      </c>
      <c r="P125" s="37">
        <f t="shared" si="1"/>
        <v>0</v>
      </c>
    </row>
    <row r="126" spans="1:16" x14ac:dyDescent="0.3">
      <c r="A126" s="34" t="s">
        <v>93</v>
      </c>
      <c r="B126" s="35" t="s">
        <v>33</v>
      </c>
      <c r="C126" s="34" t="s">
        <v>12</v>
      </c>
      <c r="P126" s="38">
        <f t="shared" si="1"/>
        <v>0</v>
      </c>
    </row>
    <row r="127" spans="1:16" x14ac:dyDescent="0.3">
      <c r="A127" s="34" t="s">
        <v>93</v>
      </c>
      <c r="B127" s="39" t="s">
        <v>35</v>
      </c>
      <c r="C127" s="34" t="s">
        <v>12</v>
      </c>
      <c r="O127" s="40">
        <v>1161.8</v>
      </c>
      <c r="P127" s="41">
        <f t="shared" si="1"/>
        <v>1161.8</v>
      </c>
    </row>
    <row r="128" spans="1:16" x14ac:dyDescent="0.3">
      <c r="A128" s="34" t="s">
        <v>93</v>
      </c>
      <c r="B128" s="39" t="s">
        <v>37</v>
      </c>
      <c r="C128" s="34" t="s">
        <v>12</v>
      </c>
      <c r="O128" s="40">
        <v>25.1</v>
      </c>
      <c r="P128" s="41">
        <f t="shared" si="1"/>
        <v>25.1</v>
      </c>
    </row>
    <row r="129" spans="1:16" x14ac:dyDescent="0.3">
      <c r="A129" s="34" t="s">
        <v>93</v>
      </c>
      <c r="B129" s="39" t="s">
        <v>38</v>
      </c>
      <c r="C129" s="34" t="s">
        <v>12</v>
      </c>
      <c r="O129" s="40">
        <v>2451.4</v>
      </c>
      <c r="P129" s="41">
        <f t="shared" si="1"/>
        <v>2451.4</v>
      </c>
    </row>
    <row r="130" spans="1:16" x14ac:dyDescent="0.3">
      <c r="A130" s="34" t="s">
        <v>93</v>
      </c>
      <c r="B130" s="39" t="s">
        <v>39</v>
      </c>
      <c r="C130" s="34" t="s">
        <v>12</v>
      </c>
      <c r="O130" s="40">
        <v>86.2</v>
      </c>
      <c r="P130" s="41">
        <f t="shared" si="1"/>
        <v>86.2</v>
      </c>
    </row>
    <row r="131" spans="1:16" x14ac:dyDescent="0.3">
      <c r="A131" s="34" t="s">
        <v>93</v>
      </c>
      <c r="B131" s="39" t="s">
        <v>40</v>
      </c>
      <c r="C131" s="34" t="s">
        <v>12</v>
      </c>
      <c r="O131" s="40">
        <v>0</v>
      </c>
      <c r="P131" s="41">
        <f t="shared" ref="P131:P194" si="2">SUM(D131:O131)</f>
        <v>0</v>
      </c>
    </row>
    <row r="132" spans="1:16" x14ac:dyDescent="0.3">
      <c r="A132" s="34" t="s">
        <v>93</v>
      </c>
      <c r="B132" s="39" t="s">
        <v>41</v>
      </c>
      <c r="C132" s="34" t="s">
        <v>12</v>
      </c>
      <c r="O132" s="40">
        <v>884.79999999999961</v>
      </c>
      <c r="P132" s="41">
        <f t="shared" si="2"/>
        <v>884.79999999999961</v>
      </c>
    </row>
    <row r="133" spans="1:16" x14ac:dyDescent="0.3">
      <c r="A133" s="34" t="s">
        <v>93</v>
      </c>
      <c r="B133" s="39" t="s">
        <v>42</v>
      </c>
      <c r="C133" s="34" t="s">
        <v>12</v>
      </c>
      <c r="O133" s="40">
        <v>1934.7</v>
      </c>
      <c r="P133" s="41">
        <f t="shared" si="2"/>
        <v>1934.7</v>
      </c>
    </row>
    <row r="134" spans="1:16" x14ac:dyDescent="0.3">
      <c r="A134" s="34" t="s">
        <v>93</v>
      </c>
      <c r="B134" s="39" t="s">
        <v>43</v>
      </c>
      <c r="C134" s="34" t="s">
        <v>12</v>
      </c>
      <c r="O134" s="40">
        <v>732.6</v>
      </c>
      <c r="P134" s="41">
        <f t="shared" si="2"/>
        <v>732.6</v>
      </c>
    </row>
    <row r="135" spans="1:16" x14ac:dyDescent="0.3">
      <c r="A135" s="34" t="s">
        <v>93</v>
      </c>
      <c r="B135" s="35" t="s">
        <v>44</v>
      </c>
      <c r="C135" s="34" t="s">
        <v>12</v>
      </c>
      <c r="P135" s="37">
        <f t="shared" si="2"/>
        <v>0</v>
      </c>
    </row>
    <row r="136" spans="1:16" x14ac:dyDescent="0.3">
      <c r="A136" s="34" t="s">
        <v>93</v>
      </c>
      <c r="B136" s="35" t="s">
        <v>45</v>
      </c>
      <c r="C136" s="34" t="s">
        <v>12</v>
      </c>
      <c r="P136" s="41">
        <f t="shared" si="2"/>
        <v>0</v>
      </c>
    </row>
    <row r="137" spans="1:16" x14ac:dyDescent="0.3">
      <c r="A137" s="34" t="s">
        <v>93</v>
      </c>
      <c r="B137" s="35" t="s">
        <v>47</v>
      </c>
      <c r="C137" s="34" t="s">
        <v>12</v>
      </c>
      <c r="O137" s="41">
        <v>1.1368683772161611E-13</v>
      </c>
      <c r="P137" s="41">
        <f t="shared" si="2"/>
        <v>1.1368683772161611E-13</v>
      </c>
    </row>
    <row r="138" spans="1:16" x14ac:dyDescent="0.3">
      <c r="A138" s="34" t="s">
        <v>93</v>
      </c>
      <c r="B138" s="35" t="s">
        <v>28</v>
      </c>
      <c r="C138" s="34" t="s">
        <v>13</v>
      </c>
      <c r="P138" s="36">
        <f t="shared" si="2"/>
        <v>0</v>
      </c>
    </row>
    <row r="139" spans="1:16" x14ac:dyDescent="0.3">
      <c r="A139" s="34" t="s">
        <v>93</v>
      </c>
      <c r="B139" s="35" t="s">
        <v>30</v>
      </c>
      <c r="C139" s="34" t="s">
        <v>13</v>
      </c>
      <c r="P139" s="36">
        <f t="shared" si="2"/>
        <v>0</v>
      </c>
    </row>
    <row r="140" spans="1:16" x14ac:dyDescent="0.3">
      <c r="A140" s="34" t="s">
        <v>93</v>
      </c>
      <c r="B140" s="35" t="s">
        <v>31</v>
      </c>
      <c r="C140" s="34" t="s">
        <v>13</v>
      </c>
      <c r="P140" s="37">
        <f t="shared" si="2"/>
        <v>0</v>
      </c>
    </row>
    <row r="141" spans="1:16" x14ac:dyDescent="0.3">
      <c r="A141" s="34" t="s">
        <v>93</v>
      </c>
      <c r="B141" s="35" t="s">
        <v>33</v>
      </c>
      <c r="C141" s="34" t="s">
        <v>13</v>
      </c>
      <c r="P141" s="38">
        <f t="shared" si="2"/>
        <v>0</v>
      </c>
    </row>
    <row r="142" spans="1:16" x14ac:dyDescent="0.3">
      <c r="A142" s="34" t="s">
        <v>93</v>
      </c>
      <c r="B142" s="39" t="s">
        <v>35</v>
      </c>
      <c r="C142" s="34" t="s">
        <v>13</v>
      </c>
      <c r="O142" s="40">
        <v>732.6</v>
      </c>
      <c r="P142" s="41">
        <f t="shared" si="2"/>
        <v>732.6</v>
      </c>
    </row>
    <row r="143" spans="1:16" x14ac:dyDescent="0.3">
      <c r="A143" s="34" t="s">
        <v>93</v>
      </c>
      <c r="B143" s="39" t="s">
        <v>37</v>
      </c>
      <c r="C143" s="34" t="s">
        <v>13</v>
      </c>
      <c r="O143" s="40">
        <v>12.1</v>
      </c>
      <c r="P143" s="41">
        <f t="shared" si="2"/>
        <v>12.1</v>
      </c>
    </row>
    <row r="144" spans="1:16" x14ac:dyDescent="0.3">
      <c r="A144" s="34" t="s">
        <v>93</v>
      </c>
      <c r="B144" s="39" t="s">
        <v>38</v>
      </c>
      <c r="C144" s="34" t="s">
        <v>13</v>
      </c>
      <c r="O144" s="40">
        <v>3157.6</v>
      </c>
      <c r="P144" s="41">
        <f t="shared" si="2"/>
        <v>3157.6</v>
      </c>
    </row>
    <row r="145" spans="1:16" x14ac:dyDescent="0.3">
      <c r="A145" s="34" t="s">
        <v>93</v>
      </c>
      <c r="B145" s="39" t="s">
        <v>39</v>
      </c>
      <c r="C145" s="34" t="s">
        <v>13</v>
      </c>
      <c r="O145" s="40">
        <v>123.3</v>
      </c>
      <c r="P145" s="41">
        <f t="shared" si="2"/>
        <v>123.3</v>
      </c>
    </row>
    <row r="146" spans="1:16" x14ac:dyDescent="0.3">
      <c r="A146" s="34" t="s">
        <v>93</v>
      </c>
      <c r="B146" s="39" t="s">
        <v>40</v>
      </c>
      <c r="C146" s="34" t="s">
        <v>13</v>
      </c>
      <c r="O146" s="40">
        <v>0</v>
      </c>
      <c r="P146" s="41">
        <f t="shared" si="2"/>
        <v>0</v>
      </c>
    </row>
    <row r="147" spans="1:16" x14ac:dyDescent="0.3">
      <c r="A147" s="34" t="s">
        <v>93</v>
      </c>
      <c r="B147" s="39" t="s">
        <v>41</v>
      </c>
      <c r="C147" s="34" t="s">
        <v>13</v>
      </c>
      <c r="O147" s="40">
        <v>780.19999999999936</v>
      </c>
      <c r="P147" s="41">
        <f t="shared" si="2"/>
        <v>780.19999999999936</v>
      </c>
    </row>
    <row r="148" spans="1:16" x14ac:dyDescent="0.3">
      <c r="A148" s="34" t="s">
        <v>93</v>
      </c>
      <c r="B148" s="39" t="s">
        <v>42</v>
      </c>
      <c r="C148" s="34" t="s">
        <v>13</v>
      </c>
      <c r="O148" s="40">
        <v>2194.3000000000002</v>
      </c>
      <c r="P148" s="41">
        <f t="shared" si="2"/>
        <v>2194.3000000000002</v>
      </c>
    </row>
    <row r="149" spans="1:16" x14ac:dyDescent="0.3">
      <c r="A149" s="34" t="s">
        <v>93</v>
      </c>
      <c r="B149" s="39" t="s">
        <v>43</v>
      </c>
      <c r="C149" s="34" t="s">
        <v>13</v>
      </c>
      <c r="O149" s="40">
        <v>804.5</v>
      </c>
      <c r="P149" s="41">
        <f t="shared" si="2"/>
        <v>804.5</v>
      </c>
    </row>
    <row r="150" spans="1:16" x14ac:dyDescent="0.3">
      <c r="A150" s="34" t="s">
        <v>93</v>
      </c>
      <c r="B150" s="35" t="s">
        <v>44</v>
      </c>
      <c r="C150" s="34" t="s">
        <v>13</v>
      </c>
      <c r="P150" s="37">
        <f t="shared" si="2"/>
        <v>0</v>
      </c>
    </row>
    <row r="151" spans="1:16" x14ac:dyDescent="0.3">
      <c r="A151" s="34" t="s">
        <v>93</v>
      </c>
      <c r="B151" s="35" t="s">
        <v>45</v>
      </c>
      <c r="C151" s="34" t="s">
        <v>13</v>
      </c>
      <c r="P151" s="41">
        <f t="shared" si="2"/>
        <v>0</v>
      </c>
    </row>
    <row r="152" spans="1:16" x14ac:dyDescent="0.3">
      <c r="A152" s="34" t="s">
        <v>93</v>
      </c>
      <c r="B152" s="35" t="s">
        <v>47</v>
      </c>
      <c r="C152" s="34" t="s">
        <v>13</v>
      </c>
      <c r="O152" s="41">
        <v>0</v>
      </c>
      <c r="P152" s="41">
        <f t="shared" si="2"/>
        <v>0</v>
      </c>
    </row>
    <row r="153" spans="1:16" x14ac:dyDescent="0.3">
      <c r="A153" s="34" t="s">
        <v>93</v>
      </c>
      <c r="B153" s="35" t="s">
        <v>28</v>
      </c>
      <c r="C153" s="34" t="s">
        <v>14</v>
      </c>
      <c r="P153" s="36">
        <f t="shared" si="2"/>
        <v>0</v>
      </c>
    </row>
    <row r="154" spans="1:16" x14ac:dyDescent="0.3">
      <c r="A154" s="34" t="s">
        <v>93</v>
      </c>
      <c r="B154" s="35" t="s">
        <v>30</v>
      </c>
      <c r="C154" s="34" t="s">
        <v>14</v>
      </c>
      <c r="P154" s="36">
        <f t="shared" si="2"/>
        <v>0</v>
      </c>
    </row>
    <row r="155" spans="1:16" x14ac:dyDescent="0.3">
      <c r="A155" s="34" t="s">
        <v>93</v>
      </c>
      <c r="B155" s="35" t="s">
        <v>31</v>
      </c>
      <c r="C155" s="34" t="s">
        <v>14</v>
      </c>
      <c r="P155" s="37">
        <f t="shared" si="2"/>
        <v>0</v>
      </c>
    </row>
    <row r="156" spans="1:16" x14ac:dyDescent="0.3">
      <c r="A156" s="34" t="s">
        <v>93</v>
      </c>
      <c r="B156" s="35" t="s">
        <v>33</v>
      </c>
      <c r="C156" s="34" t="s">
        <v>14</v>
      </c>
      <c r="P156" s="38">
        <f t="shared" si="2"/>
        <v>0</v>
      </c>
    </row>
    <row r="157" spans="1:16" x14ac:dyDescent="0.3">
      <c r="A157" s="34" t="s">
        <v>93</v>
      </c>
      <c r="B157" s="39" t="s">
        <v>35</v>
      </c>
      <c r="C157" s="34" t="s">
        <v>14</v>
      </c>
      <c r="O157" s="40">
        <v>804.5</v>
      </c>
      <c r="P157" s="41">
        <f t="shared" si="2"/>
        <v>804.5</v>
      </c>
    </row>
    <row r="158" spans="1:16" x14ac:dyDescent="0.3">
      <c r="A158" s="34" t="s">
        <v>93</v>
      </c>
      <c r="B158" s="39" t="s">
        <v>37</v>
      </c>
      <c r="C158" s="34" t="s">
        <v>14</v>
      </c>
      <c r="O158" s="40">
        <v>18.399999999999999</v>
      </c>
      <c r="P158" s="41">
        <f t="shared" si="2"/>
        <v>18.399999999999999</v>
      </c>
    </row>
    <row r="159" spans="1:16" x14ac:dyDescent="0.3">
      <c r="A159" s="34" t="s">
        <v>93</v>
      </c>
      <c r="B159" s="39" t="s">
        <v>38</v>
      </c>
      <c r="C159" s="34" t="s">
        <v>14</v>
      </c>
      <c r="O159" s="40">
        <v>2829.6</v>
      </c>
      <c r="P159" s="41">
        <f t="shared" si="2"/>
        <v>2829.6</v>
      </c>
    </row>
    <row r="160" spans="1:16" x14ac:dyDescent="0.3">
      <c r="A160" s="34" t="s">
        <v>93</v>
      </c>
      <c r="B160" s="39" t="s">
        <v>39</v>
      </c>
      <c r="C160" s="34" t="s">
        <v>14</v>
      </c>
      <c r="O160" s="40">
        <v>117.2</v>
      </c>
      <c r="P160" s="41">
        <f t="shared" si="2"/>
        <v>117.2</v>
      </c>
    </row>
    <row r="161" spans="1:16" x14ac:dyDescent="0.3">
      <c r="A161" s="34" t="s">
        <v>93</v>
      </c>
      <c r="B161" s="39" t="s">
        <v>40</v>
      </c>
      <c r="C161" s="34" t="s">
        <v>14</v>
      </c>
      <c r="O161" s="40">
        <v>0</v>
      </c>
      <c r="P161" s="41">
        <f t="shared" si="2"/>
        <v>0</v>
      </c>
    </row>
    <row r="162" spans="1:16" x14ac:dyDescent="0.3">
      <c r="A162" s="34" t="s">
        <v>93</v>
      </c>
      <c r="B162" s="39" t="s">
        <v>41</v>
      </c>
      <c r="C162" s="34" t="s">
        <v>14</v>
      </c>
      <c r="O162" s="40">
        <v>916.30000000000041</v>
      </c>
      <c r="P162" s="41">
        <f t="shared" si="2"/>
        <v>916.30000000000041</v>
      </c>
    </row>
    <row r="163" spans="1:16" x14ac:dyDescent="0.3">
      <c r="A163" s="34" t="s">
        <v>93</v>
      </c>
      <c r="B163" s="39" t="s">
        <v>42</v>
      </c>
      <c r="C163" s="34" t="s">
        <v>14</v>
      </c>
      <c r="O163" s="40">
        <v>2173.1999999999998</v>
      </c>
      <c r="P163" s="41">
        <f t="shared" si="2"/>
        <v>2173.1999999999998</v>
      </c>
    </row>
    <row r="164" spans="1:16" x14ac:dyDescent="0.3">
      <c r="A164" s="34" t="s">
        <v>93</v>
      </c>
      <c r="B164" s="39" t="s">
        <v>43</v>
      </c>
      <c r="C164" s="34" t="s">
        <v>14</v>
      </c>
      <c r="O164" s="40">
        <v>445.8</v>
      </c>
      <c r="P164" s="41">
        <f t="shared" si="2"/>
        <v>445.8</v>
      </c>
    </row>
    <row r="165" spans="1:16" x14ac:dyDescent="0.3">
      <c r="A165" s="34" t="s">
        <v>93</v>
      </c>
      <c r="B165" s="35" t="s">
        <v>44</v>
      </c>
      <c r="C165" s="34" t="s">
        <v>14</v>
      </c>
      <c r="P165" s="37">
        <f t="shared" si="2"/>
        <v>0</v>
      </c>
    </row>
    <row r="166" spans="1:16" x14ac:dyDescent="0.3">
      <c r="A166" s="34" t="s">
        <v>93</v>
      </c>
      <c r="B166" s="35" t="s">
        <v>45</v>
      </c>
      <c r="C166" s="34" t="s">
        <v>14</v>
      </c>
      <c r="P166" s="41">
        <f t="shared" si="2"/>
        <v>0</v>
      </c>
    </row>
    <row r="167" spans="1:16" x14ac:dyDescent="0.3">
      <c r="A167" s="34" t="s">
        <v>93</v>
      </c>
      <c r="B167" s="35" t="s">
        <v>47</v>
      </c>
      <c r="C167" s="34" t="s">
        <v>14</v>
      </c>
      <c r="O167" s="41">
        <v>1.7053025658242399E-13</v>
      </c>
      <c r="P167" s="41">
        <f t="shared" si="2"/>
        <v>1.7053025658242399E-13</v>
      </c>
    </row>
    <row r="168" spans="1:16" x14ac:dyDescent="0.3">
      <c r="A168" s="34" t="s">
        <v>93</v>
      </c>
      <c r="B168" s="35" t="s">
        <v>28</v>
      </c>
      <c r="C168" s="34" t="s">
        <v>15</v>
      </c>
      <c r="P168" s="36">
        <f t="shared" si="2"/>
        <v>0</v>
      </c>
    </row>
    <row r="169" spans="1:16" x14ac:dyDescent="0.3">
      <c r="A169" s="34" t="s">
        <v>93</v>
      </c>
      <c r="B169" s="35" t="s">
        <v>30</v>
      </c>
      <c r="C169" s="34" t="s">
        <v>15</v>
      </c>
      <c r="P169" s="36">
        <f t="shared" si="2"/>
        <v>0</v>
      </c>
    </row>
    <row r="170" spans="1:16" x14ac:dyDescent="0.3">
      <c r="A170" s="34" t="s">
        <v>93</v>
      </c>
      <c r="B170" s="35" t="s">
        <v>31</v>
      </c>
      <c r="C170" s="34" t="s">
        <v>15</v>
      </c>
      <c r="P170" s="37">
        <f t="shared" si="2"/>
        <v>0</v>
      </c>
    </row>
    <row r="171" spans="1:16" x14ac:dyDescent="0.3">
      <c r="A171" s="34" t="s">
        <v>93</v>
      </c>
      <c r="B171" s="35" t="s">
        <v>33</v>
      </c>
      <c r="C171" s="34" t="s">
        <v>15</v>
      </c>
      <c r="P171" s="38">
        <f t="shared" si="2"/>
        <v>0</v>
      </c>
    </row>
    <row r="172" spans="1:16" x14ac:dyDescent="0.3">
      <c r="A172" s="34" t="s">
        <v>93</v>
      </c>
      <c r="B172" s="39" t="s">
        <v>35</v>
      </c>
      <c r="C172" s="34" t="s">
        <v>15</v>
      </c>
      <c r="O172" s="40">
        <v>445.8</v>
      </c>
      <c r="P172" s="41">
        <f t="shared" si="2"/>
        <v>445.8</v>
      </c>
    </row>
    <row r="173" spans="1:16" x14ac:dyDescent="0.3">
      <c r="A173" s="34" t="s">
        <v>93</v>
      </c>
      <c r="B173" s="39" t="s">
        <v>37</v>
      </c>
      <c r="C173" s="34" t="s">
        <v>15</v>
      </c>
      <c r="O173" s="40">
        <v>29.6</v>
      </c>
      <c r="P173" s="41">
        <f t="shared" si="2"/>
        <v>29.6</v>
      </c>
    </row>
    <row r="174" spans="1:16" x14ac:dyDescent="0.3">
      <c r="A174" s="34" t="s">
        <v>93</v>
      </c>
      <c r="B174" s="39" t="s">
        <v>38</v>
      </c>
      <c r="C174" s="34" t="s">
        <v>15</v>
      </c>
      <c r="O174" s="40">
        <v>3927.6</v>
      </c>
      <c r="P174" s="41">
        <f t="shared" si="2"/>
        <v>3927.6</v>
      </c>
    </row>
    <row r="175" spans="1:16" x14ac:dyDescent="0.3">
      <c r="A175" s="34" t="s">
        <v>93</v>
      </c>
      <c r="B175" s="39" t="s">
        <v>39</v>
      </c>
      <c r="C175" s="34" t="s">
        <v>15</v>
      </c>
      <c r="O175" s="40">
        <v>83.5</v>
      </c>
      <c r="P175" s="41">
        <f t="shared" si="2"/>
        <v>83.5</v>
      </c>
    </row>
    <row r="176" spans="1:16" x14ac:dyDescent="0.3">
      <c r="A176" s="34" t="s">
        <v>93</v>
      </c>
      <c r="B176" s="39" t="s">
        <v>40</v>
      </c>
      <c r="C176" s="34" t="s">
        <v>15</v>
      </c>
      <c r="O176" s="40">
        <v>0</v>
      </c>
      <c r="P176" s="41">
        <f t="shared" si="2"/>
        <v>0</v>
      </c>
    </row>
    <row r="177" spans="1:16" x14ac:dyDescent="0.3">
      <c r="A177" s="34" t="s">
        <v>93</v>
      </c>
      <c r="B177" s="39" t="s">
        <v>41</v>
      </c>
      <c r="C177" s="34" t="s">
        <v>15</v>
      </c>
      <c r="O177" s="40">
        <v>1007.2</v>
      </c>
      <c r="P177" s="41">
        <f t="shared" si="2"/>
        <v>1007.2</v>
      </c>
    </row>
    <row r="178" spans="1:16" x14ac:dyDescent="0.3">
      <c r="A178" s="34" t="s">
        <v>93</v>
      </c>
      <c r="B178" s="39" t="s">
        <v>42</v>
      </c>
      <c r="C178" s="34" t="s">
        <v>15</v>
      </c>
      <c r="O178" s="40">
        <v>2243.3000000000002</v>
      </c>
      <c r="P178" s="41">
        <f t="shared" si="2"/>
        <v>2243.3000000000002</v>
      </c>
    </row>
    <row r="179" spans="1:16" x14ac:dyDescent="0.3">
      <c r="A179" s="34" t="s">
        <v>93</v>
      </c>
      <c r="B179" s="39" t="s">
        <v>43</v>
      </c>
      <c r="C179" s="34" t="s">
        <v>15</v>
      </c>
      <c r="O179" s="40">
        <v>1069</v>
      </c>
      <c r="P179" s="41">
        <f t="shared" si="2"/>
        <v>1069</v>
      </c>
    </row>
    <row r="180" spans="1:16" x14ac:dyDescent="0.3">
      <c r="A180" s="34" t="s">
        <v>93</v>
      </c>
      <c r="B180" s="35" t="s">
        <v>44</v>
      </c>
      <c r="C180" s="34" t="s">
        <v>15</v>
      </c>
      <c r="P180" s="37">
        <f t="shared" si="2"/>
        <v>0</v>
      </c>
    </row>
    <row r="181" spans="1:16" x14ac:dyDescent="0.3">
      <c r="A181" s="34" t="s">
        <v>93</v>
      </c>
      <c r="B181" s="35" t="s">
        <v>45</v>
      </c>
      <c r="C181" s="34" t="s">
        <v>15</v>
      </c>
      <c r="P181" s="41">
        <f t="shared" si="2"/>
        <v>0</v>
      </c>
    </row>
    <row r="182" spans="1:16" x14ac:dyDescent="0.3">
      <c r="A182" s="34" t="s">
        <v>93</v>
      </c>
      <c r="B182" s="35" t="s">
        <v>47</v>
      </c>
      <c r="C182" s="34" t="s">
        <v>15</v>
      </c>
      <c r="O182" s="41">
        <v>0</v>
      </c>
      <c r="P182" s="41">
        <f t="shared" si="2"/>
        <v>0</v>
      </c>
    </row>
    <row r="183" spans="1:16" x14ac:dyDescent="0.3">
      <c r="A183" s="34" t="s">
        <v>93</v>
      </c>
      <c r="B183" s="35" t="s">
        <v>28</v>
      </c>
      <c r="C183" s="34" t="s">
        <v>16</v>
      </c>
      <c r="P183" s="36">
        <f t="shared" si="2"/>
        <v>0</v>
      </c>
    </row>
    <row r="184" spans="1:16" x14ac:dyDescent="0.3">
      <c r="A184" s="34" t="s">
        <v>93</v>
      </c>
      <c r="B184" s="35" t="s">
        <v>30</v>
      </c>
      <c r="C184" s="34" t="s">
        <v>16</v>
      </c>
      <c r="P184" s="36">
        <f t="shared" si="2"/>
        <v>0</v>
      </c>
    </row>
    <row r="185" spans="1:16" x14ac:dyDescent="0.3">
      <c r="A185" s="34" t="s">
        <v>93</v>
      </c>
      <c r="B185" s="35" t="s">
        <v>31</v>
      </c>
      <c r="C185" s="34" t="s">
        <v>16</v>
      </c>
      <c r="P185" s="37">
        <f t="shared" si="2"/>
        <v>0</v>
      </c>
    </row>
    <row r="186" spans="1:16" x14ac:dyDescent="0.3">
      <c r="A186" s="34" t="s">
        <v>93</v>
      </c>
      <c r="B186" s="35" t="s">
        <v>33</v>
      </c>
      <c r="C186" s="34" t="s">
        <v>16</v>
      </c>
      <c r="P186" s="38">
        <f t="shared" si="2"/>
        <v>0</v>
      </c>
    </row>
    <row r="187" spans="1:16" x14ac:dyDescent="0.3">
      <c r="A187" s="34" t="s">
        <v>93</v>
      </c>
      <c r="B187" s="39" t="s">
        <v>35</v>
      </c>
      <c r="C187" s="34" t="s">
        <v>16</v>
      </c>
      <c r="O187" s="40">
        <v>1069</v>
      </c>
      <c r="P187" s="41">
        <f t="shared" si="2"/>
        <v>1069</v>
      </c>
    </row>
    <row r="188" spans="1:16" x14ac:dyDescent="0.3">
      <c r="A188" s="34" t="s">
        <v>93</v>
      </c>
      <c r="B188" s="39" t="s">
        <v>37</v>
      </c>
      <c r="C188" s="34" t="s">
        <v>16</v>
      </c>
      <c r="O188" s="40">
        <v>19.3</v>
      </c>
      <c r="P188" s="41">
        <f t="shared" si="2"/>
        <v>19.3</v>
      </c>
    </row>
    <row r="189" spans="1:16" x14ac:dyDescent="0.3">
      <c r="A189" s="34" t="s">
        <v>93</v>
      </c>
      <c r="B189" s="39" t="s">
        <v>38</v>
      </c>
      <c r="C189" s="34" t="s">
        <v>16</v>
      </c>
      <c r="O189" s="40">
        <v>2976.8</v>
      </c>
      <c r="P189" s="41">
        <f t="shared" si="2"/>
        <v>2976.8</v>
      </c>
    </row>
    <row r="190" spans="1:16" x14ac:dyDescent="0.3">
      <c r="A190" s="34" t="s">
        <v>93</v>
      </c>
      <c r="B190" s="39" t="s">
        <v>39</v>
      </c>
      <c r="C190" s="34" t="s">
        <v>16</v>
      </c>
      <c r="O190" s="40">
        <v>147</v>
      </c>
      <c r="P190" s="41">
        <f t="shared" si="2"/>
        <v>147</v>
      </c>
    </row>
    <row r="191" spans="1:16" x14ac:dyDescent="0.3">
      <c r="A191" s="34" t="s">
        <v>93</v>
      </c>
      <c r="B191" s="39" t="s">
        <v>40</v>
      </c>
      <c r="C191" s="34" t="s">
        <v>16</v>
      </c>
      <c r="O191" s="40">
        <v>0</v>
      </c>
      <c r="P191" s="41">
        <f t="shared" si="2"/>
        <v>0</v>
      </c>
    </row>
    <row r="192" spans="1:16" x14ac:dyDescent="0.3">
      <c r="A192" s="34" t="s">
        <v>93</v>
      </c>
      <c r="B192" s="39" t="s">
        <v>41</v>
      </c>
      <c r="C192" s="34" t="s">
        <v>16</v>
      </c>
      <c r="O192" s="40">
        <v>888.4000000000002</v>
      </c>
      <c r="P192" s="41">
        <f t="shared" si="2"/>
        <v>888.4000000000002</v>
      </c>
    </row>
    <row r="193" spans="1:16" x14ac:dyDescent="0.3">
      <c r="A193" s="34" t="s">
        <v>93</v>
      </c>
      <c r="B193" s="39" t="s">
        <v>42</v>
      </c>
      <c r="C193" s="34" t="s">
        <v>16</v>
      </c>
      <c r="O193" s="40">
        <v>2328.8000000000002</v>
      </c>
      <c r="P193" s="41">
        <f t="shared" si="2"/>
        <v>2328.8000000000002</v>
      </c>
    </row>
    <row r="194" spans="1:16" x14ac:dyDescent="0.3">
      <c r="A194" s="34" t="s">
        <v>93</v>
      </c>
      <c r="B194" s="39" t="s">
        <v>43</v>
      </c>
      <c r="C194" s="34" t="s">
        <v>16</v>
      </c>
      <c r="O194" s="40">
        <v>700.9</v>
      </c>
      <c r="P194" s="41">
        <f t="shared" si="2"/>
        <v>700.9</v>
      </c>
    </row>
    <row r="195" spans="1:16" x14ac:dyDescent="0.3">
      <c r="A195" s="34" t="s">
        <v>93</v>
      </c>
      <c r="B195" s="35" t="s">
        <v>44</v>
      </c>
      <c r="C195" s="34" t="s">
        <v>16</v>
      </c>
      <c r="P195" s="37">
        <f t="shared" ref="P195:P258" si="3">SUM(D195:O195)</f>
        <v>0</v>
      </c>
    </row>
    <row r="196" spans="1:16" x14ac:dyDescent="0.3">
      <c r="A196" s="34" t="s">
        <v>93</v>
      </c>
      <c r="B196" s="35" t="s">
        <v>45</v>
      </c>
      <c r="C196" s="34" t="s">
        <v>16</v>
      </c>
      <c r="P196" s="41">
        <f t="shared" si="3"/>
        <v>0</v>
      </c>
    </row>
    <row r="197" spans="1:16" x14ac:dyDescent="0.3">
      <c r="A197" s="34" t="s">
        <v>93</v>
      </c>
      <c r="B197" s="35" t="s">
        <v>47</v>
      </c>
      <c r="C197" s="34" t="s">
        <v>16</v>
      </c>
      <c r="O197" s="41">
        <v>1.1368683772161611E-13</v>
      </c>
      <c r="P197" s="41">
        <f t="shared" si="3"/>
        <v>1.1368683772161611E-13</v>
      </c>
    </row>
    <row r="198" spans="1:16" x14ac:dyDescent="0.3">
      <c r="A198" s="34" t="s">
        <v>93</v>
      </c>
      <c r="B198" s="35" t="s">
        <v>28</v>
      </c>
      <c r="C198" s="34" t="s">
        <v>17</v>
      </c>
      <c r="P198" s="36">
        <f t="shared" si="3"/>
        <v>0</v>
      </c>
    </row>
    <row r="199" spans="1:16" x14ac:dyDescent="0.3">
      <c r="A199" s="34" t="s">
        <v>93</v>
      </c>
      <c r="B199" s="35" t="s">
        <v>30</v>
      </c>
      <c r="C199" s="34" t="s">
        <v>17</v>
      </c>
      <c r="P199" s="36">
        <f t="shared" si="3"/>
        <v>0</v>
      </c>
    </row>
    <row r="200" spans="1:16" x14ac:dyDescent="0.3">
      <c r="A200" s="34" t="s">
        <v>93</v>
      </c>
      <c r="B200" s="35" t="s">
        <v>31</v>
      </c>
      <c r="C200" s="34" t="s">
        <v>17</v>
      </c>
      <c r="P200" s="37">
        <f t="shared" si="3"/>
        <v>0</v>
      </c>
    </row>
    <row r="201" spans="1:16" x14ac:dyDescent="0.3">
      <c r="A201" s="34" t="s">
        <v>93</v>
      </c>
      <c r="B201" s="35" t="s">
        <v>33</v>
      </c>
      <c r="C201" s="34" t="s">
        <v>17</v>
      </c>
      <c r="P201" s="38">
        <f t="shared" si="3"/>
        <v>0</v>
      </c>
    </row>
    <row r="202" spans="1:16" x14ac:dyDescent="0.3">
      <c r="A202" s="34" t="s">
        <v>93</v>
      </c>
      <c r="B202" s="39" t="s">
        <v>35</v>
      </c>
      <c r="C202" s="34" t="s">
        <v>17</v>
      </c>
      <c r="O202" s="40">
        <v>700.9</v>
      </c>
      <c r="P202" s="41">
        <f t="shared" si="3"/>
        <v>700.9</v>
      </c>
    </row>
    <row r="203" spans="1:16" x14ac:dyDescent="0.3">
      <c r="A203" s="34" t="s">
        <v>93</v>
      </c>
      <c r="B203" s="39" t="s">
        <v>37</v>
      </c>
      <c r="C203" s="34" t="s">
        <v>17</v>
      </c>
      <c r="O203" s="40">
        <v>19.7</v>
      </c>
      <c r="P203" s="41">
        <f t="shared" si="3"/>
        <v>19.7</v>
      </c>
    </row>
    <row r="204" spans="1:16" x14ac:dyDescent="0.3">
      <c r="A204" s="34" t="s">
        <v>93</v>
      </c>
      <c r="B204" s="39" t="s">
        <v>38</v>
      </c>
      <c r="C204" s="34" t="s">
        <v>17</v>
      </c>
      <c r="O204" s="40">
        <v>3425</v>
      </c>
      <c r="P204" s="41">
        <f t="shared" si="3"/>
        <v>3425</v>
      </c>
    </row>
    <row r="205" spans="1:16" x14ac:dyDescent="0.3">
      <c r="A205" s="34" t="s">
        <v>93</v>
      </c>
      <c r="B205" s="39" t="s">
        <v>39</v>
      </c>
      <c r="C205" s="34" t="s">
        <v>17</v>
      </c>
      <c r="O205" s="40">
        <v>184.3</v>
      </c>
      <c r="P205" s="41">
        <f t="shared" si="3"/>
        <v>184.3</v>
      </c>
    </row>
    <row r="206" spans="1:16" x14ac:dyDescent="0.3">
      <c r="A206" s="34" t="s">
        <v>93</v>
      </c>
      <c r="B206" s="39" t="s">
        <v>40</v>
      </c>
      <c r="C206" s="34" t="s">
        <v>17</v>
      </c>
      <c r="O206" s="40">
        <v>0</v>
      </c>
      <c r="P206" s="41">
        <f t="shared" si="3"/>
        <v>0</v>
      </c>
    </row>
    <row r="207" spans="1:16" x14ac:dyDescent="0.3">
      <c r="A207" s="34" t="s">
        <v>93</v>
      </c>
      <c r="B207" s="39" t="s">
        <v>41</v>
      </c>
      <c r="C207" s="34" t="s">
        <v>17</v>
      </c>
      <c r="O207" s="40">
        <v>760.79999999999927</v>
      </c>
      <c r="P207" s="41">
        <f t="shared" si="3"/>
        <v>760.79999999999927</v>
      </c>
    </row>
    <row r="208" spans="1:16" x14ac:dyDescent="0.3">
      <c r="A208" s="34" t="s">
        <v>93</v>
      </c>
      <c r="B208" s="39" t="s">
        <v>42</v>
      </c>
      <c r="C208" s="34" t="s">
        <v>17</v>
      </c>
      <c r="O208" s="40">
        <v>2233.5</v>
      </c>
      <c r="P208" s="41">
        <f t="shared" si="3"/>
        <v>2233.5</v>
      </c>
    </row>
    <row r="209" spans="1:16" x14ac:dyDescent="0.3">
      <c r="A209" s="34" t="s">
        <v>93</v>
      </c>
      <c r="B209" s="39" t="s">
        <v>43</v>
      </c>
      <c r="C209" s="34" t="s">
        <v>17</v>
      </c>
      <c r="O209" s="40">
        <v>967</v>
      </c>
      <c r="P209" s="41">
        <f t="shared" si="3"/>
        <v>967</v>
      </c>
    </row>
    <row r="210" spans="1:16" x14ac:dyDescent="0.3">
      <c r="A210" s="34" t="s">
        <v>93</v>
      </c>
      <c r="B210" s="35" t="s">
        <v>44</v>
      </c>
      <c r="C210" s="34" t="s">
        <v>17</v>
      </c>
      <c r="P210" s="37">
        <f t="shared" si="3"/>
        <v>0</v>
      </c>
    </row>
    <row r="211" spans="1:16" x14ac:dyDescent="0.3">
      <c r="A211" s="34" t="s">
        <v>93</v>
      </c>
      <c r="B211" s="35" t="s">
        <v>45</v>
      </c>
      <c r="C211" s="34" t="s">
        <v>17</v>
      </c>
      <c r="P211" s="41">
        <f t="shared" si="3"/>
        <v>0</v>
      </c>
    </row>
    <row r="212" spans="1:16" x14ac:dyDescent="0.3">
      <c r="A212" s="34" t="s">
        <v>93</v>
      </c>
      <c r="B212" s="35" t="s">
        <v>47</v>
      </c>
      <c r="C212" s="34" t="s">
        <v>17</v>
      </c>
      <c r="O212" s="41">
        <v>0</v>
      </c>
      <c r="P212" s="41">
        <f t="shared" si="3"/>
        <v>0</v>
      </c>
    </row>
    <row r="213" spans="1:16" x14ac:dyDescent="0.3">
      <c r="A213" s="34" t="s">
        <v>93</v>
      </c>
      <c r="B213" s="35" t="s">
        <v>28</v>
      </c>
      <c r="C213" s="34" t="s">
        <v>18</v>
      </c>
      <c r="P213" s="36">
        <f t="shared" si="3"/>
        <v>0</v>
      </c>
    </row>
    <row r="214" spans="1:16" x14ac:dyDescent="0.3">
      <c r="A214" s="34" t="s">
        <v>93</v>
      </c>
      <c r="B214" s="35" t="s">
        <v>30</v>
      </c>
      <c r="C214" s="34" t="s">
        <v>18</v>
      </c>
      <c r="P214" s="36">
        <f t="shared" si="3"/>
        <v>0</v>
      </c>
    </row>
    <row r="215" spans="1:16" x14ac:dyDescent="0.3">
      <c r="A215" s="34" t="s">
        <v>93</v>
      </c>
      <c r="B215" s="35" t="s">
        <v>31</v>
      </c>
      <c r="C215" s="34" t="s">
        <v>18</v>
      </c>
      <c r="P215" s="37">
        <f t="shared" si="3"/>
        <v>0</v>
      </c>
    </row>
    <row r="216" spans="1:16" x14ac:dyDescent="0.3">
      <c r="A216" s="34" t="s">
        <v>93</v>
      </c>
      <c r="B216" s="35" t="s">
        <v>33</v>
      </c>
      <c r="C216" s="34" t="s">
        <v>18</v>
      </c>
      <c r="P216" s="38">
        <f t="shared" si="3"/>
        <v>0</v>
      </c>
    </row>
    <row r="217" spans="1:16" x14ac:dyDescent="0.3">
      <c r="A217" s="34" t="s">
        <v>93</v>
      </c>
      <c r="B217" s="39" t="s">
        <v>35</v>
      </c>
      <c r="C217" s="34" t="s">
        <v>18</v>
      </c>
      <c r="O217" s="40">
        <v>967</v>
      </c>
      <c r="P217" s="41">
        <f t="shared" si="3"/>
        <v>967</v>
      </c>
    </row>
    <row r="218" spans="1:16" x14ac:dyDescent="0.3">
      <c r="A218" s="34" t="s">
        <v>93</v>
      </c>
      <c r="B218" s="39" t="s">
        <v>37</v>
      </c>
      <c r="C218" s="34" t="s">
        <v>18</v>
      </c>
      <c r="O218" s="40">
        <v>20.9</v>
      </c>
      <c r="P218" s="41">
        <f t="shared" si="3"/>
        <v>20.9</v>
      </c>
    </row>
    <row r="219" spans="1:16" x14ac:dyDescent="0.3">
      <c r="A219" s="34" t="s">
        <v>93</v>
      </c>
      <c r="B219" s="39" t="s">
        <v>38</v>
      </c>
      <c r="C219" s="34" t="s">
        <v>18</v>
      </c>
      <c r="O219" s="40">
        <v>3231.2</v>
      </c>
      <c r="P219" s="41">
        <f t="shared" si="3"/>
        <v>3231.2</v>
      </c>
    </row>
    <row r="220" spans="1:16" x14ac:dyDescent="0.3">
      <c r="A220" s="34" t="s">
        <v>93</v>
      </c>
      <c r="B220" s="39" t="s">
        <v>39</v>
      </c>
      <c r="C220" s="34" t="s">
        <v>18</v>
      </c>
      <c r="O220" s="40">
        <v>125.2</v>
      </c>
      <c r="P220" s="41">
        <f t="shared" si="3"/>
        <v>125.2</v>
      </c>
    </row>
    <row r="221" spans="1:16" x14ac:dyDescent="0.3">
      <c r="A221" s="34" t="s">
        <v>93</v>
      </c>
      <c r="B221" s="39" t="s">
        <v>40</v>
      </c>
      <c r="C221" s="34" t="s">
        <v>18</v>
      </c>
      <c r="O221" s="40">
        <v>0</v>
      </c>
      <c r="P221" s="41">
        <f t="shared" si="3"/>
        <v>0</v>
      </c>
    </row>
    <row r="222" spans="1:16" x14ac:dyDescent="0.3">
      <c r="A222" s="34" t="s">
        <v>93</v>
      </c>
      <c r="B222" s="39" t="s">
        <v>41</v>
      </c>
      <c r="C222" s="34" t="s">
        <v>18</v>
      </c>
      <c r="O222" s="40">
        <v>1084.299999999999</v>
      </c>
      <c r="P222" s="41">
        <f t="shared" si="3"/>
        <v>1084.299999999999</v>
      </c>
    </row>
    <row r="223" spans="1:16" x14ac:dyDescent="0.3">
      <c r="A223" s="34" t="s">
        <v>93</v>
      </c>
      <c r="B223" s="39" t="s">
        <v>42</v>
      </c>
      <c r="C223" s="34" t="s">
        <v>18</v>
      </c>
      <c r="O223" s="40">
        <v>2306.1</v>
      </c>
      <c r="P223" s="41">
        <f t="shared" si="3"/>
        <v>2306.1</v>
      </c>
    </row>
    <row r="224" spans="1:16" x14ac:dyDescent="0.3">
      <c r="A224" s="34" t="s">
        <v>93</v>
      </c>
      <c r="B224" s="39" t="s">
        <v>43</v>
      </c>
      <c r="C224" s="34" t="s">
        <v>18</v>
      </c>
      <c r="O224" s="40">
        <v>703.5</v>
      </c>
      <c r="P224" s="41">
        <f t="shared" si="3"/>
        <v>703.5</v>
      </c>
    </row>
    <row r="225" spans="1:16" x14ac:dyDescent="0.3">
      <c r="A225" s="34" t="s">
        <v>93</v>
      </c>
      <c r="B225" s="35" t="s">
        <v>44</v>
      </c>
      <c r="C225" s="34" t="s">
        <v>18</v>
      </c>
      <c r="P225" s="37">
        <f t="shared" si="3"/>
        <v>0</v>
      </c>
    </row>
    <row r="226" spans="1:16" x14ac:dyDescent="0.3">
      <c r="A226" s="34" t="s">
        <v>93</v>
      </c>
      <c r="B226" s="35" t="s">
        <v>45</v>
      </c>
      <c r="C226" s="34" t="s">
        <v>18</v>
      </c>
      <c r="P226" s="41">
        <f t="shared" si="3"/>
        <v>0</v>
      </c>
    </row>
    <row r="227" spans="1:16" x14ac:dyDescent="0.3">
      <c r="A227" s="34" t="s">
        <v>93</v>
      </c>
      <c r="B227" s="35" t="s">
        <v>47</v>
      </c>
      <c r="C227" s="34" t="s">
        <v>18</v>
      </c>
      <c r="O227" s="41">
        <v>0</v>
      </c>
      <c r="P227" s="41">
        <f t="shared" si="3"/>
        <v>0</v>
      </c>
    </row>
    <row r="228" spans="1:16" x14ac:dyDescent="0.3">
      <c r="A228" s="34" t="s">
        <v>93</v>
      </c>
      <c r="B228" s="35" t="s">
        <v>28</v>
      </c>
      <c r="C228" s="34" t="s">
        <v>19</v>
      </c>
      <c r="P228" s="36">
        <f t="shared" si="3"/>
        <v>0</v>
      </c>
    </row>
    <row r="229" spans="1:16" x14ac:dyDescent="0.3">
      <c r="A229" s="34" t="s">
        <v>93</v>
      </c>
      <c r="B229" s="35" t="s">
        <v>30</v>
      </c>
      <c r="C229" s="34" t="s">
        <v>19</v>
      </c>
      <c r="P229" s="36">
        <f t="shared" si="3"/>
        <v>0</v>
      </c>
    </row>
    <row r="230" spans="1:16" x14ac:dyDescent="0.3">
      <c r="A230" s="34" t="s">
        <v>93</v>
      </c>
      <c r="B230" s="35" t="s">
        <v>31</v>
      </c>
      <c r="C230" s="34" t="s">
        <v>19</v>
      </c>
      <c r="P230" s="37">
        <f t="shared" si="3"/>
        <v>0</v>
      </c>
    </row>
    <row r="231" spans="1:16" x14ac:dyDescent="0.3">
      <c r="A231" s="34" t="s">
        <v>93</v>
      </c>
      <c r="B231" s="35" t="s">
        <v>33</v>
      </c>
      <c r="C231" s="34" t="s">
        <v>19</v>
      </c>
      <c r="P231" s="38">
        <f t="shared" si="3"/>
        <v>0</v>
      </c>
    </row>
    <row r="232" spans="1:16" x14ac:dyDescent="0.3">
      <c r="A232" s="34" t="s">
        <v>93</v>
      </c>
      <c r="B232" s="39" t="s">
        <v>35</v>
      </c>
      <c r="C232" s="34" t="s">
        <v>19</v>
      </c>
      <c r="O232" s="40">
        <v>703.5</v>
      </c>
      <c r="P232" s="41">
        <f t="shared" si="3"/>
        <v>703.5</v>
      </c>
    </row>
    <row r="233" spans="1:16" x14ac:dyDescent="0.3">
      <c r="A233" s="34" t="s">
        <v>93</v>
      </c>
      <c r="B233" s="39" t="s">
        <v>37</v>
      </c>
      <c r="C233" s="34" t="s">
        <v>19</v>
      </c>
      <c r="O233" s="40">
        <v>13.8</v>
      </c>
      <c r="P233" s="41">
        <f t="shared" si="3"/>
        <v>13.8</v>
      </c>
    </row>
    <row r="234" spans="1:16" x14ac:dyDescent="0.3">
      <c r="A234" s="34" t="s">
        <v>93</v>
      </c>
      <c r="B234" s="39" t="s">
        <v>38</v>
      </c>
      <c r="C234" s="34" t="s">
        <v>19</v>
      </c>
      <c r="O234" s="40">
        <v>3733</v>
      </c>
      <c r="P234" s="41">
        <f t="shared" si="3"/>
        <v>3733</v>
      </c>
    </row>
    <row r="235" spans="1:16" x14ac:dyDescent="0.3">
      <c r="A235" s="34" t="s">
        <v>93</v>
      </c>
      <c r="B235" s="39" t="s">
        <v>39</v>
      </c>
      <c r="C235" s="34" t="s">
        <v>19</v>
      </c>
      <c r="O235" s="40">
        <v>112.2</v>
      </c>
      <c r="P235" s="41">
        <f t="shared" si="3"/>
        <v>112.2</v>
      </c>
    </row>
    <row r="236" spans="1:16" x14ac:dyDescent="0.3">
      <c r="A236" s="34" t="s">
        <v>93</v>
      </c>
      <c r="B236" s="39" t="s">
        <v>40</v>
      </c>
      <c r="C236" s="34" t="s">
        <v>19</v>
      </c>
      <c r="O236" s="40">
        <v>0</v>
      </c>
      <c r="P236" s="41">
        <f t="shared" si="3"/>
        <v>0</v>
      </c>
    </row>
    <row r="237" spans="1:16" x14ac:dyDescent="0.3">
      <c r="A237" s="34" t="s">
        <v>93</v>
      </c>
      <c r="B237" s="39" t="s">
        <v>41</v>
      </c>
      <c r="C237" s="34" t="s">
        <v>19</v>
      </c>
      <c r="O237" s="40">
        <v>1191.5</v>
      </c>
      <c r="P237" s="41">
        <f t="shared" si="3"/>
        <v>1191.5</v>
      </c>
    </row>
    <row r="238" spans="1:16" x14ac:dyDescent="0.3">
      <c r="A238" s="34" t="s">
        <v>93</v>
      </c>
      <c r="B238" s="39" t="s">
        <v>42</v>
      </c>
      <c r="C238" s="34" t="s">
        <v>19</v>
      </c>
      <c r="O238" s="40">
        <v>2368.1999999999998</v>
      </c>
      <c r="P238" s="41">
        <f t="shared" si="3"/>
        <v>2368.1999999999998</v>
      </c>
    </row>
    <row r="239" spans="1:16" x14ac:dyDescent="0.3">
      <c r="A239" s="34" t="s">
        <v>93</v>
      </c>
      <c r="B239" s="39" t="s">
        <v>43</v>
      </c>
      <c r="C239" s="34" t="s">
        <v>19</v>
      </c>
      <c r="O239" s="40">
        <v>778.4</v>
      </c>
      <c r="P239" s="41">
        <f t="shared" si="3"/>
        <v>778.4</v>
      </c>
    </row>
    <row r="240" spans="1:16" x14ac:dyDescent="0.3">
      <c r="A240" s="34" t="s">
        <v>93</v>
      </c>
      <c r="B240" s="35" t="s">
        <v>44</v>
      </c>
      <c r="C240" s="34" t="s">
        <v>19</v>
      </c>
      <c r="P240" s="37">
        <f t="shared" si="3"/>
        <v>0</v>
      </c>
    </row>
    <row r="241" spans="1:16" x14ac:dyDescent="0.3">
      <c r="A241" s="34" t="s">
        <v>93</v>
      </c>
      <c r="B241" s="35" t="s">
        <v>45</v>
      </c>
      <c r="C241" s="34" t="s">
        <v>19</v>
      </c>
      <c r="P241" s="41">
        <f t="shared" si="3"/>
        <v>0</v>
      </c>
    </row>
    <row r="242" spans="1:16" x14ac:dyDescent="0.3">
      <c r="A242" s="34" t="s">
        <v>93</v>
      </c>
      <c r="B242" s="35" t="s">
        <v>47</v>
      </c>
      <c r="C242" s="34" t="s">
        <v>19</v>
      </c>
      <c r="O242" s="41">
        <v>1.1368683772161611E-13</v>
      </c>
      <c r="P242" s="41">
        <f t="shared" si="3"/>
        <v>1.1368683772161611E-13</v>
      </c>
    </row>
    <row r="243" spans="1:16" x14ac:dyDescent="0.3">
      <c r="A243" s="34" t="s">
        <v>93</v>
      </c>
      <c r="B243" s="35" t="s">
        <v>28</v>
      </c>
      <c r="C243" s="34" t="s">
        <v>20</v>
      </c>
      <c r="P243" s="36">
        <f t="shared" si="3"/>
        <v>0</v>
      </c>
    </row>
    <row r="244" spans="1:16" x14ac:dyDescent="0.3">
      <c r="A244" s="34" t="s">
        <v>93</v>
      </c>
      <c r="B244" s="35" t="s">
        <v>30</v>
      </c>
      <c r="C244" s="34" t="s">
        <v>20</v>
      </c>
      <c r="P244" s="36">
        <f t="shared" si="3"/>
        <v>0</v>
      </c>
    </row>
    <row r="245" spans="1:16" x14ac:dyDescent="0.3">
      <c r="A245" s="34" t="s">
        <v>93</v>
      </c>
      <c r="B245" s="35" t="s">
        <v>31</v>
      </c>
      <c r="C245" s="34" t="s">
        <v>20</v>
      </c>
      <c r="P245" s="37">
        <f t="shared" si="3"/>
        <v>0</v>
      </c>
    </row>
    <row r="246" spans="1:16" x14ac:dyDescent="0.3">
      <c r="A246" s="34" t="s">
        <v>93</v>
      </c>
      <c r="B246" s="35" t="s">
        <v>33</v>
      </c>
      <c r="C246" s="34" t="s">
        <v>20</v>
      </c>
      <c r="P246" s="38">
        <f t="shared" si="3"/>
        <v>0</v>
      </c>
    </row>
    <row r="247" spans="1:16" x14ac:dyDescent="0.3">
      <c r="A247" s="34" t="s">
        <v>93</v>
      </c>
      <c r="B247" s="39" t="s">
        <v>35</v>
      </c>
      <c r="C247" s="34" t="s">
        <v>20</v>
      </c>
      <c r="O247" s="40">
        <v>778.4</v>
      </c>
      <c r="P247" s="41">
        <f t="shared" si="3"/>
        <v>778.4</v>
      </c>
    </row>
    <row r="248" spans="1:16" x14ac:dyDescent="0.3">
      <c r="A248" s="34" t="s">
        <v>93</v>
      </c>
      <c r="B248" s="39" t="s">
        <v>37</v>
      </c>
      <c r="C248" s="34" t="s">
        <v>20</v>
      </c>
      <c r="O248" s="40">
        <v>10.5</v>
      </c>
      <c r="P248" s="41">
        <f t="shared" si="3"/>
        <v>10.5</v>
      </c>
    </row>
    <row r="249" spans="1:16" x14ac:dyDescent="0.3">
      <c r="A249" s="34" t="s">
        <v>93</v>
      </c>
      <c r="B249" s="39" t="s">
        <v>38</v>
      </c>
      <c r="C249" s="34" t="s">
        <v>20</v>
      </c>
      <c r="O249" s="40">
        <v>3436</v>
      </c>
      <c r="P249" s="41">
        <f t="shared" si="3"/>
        <v>3436</v>
      </c>
    </row>
    <row r="250" spans="1:16" x14ac:dyDescent="0.3">
      <c r="A250" s="34" t="s">
        <v>93</v>
      </c>
      <c r="B250" s="39" t="s">
        <v>39</v>
      </c>
      <c r="C250" s="34" t="s">
        <v>20</v>
      </c>
      <c r="O250" s="40">
        <v>122.4</v>
      </c>
      <c r="P250" s="41">
        <f t="shared" si="3"/>
        <v>122.4</v>
      </c>
    </row>
    <row r="251" spans="1:16" x14ac:dyDescent="0.3">
      <c r="A251" s="34" t="s">
        <v>93</v>
      </c>
      <c r="B251" s="39" t="s">
        <v>40</v>
      </c>
      <c r="C251" s="34" t="s">
        <v>20</v>
      </c>
      <c r="O251" s="40">
        <v>0</v>
      </c>
      <c r="P251" s="41">
        <f t="shared" si="3"/>
        <v>0</v>
      </c>
    </row>
    <row r="252" spans="1:16" x14ac:dyDescent="0.3">
      <c r="A252" s="34" t="s">
        <v>93</v>
      </c>
      <c r="B252" s="39" t="s">
        <v>41</v>
      </c>
      <c r="C252" s="34" t="s">
        <v>20</v>
      </c>
      <c r="O252" s="40">
        <v>1230.9000000000001</v>
      </c>
      <c r="P252" s="41">
        <f t="shared" si="3"/>
        <v>1230.9000000000001</v>
      </c>
    </row>
    <row r="253" spans="1:16" x14ac:dyDescent="0.3">
      <c r="A253" s="34" t="s">
        <v>93</v>
      </c>
      <c r="B253" s="39" t="s">
        <v>42</v>
      </c>
      <c r="C253" s="34" t="s">
        <v>20</v>
      </c>
      <c r="O253" s="40">
        <v>2474.6999999999998</v>
      </c>
      <c r="P253" s="41">
        <f t="shared" si="3"/>
        <v>2474.6999999999998</v>
      </c>
    </row>
    <row r="254" spans="1:16" x14ac:dyDescent="0.3">
      <c r="A254" s="34" t="s">
        <v>93</v>
      </c>
      <c r="B254" s="39" t="s">
        <v>43</v>
      </c>
      <c r="C254" s="34" t="s">
        <v>20</v>
      </c>
      <c r="O254" s="40">
        <v>396.9</v>
      </c>
      <c r="P254" s="41">
        <f t="shared" si="3"/>
        <v>396.9</v>
      </c>
    </row>
    <row r="255" spans="1:16" x14ac:dyDescent="0.3">
      <c r="A255" s="34" t="s">
        <v>93</v>
      </c>
      <c r="B255" s="35" t="s">
        <v>44</v>
      </c>
      <c r="C255" s="34" t="s">
        <v>20</v>
      </c>
      <c r="P255" s="37">
        <f t="shared" si="3"/>
        <v>0</v>
      </c>
    </row>
    <row r="256" spans="1:16" x14ac:dyDescent="0.3">
      <c r="A256" s="34" t="s">
        <v>93</v>
      </c>
      <c r="B256" s="35" t="s">
        <v>45</v>
      </c>
      <c r="C256" s="34" t="s">
        <v>20</v>
      </c>
      <c r="P256" s="41">
        <f t="shared" si="3"/>
        <v>0</v>
      </c>
    </row>
    <row r="257" spans="1:16" x14ac:dyDescent="0.3">
      <c r="A257" s="34" t="s">
        <v>93</v>
      </c>
      <c r="B257" s="35" t="s">
        <v>47</v>
      </c>
      <c r="C257" s="34" t="s">
        <v>20</v>
      </c>
      <c r="O257" s="41">
        <v>5.6843418860808015E-13</v>
      </c>
      <c r="P257" s="41">
        <f t="shared" si="3"/>
        <v>5.6843418860808015E-13</v>
      </c>
    </row>
    <row r="258" spans="1:16" x14ac:dyDescent="0.3">
      <c r="A258" s="34" t="s">
        <v>93</v>
      </c>
      <c r="B258" s="35" t="s">
        <v>28</v>
      </c>
      <c r="C258" s="34" t="s">
        <v>21</v>
      </c>
      <c r="P258" s="36">
        <f t="shared" si="3"/>
        <v>0</v>
      </c>
    </row>
    <row r="259" spans="1:16" x14ac:dyDescent="0.3">
      <c r="A259" s="34" t="s">
        <v>93</v>
      </c>
      <c r="B259" s="35" t="s">
        <v>30</v>
      </c>
      <c r="C259" s="34" t="s">
        <v>21</v>
      </c>
      <c r="P259" s="36">
        <f t="shared" ref="P259:P322" si="4">SUM(D259:O259)</f>
        <v>0</v>
      </c>
    </row>
    <row r="260" spans="1:16" x14ac:dyDescent="0.3">
      <c r="A260" s="34" t="s">
        <v>93</v>
      </c>
      <c r="B260" s="35" t="s">
        <v>31</v>
      </c>
      <c r="C260" s="34" t="s">
        <v>21</v>
      </c>
      <c r="P260" s="37">
        <f t="shared" si="4"/>
        <v>0</v>
      </c>
    </row>
    <row r="261" spans="1:16" x14ac:dyDescent="0.3">
      <c r="A261" s="34" t="s">
        <v>93</v>
      </c>
      <c r="B261" s="35" t="s">
        <v>33</v>
      </c>
      <c r="C261" s="34" t="s">
        <v>21</v>
      </c>
      <c r="P261" s="38">
        <f t="shared" si="4"/>
        <v>0</v>
      </c>
    </row>
    <row r="262" spans="1:16" x14ac:dyDescent="0.3">
      <c r="A262" s="34" t="s">
        <v>93</v>
      </c>
      <c r="B262" s="39" t="s">
        <v>35</v>
      </c>
      <c r="C262" s="34" t="s">
        <v>21</v>
      </c>
      <c r="O262" s="40">
        <v>396.9</v>
      </c>
      <c r="P262" s="41">
        <f t="shared" si="4"/>
        <v>396.9</v>
      </c>
    </row>
    <row r="263" spans="1:16" x14ac:dyDescent="0.3">
      <c r="A263" s="34" t="s">
        <v>93</v>
      </c>
      <c r="B263" s="39" t="s">
        <v>37</v>
      </c>
      <c r="C263" s="34" t="s">
        <v>21</v>
      </c>
      <c r="O263" s="40">
        <v>13.6</v>
      </c>
      <c r="P263" s="41">
        <f t="shared" si="4"/>
        <v>13.6</v>
      </c>
    </row>
    <row r="264" spans="1:16" x14ac:dyDescent="0.3">
      <c r="A264" s="34" t="s">
        <v>93</v>
      </c>
      <c r="B264" s="39" t="s">
        <v>38</v>
      </c>
      <c r="C264" s="34" t="s">
        <v>21</v>
      </c>
      <c r="O264" s="40">
        <v>4227.3</v>
      </c>
      <c r="P264" s="41">
        <f t="shared" si="4"/>
        <v>4227.3</v>
      </c>
    </row>
    <row r="265" spans="1:16" x14ac:dyDescent="0.3">
      <c r="A265" s="34" t="s">
        <v>93</v>
      </c>
      <c r="B265" s="39" t="s">
        <v>39</v>
      </c>
      <c r="C265" s="34" t="s">
        <v>21</v>
      </c>
      <c r="O265" s="40">
        <v>143.4</v>
      </c>
      <c r="P265" s="41">
        <f t="shared" si="4"/>
        <v>143.4</v>
      </c>
    </row>
    <row r="266" spans="1:16" x14ac:dyDescent="0.3">
      <c r="A266" s="34" t="s">
        <v>93</v>
      </c>
      <c r="B266" s="39" t="s">
        <v>40</v>
      </c>
      <c r="C266" s="34" t="s">
        <v>21</v>
      </c>
      <c r="O266" s="40">
        <v>0</v>
      </c>
      <c r="P266" s="41">
        <f t="shared" si="4"/>
        <v>0</v>
      </c>
    </row>
    <row r="267" spans="1:16" x14ac:dyDescent="0.3">
      <c r="A267" s="34" t="s">
        <v>93</v>
      </c>
      <c r="B267" s="39" t="s">
        <v>41</v>
      </c>
      <c r="C267" s="34" t="s">
        <v>21</v>
      </c>
      <c r="O267" s="40">
        <v>1458.1</v>
      </c>
      <c r="P267" s="41">
        <f t="shared" si="4"/>
        <v>1458.1</v>
      </c>
    </row>
    <row r="268" spans="1:16" x14ac:dyDescent="0.3">
      <c r="A268" s="34" t="s">
        <v>93</v>
      </c>
      <c r="B268" s="39" t="s">
        <v>42</v>
      </c>
      <c r="C268" s="34" t="s">
        <v>21</v>
      </c>
      <c r="O268" s="40">
        <v>2610.6999999999998</v>
      </c>
      <c r="P268" s="41">
        <f t="shared" si="4"/>
        <v>2610.6999999999998</v>
      </c>
    </row>
    <row r="269" spans="1:16" x14ac:dyDescent="0.3">
      <c r="A269" s="34" t="s">
        <v>93</v>
      </c>
      <c r="B269" s="39" t="s">
        <v>43</v>
      </c>
      <c r="C269" s="34" t="s">
        <v>21</v>
      </c>
      <c r="O269" s="40">
        <v>425.6</v>
      </c>
      <c r="P269" s="41">
        <f t="shared" si="4"/>
        <v>425.6</v>
      </c>
    </row>
    <row r="270" spans="1:16" x14ac:dyDescent="0.3">
      <c r="A270" s="34" t="s">
        <v>93</v>
      </c>
      <c r="B270" s="35" t="s">
        <v>44</v>
      </c>
      <c r="C270" s="34" t="s">
        <v>21</v>
      </c>
      <c r="P270" s="37">
        <f t="shared" si="4"/>
        <v>0</v>
      </c>
    </row>
    <row r="271" spans="1:16" x14ac:dyDescent="0.3">
      <c r="A271" s="34" t="s">
        <v>93</v>
      </c>
      <c r="B271" s="35" t="s">
        <v>45</v>
      </c>
      <c r="C271" s="34" t="s">
        <v>21</v>
      </c>
      <c r="P271" s="41">
        <f t="shared" si="4"/>
        <v>0</v>
      </c>
    </row>
    <row r="272" spans="1:16" x14ac:dyDescent="0.3">
      <c r="A272" s="34" t="s">
        <v>93</v>
      </c>
      <c r="B272" s="35" t="s">
        <v>47</v>
      </c>
      <c r="C272" s="34" t="s">
        <v>21</v>
      </c>
      <c r="O272" s="41">
        <v>3.4106051316484809E-13</v>
      </c>
      <c r="P272" s="41">
        <f t="shared" si="4"/>
        <v>3.4106051316484809E-13</v>
      </c>
    </row>
    <row r="273" spans="1:16" x14ac:dyDescent="0.3">
      <c r="A273" s="34" t="s">
        <v>93</v>
      </c>
      <c r="B273" s="35" t="s">
        <v>28</v>
      </c>
      <c r="C273" s="34" t="s">
        <v>22</v>
      </c>
      <c r="P273" s="36">
        <f t="shared" si="4"/>
        <v>0</v>
      </c>
    </row>
    <row r="274" spans="1:16" x14ac:dyDescent="0.3">
      <c r="A274" s="34" t="s">
        <v>93</v>
      </c>
      <c r="B274" s="35" t="s">
        <v>30</v>
      </c>
      <c r="C274" s="34" t="s">
        <v>22</v>
      </c>
      <c r="P274" s="36">
        <f t="shared" si="4"/>
        <v>0</v>
      </c>
    </row>
    <row r="275" spans="1:16" x14ac:dyDescent="0.3">
      <c r="A275" s="34" t="s">
        <v>93</v>
      </c>
      <c r="B275" s="35" t="s">
        <v>31</v>
      </c>
      <c r="C275" s="34" t="s">
        <v>22</v>
      </c>
      <c r="P275" s="37">
        <f t="shared" si="4"/>
        <v>0</v>
      </c>
    </row>
    <row r="276" spans="1:16" x14ac:dyDescent="0.3">
      <c r="A276" s="34" t="s">
        <v>93</v>
      </c>
      <c r="B276" s="35" t="s">
        <v>33</v>
      </c>
      <c r="C276" s="34" t="s">
        <v>22</v>
      </c>
      <c r="P276" s="38">
        <f t="shared" si="4"/>
        <v>0</v>
      </c>
    </row>
    <row r="277" spans="1:16" x14ac:dyDescent="0.3">
      <c r="A277" s="34" t="s">
        <v>93</v>
      </c>
      <c r="B277" s="39" t="s">
        <v>35</v>
      </c>
      <c r="C277" s="34" t="s">
        <v>22</v>
      </c>
      <c r="O277" s="40">
        <v>425.6</v>
      </c>
      <c r="P277" s="41">
        <f t="shared" si="4"/>
        <v>425.6</v>
      </c>
    </row>
    <row r="278" spans="1:16" x14ac:dyDescent="0.3">
      <c r="A278" s="34" t="s">
        <v>93</v>
      </c>
      <c r="B278" s="39" t="s">
        <v>37</v>
      </c>
      <c r="C278" s="34" t="s">
        <v>22</v>
      </c>
      <c r="O278" s="40">
        <v>17.100000000000001</v>
      </c>
      <c r="P278" s="41">
        <f t="shared" si="4"/>
        <v>17.100000000000001</v>
      </c>
    </row>
    <row r="279" spans="1:16" x14ac:dyDescent="0.3">
      <c r="A279" s="34" t="s">
        <v>93</v>
      </c>
      <c r="B279" s="39" t="s">
        <v>38</v>
      </c>
      <c r="C279" s="34" t="s">
        <v>22</v>
      </c>
      <c r="O279" s="40">
        <v>4575.8</v>
      </c>
      <c r="P279" s="41">
        <f t="shared" si="4"/>
        <v>4575.8</v>
      </c>
    </row>
    <row r="280" spans="1:16" x14ac:dyDescent="0.3">
      <c r="A280" s="34" t="s">
        <v>93</v>
      </c>
      <c r="B280" s="39" t="s">
        <v>39</v>
      </c>
      <c r="C280" s="34" t="s">
        <v>22</v>
      </c>
      <c r="O280" s="40">
        <v>104.1</v>
      </c>
      <c r="P280" s="41">
        <f t="shared" si="4"/>
        <v>104.1</v>
      </c>
    </row>
    <row r="281" spans="1:16" x14ac:dyDescent="0.3">
      <c r="A281" s="34" t="s">
        <v>93</v>
      </c>
      <c r="B281" s="39" t="s">
        <v>40</v>
      </c>
      <c r="C281" s="34" t="s">
        <v>22</v>
      </c>
      <c r="O281" s="40">
        <v>0</v>
      </c>
      <c r="P281" s="41">
        <f t="shared" si="4"/>
        <v>0</v>
      </c>
    </row>
    <row r="282" spans="1:16" x14ac:dyDescent="0.3">
      <c r="A282" s="34" t="s">
        <v>93</v>
      </c>
      <c r="B282" s="39" t="s">
        <v>41</v>
      </c>
      <c r="C282" s="34" t="s">
        <v>22</v>
      </c>
      <c r="O282" s="40">
        <v>1286.200000000001</v>
      </c>
      <c r="P282" s="41">
        <f t="shared" si="4"/>
        <v>1286.200000000001</v>
      </c>
    </row>
    <row r="283" spans="1:16" x14ac:dyDescent="0.3">
      <c r="A283" s="34" t="s">
        <v>93</v>
      </c>
      <c r="B283" s="39" t="s">
        <v>42</v>
      </c>
      <c r="C283" s="34" t="s">
        <v>22</v>
      </c>
      <c r="O283" s="40">
        <v>2971.7</v>
      </c>
      <c r="P283" s="41">
        <f t="shared" si="4"/>
        <v>2971.7</v>
      </c>
    </row>
    <row r="284" spans="1:16" x14ac:dyDescent="0.3">
      <c r="A284" s="34" t="s">
        <v>93</v>
      </c>
      <c r="B284" s="39" t="s">
        <v>43</v>
      </c>
      <c r="C284" s="34" t="s">
        <v>22</v>
      </c>
      <c r="O284" s="40">
        <v>656.5</v>
      </c>
      <c r="P284" s="41">
        <f t="shared" si="4"/>
        <v>656.5</v>
      </c>
    </row>
    <row r="285" spans="1:16" x14ac:dyDescent="0.3">
      <c r="A285" s="34" t="s">
        <v>93</v>
      </c>
      <c r="B285" s="35" t="s">
        <v>44</v>
      </c>
      <c r="C285" s="34" t="s">
        <v>22</v>
      </c>
      <c r="P285" s="37">
        <f t="shared" si="4"/>
        <v>0</v>
      </c>
    </row>
    <row r="286" spans="1:16" x14ac:dyDescent="0.3">
      <c r="A286" s="34" t="s">
        <v>93</v>
      </c>
      <c r="B286" s="35" t="s">
        <v>45</v>
      </c>
      <c r="C286" s="34" t="s">
        <v>22</v>
      </c>
      <c r="P286" s="41">
        <f t="shared" si="4"/>
        <v>0</v>
      </c>
    </row>
    <row r="287" spans="1:16" x14ac:dyDescent="0.3">
      <c r="A287" s="34" t="s">
        <v>93</v>
      </c>
      <c r="B287" s="35" t="s">
        <v>47</v>
      </c>
      <c r="C287" s="34" t="s">
        <v>22</v>
      </c>
      <c r="O287" s="41">
        <v>-4.5474735088646412E-13</v>
      </c>
      <c r="P287" s="41">
        <f t="shared" si="4"/>
        <v>-4.5474735088646412E-13</v>
      </c>
    </row>
    <row r="288" spans="1:16" x14ac:dyDescent="0.3">
      <c r="A288" s="34" t="s">
        <v>93</v>
      </c>
      <c r="B288" s="35" t="s">
        <v>28</v>
      </c>
      <c r="C288" s="34" t="s">
        <v>23</v>
      </c>
      <c r="P288" s="36">
        <f t="shared" si="4"/>
        <v>0</v>
      </c>
    </row>
    <row r="289" spans="1:16" x14ac:dyDescent="0.3">
      <c r="A289" s="34" t="s">
        <v>93</v>
      </c>
      <c r="B289" s="35" t="s">
        <v>30</v>
      </c>
      <c r="C289" s="34" t="s">
        <v>23</v>
      </c>
      <c r="P289" s="36">
        <f t="shared" si="4"/>
        <v>0</v>
      </c>
    </row>
    <row r="290" spans="1:16" x14ac:dyDescent="0.3">
      <c r="A290" s="34" t="s">
        <v>93</v>
      </c>
      <c r="B290" s="35" t="s">
        <v>31</v>
      </c>
      <c r="C290" s="34" t="s">
        <v>23</v>
      </c>
      <c r="P290" s="37">
        <f t="shared" si="4"/>
        <v>0</v>
      </c>
    </row>
    <row r="291" spans="1:16" x14ac:dyDescent="0.3">
      <c r="A291" s="34" t="s">
        <v>93</v>
      </c>
      <c r="B291" s="35" t="s">
        <v>33</v>
      </c>
      <c r="C291" s="34" t="s">
        <v>23</v>
      </c>
      <c r="P291" s="38">
        <f t="shared" si="4"/>
        <v>0</v>
      </c>
    </row>
    <row r="292" spans="1:16" x14ac:dyDescent="0.3">
      <c r="A292" s="34" t="s">
        <v>93</v>
      </c>
      <c r="B292" s="39" t="s">
        <v>35</v>
      </c>
      <c r="C292" s="34" t="s">
        <v>23</v>
      </c>
      <c r="O292" s="40">
        <v>656.5</v>
      </c>
      <c r="P292" s="41">
        <f t="shared" si="4"/>
        <v>656.5</v>
      </c>
    </row>
    <row r="293" spans="1:16" x14ac:dyDescent="0.3">
      <c r="A293" s="34" t="s">
        <v>93</v>
      </c>
      <c r="B293" s="39" t="s">
        <v>37</v>
      </c>
      <c r="C293" s="34" t="s">
        <v>23</v>
      </c>
      <c r="O293" s="40">
        <v>25</v>
      </c>
      <c r="P293" s="41">
        <f t="shared" si="4"/>
        <v>25</v>
      </c>
    </row>
    <row r="294" spans="1:16" x14ac:dyDescent="0.3">
      <c r="A294" s="34" t="s">
        <v>93</v>
      </c>
      <c r="B294" s="39" t="s">
        <v>38</v>
      </c>
      <c r="C294" s="34" t="s">
        <v>23</v>
      </c>
      <c r="O294" s="40">
        <v>2898.6</v>
      </c>
      <c r="P294" s="41">
        <f t="shared" si="4"/>
        <v>2898.6</v>
      </c>
    </row>
    <row r="295" spans="1:16" x14ac:dyDescent="0.3">
      <c r="A295" s="34" t="s">
        <v>93</v>
      </c>
      <c r="B295" s="39" t="s">
        <v>39</v>
      </c>
      <c r="C295" s="34" t="s">
        <v>23</v>
      </c>
      <c r="O295" s="40">
        <v>97.6</v>
      </c>
      <c r="P295" s="41">
        <f t="shared" si="4"/>
        <v>97.6</v>
      </c>
    </row>
    <row r="296" spans="1:16" x14ac:dyDescent="0.3">
      <c r="A296" s="34" t="s">
        <v>93</v>
      </c>
      <c r="B296" s="39" t="s">
        <v>40</v>
      </c>
      <c r="C296" s="34" t="s">
        <v>23</v>
      </c>
      <c r="O296" s="40">
        <v>0</v>
      </c>
      <c r="P296" s="41">
        <f t="shared" si="4"/>
        <v>0</v>
      </c>
    </row>
    <row r="297" spans="1:16" x14ac:dyDescent="0.3">
      <c r="A297" s="34" t="s">
        <v>93</v>
      </c>
      <c r="B297" s="39" t="s">
        <v>41</v>
      </c>
      <c r="C297" s="34" t="s">
        <v>23</v>
      </c>
      <c r="O297" s="40">
        <v>835.80000000000007</v>
      </c>
      <c r="P297" s="41">
        <f t="shared" si="4"/>
        <v>835.80000000000007</v>
      </c>
    </row>
    <row r="298" spans="1:16" x14ac:dyDescent="0.3">
      <c r="A298" s="34" t="s">
        <v>93</v>
      </c>
      <c r="B298" s="39" t="s">
        <v>42</v>
      </c>
      <c r="C298" s="34" t="s">
        <v>23</v>
      </c>
      <c r="O298" s="40">
        <v>2314.1</v>
      </c>
      <c r="P298" s="41">
        <f t="shared" si="4"/>
        <v>2314.1</v>
      </c>
    </row>
    <row r="299" spans="1:16" x14ac:dyDescent="0.3">
      <c r="A299" s="34" t="s">
        <v>93</v>
      </c>
      <c r="B299" s="39" t="s">
        <v>43</v>
      </c>
      <c r="C299" s="34" t="s">
        <v>23</v>
      </c>
      <c r="O299" s="40">
        <v>332.6</v>
      </c>
      <c r="P299" s="41">
        <f t="shared" si="4"/>
        <v>332.6</v>
      </c>
    </row>
    <row r="300" spans="1:16" x14ac:dyDescent="0.3">
      <c r="A300" s="34" t="s">
        <v>93</v>
      </c>
      <c r="B300" s="35" t="s">
        <v>44</v>
      </c>
      <c r="C300" s="34" t="s">
        <v>23</v>
      </c>
      <c r="P300" s="37">
        <f t="shared" si="4"/>
        <v>0</v>
      </c>
    </row>
    <row r="301" spans="1:16" x14ac:dyDescent="0.3">
      <c r="A301" s="34" t="s">
        <v>93</v>
      </c>
      <c r="B301" s="35" t="s">
        <v>45</v>
      </c>
      <c r="C301" s="34" t="s">
        <v>23</v>
      </c>
      <c r="P301" s="41">
        <f t="shared" si="4"/>
        <v>0</v>
      </c>
    </row>
    <row r="302" spans="1:16" x14ac:dyDescent="0.3">
      <c r="A302" s="34" t="s">
        <v>93</v>
      </c>
      <c r="B302" s="35" t="s">
        <v>47</v>
      </c>
      <c r="C302" s="34" t="s">
        <v>23</v>
      </c>
      <c r="O302" s="41">
        <v>-1.1368683772161611E-13</v>
      </c>
      <c r="P302" s="41">
        <f t="shared" si="4"/>
        <v>-1.1368683772161611E-13</v>
      </c>
    </row>
    <row r="303" spans="1:16" x14ac:dyDescent="0.3">
      <c r="A303" s="34" t="s">
        <v>93</v>
      </c>
      <c r="B303" s="35" t="s">
        <v>28</v>
      </c>
      <c r="C303" s="34" t="s">
        <v>24</v>
      </c>
      <c r="P303" s="36">
        <f t="shared" si="4"/>
        <v>0</v>
      </c>
    </row>
    <row r="304" spans="1:16" x14ac:dyDescent="0.3">
      <c r="A304" s="34" t="s">
        <v>93</v>
      </c>
      <c r="B304" s="35" t="s">
        <v>30</v>
      </c>
      <c r="C304" s="34" t="s">
        <v>24</v>
      </c>
      <c r="P304" s="36">
        <f t="shared" si="4"/>
        <v>0</v>
      </c>
    </row>
    <row r="305" spans="1:16" x14ac:dyDescent="0.3">
      <c r="A305" s="34" t="s">
        <v>93</v>
      </c>
      <c r="B305" s="35" t="s">
        <v>31</v>
      </c>
      <c r="C305" s="34" t="s">
        <v>24</v>
      </c>
      <c r="P305" s="37">
        <f t="shared" si="4"/>
        <v>0</v>
      </c>
    </row>
    <row r="306" spans="1:16" x14ac:dyDescent="0.3">
      <c r="A306" s="34" t="s">
        <v>93</v>
      </c>
      <c r="B306" s="35" t="s">
        <v>33</v>
      </c>
      <c r="C306" s="34" t="s">
        <v>24</v>
      </c>
      <c r="P306" s="38">
        <f t="shared" si="4"/>
        <v>0</v>
      </c>
    </row>
    <row r="307" spans="1:16" x14ac:dyDescent="0.3">
      <c r="A307" s="34" t="s">
        <v>93</v>
      </c>
      <c r="B307" s="39" t="s">
        <v>35</v>
      </c>
      <c r="C307" s="34" t="s">
        <v>24</v>
      </c>
      <c r="O307" s="40">
        <v>332.6</v>
      </c>
      <c r="P307" s="41">
        <f t="shared" si="4"/>
        <v>332.6</v>
      </c>
    </row>
    <row r="308" spans="1:16" x14ac:dyDescent="0.3">
      <c r="A308" s="34" t="s">
        <v>93</v>
      </c>
      <c r="B308" s="39" t="s">
        <v>37</v>
      </c>
      <c r="C308" s="34" t="s">
        <v>24</v>
      </c>
      <c r="O308" s="40">
        <v>24.6</v>
      </c>
      <c r="P308" s="41">
        <f t="shared" si="4"/>
        <v>24.6</v>
      </c>
    </row>
    <row r="309" spans="1:16" x14ac:dyDescent="0.3">
      <c r="A309" s="34" t="s">
        <v>93</v>
      </c>
      <c r="B309" s="39" t="s">
        <v>38</v>
      </c>
      <c r="C309" s="34" t="s">
        <v>24</v>
      </c>
      <c r="O309" s="40">
        <v>5226.5</v>
      </c>
      <c r="P309" s="41">
        <f t="shared" si="4"/>
        <v>5226.5</v>
      </c>
    </row>
    <row r="310" spans="1:16" x14ac:dyDescent="0.3">
      <c r="A310" s="34" t="s">
        <v>93</v>
      </c>
      <c r="B310" s="39" t="s">
        <v>39</v>
      </c>
      <c r="C310" s="34" t="s">
        <v>24</v>
      </c>
      <c r="O310" s="40">
        <v>90.3</v>
      </c>
      <c r="P310" s="41">
        <f t="shared" si="4"/>
        <v>90.3</v>
      </c>
    </row>
    <row r="311" spans="1:16" x14ac:dyDescent="0.3">
      <c r="A311" s="34" t="s">
        <v>93</v>
      </c>
      <c r="B311" s="39" t="s">
        <v>40</v>
      </c>
      <c r="C311" s="34" t="s">
        <v>24</v>
      </c>
      <c r="O311" s="40">
        <v>0</v>
      </c>
      <c r="P311" s="41">
        <f t="shared" si="4"/>
        <v>0</v>
      </c>
    </row>
    <row r="312" spans="1:16" x14ac:dyDescent="0.3">
      <c r="A312" s="34" t="s">
        <v>93</v>
      </c>
      <c r="B312" s="39" t="s">
        <v>41</v>
      </c>
      <c r="C312" s="34" t="s">
        <v>24</v>
      </c>
      <c r="O312" s="40">
        <v>1320.5</v>
      </c>
      <c r="P312" s="41">
        <f t="shared" si="4"/>
        <v>1320.5</v>
      </c>
    </row>
    <row r="313" spans="1:16" x14ac:dyDescent="0.3">
      <c r="A313" s="34" t="s">
        <v>93</v>
      </c>
      <c r="B313" s="39" t="s">
        <v>42</v>
      </c>
      <c r="C313" s="34" t="s">
        <v>24</v>
      </c>
      <c r="O313" s="40">
        <v>2669.9</v>
      </c>
      <c r="P313" s="41">
        <f t="shared" si="4"/>
        <v>2669.9</v>
      </c>
    </row>
    <row r="314" spans="1:16" x14ac:dyDescent="0.3">
      <c r="A314" s="34" t="s">
        <v>93</v>
      </c>
      <c r="B314" s="39" t="s">
        <v>43</v>
      </c>
      <c r="C314" s="34" t="s">
        <v>24</v>
      </c>
      <c r="O314" s="40">
        <v>1503</v>
      </c>
      <c r="P314" s="41">
        <f t="shared" si="4"/>
        <v>1503</v>
      </c>
    </row>
    <row r="315" spans="1:16" x14ac:dyDescent="0.3">
      <c r="A315" s="34" t="s">
        <v>93</v>
      </c>
      <c r="B315" s="35" t="s">
        <v>44</v>
      </c>
      <c r="C315" s="34" t="s">
        <v>24</v>
      </c>
      <c r="P315" s="37">
        <f t="shared" si="4"/>
        <v>0</v>
      </c>
    </row>
    <row r="316" spans="1:16" x14ac:dyDescent="0.3">
      <c r="A316" s="34" t="s">
        <v>93</v>
      </c>
      <c r="B316" s="35" t="s">
        <v>45</v>
      </c>
      <c r="C316" s="34" t="s">
        <v>24</v>
      </c>
      <c r="P316" s="41">
        <f t="shared" si="4"/>
        <v>0</v>
      </c>
    </row>
    <row r="317" spans="1:16" x14ac:dyDescent="0.3">
      <c r="A317" s="34" t="s">
        <v>93</v>
      </c>
      <c r="B317" s="35" t="s">
        <v>47</v>
      </c>
      <c r="C317" s="34" t="s">
        <v>24</v>
      </c>
      <c r="O317" s="41">
        <v>-4.5474735088646412E-13</v>
      </c>
      <c r="P317" s="41">
        <f t="shared" si="4"/>
        <v>-4.5474735088646412E-13</v>
      </c>
    </row>
    <row r="318" spans="1:16" x14ac:dyDescent="0.3">
      <c r="A318" s="34" t="s">
        <v>93</v>
      </c>
      <c r="B318" s="35" t="s">
        <v>28</v>
      </c>
      <c r="C318" s="34" t="s">
        <v>25</v>
      </c>
      <c r="P318" s="36">
        <f t="shared" si="4"/>
        <v>0</v>
      </c>
    </row>
    <row r="319" spans="1:16" x14ac:dyDescent="0.3">
      <c r="A319" s="34" t="s">
        <v>93</v>
      </c>
      <c r="B319" s="35" t="s">
        <v>30</v>
      </c>
      <c r="C319" s="34" t="s">
        <v>25</v>
      </c>
      <c r="P319" s="36">
        <f t="shared" si="4"/>
        <v>0</v>
      </c>
    </row>
    <row r="320" spans="1:16" x14ac:dyDescent="0.3">
      <c r="A320" s="34" t="s">
        <v>93</v>
      </c>
      <c r="B320" s="35" t="s">
        <v>31</v>
      </c>
      <c r="C320" s="34" t="s">
        <v>25</v>
      </c>
      <c r="P320" s="37">
        <f t="shared" si="4"/>
        <v>0</v>
      </c>
    </row>
    <row r="321" spans="1:16" x14ac:dyDescent="0.3">
      <c r="A321" s="34" t="s">
        <v>93</v>
      </c>
      <c r="B321" s="35" t="s">
        <v>33</v>
      </c>
      <c r="C321" s="34" t="s">
        <v>25</v>
      </c>
      <c r="P321" s="38">
        <f t="shared" si="4"/>
        <v>0</v>
      </c>
    </row>
    <row r="322" spans="1:16" x14ac:dyDescent="0.3">
      <c r="A322" s="34" t="s">
        <v>93</v>
      </c>
      <c r="B322" s="39" t="s">
        <v>35</v>
      </c>
      <c r="C322" s="34" t="s">
        <v>25</v>
      </c>
      <c r="O322" s="40">
        <v>1503</v>
      </c>
      <c r="P322" s="41">
        <f t="shared" si="4"/>
        <v>1503</v>
      </c>
    </row>
    <row r="323" spans="1:16" x14ac:dyDescent="0.3">
      <c r="A323" s="34" t="s">
        <v>93</v>
      </c>
      <c r="B323" s="39" t="s">
        <v>37</v>
      </c>
      <c r="C323" s="34" t="s">
        <v>25</v>
      </c>
      <c r="O323" s="40">
        <v>15.3</v>
      </c>
      <c r="P323" s="41">
        <f t="shared" ref="P323:P386" si="5">SUM(D323:O323)</f>
        <v>15.3</v>
      </c>
    </row>
    <row r="324" spans="1:16" x14ac:dyDescent="0.3">
      <c r="A324" s="34" t="s">
        <v>93</v>
      </c>
      <c r="B324" s="39" t="s">
        <v>38</v>
      </c>
      <c r="C324" s="34" t="s">
        <v>25</v>
      </c>
      <c r="O324" s="40">
        <v>2643.1</v>
      </c>
      <c r="P324" s="41">
        <f t="shared" si="5"/>
        <v>2643.1</v>
      </c>
    </row>
    <row r="325" spans="1:16" x14ac:dyDescent="0.3">
      <c r="A325" s="34" t="s">
        <v>93</v>
      </c>
      <c r="B325" s="39" t="s">
        <v>39</v>
      </c>
      <c r="C325" s="34" t="s">
        <v>25</v>
      </c>
      <c r="O325" s="40">
        <v>78.8</v>
      </c>
      <c r="P325" s="41">
        <f t="shared" si="5"/>
        <v>78.8</v>
      </c>
    </row>
    <row r="326" spans="1:16" x14ac:dyDescent="0.3">
      <c r="A326" s="34" t="s">
        <v>93</v>
      </c>
      <c r="B326" s="39" t="s">
        <v>40</v>
      </c>
      <c r="C326" s="34" t="s">
        <v>25</v>
      </c>
      <c r="O326" s="40">
        <v>0</v>
      </c>
      <c r="P326" s="41">
        <f t="shared" si="5"/>
        <v>0</v>
      </c>
    </row>
    <row r="327" spans="1:16" x14ac:dyDescent="0.3">
      <c r="A327" s="34" t="s">
        <v>93</v>
      </c>
      <c r="B327" s="39" t="s">
        <v>41</v>
      </c>
      <c r="C327" s="34" t="s">
        <v>25</v>
      </c>
      <c r="O327" s="40">
        <v>1046.5</v>
      </c>
      <c r="P327" s="41">
        <f t="shared" si="5"/>
        <v>1046.5</v>
      </c>
    </row>
    <row r="328" spans="1:16" x14ac:dyDescent="0.3">
      <c r="A328" s="34" t="s">
        <v>93</v>
      </c>
      <c r="B328" s="39" t="s">
        <v>42</v>
      </c>
      <c r="C328" s="34" t="s">
        <v>25</v>
      </c>
      <c r="O328" s="40">
        <v>2365.6999999999998</v>
      </c>
      <c r="P328" s="41">
        <f t="shared" si="5"/>
        <v>2365.6999999999998</v>
      </c>
    </row>
    <row r="329" spans="1:16" x14ac:dyDescent="0.3">
      <c r="A329" s="34" t="s">
        <v>93</v>
      </c>
      <c r="B329" s="39" t="s">
        <v>43</v>
      </c>
      <c r="C329" s="34" t="s">
        <v>25</v>
      </c>
      <c r="O329" s="40">
        <v>670.4</v>
      </c>
      <c r="P329" s="41">
        <f t="shared" si="5"/>
        <v>670.4</v>
      </c>
    </row>
    <row r="330" spans="1:16" x14ac:dyDescent="0.3">
      <c r="A330" s="34" t="s">
        <v>93</v>
      </c>
      <c r="B330" s="35" t="s">
        <v>44</v>
      </c>
      <c r="C330" s="34" t="s">
        <v>25</v>
      </c>
      <c r="P330" s="37">
        <f t="shared" si="5"/>
        <v>0</v>
      </c>
    </row>
    <row r="331" spans="1:16" x14ac:dyDescent="0.3">
      <c r="A331" s="34" t="s">
        <v>93</v>
      </c>
      <c r="B331" s="35" t="s">
        <v>45</v>
      </c>
      <c r="C331" s="34" t="s">
        <v>25</v>
      </c>
      <c r="P331" s="41">
        <f t="shared" si="5"/>
        <v>0</v>
      </c>
    </row>
    <row r="332" spans="1:16" x14ac:dyDescent="0.3">
      <c r="A332" s="34" t="s">
        <v>93</v>
      </c>
      <c r="B332" s="35" t="s">
        <v>47</v>
      </c>
      <c r="C332" s="34" t="s">
        <v>25</v>
      </c>
      <c r="O332" s="41">
        <v>1.1368683772161611E-13</v>
      </c>
      <c r="P332" s="41">
        <f t="shared" si="5"/>
        <v>1.1368683772161611E-13</v>
      </c>
    </row>
    <row r="333" spans="1:16" x14ac:dyDescent="0.3">
      <c r="A333" s="34" t="s">
        <v>93</v>
      </c>
      <c r="B333" s="35" t="s">
        <v>28</v>
      </c>
      <c r="C333" s="34" t="s">
        <v>26</v>
      </c>
      <c r="P333" s="36">
        <f t="shared" si="5"/>
        <v>0</v>
      </c>
    </row>
    <row r="334" spans="1:16" x14ac:dyDescent="0.3">
      <c r="A334" s="34" t="s">
        <v>93</v>
      </c>
      <c r="B334" s="35" t="s">
        <v>30</v>
      </c>
      <c r="C334" s="34" t="s">
        <v>26</v>
      </c>
      <c r="P334" s="36">
        <f t="shared" si="5"/>
        <v>0</v>
      </c>
    </row>
    <row r="335" spans="1:16" x14ac:dyDescent="0.3">
      <c r="A335" s="34" t="s">
        <v>93</v>
      </c>
      <c r="B335" s="35" t="s">
        <v>31</v>
      </c>
      <c r="C335" s="34" t="s">
        <v>26</v>
      </c>
      <c r="P335" s="37">
        <f t="shared" si="5"/>
        <v>0</v>
      </c>
    </row>
    <row r="336" spans="1:16" x14ac:dyDescent="0.3">
      <c r="A336" s="34" t="s">
        <v>93</v>
      </c>
      <c r="B336" s="35" t="s">
        <v>33</v>
      </c>
      <c r="C336" s="34" t="s">
        <v>26</v>
      </c>
      <c r="P336" s="38">
        <f t="shared" si="5"/>
        <v>0</v>
      </c>
    </row>
    <row r="337" spans="1:16" x14ac:dyDescent="0.3">
      <c r="A337" s="34" t="s">
        <v>93</v>
      </c>
      <c r="B337" s="39" t="s">
        <v>35</v>
      </c>
      <c r="C337" s="34" t="s">
        <v>26</v>
      </c>
      <c r="O337" s="40">
        <v>670.4</v>
      </c>
      <c r="P337" s="41">
        <f t="shared" si="5"/>
        <v>670.4</v>
      </c>
    </row>
    <row r="338" spans="1:16" x14ac:dyDescent="0.3">
      <c r="A338" s="34" t="s">
        <v>93</v>
      </c>
      <c r="B338" s="39" t="s">
        <v>37</v>
      </c>
      <c r="C338" s="34" t="s">
        <v>26</v>
      </c>
      <c r="O338" s="40">
        <v>15.9</v>
      </c>
      <c r="P338" s="41">
        <f t="shared" si="5"/>
        <v>15.9</v>
      </c>
    </row>
    <row r="339" spans="1:16" x14ac:dyDescent="0.3">
      <c r="A339" s="34" t="s">
        <v>93</v>
      </c>
      <c r="B339" s="39" t="s">
        <v>38</v>
      </c>
      <c r="C339" s="34" t="s">
        <v>26</v>
      </c>
      <c r="O339" s="40">
        <v>3357.6</v>
      </c>
      <c r="P339" s="41">
        <f t="shared" si="5"/>
        <v>3357.6</v>
      </c>
    </row>
    <row r="340" spans="1:16" x14ac:dyDescent="0.3">
      <c r="A340" s="34" t="s">
        <v>93</v>
      </c>
      <c r="B340" s="39" t="s">
        <v>39</v>
      </c>
      <c r="C340" s="34" t="s">
        <v>26</v>
      </c>
      <c r="O340" s="40">
        <v>75.2</v>
      </c>
      <c r="P340" s="41">
        <f t="shared" si="5"/>
        <v>75.2</v>
      </c>
    </row>
    <row r="341" spans="1:16" x14ac:dyDescent="0.3">
      <c r="A341" s="34" t="s">
        <v>93</v>
      </c>
      <c r="B341" s="39" t="s">
        <v>40</v>
      </c>
      <c r="C341" s="34" t="s">
        <v>26</v>
      </c>
      <c r="O341" s="40">
        <v>0</v>
      </c>
      <c r="P341" s="41">
        <f t="shared" si="5"/>
        <v>0</v>
      </c>
    </row>
    <row r="342" spans="1:16" x14ac:dyDescent="0.3">
      <c r="A342" s="34" t="s">
        <v>93</v>
      </c>
      <c r="B342" s="39" t="s">
        <v>41</v>
      </c>
      <c r="C342" s="34" t="s">
        <v>26</v>
      </c>
      <c r="O342" s="40">
        <v>896.60000000000014</v>
      </c>
      <c r="P342" s="41">
        <f t="shared" si="5"/>
        <v>896.60000000000014</v>
      </c>
    </row>
    <row r="343" spans="1:16" x14ac:dyDescent="0.3">
      <c r="A343" s="34" t="s">
        <v>93</v>
      </c>
      <c r="B343" s="39" t="s">
        <v>42</v>
      </c>
      <c r="C343" s="34" t="s">
        <v>26</v>
      </c>
      <c r="O343" s="40">
        <v>2565.4</v>
      </c>
      <c r="P343" s="41">
        <f t="shared" si="5"/>
        <v>2565.4</v>
      </c>
    </row>
    <row r="344" spans="1:16" x14ac:dyDescent="0.3">
      <c r="A344" s="34" t="s">
        <v>93</v>
      </c>
      <c r="B344" s="39" t="s">
        <v>43</v>
      </c>
      <c r="C344" s="34" t="s">
        <v>26</v>
      </c>
      <c r="O344" s="40">
        <v>506.7</v>
      </c>
      <c r="P344" s="41">
        <f t="shared" si="5"/>
        <v>506.7</v>
      </c>
    </row>
    <row r="345" spans="1:16" x14ac:dyDescent="0.3">
      <c r="A345" s="34" t="s">
        <v>93</v>
      </c>
      <c r="B345" s="35" t="s">
        <v>44</v>
      </c>
      <c r="C345" s="34" t="s">
        <v>26</v>
      </c>
      <c r="P345" s="37">
        <f t="shared" si="5"/>
        <v>0</v>
      </c>
    </row>
    <row r="346" spans="1:16" x14ac:dyDescent="0.3">
      <c r="A346" s="34" t="s">
        <v>93</v>
      </c>
      <c r="B346" s="35" t="s">
        <v>45</v>
      </c>
      <c r="C346" s="34" t="s">
        <v>26</v>
      </c>
      <c r="P346" s="41">
        <f t="shared" si="5"/>
        <v>0</v>
      </c>
    </row>
    <row r="347" spans="1:16" x14ac:dyDescent="0.3">
      <c r="A347" s="34" t="s">
        <v>93</v>
      </c>
      <c r="B347" s="35" t="s">
        <v>47</v>
      </c>
      <c r="C347" s="34" t="s">
        <v>26</v>
      </c>
      <c r="O347" s="41">
        <v>2.8421709430404012E-13</v>
      </c>
      <c r="P347" s="41">
        <f t="shared" si="5"/>
        <v>2.8421709430404012E-13</v>
      </c>
    </row>
    <row r="348" spans="1:16" x14ac:dyDescent="0.3">
      <c r="A348" s="34" t="s">
        <v>93</v>
      </c>
      <c r="B348" s="42" t="s">
        <v>47</v>
      </c>
      <c r="C348" s="43" t="s">
        <v>36</v>
      </c>
      <c r="D348" s="40">
        <v>0</v>
      </c>
      <c r="E348" s="40">
        <v>0</v>
      </c>
      <c r="F348" s="40">
        <v>0</v>
      </c>
      <c r="G348" s="40">
        <v>0</v>
      </c>
      <c r="H348" s="40">
        <v>0</v>
      </c>
      <c r="I348" s="40">
        <v>0</v>
      </c>
      <c r="J348" s="40">
        <v>0</v>
      </c>
      <c r="K348" s="40">
        <v>0</v>
      </c>
      <c r="L348" s="40">
        <v>0</v>
      </c>
      <c r="M348" s="40">
        <v>0</v>
      </c>
      <c r="N348" s="40">
        <v>0</v>
      </c>
      <c r="O348" s="40">
        <v>0</v>
      </c>
      <c r="P348" s="44">
        <v>0</v>
      </c>
    </row>
  </sheetData>
  <mergeCells count="1">
    <mergeCell ref="A1:C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P302"/>
  <sheetViews>
    <sheetView workbookViewId="0">
      <selection sqref="A1:C1"/>
    </sheetView>
  </sheetViews>
  <sheetFormatPr defaultRowHeight="14.4" x14ac:dyDescent="0.3"/>
  <cols>
    <col min="1" max="1" width="18" customWidth="1"/>
    <col min="2" max="2" width="28" customWidth="1"/>
    <col min="3" max="3" width="10" customWidth="1"/>
    <col min="4" max="15" width="8" customWidth="1"/>
    <col min="16" max="16" width="12" customWidth="1"/>
  </cols>
  <sheetData>
    <row r="1" spans="1:16" ht="15.6" customHeight="1" x14ac:dyDescent="0.3">
      <c r="A1" s="59" t="s">
        <v>108</v>
      </c>
      <c r="B1" s="58"/>
      <c r="C1" s="58"/>
    </row>
    <row r="2" spans="1:16" x14ac:dyDescent="0.3">
      <c r="A2" s="33" t="s">
        <v>1</v>
      </c>
      <c r="B2" s="33" t="s">
        <v>2</v>
      </c>
      <c r="C2" s="33" t="s">
        <v>48</v>
      </c>
      <c r="D2" s="33" t="s">
        <v>106</v>
      </c>
      <c r="E2" s="33" t="s">
        <v>95</v>
      </c>
      <c r="F2" s="33" t="s">
        <v>96</v>
      </c>
      <c r="G2" s="33" t="s">
        <v>97</v>
      </c>
      <c r="H2" s="33" t="s">
        <v>98</v>
      </c>
      <c r="I2" s="33" t="s">
        <v>99</v>
      </c>
      <c r="J2" s="33" t="s">
        <v>100</v>
      </c>
      <c r="K2" s="33" t="s">
        <v>101</v>
      </c>
      <c r="L2" s="33" t="s">
        <v>102</v>
      </c>
      <c r="M2" s="33" t="s">
        <v>103</v>
      </c>
      <c r="N2" s="33" t="s">
        <v>104</v>
      </c>
      <c r="O2" s="33" t="s">
        <v>105</v>
      </c>
      <c r="P2" s="33" t="s">
        <v>107</v>
      </c>
    </row>
    <row r="3" spans="1:16" x14ac:dyDescent="0.3">
      <c r="A3" s="34" t="s">
        <v>108</v>
      </c>
      <c r="B3" s="35" t="s">
        <v>28</v>
      </c>
      <c r="C3" s="34" t="s">
        <v>4</v>
      </c>
      <c r="P3" s="36">
        <f t="shared" ref="P3:P66" si="0">SUM(D3:O3)</f>
        <v>0</v>
      </c>
    </row>
    <row r="4" spans="1:16" x14ac:dyDescent="0.3">
      <c r="A4" s="34" t="s">
        <v>108</v>
      </c>
      <c r="B4" s="35" t="s">
        <v>30</v>
      </c>
      <c r="C4" s="34" t="s">
        <v>4</v>
      </c>
      <c r="P4" s="36">
        <f t="shared" si="0"/>
        <v>0</v>
      </c>
    </row>
    <row r="5" spans="1:16" x14ac:dyDescent="0.3">
      <c r="A5" s="34" t="s">
        <v>108</v>
      </c>
      <c r="B5" s="35" t="s">
        <v>31</v>
      </c>
      <c r="C5" s="34" t="s">
        <v>4</v>
      </c>
      <c r="P5" s="37">
        <f t="shared" si="0"/>
        <v>0</v>
      </c>
    </row>
    <row r="6" spans="1:16" x14ac:dyDescent="0.3">
      <c r="A6" s="34" t="s">
        <v>108</v>
      </c>
      <c r="B6" s="35" t="s">
        <v>33</v>
      </c>
      <c r="C6" s="34" t="s">
        <v>4</v>
      </c>
      <c r="P6" s="38">
        <f t="shared" si="0"/>
        <v>0</v>
      </c>
    </row>
    <row r="7" spans="1:16" x14ac:dyDescent="0.3">
      <c r="A7" s="34" t="s">
        <v>108</v>
      </c>
      <c r="B7" s="39" t="s">
        <v>35</v>
      </c>
      <c r="C7" s="34" t="s">
        <v>4</v>
      </c>
      <c r="O7" s="40">
        <v>275</v>
      </c>
      <c r="P7" s="41">
        <f t="shared" si="0"/>
        <v>275</v>
      </c>
    </row>
    <row r="8" spans="1:16" x14ac:dyDescent="0.3">
      <c r="A8" s="34" t="s">
        <v>108</v>
      </c>
      <c r="B8" s="39" t="s">
        <v>37</v>
      </c>
      <c r="C8" s="34" t="s">
        <v>4</v>
      </c>
      <c r="O8" s="40">
        <v>40.6</v>
      </c>
      <c r="P8" s="41">
        <f t="shared" si="0"/>
        <v>40.6</v>
      </c>
    </row>
    <row r="9" spans="1:16" x14ac:dyDescent="0.3">
      <c r="A9" s="34" t="s">
        <v>108</v>
      </c>
      <c r="B9" s="39" t="s">
        <v>38</v>
      </c>
      <c r="C9" s="34" t="s">
        <v>4</v>
      </c>
      <c r="O9" s="40">
        <v>1283.8</v>
      </c>
      <c r="P9" s="41">
        <f t="shared" si="0"/>
        <v>1283.8</v>
      </c>
    </row>
    <row r="10" spans="1:16" x14ac:dyDescent="0.3">
      <c r="A10" s="34" t="s">
        <v>108</v>
      </c>
      <c r="B10" s="39" t="s">
        <v>41</v>
      </c>
      <c r="C10" s="34" t="s">
        <v>4</v>
      </c>
      <c r="O10" s="40">
        <v>745.49999999999989</v>
      </c>
      <c r="P10" s="41">
        <f t="shared" si="0"/>
        <v>745.49999999999989</v>
      </c>
    </row>
    <row r="11" spans="1:16" x14ac:dyDescent="0.3">
      <c r="A11" s="34" t="s">
        <v>108</v>
      </c>
      <c r="B11" s="39" t="s">
        <v>42</v>
      </c>
      <c r="C11" s="34" t="s">
        <v>4</v>
      </c>
      <c r="O11" s="40">
        <v>625.9</v>
      </c>
      <c r="P11" s="41">
        <f t="shared" si="0"/>
        <v>625.9</v>
      </c>
    </row>
    <row r="12" spans="1:16" x14ac:dyDescent="0.3">
      <c r="A12" s="34" t="s">
        <v>108</v>
      </c>
      <c r="B12" s="39" t="s">
        <v>43</v>
      </c>
      <c r="C12" s="34" t="s">
        <v>4</v>
      </c>
      <c r="O12" s="40">
        <v>228</v>
      </c>
      <c r="P12" s="41">
        <f t="shared" si="0"/>
        <v>228</v>
      </c>
    </row>
    <row r="13" spans="1:16" x14ac:dyDescent="0.3">
      <c r="A13" s="34" t="s">
        <v>108</v>
      </c>
      <c r="B13" s="35" t="s">
        <v>44</v>
      </c>
      <c r="C13" s="34" t="s">
        <v>4</v>
      </c>
      <c r="P13" s="37">
        <f t="shared" si="0"/>
        <v>0</v>
      </c>
    </row>
    <row r="14" spans="1:16" x14ac:dyDescent="0.3">
      <c r="A14" s="34" t="s">
        <v>108</v>
      </c>
      <c r="B14" s="35" t="s">
        <v>45</v>
      </c>
      <c r="C14" s="34" t="s">
        <v>4</v>
      </c>
      <c r="P14" s="41">
        <f t="shared" si="0"/>
        <v>0</v>
      </c>
    </row>
    <row r="15" spans="1:16" x14ac:dyDescent="0.3">
      <c r="A15" s="34" t="s">
        <v>108</v>
      </c>
      <c r="B15" s="35" t="s">
        <v>47</v>
      </c>
      <c r="C15" s="34" t="s">
        <v>4</v>
      </c>
      <c r="O15" s="41">
        <v>0</v>
      </c>
      <c r="P15" s="41">
        <f t="shared" si="0"/>
        <v>0</v>
      </c>
    </row>
    <row r="16" spans="1:16" x14ac:dyDescent="0.3">
      <c r="A16" s="34" t="s">
        <v>108</v>
      </c>
      <c r="B16" s="35" t="s">
        <v>28</v>
      </c>
      <c r="C16" s="34" t="s">
        <v>5</v>
      </c>
      <c r="P16" s="36">
        <f t="shared" si="0"/>
        <v>0</v>
      </c>
    </row>
    <row r="17" spans="1:16" x14ac:dyDescent="0.3">
      <c r="A17" s="34" t="s">
        <v>108</v>
      </c>
      <c r="B17" s="35" t="s">
        <v>30</v>
      </c>
      <c r="C17" s="34" t="s">
        <v>5</v>
      </c>
      <c r="P17" s="36">
        <f t="shared" si="0"/>
        <v>0</v>
      </c>
    </row>
    <row r="18" spans="1:16" x14ac:dyDescent="0.3">
      <c r="A18" s="34" t="s">
        <v>108</v>
      </c>
      <c r="B18" s="35" t="s">
        <v>31</v>
      </c>
      <c r="C18" s="34" t="s">
        <v>5</v>
      </c>
      <c r="P18" s="37">
        <f t="shared" si="0"/>
        <v>0</v>
      </c>
    </row>
    <row r="19" spans="1:16" x14ac:dyDescent="0.3">
      <c r="A19" s="34" t="s">
        <v>108</v>
      </c>
      <c r="B19" s="35" t="s">
        <v>33</v>
      </c>
      <c r="C19" s="34" t="s">
        <v>5</v>
      </c>
      <c r="P19" s="38">
        <f t="shared" si="0"/>
        <v>0</v>
      </c>
    </row>
    <row r="20" spans="1:16" x14ac:dyDescent="0.3">
      <c r="A20" s="34" t="s">
        <v>108</v>
      </c>
      <c r="B20" s="39" t="s">
        <v>35</v>
      </c>
      <c r="C20" s="34" t="s">
        <v>5</v>
      </c>
      <c r="O20" s="40">
        <v>228</v>
      </c>
      <c r="P20" s="41">
        <f t="shared" si="0"/>
        <v>228</v>
      </c>
    </row>
    <row r="21" spans="1:16" x14ac:dyDescent="0.3">
      <c r="A21" s="34" t="s">
        <v>108</v>
      </c>
      <c r="B21" s="39" t="s">
        <v>37</v>
      </c>
      <c r="C21" s="34" t="s">
        <v>5</v>
      </c>
      <c r="O21" s="40">
        <v>24</v>
      </c>
      <c r="P21" s="41">
        <f t="shared" si="0"/>
        <v>24</v>
      </c>
    </row>
    <row r="22" spans="1:16" x14ac:dyDescent="0.3">
      <c r="A22" s="34" t="s">
        <v>108</v>
      </c>
      <c r="B22" s="39" t="s">
        <v>38</v>
      </c>
      <c r="C22" s="34" t="s">
        <v>5</v>
      </c>
      <c r="O22" s="40">
        <v>1930.9</v>
      </c>
      <c r="P22" s="41">
        <f t="shared" si="0"/>
        <v>1930.9</v>
      </c>
    </row>
    <row r="23" spans="1:16" x14ac:dyDescent="0.3">
      <c r="A23" s="34" t="s">
        <v>108</v>
      </c>
      <c r="B23" s="39" t="s">
        <v>41</v>
      </c>
      <c r="C23" s="34" t="s">
        <v>5</v>
      </c>
      <c r="O23" s="40">
        <v>667.2</v>
      </c>
      <c r="P23" s="41">
        <f t="shared" si="0"/>
        <v>667.2</v>
      </c>
    </row>
    <row r="24" spans="1:16" x14ac:dyDescent="0.3">
      <c r="A24" s="34" t="s">
        <v>108</v>
      </c>
      <c r="B24" s="39" t="s">
        <v>42</v>
      </c>
      <c r="C24" s="34" t="s">
        <v>5</v>
      </c>
      <c r="O24" s="40">
        <v>1315.7</v>
      </c>
      <c r="P24" s="41">
        <f t="shared" si="0"/>
        <v>1315.7</v>
      </c>
    </row>
    <row r="25" spans="1:16" x14ac:dyDescent="0.3">
      <c r="A25" s="34" t="s">
        <v>108</v>
      </c>
      <c r="B25" s="39" t="s">
        <v>43</v>
      </c>
      <c r="C25" s="34" t="s">
        <v>5</v>
      </c>
      <c r="O25" s="40">
        <v>200</v>
      </c>
      <c r="P25" s="41">
        <f t="shared" si="0"/>
        <v>200</v>
      </c>
    </row>
    <row r="26" spans="1:16" x14ac:dyDescent="0.3">
      <c r="A26" s="34" t="s">
        <v>108</v>
      </c>
      <c r="B26" s="35" t="s">
        <v>44</v>
      </c>
      <c r="C26" s="34" t="s">
        <v>5</v>
      </c>
      <c r="P26" s="37">
        <f t="shared" si="0"/>
        <v>0</v>
      </c>
    </row>
    <row r="27" spans="1:16" x14ac:dyDescent="0.3">
      <c r="A27" s="34" t="s">
        <v>108</v>
      </c>
      <c r="B27" s="35" t="s">
        <v>45</v>
      </c>
      <c r="C27" s="34" t="s">
        <v>5</v>
      </c>
      <c r="P27" s="41">
        <f t="shared" si="0"/>
        <v>0</v>
      </c>
    </row>
    <row r="28" spans="1:16" x14ac:dyDescent="0.3">
      <c r="A28" s="34" t="s">
        <v>108</v>
      </c>
      <c r="B28" s="35" t="s">
        <v>47</v>
      </c>
      <c r="C28" s="34" t="s">
        <v>5</v>
      </c>
      <c r="O28" s="41">
        <v>0</v>
      </c>
      <c r="P28" s="41">
        <f t="shared" si="0"/>
        <v>0</v>
      </c>
    </row>
    <row r="29" spans="1:16" x14ac:dyDescent="0.3">
      <c r="A29" s="34" t="s">
        <v>108</v>
      </c>
      <c r="B29" s="35" t="s">
        <v>28</v>
      </c>
      <c r="C29" s="34" t="s">
        <v>6</v>
      </c>
      <c r="P29" s="36">
        <f t="shared" si="0"/>
        <v>0</v>
      </c>
    </row>
    <row r="30" spans="1:16" x14ac:dyDescent="0.3">
      <c r="A30" s="34" t="s">
        <v>108</v>
      </c>
      <c r="B30" s="35" t="s">
        <v>30</v>
      </c>
      <c r="C30" s="34" t="s">
        <v>6</v>
      </c>
      <c r="P30" s="36">
        <f t="shared" si="0"/>
        <v>0</v>
      </c>
    </row>
    <row r="31" spans="1:16" x14ac:dyDescent="0.3">
      <c r="A31" s="34" t="s">
        <v>108</v>
      </c>
      <c r="B31" s="35" t="s">
        <v>31</v>
      </c>
      <c r="C31" s="34" t="s">
        <v>6</v>
      </c>
      <c r="P31" s="37">
        <f t="shared" si="0"/>
        <v>0</v>
      </c>
    </row>
    <row r="32" spans="1:16" x14ac:dyDescent="0.3">
      <c r="A32" s="34" t="s">
        <v>108</v>
      </c>
      <c r="B32" s="35" t="s">
        <v>33</v>
      </c>
      <c r="C32" s="34" t="s">
        <v>6</v>
      </c>
      <c r="P32" s="38">
        <f t="shared" si="0"/>
        <v>0</v>
      </c>
    </row>
    <row r="33" spans="1:16" x14ac:dyDescent="0.3">
      <c r="A33" s="34" t="s">
        <v>108</v>
      </c>
      <c r="B33" s="39" t="s">
        <v>35</v>
      </c>
      <c r="C33" s="34" t="s">
        <v>6</v>
      </c>
      <c r="O33" s="40">
        <v>200</v>
      </c>
      <c r="P33" s="41">
        <f t="shared" si="0"/>
        <v>200</v>
      </c>
    </row>
    <row r="34" spans="1:16" x14ac:dyDescent="0.3">
      <c r="A34" s="34" t="s">
        <v>108</v>
      </c>
      <c r="B34" s="39" t="s">
        <v>37</v>
      </c>
      <c r="C34" s="34" t="s">
        <v>6</v>
      </c>
      <c r="O34" s="40">
        <v>57.3</v>
      </c>
      <c r="P34" s="41">
        <f t="shared" si="0"/>
        <v>57.3</v>
      </c>
    </row>
    <row r="35" spans="1:16" x14ac:dyDescent="0.3">
      <c r="A35" s="34" t="s">
        <v>108</v>
      </c>
      <c r="B35" s="39" t="s">
        <v>38</v>
      </c>
      <c r="C35" s="34" t="s">
        <v>6</v>
      </c>
      <c r="O35" s="40">
        <v>3097.2</v>
      </c>
      <c r="P35" s="41">
        <f t="shared" si="0"/>
        <v>3097.2</v>
      </c>
    </row>
    <row r="36" spans="1:16" x14ac:dyDescent="0.3">
      <c r="A36" s="34" t="s">
        <v>108</v>
      </c>
      <c r="B36" s="39" t="s">
        <v>41</v>
      </c>
      <c r="C36" s="34" t="s">
        <v>6</v>
      </c>
      <c r="O36" s="40">
        <v>1028.5</v>
      </c>
      <c r="P36" s="41">
        <f t="shared" si="0"/>
        <v>1028.5</v>
      </c>
    </row>
    <row r="37" spans="1:16" x14ac:dyDescent="0.3">
      <c r="A37" s="34" t="s">
        <v>108</v>
      </c>
      <c r="B37" s="39" t="s">
        <v>42</v>
      </c>
      <c r="C37" s="34" t="s">
        <v>6</v>
      </c>
      <c r="O37" s="40">
        <v>1853</v>
      </c>
      <c r="P37" s="41">
        <f t="shared" si="0"/>
        <v>1853</v>
      </c>
    </row>
    <row r="38" spans="1:16" x14ac:dyDescent="0.3">
      <c r="A38" s="34" t="s">
        <v>108</v>
      </c>
      <c r="B38" s="39" t="s">
        <v>43</v>
      </c>
      <c r="C38" s="34" t="s">
        <v>6</v>
      </c>
      <c r="O38" s="40">
        <v>473</v>
      </c>
      <c r="P38" s="41">
        <f t="shared" si="0"/>
        <v>473</v>
      </c>
    </row>
    <row r="39" spans="1:16" x14ac:dyDescent="0.3">
      <c r="A39" s="34" t="s">
        <v>108</v>
      </c>
      <c r="B39" s="35" t="s">
        <v>44</v>
      </c>
      <c r="C39" s="34" t="s">
        <v>6</v>
      </c>
      <c r="P39" s="37">
        <f t="shared" si="0"/>
        <v>0</v>
      </c>
    </row>
    <row r="40" spans="1:16" x14ac:dyDescent="0.3">
      <c r="A40" s="34" t="s">
        <v>108</v>
      </c>
      <c r="B40" s="35" t="s">
        <v>45</v>
      </c>
      <c r="C40" s="34" t="s">
        <v>6</v>
      </c>
      <c r="P40" s="41">
        <f t="shared" si="0"/>
        <v>0</v>
      </c>
    </row>
    <row r="41" spans="1:16" x14ac:dyDescent="0.3">
      <c r="A41" s="34" t="s">
        <v>108</v>
      </c>
      <c r="B41" s="35" t="s">
        <v>47</v>
      </c>
      <c r="C41" s="34" t="s">
        <v>6</v>
      </c>
      <c r="O41" s="41">
        <v>0</v>
      </c>
      <c r="P41" s="41">
        <f t="shared" si="0"/>
        <v>0</v>
      </c>
    </row>
    <row r="42" spans="1:16" x14ac:dyDescent="0.3">
      <c r="A42" s="34" t="s">
        <v>108</v>
      </c>
      <c r="B42" s="35" t="s">
        <v>28</v>
      </c>
      <c r="C42" s="34" t="s">
        <v>7</v>
      </c>
      <c r="P42" s="36">
        <f t="shared" si="0"/>
        <v>0</v>
      </c>
    </row>
    <row r="43" spans="1:16" x14ac:dyDescent="0.3">
      <c r="A43" s="34" t="s">
        <v>108</v>
      </c>
      <c r="B43" s="35" t="s">
        <v>30</v>
      </c>
      <c r="C43" s="34" t="s">
        <v>7</v>
      </c>
      <c r="P43" s="36">
        <f t="shared" si="0"/>
        <v>0</v>
      </c>
    </row>
    <row r="44" spans="1:16" x14ac:dyDescent="0.3">
      <c r="A44" s="34" t="s">
        <v>108</v>
      </c>
      <c r="B44" s="35" t="s">
        <v>31</v>
      </c>
      <c r="C44" s="34" t="s">
        <v>7</v>
      </c>
      <c r="P44" s="37">
        <f t="shared" si="0"/>
        <v>0</v>
      </c>
    </row>
    <row r="45" spans="1:16" x14ac:dyDescent="0.3">
      <c r="A45" s="34" t="s">
        <v>108</v>
      </c>
      <c r="B45" s="35" t="s">
        <v>33</v>
      </c>
      <c r="C45" s="34" t="s">
        <v>7</v>
      </c>
      <c r="P45" s="38">
        <f t="shared" si="0"/>
        <v>0</v>
      </c>
    </row>
    <row r="46" spans="1:16" x14ac:dyDescent="0.3">
      <c r="A46" s="34" t="s">
        <v>108</v>
      </c>
      <c r="B46" s="39" t="s">
        <v>35</v>
      </c>
      <c r="C46" s="34" t="s">
        <v>7</v>
      </c>
      <c r="O46" s="40">
        <v>473</v>
      </c>
      <c r="P46" s="41">
        <f t="shared" si="0"/>
        <v>473</v>
      </c>
    </row>
    <row r="47" spans="1:16" x14ac:dyDescent="0.3">
      <c r="A47" s="34" t="s">
        <v>108</v>
      </c>
      <c r="B47" s="39" t="s">
        <v>37</v>
      </c>
      <c r="C47" s="34" t="s">
        <v>7</v>
      </c>
      <c r="O47" s="40">
        <v>75.3</v>
      </c>
      <c r="P47" s="41">
        <f t="shared" si="0"/>
        <v>75.3</v>
      </c>
    </row>
    <row r="48" spans="1:16" x14ac:dyDescent="0.3">
      <c r="A48" s="34" t="s">
        <v>108</v>
      </c>
      <c r="B48" s="39" t="s">
        <v>38</v>
      </c>
      <c r="C48" s="34" t="s">
        <v>7</v>
      </c>
      <c r="O48" s="40">
        <v>2993.6</v>
      </c>
      <c r="P48" s="41">
        <f t="shared" si="0"/>
        <v>2993.6</v>
      </c>
    </row>
    <row r="49" spans="1:16" x14ac:dyDescent="0.3">
      <c r="A49" s="34" t="s">
        <v>108</v>
      </c>
      <c r="B49" s="39" t="s">
        <v>41</v>
      </c>
      <c r="C49" s="34" t="s">
        <v>7</v>
      </c>
      <c r="O49" s="40">
        <v>611.5</v>
      </c>
      <c r="P49" s="41">
        <f t="shared" si="0"/>
        <v>611.5</v>
      </c>
    </row>
    <row r="50" spans="1:16" x14ac:dyDescent="0.3">
      <c r="A50" s="34" t="s">
        <v>108</v>
      </c>
      <c r="B50" s="39" t="s">
        <v>42</v>
      </c>
      <c r="C50" s="34" t="s">
        <v>7</v>
      </c>
      <c r="O50" s="40">
        <v>2567.4</v>
      </c>
      <c r="P50" s="41">
        <f t="shared" si="0"/>
        <v>2567.4</v>
      </c>
    </row>
    <row r="51" spans="1:16" x14ac:dyDescent="0.3">
      <c r="A51" s="34" t="s">
        <v>108</v>
      </c>
      <c r="B51" s="39" t="s">
        <v>43</v>
      </c>
      <c r="C51" s="34" t="s">
        <v>7</v>
      </c>
      <c r="O51" s="40">
        <v>363</v>
      </c>
      <c r="P51" s="41">
        <f t="shared" si="0"/>
        <v>363</v>
      </c>
    </row>
    <row r="52" spans="1:16" x14ac:dyDescent="0.3">
      <c r="A52" s="34" t="s">
        <v>108</v>
      </c>
      <c r="B52" s="35" t="s">
        <v>44</v>
      </c>
      <c r="C52" s="34" t="s">
        <v>7</v>
      </c>
      <c r="P52" s="37">
        <f t="shared" si="0"/>
        <v>0</v>
      </c>
    </row>
    <row r="53" spans="1:16" x14ac:dyDescent="0.3">
      <c r="A53" s="34" t="s">
        <v>108</v>
      </c>
      <c r="B53" s="35" t="s">
        <v>45</v>
      </c>
      <c r="C53" s="34" t="s">
        <v>7</v>
      </c>
      <c r="P53" s="41">
        <f t="shared" si="0"/>
        <v>0</v>
      </c>
    </row>
    <row r="54" spans="1:16" x14ac:dyDescent="0.3">
      <c r="A54" s="34" t="s">
        <v>108</v>
      </c>
      <c r="B54" s="35" t="s">
        <v>47</v>
      </c>
      <c r="C54" s="34" t="s">
        <v>7</v>
      </c>
      <c r="O54" s="41">
        <v>0</v>
      </c>
      <c r="P54" s="41">
        <f t="shared" si="0"/>
        <v>0</v>
      </c>
    </row>
    <row r="55" spans="1:16" x14ac:dyDescent="0.3">
      <c r="A55" s="34" t="s">
        <v>108</v>
      </c>
      <c r="B55" s="35" t="s">
        <v>28</v>
      </c>
      <c r="C55" s="34" t="s">
        <v>8</v>
      </c>
      <c r="P55" s="36">
        <f t="shared" si="0"/>
        <v>0</v>
      </c>
    </row>
    <row r="56" spans="1:16" x14ac:dyDescent="0.3">
      <c r="A56" s="34" t="s">
        <v>108</v>
      </c>
      <c r="B56" s="35" t="s">
        <v>30</v>
      </c>
      <c r="C56" s="34" t="s">
        <v>8</v>
      </c>
      <c r="P56" s="36">
        <f t="shared" si="0"/>
        <v>0</v>
      </c>
    </row>
    <row r="57" spans="1:16" x14ac:dyDescent="0.3">
      <c r="A57" s="34" t="s">
        <v>108</v>
      </c>
      <c r="B57" s="35" t="s">
        <v>31</v>
      </c>
      <c r="C57" s="34" t="s">
        <v>8</v>
      </c>
      <c r="P57" s="37">
        <f t="shared" si="0"/>
        <v>0</v>
      </c>
    </row>
    <row r="58" spans="1:16" x14ac:dyDescent="0.3">
      <c r="A58" s="34" t="s">
        <v>108</v>
      </c>
      <c r="B58" s="35" t="s">
        <v>33</v>
      </c>
      <c r="C58" s="34" t="s">
        <v>8</v>
      </c>
      <c r="P58" s="38">
        <f t="shared" si="0"/>
        <v>0</v>
      </c>
    </row>
    <row r="59" spans="1:16" x14ac:dyDescent="0.3">
      <c r="A59" s="34" t="s">
        <v>108</v>
      </c>
      <c r="B59" s="39" t="s">
        <v>35</v>
      </c>
      <c r="C59" s="34" t="s">
        <v>8</v>
      </c>
      <c r="O59" s="40">
        <v>363</v>
      </c>
      <c r="P59" s="41">
        <f t="shared" si="0"/>
        <v>363</v>
      </c>
    </row>
    <row r="60" spans="1:16" x14ac:dyDescent="0.3">
      <c r="A60" s="34" t="s">
        <v>108</v>
      </c>
      <c r="B60" s="39" t="s">
        <v>37</v>
      </c>
      <c r="C60" s="34" t="s">
        <v>8</v>
      </c>
      <c r="O60" s="40">
        <v>59.9</v>
      </c>
      <c r="P60" s="41">
        <f t="shared" si="0"/>
        <v>59.9</v>
      </c>
    </row>
    <row r="61" spans="1:16" x14ac:dyDescent="0.3">
      <c r="A61" s="34" t="s">
        <v>108</v>
      </c>
      <c r="B61" s="39" t="s">
        <v>38</v>
      </c>
      <c r="C61" s="34" t="s">
        <v>8</v>
      </c>
      <c r="O61" s="40">
        <v>2519.9</v>
      </c>
      <c r="P61" s="41">
        <f t="shared" si="0"/>
        <v>2519.9</v>
      </c>
    </row>
    <row r="62" spans="1:16" x14ac:dyDescent="0.3">
      <c r="A62" s="34" t="s">
        <v>108</v>
      </c>
      <c r="B62" s="39" t="s">
        <v>41</v>
      </c>
      <c r="C62" s="34" t="s">
        <v>8</v>
      </c>
      <c r="O62" s="40">
        <v>806.60000000000014</v>
      </c>
      <c r="P62" s="41">
        <f t="shared" si="0"/>
        <v>806.60000000000014</v>
      </c>
    </row>
    <row r="63" spans="1:16" x14ac:dyDescent="0.3">
      <c r="A63" s="34" t="s">
        <v>108</v>
      </c>
      <c r="B63" s="39" t="s">
        <v>42</v>
      </c>
      <c r="C63" s="34" t="s">
        <v>8</v>
      </c>
      <c r="O63" s="40">
        <v>1969.2</v>
      </c>
      <c r="P63" s="41">
        <f t="shared" si="0"/>
        <v>1969.2</v>
      </c>
    </row>
    <row r="64" spans="1:16" x14ac:dyDescent="0.3">
      <c r="A64" s="34" t="s">
        <v>108</v>
      </c>
      <c r="B64" s="39" t="s">
        <v>43</v>
      </c>
      <c r="C64" s="34" t="s">
        <v>8</v>
      </c>
      <c r="O64" s="40">
        <v>167</v>
      </c>
      <c r="P64" s="41">
        <f t="shared" si="0"/>
        <v>167</v>
      </c>
    </row>
    <row r="65" spans="1:16" x14ac:dyDescent="0.3">
      <c r="A65" s="34" t="s">
        <v>108</v>
      </c>
      <c r="B65" s="35" t="s">
        <v>44</v>
      </c>
      <c r="C65" s="34" t="s">
        <v>8</v>
      </c>
      <c r="P65" s="37">
        <f t="shared" si="0"/>
        <v>0</v>
      </c>
    </row>
    <row r="66" spans="1:16" x14ac:dyDescent="0.3">
      <c r="A66" s="34" t="s">
        <v>108</v>
      </c>
      <c r="B66" s="35" t="s">
        <v>45</v>
      </c>
      <c r="C66" s="34" t="s">
        <v>8</v>
      </c>
      <c r="P66" s="41">
        <f t="shared" si="0"/>
        <v>0</v>
      </c>
    </row>
    <row r="67" spans="1:16" x14ac:dyDescent="0.3">
      <c r="A67" s="34" t="s">
        <v>108</v>
      </c>
      <c r="B67" s="35" t="s">
        <v>47</v>
      </c>
      <c r="C67" s="34" t="s">
        <v>8</v>
      </c>
      <c r="O67" s="41">
        <v>-2.2737367544323211E-13</v>
      </c>
      <c r="P67" s="41">
        <f t="shared" ref="P67:P130" si="1">SUM(D67:O67)</f>
        <v>-2.2737367544323211E-13</v>
      </c>
    </row>
    <row r="68" spans="1:16" x14ac:dyDescent="0.3">
      <c r="A68" s="34" t="s">
        <v>108</v>
      </c>
      <c r="B68" s="35" t="s">
        <v>28</v>
      </c>
      <c r="C68" s="34" t="s">
        <v>9</v>
      </c>
      <c r="P68" s="36">
        <f t="shared" si="1"/>
        <v>0</v>
      </c>
    </row>
    <row r="69" spans="1:16" x14ac:dyDescent="0.3">
      <c r="A69" s="34" t="s">
        <v>108</v>
      </c>
      <c r="B69" s="35" t="s">
        <v>30</v>
      </c>
      <c r="C69" s="34" t="s">
        <v>9</v>
      </c>
      <c r="P69" s="36">
        <f t="shared" si="1"/>
        <v>0</v>
      </c>
    </row>
    <row r="70" spans="1:16" x14ac:dyDescent="0.3">
      <c r="A70" s="34" t="s">
        <v>108</v>
      </c>
      <c r="B70" s="35" t="s">
        <v>31</v>
      </c>
      <c r="C70" s="34" t="s">
        <v>9</v>
      </c>
      <c r="P70" s="37">
        <f t="shared" si="1"/>
        <v>0</v>
      </c>
    </row>
    <row r="71" spans="1:16" x14ac:dyDescent="0.3">
      <c r="A71" s="34" t="s">
        <v>108</v>
      </c>
      <c r="B71" s="35" t="s">
        <v>33</v>
      </c>
      <c r="C71" s="34" t="s">
        <v>9</v>
      </c>
      <c r="P71" s="38">
        <f t="shared" si="1"/>
        <v>0</v>
      </c>
    </row>
    <row r="72" spans="1:16" x14ac:dyDescent="0.3">
      <c r="A72" s="34" t="s">
        <v>108</v>
      </c>
      <c r="B72" s="39" t="s">
        <v>35</v>
      </c>
      <c r="C72" s="34" t="s">
        <v>9</v>
      </c>
      <c r="O72" s="40">
        <v>167</v>
      </c>
      <c r="P72" s="41">
        <f t="shared" si="1"/>
        <v>167</v>
      </c>
    </row>
    <row r="73" spans="1:16" x14ac:dyDescent="0.3">
      <c r="A73" s="34" t="s">
        <v>108</v>
      </c>
      <c r="B73" s="39" t="s">
        <v>37</v>
      </c>
      <c r="C73" s="34" t="s">
        <v>9</v>
      </c>
      <c r="O73" s="40">
        <v>37.6</v>
      </c>
      <c r="P73" s="41">
        <f t="shared" si="1"/>
        <v>37.6</v>
      </c>
    </row>
    <row r="74" spans="1:16" x14ac:dyDescent="0.3">
      <c r="A74" s="34" t="s">
        <v>108</v>
      </c>
      <c r="B74" s="39" t="s">
        <v>38</v>
      </c>
      <c r="C74" s="34" t="s">
        <v>9</v>
      </c>
      <c r="O74" s="40">
        <v>2934.8</v>
      </c>
      <c r="P74" s="41">
        <f t="shared" si="1"/>
        <v>2934.8</v>
      </c>
    </row>
    <row r="75" spans="1:16" x14ac:dyDescent="0.3">
      <c r="A75" s="34" t="s">
        <v>108</v>
      </c>
      <c r="B75" s="39" t="s">
        <v>41</v>
      </c>
      <c r="C75" s="34" t="s">
        <v>9</v>
      </c>
      <c r="O75" s="40">
        <v>682.80000000000018</v>
      </c>
      <c r="P75" s="41">
        <f t="shared" si="1"/>
        <v>682.80000000000018</v>
      </c>
    </row>
    <row r="76" spans="1:16" x14ac:dyDescent="0.3">
      <c r="A76" s="34" t="s">
        <v>108</v>
      </c>
      <c r="B76" s="39" t="s">
        <v>42</v>
      </c>
      <c r="C76" s="34" t="s">
        <v>9</v>
      </c>
      <c r="O76" s="40">
        <v>2201.6</v>
      </c>
      <c r="P76" s="41">
        <f t="shared" si="1"/>
        <v>2201.6</v>
      </c>
    </row>
    <row r="77" spans="1:16" x14ac:dyDescent="0.3">
      <c r="A77" s="34" t="s">
        <v>108</v>
      </c>
      <c r="B77" s="39" t="s">
        <v>43</v>
      </c>
      <c r="C77" s="34" t="s">
        <v>9</v>
      </c>
      <c r="O77" s="40">
        <v>255</v>
      </c>
      <c r="P77" s="41">
        <f t="shared" si="1"/>
        <v>255</v>
      </c>
    </row>
    <row r="78" spans="1:16" x14ac:dyDescent="0.3">
      <c r="A78" s="34" t="s">
        <v>108</v>
      </c>
      <c r="B78" s="35" t="s">
        <v>44</v>
      </c>
      <c r="C78" s="34" t="s">
        <v>9</v>
      </c>
      <c r="P78" s="37">
        <f t="shared" si="1"/>
        <v>0</v>
      </c>
    </row>
    <row r="79" spans="1:16" x14ac:dyDescent="0.3">
      <c r="A79" s="34" t="s">
        <v>108</v>
      </c>
      <c r="B79" s="35" t="s">
        <v>45</v>
      </c>
      <c r="C79" s="34" t="s">
        <v>9</v>
      </c>
      <c r="P79" s="41">
        <f t="shared" si="1"/>
        <v>0</v>
      </c>
    </row>
    <row r="80" spans="1:16" x14ac:dyDescent="0.3">
      <c r="A80" s="34" t="s">
        <v>108</v>
      </c>
      <c r="B80" s="35" t="s">
        <v>47</v>
      </c>
      <c r="C80" s="34" t="s">
        <v>9</v>
      </c>
      <c r="O80" s="41">
        <v>0</v>
      </c>
      <c r="P80" s="41">
        <f t="shared" si="1"/>
        <v>0</v>
      </c>
    </row>
    <row r="81" spans="1:16" x14ac:dyDescent="0.3">
      <c r="A81" s="34" t="s">
        <v>108</v>
      </c>
      <c r="B81" s="35" t="s">
        <v>28</v>
      </c>
      <c r="C81" s="34" t="s">
        <v>10</v>
      </c>
      <c r="P81" s="36">
        <f t="shared" si="1"/>
        <v>0</v>
      </c>
    </row>
    <row r="82" spans="1:16" x14ac:dyDescent="0.3">
      <c r="A82" s="34" t="s">
        <v>108</v>
      </c>
      <c r="B82" s="35" t="s">
        <v>30</v>
      </c>
      <c r="C82" s="34" t="s">
        <v>10</v>
      </c>
      <c r="P82" s="36">
        <f t="shared" si="1"/>
        <v>0</v>
      </c>
    </row>
    <row r="83" spans="1:16" x14ac:dyDescent="0.3">
      <c r="A83" s="34" t="s">
        <v>108</v>
      </c>
      <c r="B83" s="35" t="s">
        <v>31</v>
      </c>
      <c r="C83" s="34" t="s">
        <v>10</v>
      </c>
      <c r="P83" s="37">
        <f t="shared" si="1"/>
        <v>0</v>
      </c>
    </row>
    <row r="84" spans="1:16" x14ac:dyDescent="0.3">
      <c r="A84" s="34" t="s">
        <v>108</v>
      </c>
      <c r="B84" s="35" t="s">
        <v>33</v>
      </c>
      <c r="C84" s="34" t="s">
        <v>10</v>
      </c>
      <c r="P84" s="38">
        <f t="shared" si="1"/>
        <v>0</v>
      </c>
    </row>
    <row r="85" spans="1:16" x14ac:dyDescent="0.3">
      <c r="A85" s="34" t="s">
        <v>108</v>
      </c>
      <c r="B85" s="39" t="s">
        <v>35</v>
      </c>
      <c r="C85" s="34" t="s">
        <v>10</v>
      </c>
      <c r="O85" s="40">
        <v>255</v>
      </c>
      <c r="P85" s="41">
        <f t="shared" si="1"/>
        <v>255</v>
      </c>
    </row>
    <row r="86" spans="1:16" x14ac:dyDescent="0.3">
      <c r="A86" s="34" t="s">
        <v>108</v>
      </c>
      <c r="B86" s="39" t="s">
        <v>37</v>
      </c>
      <c r="C86" s="34" t="s">
        <v>10</v>
      </c>
      <c r="O86" s="40">
        <v>15.1</v>
      </c>
      <c r="P86" s="41">
        <f t="shared" si="1"/>
        <v>15.1</v>
      </c>
    </row>
    <row r="87" spans="1:16" x14ac:dyDescent="0.3">
      <c r="A87" s="34" t="s">
        <v>108</v>
      </c>
      <c r="B87" s="39" t="s">
        <v>38</v>
      </c>
      <c r="C87" s="34" t="s">
        <v>10</v>
      </c>
      <c r="O87" s="40">
        <v>3564.5</v>
      </c>
      <c r="P87" s="41">
        <f t="shared" si="1"/>
        <v>3564.5</v>
      </c>
    </row>
    <row r="88" spans="1:16" x14ac:dyDescent="0.3">
      <c r="A88" s="34" t="s">
        <v>108</v>
      </c>
      <c r="B88" s="39" t="s">
        <v>41</v>
      </c>
      <c r="C88" s="34" t="s">
        <v>10</v>
      </c>
      <c r="O88" s="40">
        <v>564</v>
      </c>
      <c r="P88" s="41">
        <f t="shared" si="1"/>
        <v>564</v>
      </c>
    </row>
    <row r="89" spans="1:16" x14ac:dyDescent="0.3">
      <c r="A89" s="34" t="s">
        <v>108</v>
      </c>
      <c r="B89" s="39" t="s">
        <v>42</v>
      </c>
      <c r="C89" s="34" t="s">
        <v>10</v>
      </c>
      <c r="O89" s="40">
        <v>2825.6</v>
      </c>
      <c r="P89" s="41">
        <f t="shared" si="1"/>
        <v>2825.6</v>
      </c>
    </row>
    <row r="90" spans="1:16" x14ac:dyDescent="0.3">
      <c r="A90" s="34" t="s">
        <v>108</v>
      </c>
      <c r="B90" s="39" t="s">
        <v>43</v>
      </c>
      <c r="C90" s="34" t="s">
        <v>10</v>
      </c>
      <c r="O90" s="40">
        <v>445</v>
      </c>
      <c r="P90" s="41">
        <f t="shared" si="1"/>
        <v>445</v>
      </c>
    </row>
    <row r="91" spans="1:16" x14ac:dyDescent="0.3">
      <c r="A91" s="34" t="s">
        <v>108</v>
      </c>
      <c r="B91" s="35" t="s">
        <v>44</v>
      </c>
      <c r="C91" s="34" t="s">
        <v>10</v>
      </c>
      <c r="P91" s="37">
        <f t="shared" si="1"/>
        <v>0</v>
      </c>
    </row>
    <row r="92" spans="1:16" x14ac:dyDescent="0.3">
      <c r="A92" s="34" t="s">
        <v>108</v>
      </c>
      <c r="B92" s="35" t="s">
        <v>45</v>
      </c>
      <c r="C92" s="34" t="s">
        <v>10</v>
      </c>
      <c r="P92" s="41">
        <f t="shared" si="1"/>
        <v>0</v>
      </c>
    </row>
    <row r="93" spans="1:16" x14ac:dyDescent="0.3">
      <c r="A93" s="34" t="s">
        <v>108</v>
      </c>
      <c r="B93" s="35" t="s">
        <v>47</v>
      </c>
      <c r="C93" s="34" t="s">
        <v>10</v>
      </c>
      <c r="O93" s="41">
        <v>0</v>
      </c>
      <c r="P93" s="41">
        <f t="shared" si="1"/>
        <v>0</v>
      </c>
    </row>
    <row r="94" spans="1:16" x14ac:dyDescent="0.3">
      <c r="A94" s="34" t="s">
        <v>108</v>
      </c>
      <c r="B94" s="35" t="s">
        <v>28</v>
      </c>
      <c r="C94" s="34" t="s">
        <v>11</v>
      </c>
      <c r="P94" s="36">
        <f t="shared" si="1"/>
        <v>0</v>
      </c>
    </row>
    <row r="95" spans="1:16" x14ac:dyDescent="0.3">
      <c r="A95" s="34" t="s">
        <v>108</v>
      </c>
      <c r="B95" s="35" t="s">
        <v>30</v>
      </c>
      <c r="C95" s="34" t="s">
        <v>11</v>
      </c>
      <c r="P95" s="36">
        <f t="shared" si="1"/>
        <v>0</v>
      </c>
    </row>
    <row r="96" spans="1:16" x14ac:dyDescent="0.3">
      <c r="A96" s="34" t="s">
        <v>108</v>
      </c>
      <c r="B96" s="35" t="s">
        <v>31</v>
      </c>
      <c r="C96" s="34" t="s">
        <v>11</v>
      </c>
      <c r="P96" s="37">
        <f t="shared" si="1"/>
        <v>0</v>
      </c>
    </row>
    <row r="97" spans="1:16" x14ac:dyDescent="0.3">
      <c r="A97" s="34" t="s">
        <v>108</v>
      </c>
      <c r="B97" s="35" t="s">
        <v>33</v>
      </c>
      <c r="C97" s="34" t="s">
        <v>11</v>
      </c>
      <c r="P97" s="38">
        <f t="shared" si="1"/>
        <v>0</v>
      </c>
    </row>
    <row r="98" spans="1:16" x14ac:dyDescent="0.3">
      <c r="A98" s="34" t="s">
        <v>108</v>
      </c>
      <c r="B98" s="39" t="s">
        <v>35</v>
      </c>
      <c r="C98" s="34" t="s">
        <v>11</v>
      </c>
      <c r="O98" s="40">
        <v>445</v>
      </c>
      <c r="P98" s="41">
        <f t="shared" si="1"/>
        <v>445</v>
      </c>
    </row>
    <row r="99" spans="1:16" x14ac:dyDescent="0.3">
      <c r="A99" s="34" t="s">
        <v>108</v>
      </c>
      <c r="B99" s="39" t="s">
        <v>37</v>
      </c>
      <c r="C99" s="34" t="s">
        <v>11</v>
      </c>
      <c r="O99" s="40">
        <v>55</v>
      </c>
      <c r="P99" s="41">
        <f t="shared" si="1"/>
        <v>55</v>
      </c>
    </row>
    <row r="100" spans="1:16" x14ac:dyDescent="0.3">
      <c r="A100" s="34" t="s">
        <v>108</v>
      </c>
      <c r="B100" s="39" t="s">
        <v>38</v>
      </c>
      <c r="C100" s="34" t="s">
        <v>11</v>
      </c>
      <c r="O100" s="40">
        <v>3379.4</v>
      </c>
      <c r="P100" s="41">
        <f t="shared" si="1"/>
        <v>3379.4</v>
      </c>
    </row>
    <row r="101" spans="1:16" x14ac:dyDescent="0.3">
      <c r="A101" s="34" t="s">
        <v>108</v>
      </c>
      <c r="B101" s="39" t="s">
        <v>41</v>
      </c>
      <c r="C101" s="34" t="s">
        <v>11</v>
      </c>
      <c r="O101" s="40">
        <v>791.59999999999991</v>
      </c>
      <c r="P101" s="41">
        <f t="shared" si="1"/>
        <v>791.59999999999991</v>
      </c>
    </row>
    <row r="102" spans="1:16" x14ac:dyDescent="0.3">
      <c r="A102" s="34" t="s">
        <v>108</v>
      </c>
      <c r="B102" s="39" t="s">
        <v>42</v>
      </c>
      <c r="C102" s="34" t="s">
        <v>11</v>
      </c>
      <c r="O102" s="40">
        <v>2177.8000000000002</v>
      </c>
      <c r="P102" s="41">
        <f t="shared" si="1"/>
        <v>2177.8000000000002</v>
      </c>
    </row>
    <row r="103" spans="1:16" x14ac:dyDescent="0.3">
      <c r="A103" s="34" t="s">
        <v>108</v>
      </c>
      <c r="B103" s="39" t="s">
        <v>43</v>
      </c>
      <c r="C103" s="34" t="s">
        <v>11</v>
      </c>
      <c r="O103" s="40">
        <v>910</v>
      </c>
      <c r="P103" s="41">
        <f t="shared" si="1"/>
        <v>910</v>
      </c>
    </row>
    <row r="104" spans="1:16" x14ac:dyDescent="0.3">
      <c r="A104" s="34" t="s">
        <v>108</v>
      </c>
      <c r="B104" s="35" t="s">
        <v>44</v>
      </c>
      <c r="C104" s="34" t="s">
        <v>11</v>
      </c>
      <c r="P104" s="37">
        <f t="shared" si="1"/>
        <v>0</v>
      </c>
    </row>
    <row r="105" spans="1:16" x14ac:dyDescent="0.3">
      <c r="A105" s="34" t="s">
        <v>108</v>
      </c>
      <c r="B105" s="35" t="s">
        <v>45</v>
      </c>
      <c r="C105" s="34" t="s">
        <v>11</v>
      </c>
      <c r="P105" s="41">
        <f t="shared" si="1"/>
        <v>0</v>
      </c>
    </row>
    <row r="106" spans="1:16" x14ac:dyDescent="0.3">
      <c r="A106" s="34" t="s">
        <v>108</v>
      </c>
      <c r="B106" s="35" t="s">
        <v>47</v>
      </c>
      <c r="C106" s="34" t="s">
        <v>11</v>
      </c>
      <c r="O106" s="41">
        <v>0</v>
      </c>
      <c r="P106" s="41">
        <f t="shared" si="1"/>
        <v>0</v>
      </c>
    </row>
    <row r="107" spans="1:16" x14ac:dyDescent="0.3">
      <c r="A107" s="34" t="s">
        <v>108</v>
      </c>
      <c r="B107" s="35" t="s">
        <v>28</v>
      </c>
      <c r="C107" s="34" t="s">
        <v>12</v>
      </c>
      <c r="P107" s="36">
        <f t="shared" si="1"/>
        <v>0</v>
      </c>
    </row>
    <row r="108" spans="1:16" x14ac:dyDescent="0.3">
      <c r="A108" s="34" t="s">
        <v>108</v>
      </c>
      <c r="B108" s="35" t="s">
        <v>30</v>
      </c>
      <c r="C108" s="34" t="s">
        <v>12</v>
      </c>
      <c r="P108" s="36">
        <f t="shared" si="1"/>
        <v>0</v>
      </c>
    </row>
    <row r="109" spans="1:16" x14ac:dyDescent="0.3">
      <c r="A109" s="34" t="s">
        <v>108</v>
      </c>
      <c r="B109" s="35" t="s">
        <v>31</v>
      </c>
      <c r="C109" s="34" t="s">
        <v>12</v>
      </c>
      <c r="P109" s="37">
        <f t="shared" si="1"/>
        <v>0</v>
      </c>
    </row>
    <row r="110" spans="1:16" x14ac:dyDescent="0.3">
      <c r="A110" s="34" t="s">
        <v>108</v>
      </c>
      <c r="B110" s="35" t="s">
        <v>33</v>
      </c>
      <c r="C110" s="34" t="s">
        <v>12</v>
      </c>
      <c r="P110" s="38">
        <f t="shared" si="1"/>
        <v>0</v>
      </c>
    </row>
    <row r="111" spans="1:16" x14ac:dyDescent="0.3">
      <c r="A111" s="34" t="s">
        <v>108</v>
      </c>
      <c r="B111" s="39" t="s">
        <v>35</v>
      </c>
      <c r="C111" s="34" t="s">
        <v>12</v>
      </c>
      <c r="O111" s="40">
        <v>910</v>
      </c>
      <c r="P111" s="41">
        <f t="shared" si="1"/>
        <v>910</v>
      </c>
    </row>
    <row r="112" spans="1:16" x14ac:dyDescent="0.3">
      <c r="A112" s="34" t="s">
        <v>108</v>
      </c>
      <c r="B112" s="39" t="s">
        <v>37</v>
      </c>
      <c r="C112" s="34" t="s">
        <v>12</v>
      </c>
      <c r="O112" s="40">
        <v>32.9</v>
      </c>
      <c r="P112" s="41">
        <f t="shared" si="1"/>
        <v>32.9</v>
      </c>
    </row>
    <row r="113" spans="1:16" x14ac:dyDescent="0.3">
      <c r="A113" s="34" t="s">
        <v>108</v>
      </c>
      <c r="B113" s="39" t="s">
        <v>38</v>
      </c>
      <c r="C113" s="34" t="s">
        <v>12</v>
      </c>
      <c r="O113" s="40">
        <v>3018.2</v>
      </c>
      <c r="P113" s="41">
        <f t="shared" si="1"/>
        <v>3018.2</v>
      </c>
    </row>
    <row r="114" spans="1:16" x14ac:dyDescent="0.3">
      <c r="A114" s="34" t="s">
        <v>108</v>
      </c>
      <c r="B114" s="39" t="s">
        <v>41</v>
      </c>
      <c r="C114" s="34" t="s">
        <v>12</v>
      </c>
      <c r="O114" s="40">
        <v>413.90000000000009</v>
      </c>
      <c r="P114" s="41">
        <f t="shared" si="1"/>
        <v>413.90000000000009</v>
      </c>
    </row>
    <row r="115" spans="1:16" x14ac:dyDescent="0.3">
      <c r="A115" s="34" t="s">
        <v>108</v>
      </c>
      <c r="B115" s="39" t="s">
        <v>42</v>
      </c>
      <c r="C115" s="34" t="s">
        <v>12</v>
      </c>
      <c r="O115" s="40">
        <v>3012.2</v>
      </c>
      <c r="P115" s="41">
        <f t="shared" si="1"/>
        <v>3012.2</v>
      </c>
    </row>
    <row r="116" spans="1:16" x14ac:dyDescent="0.3">
      <c r="A116" s="34" t="s">
        <v>108</v>
      </c>
      <c r="B116" s="39" t="s">
        <v>43</v>
      </c>
      <c r="C116" s="34" t="s">
        <v>12</v>
      </c>
      <c r="O116" s="40">
        <v>535</v>
      </c>
      <c r="P116" s="41">
        <f t="shared" si="1"/>
        <v>535</v>
      </c>
    </row>
    <row r="117" spans="1:16" x14ac:dyDescent="0.3">
      <c r="A117" s="34" t="s">
        <v>108</v>
      </c>
      <c r="B117" s="35" t="s">
        <v>44</v>
      </c>
      <c r="C117" s="34" t="s">
        <v>12</v>
      </c>
      <c r="P117" s="37">
        <f t="shared" si="1"/>
        <v>0</v>
      </c>
    </row>
    <row r="118" spans="1:16" x14ac:dyDescent="0.3">
      <c r="A118" s="34" t="s">
        <v>108</v>
      </c>
      <c r="B118" s="35" t="s">
        <v>45</v>
      </c>
      <c r="C118" s="34" t="s">
        <v>12</v>
      </c>
      <c r="P118" s="41">
        <f t="shared" si="1"/>
        <v>0</v>
      </c>
    </row>
    <row r="119" spans="1:16" x14ac:dyDescent="0.3">
      <c r="A119" s="34" t="s">
        <v>108</v>
      </c>
      <c r="B119" s="35" t="s">
        <v>47</v>
      </c>
      <c r="C119" s="34" t="s">
        <v>12</v>
      </c>
      <c r="O119" s="41">
        <v>0</v>
      </c>
      <c r="P119" s="41">
        <f t="shared" si="1"/>
        <v>0</v>
      </c>
    </row>
    <row r="120" spans="1:16" x14ac:dyDescent="0.3">
      <c r="A120" s="34" t="s">
        <v>108</v>
      </c>
      <c r="B120" s="35" t="s">
        <v>28</v>
      </c>
      <c r="C120" s="34" t="s">
        <v>13</v>
      </c>
      <c r="P120" s="36">
        <f t="shared" si="1"/>
        <v>0</v>
      </c>
    </row>
    <row r="121" spans="1:16" x14ac:dyDescent="0.3">
      <c r="A121" s="34" t="s">
        <v>108</v>
      </c>
      <c r="B121" s="35" t="s">
        <v>30</v>
      </c>
      <c r="C121" s="34" t="s">
        <v>13</v>
      </c>
      <c r="P121" s="36">
        <f t="shared" si="1"/>
        <v>0</v>
      </c>
    </row>
    <row r="122" spans="1:16" x14ac:dyDescent="0.3">
      <c r="A122" s="34" t="s">
        <v>108</v>
      </c>
      <c r="B122" s="35" t="s">
        <v>31</v>
      </c>
      <c r="C122" s="34" t="s">
        <v>13</v>
      </c>
      <c r="P122" s="37">
        <f t="shared" si="1"/>
        <v>0</v>
      </c>
    </row>
    <row r="123" spans="1:16" x14ac:dyDescent="0.3">
      <c r="A123" s="34" t="s">
        <v>108</v>
      </c>
      <c r="B123" s="35" t="s">
        <v>33</v>
      </c>
      <c r="C123" s="34" t="s">
        <v>13</v>
      </c>
      <c r="P123" s="38">
        <f t="shared" si="1"/>
        <v>0</v>
      </c>
    </row>
    <row r="124" spans="1:16" x14ac:dyDescent="0.3">
      <c r="A124" s="34" t="s">
        <v>108</v>
      </c>
      <c r="B124" s="39" t="s">
        <v>35</v>
      </c>
      <c r="C124" s="34" t="s">
        <v>13</v>
      </c>
      <c r="O124" s="40">
        <v>535</v>
      </c>
      <c r="P124" s="41">
        <f t="shared" si="1"/>
        <v>535</v>
      </c>
    </row>
    <row r="125" spans="1:16" x14ac:dyDescent="0.3">
      <c r="A125" s="34" t="s">
        <v>108</v>
      </c>
      <c r="B125" s="39" t="s">
        <v>37</v>
      </c>
      <c r="C125" s="34" t="s">
        <v>13</v>
      </c>
      <c r="O125" s="40">
        <v>11.8</v>
      </c>
      <c r="P125" s="41">
        <f t="shared" si="1"/>
        <v>11.8</v>
      </c>
    </row>
    <row r="126" spans="1:16" x14ac:dyDescent="0.3">
      <c r="A126" s="34" t="s">
        <v>108</v>
      </c>
      <c r="B126" s="39" t="s">
        <v>38</v>
      </c>
      <c r="C126" s="34" t="s">
        <v>13</v>
      </c>
      <c r="O126" s="40">
        <v>2502</v>
      </c>
      <c r="P126" s="41">
        <f t="shared" si="1"/>
        <v>2502</v>
      </c>
    </row>
    <row r="127" spans="1:16" x14ac:dyDescent="0.3">
      <c r="A127" s="34" t="s">
        <v>108</v>
      </c>
      <c r="B127" s="39" t="s">
        <v>41</v>
      </c>
      <c r="C127" s="34" t="s">
        <v>13</v>
      </c>
      <c r="O127" s="40">
        <v>688.10000000000036</v>
      </c>
      <c r="P127" s="41">
        <f t="shared" si="1"/>
        <v>688.10000000000036</v>
      </c>
    </row>
    <row r="128" spans="1:16" x14ac:dyDescent="0.3">
      <c r="A128" s="34" t="s">
        <v>108</v>
      </c>
      <c r="B128" s="39" t="s">
        <v>42</v>
      </c>
      <c r="C128" s="34" t="s">
        <v>13</v>
      </c>
      <c r="O128" s="40">
        <v>2095.6999999999998</v>
      </c>
      <c r="P128" s="41">
        <f t="shared" si="1"/>
        <v>2095.6999999999998</v>
      </c>
    </row>
    <row r="129" spans="1:16" x14ac:dyDescent="0.3">
      <c r="A129" s="34" t="s">
        <v>108</v>
      </c>
      <c r="B129" s="39" t="s">
        <v>43</v>
      </c>
      <c r="C129" s="34" t="s">
        <v>13</v>
      </c>
      <c r="O129" s="40">
        <v>265</v>
      </c>
      <c r="P129" s="41">
        <f t="shared" si="1"/>
        <v>265</v>
      </c>
    </row>
    <row r="130" spans="1:16" x14ac:dyDescent="0.3">
      <c r="A130" s="34" t="s">
        <v>108</v>
      </c>
      <c r="B130" s="35" t="s">
        <v>44</v>
      </c>
      <c r="C130" s="34" t="s">
        <v>13</v>
      </c>
      <c r="P130" s="37">
        <f t="shared" si="1"/>
        <v>0</v>
      </c>
    </row>
    <row r="131" spans="1:16" x14ac:dyDescent="0.3">
      <c r="A131" s="34" t="s">
        <v>108</v>
      </c>
      <c r="B131" s="35" t="s">
        <v>45</v>
      </c>
      <c r="C131" s="34" t="s">
        <v>13</v>
      </c>
      <c r="P131" s="41">
        <f t="shared" ref="P131:P194" si="2">SUM(D131:O131)</f>
        <v>0</v>
      </c>
    </row>
    <row r="132" spans="1:16" x14ac:dyDescent="0.3">
      <c r="A132" s="34" t="s">
        <v>108</v>
      </c>
      <c r="B132" s="35" t="s">
        <v>47</v>
      </c>
      <c r="C132" s="34" t="s">
        <v>13</v>
      </c>
      <c r="O132" s="41">
        <v>0</v>
      </c>
      <c r="P132" s="41">
        <f t="shared" si="2"/>
        <v>0</v>
      </c>
    </row>
    <row r="133" spans="1:16" x14ac:dyDescent="0.3">
      <c r="A133" s="34" t="s">
        <v>108</v>
      </c>
      <c r="B133" s="35" t="s">
        <v>28</v>
      </c>
      <c r="C133" s="34" t="s">
        <v>14</v>
      </c>
      <c r="P133" s="36">
        <f t="shared" si="2"/>
        <v>0</v>
      </c>
    </row>
    <row r="134" spans="1:16" x14ac:dyDescent="0.3">
      <c r="A134" s="34" t="s">
        <v>108</v>
      </c>
      <c r="B134" s="35" t="s">
        <v>30</v>
      </c>
      <c r="C134" s="34" t="s">
        <v>14</v>
      </c>
      <c r="P134" s="36">
        <f t="shared" si="2"/>
        <v>0</v>
      </c>
    </row>
    <row r="135" spans="1:16" x14ac:dyDescent="0.3">
      <c r="A135" s="34" t="s">
        <v>108</v>
      </c>
      <c r="B135" s="35" t="s">
        <v>31</v>
      </c>
      <c r="C135" s="34" t="s">
        <v>14</v>
      </c>
      <c r="P135" s="37">
        <f t="shared" si="2"/>
        <v>0</v>
      </c>
    </row>
    <row r="136" spans="1:16" x14ac:dyDescent="0.3">
      <c r="A136" s="34" t="s">
        <v>108</v>
      </c>
      <c r="B136" s="35" t="s">
        <v>33</v>
      </c>
      <c r="C136" s="34" t="s">
        <v>14</v>
      </c>
      <c r="P136" s="38">
        <f t="shared" si="2"/>
        <v>0</v>
      </c>
    </row>
    <row r="137" spans="1:16" x14ac:dyDescent="0.3">
      <c r="A137" s="34" t="s">
        <v>108</v>
      </c>
      <c r="B137" s="39" t="s">
        <v>35</v>
      </c>
      <c r="C137" s="34" t="s">
        <v>14</v>
      </c>
      <c r="O137" s="40">
        <v>265</v>
      </c>
      <c r="P137" s="41">
        <f t="shared" si="2"/>
        <v>265</v>
      </c>
    </row>
    <row r="138" spans="1:16" x14ac:dyDescent="0.3">
      <c r="A138" s="34" t="s">
        <v>108</v>
      </c>
      <c r="B138" s="39" t="s">
        <v>37</v>
      </c>
      <c r="C138" s="34" t="s">
        <v>14</v>
      </c>
      <c r="O138" s="40">
        <v>16.100000000000001</v>
      </c>
      <c r="P138" s="41">
        <f t="shared" si="2"/>
        <v>16.100000000000001</v>
      </c>
    </row>
    <row r="139" spans="1:16" x14ac:dyDescent="0.3">
      <c r="A139" s="34" t="s">
        <v>108</v>
      </c>
      <c r="B139" s="39" t="s">
        <v>38</v>
      </c>
      <c r="C139" s="34" t="s">
        <v>14</v>
      </c>
      <c r="O139" s="40">
        <v>3340.8</v>
      </c>
      <c r="P139" s="41">
        <f t="shared" si="2"/>
        <v>3340.8</v>
      </c>
    </row>
    <row r="140" spans="1:16" x14ac:dyDescent="0.3">
      <c r="A140" s="34" t="s">
        <v>108</v>
      </c>
      <c r="B140" s="39" t="s">
        <v>41</v>
      </c>
      <c r="C140" s="34" t="s">
        <v>14</v>
      </c>
      <c r="O140" s="40">
        <v>798.30000000000018</v>
      </c>
      <c r="P140" s="41">
        <f t="shared" si="2"/>
        <v>798.30000000000018</v>
      </c>
    </row>
    <row r="141" spans="1:16" x14ac:dyDescent="0.3">
      <c r="A141" s="34" t="s">
        <v>108</v>
      </c>
      <c r="B141" s="39" t="s">
        <v>42</v>
      </c>
      <c r="C141" s="34" t="s">
        <v>14</v>
      </c>
      <c r="O141" s="40">
        <v>2649.6</v>
      </c>
      <c r="P141" s="41">
        <f t="shared" si="2"/>
        <v>2649.6</v>
      </c>
    </row>
    <row r="142" spans="1:16" x14ac:dyDescent="0.3">
      <c r="A142" s="34" t="s">
        <v>108</v>
      </c>
      <c r="B142" s="39" t="s">
        <v>43</v>
      </c>
      <c r="C142" s="34" t="s">
        <v>14</v>
      </c>
      <c r="O142" s="40">
        <v>174</v>
      </c>
      <c r="P142" s="41">
        <f t="shared" si="2"/>
        <v>174</v>
      </c>
    </row>
    <row r="143" spans="1:16" x14ac:dyDescent="0.3">
      <c r="A143" s="34" t="s">
        <v>108</v>
      </c>
      <c r="B143" s="35" t="s">
        <v>44</v>
      </c>
      <c r="C143" s="34" t="s">
        <v>14</v>
      </c>
      <c r="P143" s="37">
        <f t="shared" si="2"/>
        <v>0</v>
      </c>
    </row>
    <row r="144" spans="1:16" x14ac:dyDescent="0.3">
      <c r="A144" s="34" t="s">
        <v>108</v>
      </c>
      <c r="B144" s="35" t="s">
        <v>45</v>
      </c>
      <c r="C144" s="34" t="s">
        <v>14</v>
      </c>
      <c r="P144" s="41">
        <f t="shared" si="2"/>
        <v>0</v>
      </c>
    </row>
    <row r="145" spans="1:16" x14ac:dyDescent="0.3">
      <c r="A145" s="34" t="s">
        <v>108</v>
      </c>
      <c r="B145" s="35" t="s">
        <v>47</v>
      </c>
      <c r="C145" s="34" t="s">
        <v>14</v>
      </c>
      <c r="O145" s="41">
        <v>0</v>
      </c>
      <c r="P145" s="41">
        <f t="shared" si="2"/>
        <v>0</v>
      </c>
    </row>
    <row r="146" spans="1:16" x14ac:dyDescent="0.3">
      <c r="A146" s="34" t="s">
        <v>108</v>
      </c>
      <c r="B146" s="35" t="s">
        <v>28</v>
      </c>
      <c r="C146" s="34" t="s">
        <v>15</v>
      </c>
      <c r="P146" s="36">
        <f t="shared" si="2"/>
        <v>0</v>
      </c>
    </row>
    <row r="147" spans="1:16" x14ac:dyDescent="0.3">
      <c r="A147" s="34" t="s">
        <v>108</v>
      </c>
      <c r="B147" s="35" t="s">
        <v>30</v>
      </c>
      <c r="C147" s="34" t="s">
        <v>15</v>
      </c>
      <c r="P147" s="36">
        <f t="shared" si="2"/>
        <v>0</v>
      </c>
    </row>
    <row r="148" spans="1:16" x14ac:dyDescent="0.3">
      <c r="A148" s="34" t="s">
        <v>108</v>
      </c>
      <c r="B148" s="35" t="s">
        <v>31</v>
      </c>
      <c r="C148" s="34" t="s">
        <v>15</v>
      </c>
      <c r="P148" s="37">
        <f t="shared" si="2"/>
        <v>0</v>
      </c>
    </row>
    <row r="149" spans="1:16" x14ac:dyDescent="0.3">
      <c r="A149" s="34" t="s">
        <v>108</v>
      </c>
      <c r="B149" s="35" t="s">
        <v>33</v>
      </c>
      <c r="C149" s="34" t="s">
        <v>15</v>
      </c>
      <c r="P149" s="38">
        <f t="shared" si="2"/>
        <v>0</v>
      </c>
    </row>
    <row r="150" spans="1:16" x14ac:dyDescent="0.3">
      <c r="A150" s="34" t="s">
        <v>108</v>
      </c>
      <c r="B150" s="39" t="s">
        <v>35</v>
      </c>
      <c r="C150" s="34" t="s">
        <v>15</v>
      </c>
      <c r="O150" s="40">
        <v>174</v>
      </c>
      <c r="P150" s="41">
        <f t="shared" si="2"/>
        <v>174</v>
      </c>
    </row>
    <row r="151" spans="1:16" x14ac:dyDescent="0.3">
      <c r="A151" s="34" t="s">
        <v>108</v>
      </c>
      <c r="B151" s="39" t="s">
        <v>37</v>
      </c>
      <c r="C151" s="34" t="s">
        <v>15</v>
      </c>
      <c r="O151" s="40">
        <v>25.1</v>
      </c>
      <c r="P151" s="41">
        <f t="shared" si="2"/>
        <v>25.1</v>
      </c>
    </row>
    <row r="152" spans="1:16" x14ac:dyDescent="0.3">
      <c r="A152" s="34" t="s">
        <v>108</v>
      </c>
      <c r="B152" s="39" t="s">
        <v>38</v>
      </c>
      <c r="C152" s="34" t="s">
        <v>15</v>
      </c>
      <c r="O152" s="40">
        <v>3960.8</v>
      </c>
      <c r="P152" s="41">
        <f t="shared" si="2"/>
        <v>3960.8</v>
      </c>
    </row>
    <row r="153" spans="1:16" x14ac:dyDescent="0.3">
      <c r="A153" s="34" t="s">
        <v>108</v>
      </c>
      <c r="B153" s="39" t="s">
        <v>41</v>
      </c>
      <c r="C153" s="34" t="s">
        <v>15</v>
      </c>
      <c r="O153" s="40">
        <v>1050.4000000000001</v>
      </c>
      <c r="P153" s="41">
        <f t="shared" si="2"/>
        <v>1050.4000000000001</v>
      </c>
    </row>
    <row r="154" spans="1:16" x14ac:dyDescent="0.3">
      <c r="A154" s="34" t="s">
        <v>108</v>
      </c>
      <c r="B154" s="39" t="s">
        <v>42</v>
      </c>
      <c r="C154" s="34" t="s">
        <v>15</v>
      </c>
      <c r="O154" s="40">
        <v>2780.5</v>
      </c>
      <c r="P154" s="41">
        <f t="shared" si="2"/>
        <v>2780.5</v>
      </c>
    </row>
    <row r="155" spans="1:16" x14ac:dyDescent="0.3">
      <c r="A155" s="34" t="s">
        <v>108</v>
      </c>
      <c r="B155" s="39" t="s">
        <v>43</v>
      </c>
      <c r="C155" s="34" t="s">
        <v>15</v>
      </c>
      <c r="O155" s="40">
        <v>329</v>
      </c>
      <c r="P155" s="41">
        <f t="shared" si="2"/>
        <v>329</v>
      </c>
    </row>
    <row r="156" spans="1:16" x14ac:dyDescent="0.3">
      <c r="A156" s="34" t="s">
        <v>108</v>
      </c>
      <c r="B156" s="35" t="s">
        <v>44</v>
      </c>
      <c r="C156" s="34" t="s">
        <v>15</v>
      </c>
      <c r="P156" s="37">
        <f t="shared" si="2"/>
        <v>0</v>
      </c>
    </row>
    <row r="157" spans="1:16" x14ac:dyDescent="0.3">
      <c r="A157" s="34" t="s">
        <v>108</v>
      </c>
      <c r="B157" s="35" t="s">
        <v>45</v>
      </c>
      <c r="C157" s="34" t="s">
        <v>15</v>
      </c>
      <c r="P157" s="41">
        <f t="shared" si="2"/>
        <v>0</v>
      </c>
    </row>
    <row r="158" spans="1:16" x14ac:dyDescent="0.3">
      <c r="A158" s="34" t="s">
        <v>108</v>
      </c>
      <c r="B158" s="35" t="s">
        <v>47</v>
      </c>
      <c r="C158" s="34" t="s">
        <v>15</v>
      </c>
      <c r="O158" s="41">
        <v>0</v>
      </c>
      <c r="P158" s="41">
        <f t="shared" si="2"/>
        <v>0</v>
      </c>
    </row>
    <row r="159" spans="1:16" x14ac:dyDescent="0.3">
      <c r="A159" s="34" t="s">
        <v>108</v>
      </c>
      <c r="B159" s="35" t="s">
        <v>28</v>
      </c>
      <c r="C159" s="34" t="s">
        <v>16</v>
      </c>
      <c r="P159" s="36">
        <f t="shared" si="2"/>
        <v>0</v>
      </c>
    </row>
    <row r="160" spans="1:16" x14ac:dyDescent="0.3">
      <c r="A160" s="34" t="s">
        <v>108</v>
      </c>
      <c r="B160" s="35" t="s">
        <v>30</v>
      </c>
      <c r="C160" s="34" t="s">
        <v>16</v>
      </c>
      <c r="P160" s="36">
        <f t="shared" si="2"/>
        <v>0</v>
      </c>
    </row>
    <row r="161" spans="1:16" x14ac:dyDescent="0.3">
      <c r="A161" s="34" t="s">
        <v>108</v>
      </c>
      <c r="B161" s="35" t="s">
        <v>31</v>
      </c>
      <c r="C161" s="34" t="s">
        <v>16</v>
      </c>
      <c r="P161" s="37">
        <f t="shared" si="2"/>
        <v>0</v>
      </c>
    </row>
    <row r="162" spans="1:16" x14ac:dyDescent="0.3">
      <c r="A162" s="34" t="s">
        <v>108</v>
      </c>
      <c r="B162" s="35" t="s">
        <v>33</v>
      </c>
      <c r="C162" s="34" t="s">
        <v>16</v>
      </c>
      <c r="P162" s="38">
        <f t="shared" si="2"/>
        <v>0</v>
      </c>
    </row>
    <row r="163" spans="1:16" x14ac:dyDescent="0.3">
      <c r="A163" s="34" t="s">
        <v>108</v>
      </c>
      <c r="B163" s="39" t="s">
        <v>35</v>
      </c>
      <c r="C163" s="34" t="s">
        <v>16</v>
      </c>
      <c r="O163" s="40">
        <v>329</v>
      </c>
      <c r="P163" s="41">
        <f t="shared" si="2"/>
        <v>329</v>
      </c>
    </row>
    <row r="164" spans="1:16" x14ac:dyDescent="0.3">
      <c r="A164" s="34" t="s">
        <v>108</v>
      </c>
      <c r="B164" s="39" t="s">
        <v>37</v>
      </c>
      <c r="C164" s="34" t="s">
        <v>16</v>
      </c>
      <c r="O164" s="40">
        <v>30.8</v>
      </c>
      <c r="P164" s="41">
        <f t="shared" si="2"/>
        <v>30.8</v>
      </c>
    </row>
    <row r="165" spans="1:16" x14ac:dyDescent="0.3">
      <c r="A165" s="34" t="s">
        <v>108</v>
      </c>
      <c r="B165" s="39" t="s">
        <v>38</v>
      </c>
      <c r="C165" s="34" t="s">
        <v>16</v>
      </c>
      <c r="O165" s="40">
        <v>3810.1</v>
      </c>
      <c r="P165" s="41">
        <f t="shared" si="2"/>
        <v>3810.1</v>
      </c>
    </row>
    <row r="166" spans="1:16" x14ac:dyDescent="0.3">
      <c r="A166" s="34" t="s">
        <v>108</v>
      </c>
      <c r="B166" s="39" t="s">
        <v>41</v>
      </c>
      <c r="C166" s="34" t="s">
        <v>16</v>
      </c>
      <c r="O166" s="40">
        <v>403.90000000000049</v>
      </c>
      <c r="P166" s="41">
        <f t="shared" si="2"/>
        <v>403.90000000000049</v>
      </c>
    </row>
    <row r="167" spans="1:16" x14ac:dyDescent="0.3">
      <c r="A167" s="34" t="s">
        <v>108</v>
      </c>
      <c r="B167" s="39" t="s">
        <v>42</v>
      </c>
      <c r="C167" s="34" t="s">
        <v>16</v>
      </c>
      <c r="O167" s="40">
        <v>3082</v>
      </c>
      <c r="P167" s="41">
        <f t="shared" si="2"/>
        <v>3082</v>
      </c>
    </row>
    <row r="168" spans="1:16" x14ac:dyDescent="0.3">
      <c r="A168" s="34" t="s">
        <v>108</v>
      </c>
      <c r="B168" s="39" t="s">
        <v>43</v>
      </c>
      <c r="C168" s="34" t="s">
        <v>16</v>
      </c>
      <c r="O168" s="40">
        <v>684</v>
      </c>
      <c r="P168" s="41">
        <f t="shared" si="2"/>
        <v>684</v>
      </c>
    </row>
    <row r="169" spans="1:16" x14ac:dyDescent="0.3">
      <c r="A169" s="34" t="s">
        <v>108</v>
      </c>
      <c r="B169" s="35" t="s">
        <v>44</v>
      </c>
      <c r="C169" s="34" t="s">
        <v>16</v>
      </c>
      <c r="P169" s="37">
        <f t="shared" si="2"/>
        <v>0</v>
      </c>
    </row>
    <row r="170" spans="1:16" x14ac:dyDescent="0.3">
      <c r="A170" s="34" t="s">
        <v>108</v>
      </c>
      <c r="B170" s="35" t="s">
        <v>45</v>
      </c>
      <c r="C170" s="34" t="s">
        <v>16</v>
      </c>
      <c r="P170" s="41">
        <f t="shared" si="2"/>
        <v>0</v>
      </c>
    </row>
    <row r="171" spans="1:16" x14ac:dyDescent="0.3">
      <c r="A171" s="34" t="s">
        <v>108</v>
      </c>
      <c r="B171" s="35" t="s">
        <v>47</v>
      </c>
      <c r="C171" s="34" t="s">
        <v>16</v>
      </c>
      <c r="O171" s="41">
        <v>0</v>
      </c>
      <c r="P171" s="41">
        <f t="shared" si="2"/>
        <v>0</v>
      </c>
    </row>
    <row r="172" spans="1:16" x14ac:dyDescent="0.3">
      <c r="A172" s="34" t="s">
        <v>108</v>
      </c>
      <c r="B172" s="35" t="s">
        <v>28</v>
      </c>
      <c r="C172" s="34" t="s">
        <v>17</v>
      </c>
      <c r="P172" s="36">
        <f t="shared" si="2"/>
        <v>0</v>
      </c>
    </row>
    <row r="173" spans="1:16" x14ac:dyDescent="0.3">
      <c r="A173" s="34" t="s">
        <v>108</v>
      </c>
      <c r="B173" s="35" t="s">
        <v>30</v>
      </c>
      <c r="C173" s="34" t="s">
        <v>17</v>
      </c>
      <c r="P173" s="36">
        <f t="shared" si="2"/>
        <v>0</v>
      </c>
    </row>
    <row r="174" spans="1:16" x14ac:dyDescent="0.3">
      <c r="A174" s="34" t="s">
        <v>108</v>
      </c>
      <c r="B174" s="35" t="s">
        <v>31</v>
      </c>
      <c r="C174" s="34" t="s">
        <v>17</v>
      </c>
      <c r="P174" s="37">
        <f t="shared" si="2"/>
        <v>0</v>
      </c>
    </row>
    <row r="175" spans="1:16" x14ac:dyDescent="0.3">
      <c r="A175" s="34" t="s">
        <v>108</v>
      </c>
      <c r="B175" s="35" t="s">
        <v>33</v>
      </c>
      <c r="C175" s="34" t="s">
        <v>17</v>
      </c>
      <c r="P175" s="38">
        <f t="shared" si="2"/>
        <v>0</v>
      </c>
    </row>
    <row r="176" spans="1:16" x14ac:dyDescent="0.3">
      <c r="A176" s="34" t="s">
        <v>108</v>
      </c>
      <c r="B176" s="39" t="s">
        <v>35</v>
      </c>
      <c r="C176" s="34" t="s">
        <v>17</v>
      </c>
      <c r="O176" s="40">
        <v>684</v>
      </c>
      <c r="P176" s="41">
        <f t="shared" si="2"/>
        <v>684</v>
      </c>
    </row>
    <row r="177" spans="1:16" x14ac:dyDescent="0.3">
      <c r="A177" s="34" t="s">
        <v>108</v>
      </c>
      <c r="B177" s="39" t="s">
        <v>37</v>
      </c>
      <c r="C177" s="34" t="s">
        <v>17</v>
      </c>
      <c r="O177" s="40">
        <v>15.4</v>
      </c>
      <c r="P177" s="41">
        <f t="shared" si="2"/>
        <v>15.4</v>
      </c>
    </row>
    <row r="178" spans="1:16" x14ac:dyDescent="0.3">
      <c r="A178" s="34" t="s">
        <v>108</v>
      </c>
      <c r="B178" s="39" t="s">
        <v>38</v>
      </c>
      <c r="C178" s="34" t="s">
        <v>17</v>
      </c>
      <c r="O178" s="40">
        <v>3200.7</v>
      </c>
      <c r="P178" s="41">
        <f t="shared" si="2"/>
        <v>3200.7</v>
      </c>
    </row>
    <row r="179" spans="1:16" x14ac:dyDescent="0.3">
      <c r="A179" s="34" t="s">
        <v>108</v>
      </c>
      <c r="B179" s="39" t="s">
        <v>41</v>
      </c>
      <c r="C179" s="34" t="s">
        <v>17</v>
      </c>
      <c r="O179" s="40">
        <v>1079.4000000000001</v>
      </c>
      <c r="P179" s="41">
        <f t="shared" si="2"/>
        <v>1079.4000000000001</v>
      </c>
    </row>
    <row r="180" spans="1:16" x14ac:dyDescent="0.3">
      <c r="A180" s="34" t="s">
        <v>108</v>
      </c>
      <c r="B180" s="39" t="s">
        <v>42</v>
      </c>
      <c r="C180" s="34" t="s">
        <v>17</v>
      </c>
      <c r="O180" s="40">
        <v>2646.5</v>
      </c>
      <c r="P180" s="41">
        <f t="shared" si="2"/>
        <v>2646.5</v>
      </c>
    </row>
    <row r="181" spans="1:16" x14ac:dyDescent="0.3">
      <c r="A181" s="34" t="s">
        <v>108</v>
      </c>
      <c r="B181" s="39" t="s">
        <v>43</v>
      </c>
      <c r="C181" s="34" t="s">
        <v>17</v>
      </c>
      <c r="O181" s="40">
        <v>174.2</v>
      </c>
      <c r="P181" s="41">
        <f t="shared" si="2"/>
        <v>174.2</v>
      </c>
    </row>
    <row r="182" spans="1:16" x14ac:dyDescent="0.3">
      <c r="A182" s="34" t="s">
        <v>108</v>
      </c>
      <c r="B182" s="35" t="s">
        <v>44</v>
      </c>
      <c r="C182" s="34" t="s">
        <v>17</v>
      </c>
      <c r="P182" s="37">
        <f t="shared" si="2"/>
        <v>0</v>
      </c>
    </row>
    <row r="183" spans="1:16" x14ac:dyDescent="0.3">
      <c r="A183" s="34" t="s">
        <v>108</v>
      </c>
      <c r="B183" s="35" t="s">
        <v>45</v>
      </c>
      <c r="C183" s="34" t="s">
        <v>17</v>
      </c>
      <c r="P183" s="41">
        <f t="shared" si="2"/>
        <v>0</v>
      </c>
    </row>
    <row r="184" spans="1:16" x14ac:dyDescent="0.3">
      <c r="A184" s="34" t="s">
        <v>108</v>
      </c>
      <c r="B184" s="35" t="s">
        <v>47</v>
      </c>
      <c r="C184" s="34" t="s">
        <v>17</v>
      </c>
      <c r="O184" s="41">
        <v>-1.7053025658242399E-13</v>
      </c>
      <c r="P184" s="41">
        <f t="shared" si="2"/>
        <v>-1.7053025658242399E-13</v>
      </c>
    </row>
    <row r="185" spans="1:16" x14ac:dyDescent="0.3">
      <c r="A185" s="34" t="s">
        <v>108</v>
      </c>
      <c r="B185" s="35" t="s">
        <v>28</v>
      </c>
      <c r="C185" s="34" t="s">
        <v>18</v>
      </c>
      <c r="P185" s="36">
        <f t="shared" si="2"/>
        <v>0</v>
      </c>
    </row>
    <row r="186" spans="1:16" x14ac:dyDescent="0.3">
      <c r="A186" s="34" t="s">
        <v>108</v>
      </c>
      <c r="B186" s="35" t="s">
        <v>30</v>
      </c>
      <c r="C186" s="34" t="s">
        <v>18</v>
      </c>
      <c r="P186" s="36">
        <f t="shared" si="2"/>
        <v>0</v>
      </c>
    </row>
    <row r="187" spans="1:16" x14ac:dyDescent="0.3">
      <c r="A187" s="34" t="s">
        <v>108</v>
      </c>
      <c r="B187" s="35" t="s">
        <v>31</v>
      </c>
      <c r="C187" s="34" t="s">
        <v>18</v>
      </c>
      <c r="P187" s="37">
        <f t="shared" si="2"/>
        <v>0</v>
      </c>
    </row>
    <row r="188" spans="1:16" x14ac:dyDescent="0.3">
      <c r="A188" s="34" t="s">
        <v>108</v>
      </c>
      <c r="B188" s="35" t="s">
        <v>33</v>
      </c>
      <c r="C188" s="34" t="s">
        <v>18</v>
      </c>
      <c r="P188" s="38">
        <f t="shared" si="2"/>
        <v>0</v>
      </c>
    </row>
    <row r="189" spans="1:16" x14ac:dyDescent="0.3">
      <c r="A189" s="34" t="s">
        <v>108</v>
      </c>
      <c r="B189" s="39" t="s">
        <v>35</v>
      </c>
      <c r="C189" s="34" t="s">
        <v>18</v>
      </c>
      <c r="O189" s="40">
        <v>174.2</v>
      </c>
      <c r="P189" s="41">
        <f t="shared" si="2"/>
        <v>174.2</v>
      </c>
    </row>
    <row r="190" spans="1:16" x14ac:dyDescent="0.3">
      <c r="A190" s="34" t="s">
        <v>108</v>
      </c>
      <c r="B190" s="39" t="s">
        <v>37</v>
      </c>
      <c r="C190" s="34" t="s">
        <v>18</v>
      </c>
      <c r="O190" s="40">
        <v>31.5</v>
      </c>
      <c r="P190" s="41">
        <f t="shared" si="2"/>
        <v>31.5</v>
      </c>
    </row>
    <row r="191" spans="1:16" x14ac:dyDescent="0.3">
      <c r="A191" s="34" t="s">
        <v>108</v>
      </c>
      <c r="B191" s="39" t="s">
        <v>38</v>
      </c>
      <c r="C191" s="34" t="s">
        <v>18</v>
      </c>
      <c r="O191" s="40">
        <v>4835.8999999999996</v>
      </c>
      <c r="P191" s="41">
        <f t="shared" si="2"/>
        <v>4835.8999999999996</v>
      </c>
    </row>
    <row r="192" spans="1:16" x14ac:dyDescent="0.3">
      <c r="A192" s="34" t="s">
        <v>108</v>
      </c>
      <c r="B192" s="39" t="s">
        <v>41</v>
      </c>
      <c r="C192" s="34" t="s">
        <v>18</v>
      </c>
      <c r="O192" s="40">
        <v>797.3999999999993</v>
      </c>
      <c r="P192" s="41">
        <f t="shared" si="2"/>
        <v>797.3999999999993</v>
      </c>
    </row>
    <row r="193" spans="1:16" x14ac:dyDescent="0.3">
      <c r="A193" s="34" t="s">
        <v>108</v>
      </c>
      <c r="B193" s="39" t="s">
        <v>42</v>
      </c>
      <c r="C193" s="34" t="s">
        <v>18</v>
      </c>
      <c r="O193" s="40">
        <v>3943.8</v>
      </c>
      <c r="P193" s="41">
        <f t="shared" si="2"/>
        <v>3943.8</v>
      </c>
    </row>
    <row r="194" spans="1:16" x14ac:dyDescent="0.3">
      <c r="A194" s="34" t="s">
        <v>108</v>
      </c>
      <c r="B194" s="39" t="s">
        <v>43</v>
      </c>
      <c r="C194" s="34" t="s">
        <v>18</v>
      </c>
      <c r="O194" s="40">
        <v>300.39999999999998</v>
      </c>
      <c r="P194" s="41">
        <f t="shared" si="2"/>
        <v>300.39999999999998</v>
      </c>
    </row>
    <row r="195" spans="1:16" x14ac:dyDescent="0.3">
      <c r="A195" s="34" t="s">
        <v>108</v>
      </c>
      <c r="B195" s="35" t="s">
        <v>44</v>
      </c>
      <c r="C195" s="34" t="s">
        <v>18</v>
      </c>
      <c r="P195" s="37">
        <f t="shared" ref="P195:P258" si="3">SUM(D195:O195)</f>
        <v>0</v>
      </c>
    </row>
    <row r="196" spans="1:16" x14ac:dyDescent="0.3">
      <c r="A196" s="34" t="s">
        <v>108</v>
      </c>
      <c r="B196" s="35" t="s">
        <v>45</v>
      </c>
      <c r="C196" s="34" t="s">
        <v>18</v>
      </c>
      <c r="P196" s="41">
        <f t="shared" si="3"/>
        <v>0</v>
      </c>
    </row>
    <row r="197" spans="1:16" x14ac:dyDescent="0.3">
      <c r="A197" s="34" t="s">
        <v>108</v>
      </c>
      <c r="B197" s="35" t="s">
        <v>47</v>
      </c>
      <c r="C197" s="34" t="s">
        <v>18</v>
      </c>
      <c r="O197" s="41">
        <v>-3.4106051316484809E-13</v>
      </c>
      <c r="P197" s="41">
        <f t="shared" si="3"/>
        <v>-3.4106051316484809E-13</v>
      </c>
    </row>
    <row r="198" spans="1:16" x14ac:dyDescent="0.3">
      <c r="A198" s="34" t="s">
        <v>108</v>
      </c>
      <c r="B198" s="35" t="s">
        <v>28</v>
      </c>
      <c r="C198" s="34" t="s">
        <v>19</v>
      </c>
      <c r="P198" s="36">
        <f t="shared" si="3"/>
        <v>0</v>
      </c>
    </row>
    <row r="199" spans="1:16" x14ac:dyDescent="0.3">
      <c r="A199" s="34" t="s">
        <v>108</v>
      </c>
      <c r="B199" s="35" t="s">
        <v>30</v>
      </c>
      <c r="C199" s="34" t="s">
        <v>19</v>
      </c>
      <c r="P199" s="36">
        <f t="shared" si="3"/>
        <v>0</v>
      </c>
    </row>
    <row r="200" spans="1:16" x14ac:dyDescent="0.3">
      <c r="A200" s="34" t="s">
        <v>108</v>
      </c>
      <c r="B200" s="35" t="s">
        <v>31</v>
      </c>
      <c r="C200" s="34" t="s">
        <v>19</v>
      </c>
      <c r="P200" s="37">
        <f t="shared" si="3"/>
        <v>0</v>
      </c>
    </row>
    <row r="201" spans="1:16" x14ac:dyDescent="0.3">
      <c r="A201" s="34" t="s">
        <v>108</v>
      </c>
      <c r="B201" s="35" t="s">
        <v>33</v>
      </c>
      <c r="C201" s="34" t="s">
        <v>19</v>
      </c>
      <c r="P201" s="38">
        <f t="shared" si="3"/>
        <v>0</v>
      </c>
    </row>
    <row r="202" spans="1:16" x14ac:dyDescent="0.3">
      <c r="A202" s="34" t="s">
        <v>108</v>
      </c>
      <c r="B202" s="39" t="s">
        <v>35</v>
      </c>
      <c r="C202" s="34" t="s">
        <v>19</v>
      </c>
      <c r="O202" s="40">
        <v>300.39999999999998</v>
      </c>
      <c r="P202" s="41">
        <f t="shared" si="3"/>
        <v>300.39999999999998</v>
      </c>
    </row>
    <row r="203" spans="1:16" x14ac:dyDescent="0.3">
      <c r="A203" s="34" t="s">
        <v>108</v>
      </c>
      <c r="B203" s="39" t="s">
        <v>37</v>
      </c>
      <c r="C203" s="34" t="s">
        <v>19</v>
      </c>
      <c r="O203" s="40">
        <v>11.5</v>
      </c>
      <c r="P203" s="41">
        <f t="shared" si="3"/>
        <v>11.5</v>
      </c>
    </row>
    <row r="204" spans="1:16" x14ac:dyDescent="0.3">
      <c r="A204" s="34" t="s">
        <v>108</v>
      </c>
      <c r="B204" s="39" t="s">
        <v>38</v>
      </c>
      <c r="C204" s="34" t="s">
        <v>19</v>
      </c>
      <c r="O204" s="40">
        <v>4112.2</v>
      </c>
      <c r="P204" s="41">
        <f t="shared" si="3"/>
        <v>4112.2</v>
      </c>
    </row>
    <row r="205" spans="1:16" x14ac:dyDescent="0.3">
      <c r="A205" s="34" t="s">
        <v>108</v>
      </c>
      <c r="B205" s="39" t="s">
        <v>41</v>
      </c>
      <c r="C205" s="34" t="s">
        <v>19</v>
      </c>
      <c r="O205" s="40">
        <v>690.59999999999923</v>
      </c>
      <c r="P205" s="41">
        <f t="shared" si="3"/>
        <v>690.59999999999923</v>
      </c>
    </row>
    <row r="206" spans="1:16" x14ac:dyDescent="0.3">
      <c r="A206" s="34" t="s">
        <v>108</v>
      </c>
      <c r="B206" s="39" t="s">
        <v>42</v>
      </c>
      <c r="C206" s="34" t="s">
        <v>19</v>
      </c>
      <c r="O206" s="40">
        <v>3085.3</v>
      </c>
      <c r="P206" s="41">
        <f t="shared" si="3"/>
        <v>3085.3</v>
      </c>
    </row>
    <row r="207" spans="1:16" x14ac:dyDescent="0.3">
      <c r="A207" s="34" t="s">
        <v>108</v>
      </c>
      <c r="B207" s="39" t="s">
        <v>43</v>
      </c>
      <c r="C207" s="34" t="s">
        <v>19</v>
      </c>
      <c r="O207" s="40">
        <v>648.20000000000005</v>
      </c>
      <c r="P207" s="41">
        <f t="shared" si="3"/>
        <v>648.20000000000005</v>
      </c>
    </row>
    <row r="208" spans="1:16" x14ac:dyDescent="0.3">
      <c r="A208" s="34" t="s">
        <v>108</v>
      </c>
      <c r="B208" s="35" t="s">
        <v>44</v>
      </c>
      <c r="C208" s="34" t="s">
        <v>19</v>
      </c>
      <c r="P208" s="37">
        <f t="shared" si="3"/>
        <v>0</v>
      </c>
    </row>
    <row r="209" spans="1:16" x14ac:dyDescent="0.3">
      <c r="A209" s="34" t="s">
        <v>108</v>
      </c>
      <c r="B209" s="35" t="s">
        <v>45</v>
      </c>
      <c r="C209" s="34" t="s">
        <v>19</v>
      </c>
      <c r="P209" s="41">
        <f t="shared" si="3"/>
        <v>0</v>
      </c>
    </row>
    <row r="210" spans="1:16" x14ac:dyDescent="0.3">
      <c r="A210" s="34" t="s">
        <v>108</v>
      </c>
      <c r="B210" s="35" t="s">
        <v>47</v>
      </c>
      <c r="C210" s="34" t="s">
        <v>19</v>
      </c>
      <c r="O210" s="41">
        <v>-2.2737367544323211E-13</v>
      </c>
      <c r="P210" s="41">
        <f t="shared" si="3"/>
        <v>-2.2737367544323211E-13</v>
      </c>
    </row>
    <row r="211" spans="1:16" x14ac:dyDescent="0.3">
      <c r="A211" s="34" t="s">
        <v>108</v>
      </c>
      <c r="B211" s="35" t="s">
        <v>28</v>
      </c>
      <c r="C211" s="34" t="s">
        <v>20</v>
      </c>
      <c r="P211" s="36">
        <f t="shared" si="3"/>
        <v>0</v>
      </c>
    </row>
    <row r="212" spans="1:16" x14ac:dyDescent="0.3">
      <c r="A212" s="34" t="s">
        <v>108</v>
      </c>
      <c r="B212" s="35" t="s">
        <v>30</v>
      </c>
      <c r="C212" s="34" t="s">
        <v>20</v>
      </c>
      <c r="P212" s="36">
        <f t="shared" si="3"/>
        <v>0</v>
      </c>
    </row>
    <row r="213" spans="1:16" x14ac:dyDescent="0.3">
      <c r="A213" s="34" t="s">
        <v>108</v>
      </c>
      <c r="B213" s="35" t="s">
        <v>31</v>
      </c>
      <c r="C213" s="34" t="s">
        <v>20</v>
      </c>
      <c r="P213" s="37">
        <f t="shared" si="3"/>
        <v>0</v>
      </c>
    </row>
    <row r="214" spans="1:16" x14ac:dyDescent="0.3">
      <c r="A214" s="34" t="s">
        <v>108</v>
      </c>
      <c r="B214" s="35" t="s">
        <v>33</v>
      </c>
      <c r="C214" s="34" t="s">
        <v>20</v>
      </c>
      <c r="P214" s="38">
        <f t="shared" si="3"/>
        <v>0</v>
      </c>
    </row>
    <row r="215" spans="1:16" x14ac:dyDescent="0.3">
      <c r="A215" s="34" t="s">
        <v>108</v>
      </c>
      <c r="B215" s="39" t="s">
        <v>35</v>
      </c>
      <c r="C215" s="34" t="s">
        <v>20</v>
      </c>
      <c r="O215" s="40">
        <v>648.20000000000005</v>
      </c>
      <c r="P215" s="41">
        <f t="shared" si="3"/>
        <v>648.20000000000005</v>
      </c>
    </row>
    <row r="216" spans="1:16" x14ac:dyDescent="0.3">
      <c r="A216" s="34" t="s">
        <v>108</v>
      </c>
      <c r="B216" s="39" t="s">
        <v>37</v>
      </c>
      <c r="C216" s="34" t="s">
        <v>20</v>
      </c>
      <c r="O216" s="40">
        <v>61.6</v>
      </c>
      <c r="P216" s="41">
        <f t="shared" si="3"/>
        <v>61.6</v>
      </c>
    </row>
    <row r="217" spans="1:16" x14ac:dyDescent="0.3">
      <c r="A217" s="34" t="s">
        <v>108</v>
      </c>
      <c r="B217" s="39" t="s">
        <v>38</v>
      </c>
      <c r="C217" s="34" t="s">
        <v>20</v>
      </c>
      <c r="O217" s="40">
        <v>3580.7</v>
      </c>
      <c r="P217" s="41">
        <f t="shared" si="3"/>
        <v>3580.7</v>
      </c>
    </row>
    <row r="218" spans="1:16" x14ac:dyDescent="0.3">
      <c r="A218" s="34" t="s">
        <v>108</v>
      </c>
      <c r="B218" s="39" t="s">
        <v>41</v>
      </c>
      <c r="C218" s="34" t="s">
        <v>20</v>
      </c>
      <c r="O218" s="40">
        <v>707.89999999999986</v>
      </c>
      <c r="P218" s="41">
        <f t="shared" si="3"/>
        <v>707.89999999999986</v>
      </c>
    </row>
    <row r="219" spans="1:16" x14ac:dyDescent="0.3">
      <c r="A219" s="34" t="s">
        <v>108</v>
      </c>
      <c r="B219" s="39" t="s">
        <v>42</v>
      </c>
      <c r="C219" s="34" t="s">
        <v>20</v>
      </c>
      <c r="O219" s="40">
        <v>3270.3</v>
      </c>
      <c r="P219" s="41">
        <f t="shared" si="3"/>
        <v>3270.3</v>
      </c>
    </row>
    <row r="220" spans="1:16" x14ac:dyDescent="0.3">
      <c r="A220" s="34" t="s">
        <v>108</v>
      </c>
      <c r="B220" s="39" t="s">
        <v>43</v>
      </c>
      <c r="C220" s="34" t="s">
        <v>20</v>
      </c>
      <c r="O220" s="40">
        <v>312.3</v>
      </c>
      <c r="P220" s="41">
        <f t="shared" si="3"/>
        <v>312.3</v>
      </c>
    </row>
    <row r="221" spans="1:16" x14ac:dyDescent="0.3">
      <c r="A221" s="34" t="s">
        <v>108</v>
      </c>
      <c r="B221" s="35" t="s">
        <v>44</v>
      </c>
      <c r="C221" s="34" t="s">
        <v>20</v>
      </c>
      <c r="P221" s="37">
        <f t="shared" si="3"/>
        <v>0</v>
      </c>
    </row>
    <row r="222" spans="1:16" x14ac:dyDescent="0.3">
      <c r="A222" s="34" t="s">
        <v>108</v>
      </c>
      <c r="B222" s="35" t="s">
        <v>45</v>
      </c>
      <c r="C222" s="34" t="s">
        <v>20</v>
      </c>
      <c r="P222" s="41">
        <f t="shared" si="3"/>
        <v>0</v>
      </c>
    </row>
    <row r="223" spans="1:16" x14ac:dyDescent="0.3">
      <c r="A223" s="34" t="s">
        <v>108</v>
      </c>
      <c r="B223" s="35" t="s">
        <v>47</v>
      </c>
      <c r="C223" s="34" t="s">
        <v>20</v>
      </c>
      <c r="O223" s="41">
        <v>1.7053025658242399E-13</v>
      </c>
      <c r="P223" s="41">
        <f t="shared" si="3"/>
        <v>1.7053025658242399E-13</v>
      </c>
    </row>
    <row r="224" spans="1:16" x14ac:dyDescent="0.3">
      <c r="A224" s="34" t="s">
        <v>108</v>
      </c>
      <c r="B224" s="35" t="s">
        <v>28</v>
      </c>
      <c r="C224" s="34" t="s">
        <v>21</v>
      </c>
      <c r="P224" s="36">
        <f t="shared" si="3"/>
        <v>0</v>
      </c>
    </row>
    <row r="225" spans="1:16" x14ac:dyDescent="0.3">
      <c r="A225" s="34" t="s">
        <v>108</v>
      </c>
      <c r="B225" s="35" t="s">
        <v>30</v>
      </c>
      <c r="C225" s="34" t="s">
        <v>21</v>
      </c>
      <c r="P225" s="36">
        <f t="shared" si="3"/>
        <v>0</v>
      </c>
    </row>
    <row r="226" spans="1:16" x14ac:dyDescent="0.3">
      <c r="A226" s="34" t="s">
        <v>108</v>
      </c>
      <c r="B226" s="35" t="s">
        <v>31</v>
      </c>
      <c r="C226" s="34" t="s">
        <v>21</v>
      </c>
      <c r="P226" s="37">
        <f t="shared" si="3"/>
        <v>0</v>
      </c>
    </row>
    <row r="227" spans="1:16" x14ac:dyDescent="0.3">
      <c r="A227" s="34" t="s">
        <v>108</v>
      </c>
      <c r="B227" s="35" t="s">
        <v>33</v>
      </c>
      <c r="C227" s="34" t="s">
        <v>21</v>
      </c>
      <c r="P227" s="38">
        <f t="shared" si="3"/>
        <v>0</v>
      </c>
    </row>
    <row r="228" spans="1:16" x14ac:dyDescent="0.3">
      <c r="A228" s="34" t="s">
        <v>108</v>
      </c>
      <c r="B228" s="39" t="s">
        <v>35</v>
      </c>
      <c r="C228" s="34" t="s">
        <v>21</v>
      </c>
      <c r="O228" s="40">
        <v>312.3</v>
      </c>
      <c r="P228" s="41">
        <f t="shared" si="3"/>
        <v>312.3</v>
      </c>
    </row>
    <row r="229" spans="1:16" x14ac:dyDescent="0.3">
      <c r="A229" s="34" t="s">
        <v>108</v>
      </c>
      <c r="B229" s="39" t="s">
        <v>37</v>
      </c>
      <c r="C229" s="34" t="s">
        <v>21</v>
      </c>
      <c r="O229" s="40">
        <v>82.3</v>
      </c>
      <c r="P229" s="41">
        <f t="shared" si="3"/>
        <v>82.3</v>
      </c>
    </row>
    <row r="230" spans="1:16" x14ac:dyDescent="0.3">
      <c r="A230" s="34" t="s">
        <v>108</v>
      </c>
      <c r="B230" s="39" t="s">
        <v>38</v>
      </c>
      <c r="C230" s="34" t="s">
        <v>21</v>
      </c>
      <c r="O230" s="40">
        <v>4236.5</v>
      </c>
      <c r="P230" s="41">
        <f t="shared" si="3"/>
        <v>4236.5</v>
      </c>
    </row>
    <row r="231" spans="1:16" x14ac:dyDescent="0.3">
      <c r="A231" s="34" t="s">
        <v>108</v>
      </c>
      <c r="B231" s="39" t="s">
        <v>41</v>
      </c>
      <c r="C231" s="34" t="s">
        <v>21</v>
      </c>
      <c r="O231" s="40">
        <v>688.7000000000005</v>
      </c>
      <c r="P231" s="41">
        <f t="shared" si="3"/>
        <v>688.7000000000005</v>
      </c>
    </row>
    <row r="232" spans="1:16" x14ac:dyDescent="0.3">
      <c r="A232" s="34" t="s">
        <v>108</v>
      </c>
      <c r="B232" s="39" t="s">
        <v>42</v>
      </c>
      <c r="C232" s="34" t="s">
        <v>21</v>
      </c>
      <c r="O232" s="40">
        <v>3709.2</v>
      </c>
      <c r="P232" s="41">
        <f t="shared" si="3"/>
        <v>3709.2</v>
      </c>
    </row>
    <row r="233" spans="1:16" x14ac:dyDescent="0.3">
      <c r="A233" s="34" t="s">
        <v>108</v>
      </c>
      <c r="B233" s="39" t="s">
        <v>43</v>
      </c>
      <c r="C233" s="34" t="s">
        <v>21</v>
      </c>
      <c r="O233" s="40">
        <v>233.2</v>
      </c>
      <c r="P233" s="41">
        <f t="shared" si="3"/>
        <v>233.2</v>
      </c>
    </row>
    <row r="234" spans="1:16" x14ac:dyDescent="0.3">
      <c r="A234" s="34" t="s">
        <v>108</v>
      </c>
      <c r="B234" s="35" t="s">
        <v>44</v>
      </c>
      <c r="C234" s="34" t="s">
        <v>21</v>
      </c>
      <c r="P234" s="37">
        <f t="shared" si="3"/>
        <v>0</v>
      </c>
    </row>
    <row r="235" spans="1:16" x14ac:dyDescent="0.3">
      <c r="A235" s="34" t="s">
        <v>108</v>
      </c>
      <c r="B235" s="35" t="s">
        <v>45</v>
      </c>
      <c r="C235" s="34" t="s">
        <v>21</v>
      </c>
      <c r="P235" s="41">
        <f t="shared" si="3"/>
        <v>0</v>
      </c>
    </row>
    <row r="236" spans="1:16" x14ac:dyDescent="0.3">
      <c r="A236" s="34" t="s">
        <v>108</v>
      </c>
      <c r="B236" s="35" t="s">
        <v>47</v>
      </c>
      <c r="C236" s="34" t="s">
        <v>21</v>
      </c>
      <c r="O236" s="41">
        <v>-1.7053025658242399E-13</v>
      </c>
      <c r="P236" s="41">
        <f t="shared" si="3"/>
        <v>-1.7053025658242399E-13</v>
      </c>
    </row>
    <row r="237" spans="1:16" x14ac:dyDescent="0.3">
      <c r="A237" s="34" t="s">
        <v>108</v>
      </c>
      <c r="B237" s="35" t="s">
        <v>28</v>
      </c>
      <c r="C237" s="34" t="s">
        <v>22</v>
      </c>
      <c r="P237" s="36">
        <f t="shared" si="3"/>
        <v>0</v>
      </c>
    </row>
    <row r="238" spans="1:16" x14ac:dyDescent="0.3">
      <c r="A238" s="34" t="s">
        <v>108</v>
      </c>
      <c r="B238" s="35" t="s">
        <v>30</v>
      </c>
      <c r="C238" s="34" t="s">
        <v>22</v>
      </c>
      <c r="P238" s="36">
        <f t="shared" si="3"/>
        <v>0</v>
      </c>
    </row>
    <row r="239" spans="1:16" x14ac:dyDescent="0.3">
      <c r="A239" s="34" t="s">
        <v>108</v>
      </c>
      <c r="B239" s="35" t="s">
        <v>31</v>
      </c>
      <c r="C239" s="34" t="s">
        <v>22</v>
      </c>
      <c r="P239" s="37">
        <f t="shared" si="3"/>
        <v>0</v>
      </c>
    </row>
    <row r="240" spans="1:16" x14ac:dyDescent="0.3">
      <c r="A240" s="34" t="s">
        <v>108</v>
      </c>
      <c r="B240" s="35" t="s">
        <v>33</v>
      </c>
      <c r="C240" s="34" t="s">
        <v>22</v>
      </c>
      <c r="P240" s="38">
        <f t="shared" si="3"/>
        <v>0</v>
      </c>
    </row>
    <row r="241" spans="1:16" x14ac:dyDescent="0.3">
      <c r="A241" s="34" t="s">
        <v>108</v>
      </c>
      <c r="B241" s="39" t="s">
        <v>35</v>
      </c>
      <c r="C241" s="34" t="s">
        <v>22</v>
      </c>
      <c r="O241" s="40">
        <v>233.2</v>
      </c>
      <c r="P241" s="41">
        <f t="shared" si="3"/>
        <v>233.2</v>
      </c>
    </row>
    <row r="242" spans="1:16" x14ac:dyDescent="0.3">
      <c r="A242" s="34" t="s">
        <v>108</v>
      </c>
      <c r="B242" s="39" t="s">
        <v>37</v>
      </c>
      <c r="C242" s="34" t="s">
        <v>22</v>
      </c>
      <c r="O242" s="40">
        <v>81.099999999999994</v>
      </c>
      <c r="P242" s="41">
        <f t="shared" si="3"/>
        <v>81.099999999999994</v>
      </c>
    </row>
    <row r="243" spans="1:16" x14ac:dyDescent="0.3">
      <c r="A243" s="34" t="s">
        <v>108</v>
      </c>
      <c r="B243" s="39" t="s">
        <v>38</v>
      </c>
      <c r="C243" s="34" t="s">
        <v>22</v>
      </c>
      <c r="O243" s="40">
        <v>4594.3999999999996</v>
      </c>
      <c r="P243" s="41">
        <f t="shared" si="3"/>
        <v>4594.3999999999996</v>
      </c>
    </row>
    <row r="244" spans="1:16" x14ac:dyDescent="0.3">
      <c r="A244" s="34" t="s">
        <v>108</v>
      </c>
      <c r="B244" s="39" t="s">
        <v>41</v>
      </c>
      <c r="C244" s="34" t="s">
        <v>22</v>
      </c>
      <c r="O244" s="40">
        <v>765.8</v>
      </c>
      <c r="P244" s="41">
        <f t="shared" si="3"/>
        <v>765.8</v>
      </c>
    </row>
    <row r="245" spans="1:16" x14ac:dyDescent="0.3">
      <c r="A245" s="34" t="s">
        <v>108</v>
      </c>
      <c r="B245" s="39" t="s">
        <v>42</v>
      </c>
      <c r="C245" s="34" t="s">
        <v>22</v>
      </c>
      <c r="O245" s="40">
        <v>3583.6</v>
      </c>
      <c r="P245" s="41">
        <f t="shared" si="3"/>
        <v>3583.6</v>
      </c>
    </row>
    <row r="246" spans="1:16" x14ac:dyDescent="0.3">
      <c r="A246" s="34" t="s">
        <v>108</v>
      </c>
      <c r="B246" s="39" t="s">
        <v>43</v>
      </c>
      <c r="C246" s="34" t="s">
        <v>22</v>
      </c>
      <c r="O246" s="40">
        <v>559.29999999999995</v>
      </c>
      <c r="P246" s="41">
        <f t="shared" si="3"/>
        <v>559.29999999999995</v>
      </c>
    </row>
    <row r="247" spans="1:16" x14ac:dyDescent="0.3">
      <c r="A247" s="34" t="s">
        <v>108</v>
      </c>
      <c r="B247" s="35" t="s">
        <v>44</v>
      </c>
      <c r="C247" s="34" t="s">
        <v>22</v>
      </c>
      <c r="P247" s="37">
        <f t="shared" si="3"/>
        <v>0</v>
      </c>
    </row>
    <row r="248" spans="1:16" x14ac:dyDescent="0.3">
      <c r="A248" s="34" t="s">
        <v>108</v>
      </c>
      <c r="B248" s="35" t="s">
        <v>45</v>
      </c>
      <c r="C248" s="34" t="s">
        <v>22</v>
      </c>
      <c r="P248" s="41">
        <f t="shared" si="3"/>
        <v>0</v>
      </c>
    </row>
    <row r="249" spans="1:16" x14ac:dyDescent="0.3">
      <c r="A249" s="34" t="s">
        <v>108</v>
      </c>
      <c r="B249" s="35" t="s">
        <v>47</v>
      </c>
      <c r="C249" s="34" t="s">
        <v>22</v>
      </c>
      <c r="O249" s="41">
        <v>-2.2737367544323211E-13</v>
      </c>
      <c r="P249" s="41">
        <f t="shared" si="3"/>
        <v>-2.2737367544323211E-13</v>
      </c>
    </row>
    <row r="250" spans="1:16" x14ac:dyDescent="0.3">
      <c r="A250" s="34" t="s">
        <v>108</v>
      </c>
      <c r="B250" s="35" t="s">
        <v>28</v>
      </c>
      <c r="C250" s="34" t="s">
        <v>23</v>
      </c>
      <c r="P250" s="36">
        <f t="shared" si="3"/>
        <v>0</v>
      </c>
    </row>
    <row r="251" spans="1:16" x14ac:dyDescent="0.3">
      <c r="A251" s="34" t="s">
        <v>108</v>
      </c>
      <c r="B251" s="35" t="s">
        <v>30</v>
      </c>
      <c r="C251" s="34" t="s">
        <v>23</v>
      </c>
      <c r="P251" s="36">
        <f t="shared" si="3"/>
        <v>0</v>
      </c>
    </row>
    <row r="252" spans="1:16" x14ac:dyDescent="0.3">
      <c r="A252" s="34" t="s">
        <v>108</v>
      </c>
      <c r="B252" s="35" t="s">
        <v>31</v>
      </c>
      <c r="C252" s="34" t="s">
        <v>23</v>
      </c>
      <c r="P252" s="37">
        <f t="shared" si="3"/>
        <v>0</v>
      </c>
    </row>
    <row r="253" spans="1:16" x14ac:dyDescent="0.3">
      <c r="A253" s="34" t="s">
        <v>108</v>
      </c>
      <c r="B253" s="35" t="s">
        <v>33</v>
      </c>
      <c r="C253" s="34" t="s">
        <v>23</v>
      </c>
      <c r="P253" s="38">
        <f t="shared" si="3"/>
        <v>0</v>
      </c>
    </row>
    <row r="254" spans="1:16" x14ac:dyDescent="0.3">
      <c r="A254" s="34" t="s">
        <v>108</v>
      </c>
      <c r="B254" s="39" t="s">
        <v>35</v>
      </c>
      <c r="C254" s="34" t="s">
        <v>23</v>
      </c>
      <c r="O254" s="40">
        <v>559.29999999999995</v>
      </c>
      <c r="P254" s="41">
        <f t="shared" si="3"/>
        <v>559.29999999999995</v>
      </c>
    </row>
    <row r="255" spans="1:16" x14ac:dyDescent="0.3">
      <c r="A255" s="34" t="s">
        <v>108</v>
      </c>
      <c r="B255" s="39" t="s">
        <v>37</v>
      </c>
      <c r="C255" s="34" t="s">
        <v>23</v>
      </c>
      <c r="O255" s="40">
        <v>28.6</v>
      </c>
      <c r="P255" s="41">
        <f t="shared" si="3"/>
        <v>28.6</v>
      </c>
    </row>
    <row r="256" spans="1:16" x14ac:dyDescent="0.3">
      <c r="A256" s="34" t="s">
        <v>108</v>
      </c>
      <c r="B256" s="39" t="s">
        <v>38</v>
      </c>
      <c r="C256" s="34" t="s">
        <v>23</v>
      </c>
      <c r="O256" s="40">
        <v>2243.8000000000002</v>
      </c>
      <c r="P256" s="41">
        <f t="shared" si="3"/>
        <v>2243.8000000000002</v>
      </c>
    </row>
    <row r="257" spans="1:16" x14ac:dyDescent="0.3">
      <c r="A257" s="34" t="s">
        <v>108</v>
      </c>
      <c r="B257" s="39" t="s">
        <v>41</v>
      </c>
      <c r="C257" s="34" t="s">
        <v>23</v>
      </c>
      <c r="O257" s="40">
        <v>580.50000000000034</v>
      </c>
      <c r="P257" s="41">
        <f t="shared" si="3"/>
        <v>580.50000000000034</v>
      </c>
    </row>
    <row r="258" spans="1:16" x14ac:dyDescent="0.3">
      <c r="A258" s="34" t="s">
        <v>108</v>
      </c>
      <c r="B258" s="39" t="s">
        <v>42</v>
      </c>
      <c r="C258" s="34" t="s">
        <v>23</v>
      </c>
      <c r="O258" s="40">
        <v>1912.1</v>
      </c>
      <c r="P258" s="41">
        <f t="shared" si="3"/>
        <v>1912.1</v>
      </c>
    </row>
    <row r="259" spans="1:16" x14ac:dyDescent="0.3">
      <c r="A259" s="34" t="s">
        <v>108</v>
      </c>
      <c r="B259" s="39" t="s">
        <v>43</v>
      </c>
      <c r="C259" s="34" t="s">
        <v>23</v>
      </c>
      <c r="O259" s="40">
        <v>339.1</v>
      </c>
      <c r="P259" s="41">
        <f t="shared" ref="P259:P322" si="4">SUM(D259:O259)</f>
        <v>339.1</v>
      </c>
    </row>
    <row r="260" spans="1:16" x14ac:dyDescent="0.3">
      <c r="A260" s="34" t="s">
        <v>108</v>
      </c>
      <c r="B260" s="35" t="s">
        <v>44</v>
      </c>
      <c r="C260" s="34" t="s">
        <v>23</v>
      </c>
      <c r="P260" s="37">
        <f t="shared" si="4"/>
        <v>0</v>
      </c>
    </row>
    <row r="261" spans="1:16" x14ac:dyDescent="0.3">
      <c r="A261" s="34" t="s">
        <v>108</v>
      </c>
      <c r="B261" s="35" t="s">
        <v>45</v>
      </c>
      <c r="C261" s="34" t="s">
        <v>23</v>
      </c>
      <c r="P261" s="41">
        <f t="shared" si="4"/>
        <v>0</v>
      </c>
    </row>
    <row r="262" spans="1:16" x14ac:dyDescent="0.3">
      <c r="A262" s="34" t="s">
        <v>108</v>
      </c>
      <c r="B262" s="35" t="s">
        <v>47</v>
      </c>
      <c r="C262" s="34" t="s">
        <v>23</v>
      </c>
      <c r="O262" s="41">
        <v>-1.1368683772161611E-13</v>
      </c>
      <c r="P262" s="41">
        <f t="shared" si="4"/>
        <v>-1.1368683772161611E-13</v>
      </c>
    </row>
    <row r="263" spans="1:16" x14ac:dyDescent="0.3">
      <c r="A263" s="34" t="s">
        <v>108</v>
      </c>
      <c r="B263" s="35" t="s">
        <v>28</v>
      </c>
      <c r="C263" s="34" t="s">
        <v>24</v>
      </c>
      <c r="P263" s="36">
        <f t="shared" si="4"/>
        <v>0</v>
      </c>
    </row>
    <row r="264" spans="1:16" x14ac:dyDescent="0.3">
      <c r="A264" s="34" t="s">
        <v>108</v>
      </c>
      <c r="B264" s="35" t="s">
        <v>30</v>
      </c>
      <c r="C264" s="34" t="s">
        <v>24</v>
      </c>
      <c r="P264" s="36">
        <f t="shared" si="4"/>
        <v>0</v>
      </c>
    </row>
    <row r="265" spans="1:16" x14ac:dyDescent="0.3">
      <c r="A265" s="34" t="s">
        <v>108</v>
      </c>
      <c r="B265" s="35" t="s">
        <v>31</v>
      </c>
      <c r="C265" s="34" t="s">
        <v>24</v>
      </c>
      <c r="P265" s="37">
        <f t="shared" si="4"/>
        <v>0</v>
      </c>
    </row>
    <row r="266" spans="1:16" x14ac:dyDescent="0.3">
      <c r="A266" s="34" t="s">
        <v>108</v>
      </c>
      <c r="B266" s="35" t="s">
        <v>33</v>
      </c>
      <c r="C266" s="34" t="s">
        <v>24</v>
      </c>
      <c r="P266" s="38">
        <f t="shared" si="4"/>
        <v>0</v>
      </c>
    </row>
    <row r="267" spans="1:16" x14ac:dyDescent="0.3">
      <c r="A267" s="34" t="s">
        <v>108</v>
      </c>
      <c r="B267" s="39" t="s">
        <v>35</v>
      </c>
      <c r="C267" s="34" t="s">
        <v>24</v>
      </c>
      <c r="O267" s="40">
        <v>339.1</v>
      </c>
      <c r="P267" s="41">
        <f t="shared" si="4"/>
        <v>339.1</v>
      </c>
    </row>
    <row r="268" spans="1:16" x14ac:dyDescent="0.3">
      <c r="A268" s="34" t="s">
        <v>108</v>
      </c>
      <c r="B268" s="39" t="s">
        <v>37</v>
      </c>
      <c r="C268" s="34" t="s">
        <v>24</v>
      </c>
      <c r="O268" s="40">
        <v>34.9</v>
      </c>
      <c r="P268" s="41">
        <f t="shared" si="4"/>
        <v>34.9</v>
      </c>
    </row>
    <row r="269" spans="1:16" x14ac:dyDescent="0.3">
      <c r="A269" s="34" t="s">
        <v>108</v>
      </c>
      <c r="B269" s="39" t="s">
        <v>38</v>
      </c>
      <c r="C269" s="34" t="s">
        <v>24</v>
      </c>
      <c r="O269" s="40">
        <v>3423.3</v>
      </c>
      <c r="P269" s="41">
        <f t="shared" si="4"/>
        <v>3423.3</v>
      </c>
    </row>
    <row r="270" spans="1:16" x14ac:dyDescent="0.3">
      <c r="A270" s="34" t="s">
        <v>108</v>
      </c>
      <c r="B270" s="39" t="s">
        <v>41</v>
      </c>
      <c r="C270" s="34" t="s">
        <v>24</v>
      </c>
      <c r="O270" s="40">
        <v>683.50000000000011</v>
      </c>
      <c r="P270" s="41">
        <f t="shared" si="4"/>
        <v>683.50000000000011</v>
      </c>
    </row>
    <row r="271" spans="1:16" x14ac:dyDescent="0.3">
      <c r="A271" s="34" t="s">
        <v>108</v>
      </c>
      <c r="B271" s="39" t="s">
        <v>42</v>
      </c>
      <c r="C271" s="34" t="s">
        <v>24</v>
      </c>
      <c r="O271" s="40">
        <v>2563.9</v>
      </c>
      <c r="P271" s="41">
        <f t="shared" si="4"/>
        <v>2563.9</v>
      </c>
    </row>
    <row r="272" spans="1:16" x14ac:dyDescent="0.3">
      <c r="A272" s="34" t="s">
        <v>108</v>
      </c>
      <c r="B272" s="39" t="s">
        <v>43</v>
      </c>
      <c r="C272" s="34" t="s">
        <v>24</v>
      </c>
      <c r="O272" s="40">
        <v>549.9</v>
      </c>
      <c r="P272" s="41">
        <f t="shared" si="4"/>
        <v>549.9</v>
      </c>
    </row>
    <row r="273" spans="1:16" x14ac:dyDescent="0.3">
      <c r="A273" s="34" t="s">
        <v>108</v>
      </c>
      <c r="B273" s="35" t="s">
        <v>44</v>
      </c>
      <c r="C273" s="34" t="s">
        <v>24</v>
      </c>
      <c r="P273" s="37">
        <f t="shared" si="4"/>
        <v>0</v>
      </c>
    </row>
    <row r="274" spans="1:16" x14ac:dyDescent="0.3">
      <c r="A274" s="34" t="s">
        <v>108</v>
      </c>
      <c r="B274" s="35" t="s">
        <v>45</v>
      </c>
      <c r="C274" s="34" t="s">
        <v>24</v>
      </c>
      <c r="P274" s="41">
        <f t="shared" si="4"/>
        <v>0</v>
      </c>
    </row>
    <row r="275" spans="1:16" x14ac:dyDescent="0.3">
      <c r="A275" s="34" t="s">
        <v>108</v>
      </c>
      <c r="B275" s="35" t="s">
        <v>47</v>
      </c>
      <c r="C275" s="34" t="s">
        <v>24</v>
      </c>
      <c r="O275" s="41">
        <v>1.1368683772161611E-13</v>
      </c>
      <c r="P275" s="41">
        <f t="shared" si="4"/>
        <v>1.1368683772161611E-13</v>
      </c>
    </row>
    <row r="276" spans="1:16" x14ac:dyDescent="0.3">
      <c r="A276" s="34" t="s">
        <v>108</v>
      </c>
      <c r="B276" s="35" t="s">
        <v>28</v>
      </c>
      <c r="C276" s="34" t="s">
        <v>25</v>
      </c>
      <c r="P276" s="36">
        <f t="shared" si="4"/>
        <v>0</v>
      </c>
    </row>
    <row r="277" spans="1:16" x14ac:dyDescent="0.3">
      <c r="A277" s="34" t="s">
        <v>108</v>
      </c>
      <c r="B277" s="35" t="s">
        <v>30</v>
      </c>
      <c r="C277" s="34" t="s">
        <v>25</v>
      </c>
      <c r="P277" s="36">
        <f t="shared" si="4"/>
        <v>0</v>
      </c>
    </row>
    <row r="278" spans="1:16" x14ac:dyDescent="0.3">
      <c r="A278" s="34" t="s">
        <v>108</v>
      </c>
      <c r="B278" s="35" t="s">
        <v>31</v>
      </c>
      <c r="C278" s="34" t="s">
        <v>25</v>
      </c>
      <c r="P278" s="37">
        <f t="shared" si="4"/>
        <v>0</v>
      </c>
    </row>
    <row r="279" spans="1:16" x14ac:dyDescent="0.3">
      <c r="A279" s="34" t="s">
        <v>108</v>
      </c>
      <c r="B279" s="35" t="s">
        <v>33</v>
      </c>
      <c r="C279" s="34" t="s">
        <v>25</v>
      </c>
      <c r="P279" s="38">
        <f t="shared" si="4"/>
        <v>0</v>
      </c>
    </row>
    <row r="280" spans="1:16" x14ac:dyDescent="0.3">
      <c r="A280" s="34" t="s">
        <v>108</v>
      </c>
      <c r="B280" s="39" t="s">
        <v>35</v>
      </c>
      <c r="C280" s="34" t="s">
        <v>25</v>
      </c>
      <c r="O280" s="40">
        <v>549.9</v>
      </c>
      <c r="P280" s="41">
        <f t="shared" si="4"/>
        <v>549.9</v>
      </c>
    </row>
    <row r="281" spans="1:16" x14ac:dyDescent="0.3">
      <c r="A281" s="34" t="s">
        <v>108</v>
      </c>
      <c r="B281" s="39" t="s">
        <v>37</v>
      </c>
      <c r="C281" s="34" t="s">
        <v>25</v>
      </c>
      <c r="O281" s="40">
        <v>126.9</v>
      </c>
      <c r="P281" s="41">
        <f t="shared" si="4"/>
        <v>126.9</v>
      </c>
    </row>
    <row r="282" spans="1:16" x14ac:dyDescent="0.3">
      <c r="A282" s="34" t="s">
        <v>108</v>
      </c>
      <c r="B282" s="39" t="s">
        <v>38</v>
      </c>
      <c r="C282" s="34" t="s">
        <v>25</v>
      </c>
      <c r="O282" s="40">
        <v>2608.8000000000002</v>
      </c>
      <c r="P282" s="41">
        <f t="shared" si="4"/>
        <v>2608.8000000000002</v>
      </c>
    </row>
    <row r="283" spans="1:16" x14ac:dyDescent="0.3">
      <c r="A283" s="34" t="s">
        <v>108</v>
      </c>
      <c r="B283" s="39" t="s">
        <v>41</v>
      </c>
      <c r="C283" s="34" t="s">
        <v>25</v>
      </c>
      <c r="O283" s="40">
        <v>572.7000000000005</v>
      </c>
      <c r="P283" s="41">
        <f t="shared" si="4"/>
        <v>572.7000000000005</v>
      </c>
    </row>
    <row r="284" spans="1:16" x14ac:dyDescent="0.3">
      <c r="A284" s="34" t="s">
        <v>108</v>
      </c>
      <c r="B284" s="39" t="s">
        <v>42</v>
      </c>
      <c r="C284" s="34" t="s">
        <v>25</v>
      </c>
      <c r="O284" s="40">
        <v>2413.6</v>
      </c>
      <c r="P284" s="41">
        <f t="shared" si="4"/>
        <v>2413.6</v>
      </c>
    </row>
    <row r="285" spans="1:16" x14ac:dyDescent="0.3">
      <c r="A285" s="34" t="s">
        <v>108</v>
      </c>
      <c r="B285" s="39" t="s">
        <v>43</v>
      </c>
      <c r="C285" s="34" t="s">
        <v>25</v>
      </c>
      <c r="O285" s="40">
        <v>299.3</v>
      </c>
      <c r="P285" s="41">
        <f t="shared" si="4"/>
        <v>299.3</v>
      </c>
    </row>
    <row r="286" spans="1:16" x14ac:dyDescent="0.3">
      <c r="A286" s="34" t="s">
        <v>108</v>
      </c>
      <c r="B286" s="35" t="s">
        <v>44</v>
      </c>
      <c r="C286" s="34" t="s">
        <v>25</v>
      </c>
      <c r="P286" s="37">
        <f t="shared" si="4"/>
        <v>0</v>
      </c>
    </row>
    <row r="287" spans="1:16" x14ac:dyDescent="0.3">
      <c r="A287" s="34" t="s">
        <v>108</v>
      </c>
      <c r="B287" s="35" t="s">
        <v>45</v>
      </c>
      <c r="C287" s="34" t="s">
        <v>25</v>
      </c>
      <c r="P287" s="41">
        <f t="shared" si="4"/>
        <v>0</v>
      </c>
    </row>
    <row r="288" spans="1:16" x14ac:dyDescent="0.3">
      <c r="A288" s="34" t="s">
        <v>108</v>
      </c>
      <c r="B288" s="35" t="s">
        <v>47</v>
      </c>
      <c r="C288" s="34" t="s">
        <v>25</v>
      </c>
      <c r="O288" s="41">
        <v>-2.8421709430404012E-13</v>
      </c>
      <c r="P288" s="41">
        <f t="shared" si="4"/>
        <v>-2.8421709430404012E-13</v>
      </c>
    </row>
    <row r="289" spans="1:16" x14ac:dyDescent="0.3">
      <c r="A289" s="34" t="s">
        <v>108</v>
      </c>
      <c r="B289" s="35" t="s">
        <v>28</v>
      </c>
      <c r="C289" s="34" t="s">
        <v>26</v>
      </c>
      <c r="P289" s="36">
        <f t="shared" si="4"/>
        <v>0</v>
      </c>
    </row>
    <row r="290" spans="1:16" x14ac:dyDescent="0.3">
      <c r="A290" s="34" t="s">
        <v>108</v>
      </c>
      <c r="B290" s="35" t="s">
        <v>30</v>
      </c>
      <c r="C290" s="34" t="s">
        <v>26</v>
      </c>
      <c r="P290" s="36">
        <f t="shared" si="4"/>
        <v>0</v>
      </c>
    </row>
    <row r="291" spans="1:16" x14ac:dyDescent="0.3">
      <c r="A291" s="34" t="s">
        <v>108</v>
      </c>
      <c r="B291" s="35" t="s">
        <v>31</v>
      </c>
      <c r="C291" s="34" t="s">
        <v>26</v>
      </c>
      <c r="P291" s="37">
        <f t="shared" si="4"/>
        <v>0</v>
      </c>
    </row>
    <row r="292" spans="1:16" x14ac:dyDescent="0.3">
      <c r="A292" s="34" t="s">
        <v>108</v>
      </c>
      <c r="B292" s="35" t="s">
        <v>33</v>
      </c>
      <c r="C292" s="34" t="s">
        <v>26</v>
      </c>
      <c r="P292" s="38">
        <f t="shared" si="4"/>
        <v>0</v>
      </c>
    </row>
    <row r="293" spans="1:16" x14ac:dyDescent="0.3">
      <c r="A293" s="34" t="s">
        <v>108</v>
      </c>
      <c r="B293" s="39" t="s">
        <v>35</v>
      </c>
      <c r="C293" s="34" t="s">
        <v>26</v>
      </c>
      <c r="O293" s="40">
        <v>299.3</v>
      </c>
      <c r="P293" s="41">
        <f t="shared" si="4"/>
        <v>299.3</v>
      </c>
    </row>
    <row r="294" spans="1:16" x14ac:dyDescent="0.3">
      <c r="A294" s="34" t="s">
        <v>108</v>
      </c>
      <c r="B294" s="39" t="s">
        <v>37</v>
      </c>
      <c r="C294" s="34" t="s">
        <v>26</v>
      </c>
      <c r="O294" s="40">
        <v>38.5</v>
      </c>
      <c r="P294" s="41">
        <f t="shared" si="4"/>
        <v>38.5</v>
      </c>
    </row>
    <row r="295" spans="1:16" x14ac:dyDescent="0.3">
      <c r="A295" s="34" t="s">
        <v>108</v>
      </c>
      <c r="B295" s="39" t="s">
        <v>38</v>
      </c>
      <c r="C295" s="34" t="s">
        <v>26</v>
      </c>
      <c r="O295" s="40">
        <v>2997.4</v>
      </c>
      <c r="P295" s="41">
        <f t="shared" si="4"/>
        <v>2997.4</v>
      </c>
    </row>
    <row r="296" spans="1:16" x14ac:dyDescent="0.3">
      <c r="A296" s="34" t="s">
        <v>108</v>
      </c>
      <c r="B296" s="39" t="s">
        <v>41</v>
      </c>
      <c r="C296" s="34" t="s">
        <v>26</v>
      </c>
      <c r="O296" s="40">
        <v>669.70000000000027</v>
      </c>
      <c r="P296" s="41">
        <f t="shared" si="4"/>
        <v>669.70000000000027</v>
      </c>
    </row>
    <row r="297" spans="1:16" x14ac:dyDescent="0.3">
      <c r="A297" s="34" t="s">
        <v>108</v>
      </c>
      <c r="B297" s="39" t="s">
        <v>42</v>
      </c>
      <c r="C297" s="34" t="s">
        <v>26</v>
      </c>
      <c r="O297" s="40">
        <v>2176.5</v>
      </c>
      <c r="P297" s="41">
        <f t="shared" si="4"/>
        <v>2176.5</v>
      </c>
    </row>
    <row r="298" spans="1:16" x14ac:dyDescent="0.3">
      <c r="A298" s="34" t="s">
        <v>108</v>
      </c>
      <c r="B298" s="39" t="s">
        <v>43</v>
      </c>
      <c r="C298" s="34" t="s">
        <v>26</v>
      </c>
      <c r="O298" s="40">
        <v>489</v>
      </c>
      <c r="P298" s="41">
        <f t="shared" si="4"/>
        <v>489</v>
      </c>
    </row>
    <row r="299" spans="1:16" x14ac:dyDescent="0.3">
      <c r="A299" s="34" t="s">
        <v>108</v>
      </c>
      <c r="B299" s="35" t="s">
        <v>44</v>
      </c>
      <c r="C299" s="34" t="s">
        <v>26</v>
      </c>
      <c r="P299" s="37">
        <f t="shared" si="4"/>
        <v>0</v>
      </c>
    </row>
    <row r="300" spans="1:16" x14ac:dyDescent="0.3">
      <c r="A300" s="34" t="s">
        <v>108</v>
      </c>
      <c r="B300" s="35" t="s">
        <v>45</v>
      </c>
      <c r="C300" s="34" t="s">
        <v>26</v>
      </c>
      <c r="P300" s="41">
        <f t="shared" si="4"/>
        <v>0</v>
      </c>
    </row>
    <row r="301" spans="1:16" x14ac:dyDescent="0.3">
      <c r="A301" s="34" t="s">
        <v>108</v>
      </c>
      <c r="B301" s="35" t="s">
        <v>47</v>
      </c>
      <c r="C301" s="34" t="s">
        <v>26</v>
      </c>
      <c r="O301" s="41">
        <v>0</v>
      </c>
      <c r="P301" s="41">
        <f t="shared" si="4"/>
        <v>0</v>
      </c>
    </row>
    <row r="302" spans="1:16" x14ac:dyDescent="0.3">
      <c r="A302" s="34" t="s">
        <v>108</v>
      </c>
      <c r="B302" s="42" t="s">
        <v>47</v>
      </c>
      <c r="C302" s="43" t="s">
        <v>36</v>
      </c>
      <c r="D302" s="40">
        <v>0</v>
      </c>
      <c r="E302" s="40">
        <v>0</v>
      </c>
      <c r="F302" s="40">
        <v>0</v>
      </c>
      <c r="G302" s="40">
        <v>0</v>
      </c>
      <c r="H302" s="40">
        <v>0</v>
      </c>
      <c r="I302" s="40">
        <v>0</v>
      </c>
      <c r="J302" s="40">
        <v>0</v>
      </c>
      <c r="K302" s="40">
        <v>0</v>
      </c>
      <c r="L302" s="40">
        <v>0</v>
      </c>
      <c r="M302" s="40">
        <v>0</v>
      </c>
      <c r="N302" s="40">
        <v>0</v>
      </c>
      <c r="O302" s="40">
        <v>0</v>
      </c>
      <c r="P302" s="44">
        <v>0</v>
      </c>
    </row>
  </sheetData>
  <mergeCells count="1">
    <mergeCell ref="A1:C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P302"/>
  <sheetViews>
    <sheetView workbookViewId="0">
      <selection sqref="A1:C1"/>
    </sheetView>
  </sheetViews>
  <sheetFormatPr defaultRowHeight="14.4" x14ac:dyDescent="0.3"/>
  <cols>
    <col min="1" max="1" width="18" customWidth="1"/>
    <col min="2" max="2" width="28" customWidth="1"/>
    <col min="3" max="3" width="10" customWidth="1"/>
    <col min="4" max="15" width="8" customWidth="1"/>
    <col min="16" max="16" width="12" customWidth="1"/>
  </cols>
  <sheetData>
    <row r="1" spans="1:16" ht="15.6" customHeight="1" x14ac:dyDescent="0.3">
      <c r="A1" s="59" t="s">
        <v>109</v>
      </c>
      <c r="B1" s="58"/>
      <c r="C1" s="58"/>
    </row>
    <row r="2" spans="1:16" x14ac:dyDescent="0.3">
      <c r="A2" s="33" t="s">
        <v>1</v>
      </c>
      <c r="B2" s="33" t="s">
        <v>2</v>
      </c>
      <c r="C2" s="33" t="s">
        <v>48</v>
      </c>
      <c r="D2" s="33" t="s">
        <v>106</v>
      </c>
      <c r="E2" s="33" t="s">
        <v>95</v>
      </c>
      <c r="F2" s="33" t="s">
        <v>96</v>
      </c>
      <c r="G2" s="33" t="s">
        <v>97</v>
      </c>
      <c r="H2" s="33" t="s">
        <v>98</v>
      </c>
      <c r="I2" s="33" t="s">
        <v>99</v>
      </c>
      <c r="J2" s="33" t="s">
        <v>100</v>
      </c>
      <c r="K2" s="33" t="s">
        <v>101</v>
      </c>
      <c r="L2" s="33" t="s">
        <v>102</v>
      </c>
      <c r="M2" s="33" t="s">
        <v>103</v>
      </c>
      <c r="N2" s="33" t="s">
        <v>104</v>
      </c>
      <c r="O2" s="33" t="s">
        <v>105</v>
      </c>
      <c r="P2" s="33" t="s">
        <v>107</v>
      </c>
    </row>
    <row r="3" spans="1:16" x14ac:dyDescent="0.3">
      <c r="A3" s="34" t="s">
        <v>109</v>
      </c>
      <c r="B3" s="35" t="s">
        <v>28</v>
      </c>
      <c r="C3" s="34" t="s">
        <v>4</v>
      </c>
      <c r="P3" s="36">
        <f t="shared" ref="P3:P66" si="0">SUM(D3:O3)</f>
        <v>0</v>
      </c>
    </row>
    <row r="4" spans="1:16" x14ac:dyDescent="0.3">
      <c r="A4" s="34" t="s">
        <v>109</v>
      </c>
      <c r="B4" s="35" t="s">
        <v>30</v>
      </c>
      <c r="C4" s="34" t="s">
        <v>4</v>
      </c>
      <c r="P4" s="36">
        <f t="shared" si="0"/>
        <v>0</v>
      </c>
    </row>
    <row r="5" spans="1:16" x14ac:dyDescent="0.3">
      <c r="A5" s="34" t="s">
        <v>109</v>
      </c>
      <c r="B5" s="35" t="s">
        <v>31</v>
      </c>
      <c r="C5" s="34" t="s">
        <v>4</v>
      </c>
      <c r="P5" s="37">
        <f t="shared" si="0"/>
        <v>0</v>
      </c>
    </row>
    <row r="6" spans="1:16" x14ac:dyDescent="0.3">
      <c r="A6" s="34" t="s">
        <v>109</v>
      </c>
      <c r="B6" s="35" t="s">
        <v>33</v>
      </c>
      <c r="C6" s="34" t="s">
        <v>4</v>
      </c>
      <c r="P6" s="38">
        <f t="shared" si="0"/>
        <v>0</v>
      </c>
    </row>
    <row r="7" spans="1:16" x14ac:dyDescent="0.3">
      <c r="A7" s="34" t="s">
        <v>109</v>
      </c>
      <c r="B7" s="39" t="s">
        <v>35</v>
      </c>
      <c r="C7" s="34" t="s">
        <v>4</v>
      </c>
      <c r="O7" s="40">
        <v>132</v>
      </c>
      <c r="P7" s="41">
        <f t="shared" si="0"/>
        <v>132</v>
      </c>
    </row>
    <row r="8" spans="1:16" x14ac:dyDescent="0.3">
      <c r="A8" s="34" t="s">
        <v>109</v>
      </c>
      <c r="B8" s="39" t="s">
        <v>37</v>
      </c>
      <c r="C8" s="34" t="s">
        <v>4</v>
      </c>
      <c r="O8" s="40">
        <v>9.1</v>
      </c>
      <c r="P8" s="41">
        <f t="shared" si="0"/>
        <v>9.1</v>
      </c>
    </row>
    <row r="9" spans="1:16" x14ac:dyDescent="0.3">
      <c r="A9" s="34" t="s">
        <v>109</v>
      </c>
      <c r="B9" s="39" t="s">
        <v>38</v>
      </c>
      <c r="C9" s="34" t="s">
        <v>4</v>
      </c>
      <c r="O9" s="40">
        <v>328</v>
      </c>
      <c r="P9" s="41">
        <f t="shared" si="0"/>
        <v>328</v>
      </c>
    </row>
    <row r="10" spans="1:16" x14ac:dyDescent="0.3">
      <c r="A10" s="34" t="s">
        <v>109</v>
      </c>
      <c r="B10" s="39" t="s">
        <v>41</v>
      </c>
      <c r="C10" s="34" t="s">
        <v>4</v>
      </c>
      <c r="O10" s="40">
        <v>99.700000000000045</v>
      </c>
      <c r="P10" s="41">
        <f t="shared" si="0"/>
        <v>99.700000000000045</v>
      </c>
    </row>
    <row r="11" spans="1:16" x14ac:dyDescent="0.3">
      <c r="A11" s="34" t="s">
        <v>109</v>
      </c>
      <c r="B11" s="39" t="s">
        <v>42</v>
      </c>
      <c r="C11" s="34" t="s">
        <v>4</v>
      </c>
      <c r="O11" s="40">
        <v>319.39999999999998</v>
      </c>
      <c r="P11" s="41">
        <f t="shared" si="0"/>
        <v>319.39999999999998</v>
      </c>
    </row>
    <row r="12" spans="1:16" x14ac:dyDescent="0.3">
      <c r="A12" s="34" t="s">
        <v>109</v>
      </c>
      <c r="B12" s="39" t="s">
        <v>43</v>
      </c>
      <c r="C12" s="34" t="s">
        <v>4</v>
      </c>
      <c r="O12" s="40">
        <v>50</v>
      </c>
      <c r="P12" s="41">
        <f t="shared" si="0"/>
        <v>50</v>
      </c>
    </row>
    <row r="13" spans="1:16" x14ac:dyDescent="0.3">
      <c r="A13" s="34" t="s">
        <v>109</v>
      </c>
      <c r="B13" s="35" t="s">
        <v>44</v>
      </c>
      <c r="C13" s="34" t="s">
        <v>4</v>
      </c>
      <c r="P13" s="37">
        <f t="shared" si="0"/>
        <v>0</v>
      </c>
    </row>
    <row r="14" spans="1:16" x14ac:dyDescent="0.3">
      <c r="A14" s="34" t="s">
        <v>109</v>
      </c>
      <c r="B14" s="35" t="s">
        <v>45</v>
      </c>
      <c r="C14" s="34" t="s">
        <v>4</v>
      </c>
      <c r="P14" s="41">
        <f t="shared" si="0"/>
        <v>0</v>
      </c>
    </row>
    <row r="15" spans="1:16" x14ac:dyDescent="0.3">
      <c r="A15" s="34" t="s">
        <v>109</v>
      </c>
      <c r="B15" s="35" t="s">
        <v>47</v>
      </c>
      <c r="C15" s="34" t="s">
        <v>4</v>
      </c>
      <c r="O15" s="41">
        <v>0</v>
      </c>
      <c r="P15" s="41">
        <f t="shared" si="0"/>
        <v>0</v>
      </c>
    </row>
    <row r="16" spans="1:16" x14ac:dyDescent="0.3">
      <c r="A16" s="34" t="s">
        <v>109</v>
      </c>
      <c r="B16" s="35" t="s">
        <v>28</v>
      </c>
      <c r="C16" s="34" t="s">
        <v>5</v>
      </c>
      <c r="P16" s="36">
        <f t="shared" si="0"/>
        <v>0</v>
      </c>
    </row>
    <row r="17" spans="1:16" x14ac:dyDescent="0.3">
      <c r="A17" s="34" t="s">
        <v>109</v>
      </c>
      <c r="B17" s="35" t="s">
        <v>30</v>
      </c>
      <c r="C17" s="34" t="s">
        <v>5</v>
      </c>
      <c r="P17" s="36">
        <f t="shared" si="0"/>
        <v>0</v>
      </c>
    </row>
    <row r="18" spans="1:16" x14ac:dyDescent="0.3">
      <c r="A18" s="34" t="s">
        <v>109</v>
      </c>
      <c r="B18" s="35" t="s">
        <v>31</v>
      </c>
      <c r="C18" s="34" t="s">
        <v>5</v>
      </c>
      <c r="P18" s="37">
        <f t="shared" si="0"/>
        <v>0</v>
      </c>
    </row>
    <row r="19" spans="1:16" x14ac:dyDescent="0.3">
      <c r="A19" s="34" t="s">
        <v>109</v>
      </c>
      <c r="B19" s="35" t="s">
        <v>33</v>
      </c>
      <c r="C19" s="34" t="s">
        <v>5</v>
      </c>
      <c r="P19" s="38">
        <f t="shared" si="0"/>
        <v>0</v>
      </c>
    </row>
    <row r="20" spans="1:16" x14ac:dyDescent="0.3">
      <c r="A20" s="34" t="s">
        <v>109</v>
      </c>
      <c r="B20" s="39" t="s">
        <v>35</v>
      </c>
      <c r="C20" s="34" t="s">
        <v>5</v>
      </c>
      <c r="O20" s="40">
        <v>50</v>
      </c>
      <c r="P20" s="41">
        <f t="shared" si="0"/>
        <v>50</v>
      </c>
    </row>
    <row r="21" spans="1:16" x14ac:dyDescent="0.3">
      <c r="A21" s="34" t="s">
        <v>109</v>
      </c>
      <c r="B21" s="39" t="s">
        <v>37</v>
      </c>
      <c r="C21" s="34" t="s">
        <v>5</v>
      </c>
      <c r="O21" s="40">
        <v>5.4</v>
      </c>
      <c r="P21" s="41">
        <f t="shared" si="0"/>
        <v>5.4</v>
      </c>
    </row>
    <row r="22" spans="1:16" x14ac:dyDescent="0.3">
      <c r="A22" s="34" t="s">
        <v>109</v>
      </c>
      <c r="B22" s="39" t="s">
        <v>38</v>
      </c>
      <c r="C22" s="34" t="s">
        <v>5</v>
      </c>
      <c r="O22" s="40">
        <v>484.6</v>
      </c>
      <c r="P22" s="41">
        <f t="shared" si="0"/>
        <v>484.6</v>
      </c>
    </row>
    <row r="23" spans="1:16" x14ac:dyDescent="0.3">
      <c r="A23" s="34" t="s">
        <v>109</v>
      </c>
      <c r="B23" s="39" t="s">
        <v>41</v>
      </c>
      <c r="C23" s="34" t="s">
        <v>5</v>
      </c>
      <c r="O23" s="40">
        <v>134.9</v>
      </c>
      <c r="P23" s="41">
        <f t="shared" si="0"/>
        <v>134.9</v>
      </c>
    </row>
    <row r="24" spans="1:16" x14ac:dyDescent="0.3">
      <c r="A24" s="34" t="s">
        <v>109</v>
      </c>
      <c r="B24" s="39" t="s">
        <v>42</v>
      </c>
      <c r="C24" s="34" t="s">
        <v>5</v>
      </c>
      <c r="O24" s="40">
        <v>367.1</v>
      </c>
      <c r="P24" s="41">
        <f t="shared" si="0"/>
        <v>367.1</v>
      </c>
    </row>
    <row r="25" spans="1:16" x14ac:dyDescent="0.3">
      <c r="A25" s="34" t="s">
        <v>109</v>
      </c>
      <c r="B25" s="39" t="s">
        <v>43</v>
      </c>
      <c r="C25" s="34" t="s">
        <v>5</v>
      </c>
      <c r="O25" s="40">
        <v>38</v>
      </c>
      <c r="P25" s="41">
        <f t="shared" si="0"/>
        <v>38</v>
      </c>
    </row>
    <row r="26" spans="1:16" x14ac:dyDescent="0.3">
      <c r="A26" s="34" t="s">
        <v>109</v>
      </c>
      <c r="B26" s="35" t="s">
        <v>44</v>
      </c>
      <c r="C26" s="34" t="s">
        <v>5</v>
      </c>
      <c r="P26" s="37">
        <f t="shared" si="0"/>
        <v>0</v>
      </c>
    </row>
    <row r="27" spans="1:16" x14ac:dyDescent="0.3">
      <c r="A27" s="34" t="s">
        <v>109</v>
      </c>
      <c r="B27" s="35" t="s">
        <v>45</v>
      </c>
      <c r="C27" s="34" t="s">
        <v>5</v>
      </c>
      <c r="P27" s="41">
        <f t="shared" si="0"/>
        <v>0</v>
      </c>
    </row>
    <row r="28" spans="1:16" x14ac:dyDescent="0.3">
      <c r="A28" s="34" t="s">
        <v>109</v>
      </c>
      <c r="B28" s="35" t="s">
        <v>47</v>
      </c>
      <c r="C28" s="34" t="s">
        <v>5</v>
      </c>
      <c r="O28" s="41">
        <v>0</v>
      </c>
      <c r="P28" s="41">
        <f t="shared" si="0"/>
        <v>0</v>
      </c>
    </row>
    <row r="29" spans="1:16" x14ac:dyDescent="0.3">
      <c r="A29" s="34" t="s">
        <v>109</v>
      </c>
      <c r="B29" s="35" t="s">
        <v>28</v>
      </c>
      <c r="C29" s="34" t="s">
        <v>6</v>
      </c>
      <c r="P29" s="36">
        <f t="shared" si="0"/>
        <v>0</v>
      </c>
    </row>
    <row r="30" spans="1:16" x14ac:dyDescent="0.3">
      <c r="A30" s="34" t="s">
        <v>109</v>
      </c>
      <c r="B30" s="35" t="s">
        <v>30</v>
      </c>
      <c r="C30" s="34" t="s">
        <v>6</v>
      </c>
      <c r="P30" s="36">
        <f t="shared" si="0"/>
        <v>0</v>
      </c>
    </row>
    <row r="31" spans="1:16" x14ac:dyDescent="0.3">
      <c r="A31" s="34" t="s">
        <v>109</v>
      </c>
      <c r="B31" s="35" t="s">
        <v>31</v>
      </c>
      <c r="C31" s="34" t="s">
        <v>6</v>
      </c>
      <c r="P31" s="37">
        <f t="shared" si="0"/>
        <v>0</v>
      </c>
    </row>
    <row r="32" spans="1:16" x14ac:dyDescent="0.3">
      <c r="A32" s="34" t="s">
        <v>109</v>
      </c>
      <c r="B32" s="35" t="s">
        <v>33</v>
      </c>
      <c r="C32" s="34" t="s">
        <v>6</v>
      </c>
      <c r="P32" s="38">
        <f t="shared" si="0"/>
        <v>0</v>
      </c>
    </row>
    <row r="33" spans="1:16" x14ac:dyDescent="0.3">
      <c r="A33" s="34" t="s">
        <v>109</v>
      </c>
      <c r="B33" s="39" t="s">
        <v>35</v>
      </c>
      <c r="C33" s="34" t="s">
        <v>6</v>
      </c>
      <c r="O33" s="40">
        <v>38</v>
      </c>
      <c r="P33" s="41">
        <f t="shared" si="0"/>
        <v>38</v>
      </c>
    </row>
    <row r="34" spans="1:16" x14ac:dyDescent="0.3">
      <c r="A34" s="34" t="s">
        <v>109</v>
      </c>
      <c r="B34" s="39" t="s">
        <v>37</v>
      </c>
      <c r="C34" s="34" t="s">
        <v>6</v>
      </c>
      <c r="O34" s="40">
        <v>10</v>
      </c>
      <c r="P34" s="41">
        <f t="shared" si="0"/>
        <v>10</v>
      </c>
    </row>
    <row r="35" spans="1:16" x14ac:dyDescent="0.3">
      <c r="A35" s="34" t="s">
        <v>109</v>
      </c>
      <c r="B35" s="39" t="s">
        <v>38</v>
      </c>
      <c r="C35" s="34" t="s">
        <v>6</v>
      </c>
      <c r="O35" s="40">
        <v>915.8</v>
      </c>
      <c r="P35" s="41">
        <f t="shared" si="0"/>
        <v>915.8</v>
      </c>
    </row>
    <row r="36" spans="1:16" x14ac:dyDescent="0.3">
      <c r="A36" s="34" t="s">
        <v>109</v>
      </c>
      <c r="B36" s="39" t="s">
        <v>41</v>
      </c>
      <c r="C36" s="34" t="s">
        <v>6</v>
      </c>
      <c r="O36" s="40">
        <v>270.89999999999998</v>
      </c>
      <c r="P36" s="41">
        <f t="shared" si="0"/>
        <v>270.89999999999998</v>
      </c>
    </row>
    <row r="37" spans="1:16" x14ac:dyDescent="0.3">
      <c r="A37" s="34" t="s">
        <v>109</v>
      </c>
      <c r="B37" s="39" t="s">
        <v>42</v>
      </c>
      <c r="C37" s="34" t="s">
        <v>6</v>
      </c>
      <c r="O37" s="40">
        <v>450.9</v>
      </c>
      <c r="P37" s="41">
        <f t="shared" si="0"/>
        <v>450.9</v>
      </c>
    </row>
    <row r="38" spans="1:16" x14ac:dyDescent="0.3">
      <c r="A38" s="34" t="s">
        <v>109</v>
      </c>
      <c r="B38" s="39" t="s">
        <v>43</v>
      </c>
      <c r="C38" s="34" t="s">
        <v>6</v>
      </c>
      <c r="O38" s="40">
        <v>242</v>
      </c>
      <c r="P38" s="41">
        <f t="shared" si="0"/>
        <v>242</v>
      </c>
    </row>
    <row r="39" spans="1:16" x14ac:dyDescent="0.3">
      <c r="A39" s="34" t="s">
        <v>109</v>
      </c>
      <c r="B39" s="35" t="s">
        <v>44</v>
      </c>
      <c r="C39" s="34" t="s">
        <v>6</v>
      </c>
      <c r="P39" s="37">
        <f t="shared" si="0"/>
        <v>0</v>
      </c>
    </row>
    <row r="40" spans="1:16" x14ac:dyDescent="0.3">
      <c r="A40" s="34" t="s">
        <v>109</v>
      </c>
      <c r="B40" s="35" t="s">
        <v>45</v>
      </c>
      <c r="C40" s="34" t="s">
        <v>6</v>
      </c>
      <c r="P40" s="41">
        <f t="shared" si="0"/>
        <v>0</v>
      </c>
    </row>
    <row r="41" spans="1:16" x14ac:dyDescent="0.3">
      <c r="A41" s="34" t="s">
        <v>109</v>
      </c>
      <c r="B41" s="35" t="s">
        <v>47</v>
      </c>
      <c r="C41" s="34" t="s">
        <v>6</v>
      </c>
      <c r="O41" s="41">
        <v>0</v>
      </c>
      <c r="P41" s="41">
        <f t="shared" si="0"/>
        <v>0</v>
      </c>
    </row>
    <row r="42" spans="1:16" x14ac:dyDescent="0.3">
      <c r="A42" s="34" t="s">
        <v>109</v>
      </c>
      <c r="B42" s="35" t="s">
        <v>28</v>
      </c>
      <c r="C42" s="34" t="s">
        <v>7</v>
      </c>
      <c r="P42" s="36">
        <f t="shared" si="0"/>
        <v>0</v>
      </c>
    </row>
    <row r="43" spans="1:16" x14ac:dyDescent="0.3">
      <c r="A43" s="34" t="s">
        <v>109</v>
      </c>
      <c r="B43" s="35" t="s">
        <v>30</v>
      </c>
      <c r="C43" s="34" t="s">
        <v>7</v>
      </c>
      <c r="P43" s="36">
        <f t="shared" si="0"/>
        <v>0</v>
      </c>
    </row>
    <row r="44" spans="1:16" x14ac:dyDescent="0.3">
      <c r="A44" s="34" t="s">
        <v>109</v>
      </c>
      <c r="B44" s="35" t="s">
        <v>31</v>
      </c>
      <c r="C44" s="34" t="s">
        <v>7</v>
      </c>
      <c r="P44" s="37">
        <f t="shared" si="0"/>
        <v>0</v>
      </c>
    </row>
    <row r="45" spans="1:16" x14ac:dyDescent="0.3">
      <c r="A45" s="34" t="s">
        <v>109</v>
      </c>
      <c r="B45" s="35" t="s">
        <v>33</v>
      </c>
      <c r="C45" s="34" t="s">
        <v>7</v>
      </c>
      <c r="P45" s="38">
        <f t="shared" si="0"/>
        <v>0</v>
      </c>
    </row>
    <row r="46" spans="1:16" x14ac:dyDescent="0.3">
      <c r="A46" s="34" t="s">
        <v>109</v>
      </c>
      <c r="B46" s="39" t="s">
        <v>35</v>
      </c>
      <c r="C46" s="34" t="s">
        <v>7</v>
      </c>
      <c r="O46" s="40">
        <v>242</v>
      </c>
      <c r="P46" s="41">
        <f t="shared" si="0"/>
        <v>242</v>
      </c>
    </row>
    <row r="47" spans="1:16" x14ac:dyDescent="0.3">
      <c r="A47" s="34" t="s">
        <v>109</v>
      </c>
      <c r="B47" s="39" t="s">
        <v>37</v>
      </c>
      <c r="C47" s="34" t="s">
        <v>7</v>
      </c>
      <c r="O47" s="40">
        <v>7.6</v>
      </c>
      <c r="P47" s="41">
        <f t="shared" si="0"/>
        <v>7.6</v>
      </c>
    </row>
    <row r="48" spans="1:16" x14ac:dyDescent="0.3">
      <c r="A48" s="34" t="s">
        <v>109</v>
      </c>
      <c r="B48" s="39" t="s">
        <v>38</v>
      </c>
      <c r="C48" s="34" t="s">
        <v>7</v>
      </c>
      <c r="O48" s="40">
        <v>1164.3</v>
      </c>
      <c r="P48" s="41">
        <f t="shared" si="0"/>
        <v>1164.3</v>
      </c>
    </row>
    <row r="49" spans="1:16" x14ac:dyDescent="0.3">
      <c r="A49" s="34" t="s">
        <v>109</v>
      </c>
      <c r="B49" s="39" t="s">
        <v>41</v>
      </c>
      <c r="C49" s="34" t="s">
        <v>7</v>
      </c>
      <c r="O49" s="40">
        <v>257.59999999999991</v>
      </c>
      <c r="P49" s="41">
        <f t="shared" si="0"/>
        <v>257.59999999999991</v>
      </c>
    </row>
    <row r="50" spans="1:16" x14ac:dyDescent="0.3">
      <c r="A50" s="34" t="s">
        <v>109</v>
      </c>
      <c r="B50" s="39" t="s">
        <v>42</v>
      </c>
      <c r="C50" s="34" t="s">
        <v>7</v>
      </c>
      <c r="O50" s="40">
        <v>671.3</v>
      </c>
      <c r="P50" s="41">
        <f t="shared" si="0"/>
        <v>671.3</v>
      </c>
    </row>
    <row r="51" spans="1:16" x14ac:dyDescent="0.3">
      <c r="A51" s="34" t="s">
        <v>109</v>
      </c>
      <c r="B51" s="39" t="s">
        <v>43</v>
      </c>
      <c r="C51" s="34" t="s">
        <v>7</v>
      </c>
      <c r="O51" s="40">
        <v>485</v>
      </c>
      <c r="P51" s="41">
        <f t="shared" si="0"/>
        <v>485</v>
      </c>
    </row>
    <row r="52" spans="1:16" x14ac:dyDescent="0.3">
      <c r="A52" s="34" t="s">
        <v>109</v>
      </c>
      <c r="B52" s="35" t="s">
        <v>44</v>
      </c>
      <c r="C52" s="34" t="s">
        <v>7</v>
      </c>
      <c r="P52" s="37">
        <f t="shared" si="0"/>
        <v>0</v>
      </c>
    </row>
    <row r="53" spans="1:16" x14ac:dyDescent="0.3">
      <c r="A53" s="34" t="s">
        <v>109</v>
      </c>
      <c r="B53" s="35" t="s">
        <v>45</v>
      </c>
      <c r="C53" s="34" t="s">
        <v>7</v>
      </c>
      <c r="P53" s="41">
        <f t="shared" si="0"/>
        <v>0</v>
      </c>
    </row>
    <row r="54" spans="1:16" x14ac:dyDescent="0.3">
      <c r="A54" s="34" t="s">
        <v>109</v>
      </c>
      <c r="B54" s="35" t="s">
        <v>47</v>
      </c>
      <c r="C54" s="34" t="s">
        <v>7</v>
      </c>
      <c r="O54" s="41">
        <v>0</v>
      </c>
      <c r="P54" s="41">
        <f t="shared" si="0"/>
        <v>0</v>
      </c>
    </row>
    <row r="55" spans="1:16" x14ac:dyDescent="0.3">
      <c r="A55" s="34" t="s">
        <v>109</v>
      </c>
      <c r="B55" s="35" t="s">
        <v>28</v>
      </c>
      <c r="C55" s="34" t="s">
        <v>8</v>
      </c>
      <c r="P55" s="36">
        <f t="shared" si="0"/>
        <v>0</v>
      </c>
    </row>
    <row r="56" spans="1:16" x14ac:dyDescent="0.3">
      <c r="A56" s="34" t="s">
        <v>109</v>
      </c>
      <c r="B56" s="35" t="s">
        <v>30</v>
      </c>
      <c r="C56" s="34" t="s">
        <v>8</v>
      </c>
      <c r="P56" s="36">
        <f t="shared" si="0"/>
        <v>0</v>
      </c>
    </row>
    <row r="57" spans="1:16" x14ac:dyDescent="0.3">
      <c r="A57" s="34" t="s">
        <v>109</v>
      </c>
      <c r="B57" s="35" t="s">
        <v>31</v>
      </c>
      <c r="C57" s="34" t="s">
        <v>8</v>
      </c>
      <c r="P57" s="37">
        <f t="shared" si="0"/>
        <v>0</v>
      </c>
    </row>
    <row r="58" spans="1:16" x14ac:dyDescent="0.3">
      <c r="A58" s="34" t="s">
        <v>109</v>
      </c>
      <c r="B58" s="35" t="s">
        <v>33</v>
      </c>
      <c r="C58" s="34" t="s">
        <v>8</v>
      </c>
      <c r="P58" s="38">
        <f t="shared" si="0"/>
        <v>0</v>
      </c>
    </row>
    <row r="59" spans="1:16" x14ac:dyDescent="0.3">
      <c r="A59" s="34" t="s">
        <v>109</v>
      </c>
      <c r="B59" s="39" t="s">
        <v>35</v>
      </c>
      <c r="C59" s="34" t="s">
        <v>8</v>
      </c>
      <c r="O59" s="40">
        <v>485</v>
      </c>
      <c r="P59" s="41">
        <f t="shared" si="0"/>
        <v>485</v>
      </c>
    </row>
    <row r="60" spans="1:16" x14ac:dyDescent="0.3">
      <c r="A60" s="34" t="s">
        <v>109</v>
      </c>
      <c r="B60" s="39" t="s">
        <v>37</v>
      </c>
      <c r="C60" s="34" t="s">
        <v>8</v>
      </c>
      <c r="O60" s="40">
        <v>12.8</v>
      </c>
      <c r="P60" s="41">
        <f t="shared" si="0"/>
        <v>12.8</v>
      </c>
    </row>
    <row r="61" spans="1:16" x14ac:dyDescent="0.3">
      <c r="A61" s="34" t="s">
        <v>109</v>
      </c>
      <c r="B61" s="39" t="s">
        <v>38</v>
      </c>
      <c r="C61" s="34" t="s">
        <v>8</v>
      </c>
      <c r="O61" s="40">
        <v>692.8</v>
      </c>
      <c r="P61" s="41">
        <f t="shared" si="0"/>
        <v>692.8</v>
      </c>
    </row>
    <row r="62" spans="1:16" x14ac:dyDescent="0.3">
      <c r="A62" s="34" t="s">
        <v>109</v>
      </c>
      <c r="B62" s="39" t="s">
        <v>41</v>
      </c>
      <c r="C62" s="34" t="s">
        <v>8</v>
      </c>
      <c r="O62" s="40">
        <v>139.89999999999989</v>
      </c>
      <c r="P62" s="41">
        <f t="shared" si="0"/>
        <v>139.89999999999989</v>
      </c>
    </row>
    <row r="63" spans="1:16" x14ac:dyDescent="0.3">
      <c r="A63" s="34" t="s">
        <v>109</v>
      </c>
      <c r="B63" s="39" t="s">
        <v>42</v>
      </c>
      <c r="C63" s="34" t="s">
        <v>8</v>
      </c>
      <c r="O63" s="40">
        <v>851.7</v>
      </c>
      <c r="P63" s="41">
        <f t="shared" si="0"/>
        <v>851.7</v>
      </c>
    </row>
    <row r="64" spans="1:16" x14ac:dyDescent="0.3">
      <c r="A64" s="34" t="s">
        <v>109</v>
      </c>
      <c r="B64" s="39" t="s">
        <v>43</v>
      </c>
      <c r="C64" s="34" t="s">
        <v>8</v>
      </c>
      <c r="O64" s="40">
        <v>199</v>
      </c>
      <c r="P64" s="41">
        <f t="shared" si="0"/>
        <v>199</v>
      </c>
    </row>
    <row r="65" spans="1:16" x14ac:dyDescent="0.3">
      <c r="A65" s="34" t="s">
        <v>109</v>
      </c>
      <c r="B65" s="35" t="s">
        <v>44</v>
      </c>
      <c r="C65" s="34" t="s">
        <v>8</v>
      </c>
      <c r="P65" s="37">
        <f t="shared" si="0"/>
        <v>0</v>
      </c>
    </row>
    <row r="66" spans="1:16" x14ac:dyDescent="0.3">
      <c r="A66" s="34" t="s">
        <v>109</v>
      </c>
      <c r="B66" s="35" t="s">
        <v>45</v>
      </c>
      <c r="C66" s="34" t="s">
        <v>8</v>
      </c>
      <c r="P66" s="41">
        <f t="shared" si="0"/>
        <v>0</v>
      </c>
    </row>
    <row r="67" spans="1:16" x14ac:dyDescent="0.3">
      <c r="A67" s="34" t="s">
        <v>109</v>
      </c>
      <c r="B67" s="35" t="s">
        <v>47</v>
      </c>
      <c r="C67" s="34" t="s">
        <v>8</v>
      </c>
      <c r="O67" s="41">
        <v>0</v>
      </c>
      <c r="P67" s="41">
        <f t="shared" ref="P67:P130" si="1">SUM(D67:O67)</f>
        <v>0</v>
      </c>
    </row>
    <row r="68" spans="1:16" x14ac:dyDescent="0.3">
      <c r="A68" s="34" t="s">
        <v>109</v>
      </c>
      <c r="B68" s="35" t="s">
        <v>28</v>
      </c>
      <c r="C68" s="34" t="s">
        <v>9</v>
      </c>
      <c r="P68" s="36">
        <f t="shared" si="1"/>
        <v>0</v>
      </c>
    </row>
    <row r="69" spans="1:16" x14ac:dyDescent="0.3">
      <c r="A69" s="34" t="s">
        <v>109</v>
      </c>
      <c r="B69" s="35" t="s">
        <v>30</v>
      </c>
      <c r="C69" s="34" t="s">
        <v>9</v>
      </c>
      <c r="P69" s="36">
        <f t="shared" si="1"/>
        <v>0</v>
      </c>
    </row>
    <row r="70" spans="1:16" x14ac:dyDescent="0.3">
      <c r="A70" s="34" t="s">
        <v>109</v>
      </c>
      <c r="B70" s="35" t="s">
        <v>31</v>
      </c>
      <c r="C70" s="34" t="s">
        <v>9</v>
      </c>
      <c r="P70" s="37">
        <f t="shared" si="1"/>
        <v>0</v>
      </c>
    </row>
    <row r="71" spans="1:16" x14ac:dyDescent="0.3">
      <c r="A71" s="34" t="s">
        <v>109</v>
      </c>
      <c r="B71" s="35" t="s">
        <v>33</v>
      </c>
      <c r="C71" s="34" t="s">
        <v>9</v>
      </c>
      <c r="P71" s="38">
        <f t="shared" si="1"/>
        <v>0</v>
      </c>
    </row>
    <row r="72" spans="1:16" x14ac:dyDescent="0.3">
      <c r="A72" s="34" t="s">
        <v>109</v>
      </c>
      <c r="B72" s="39" t="s">
        <v>35</v>
      </c>
      <c r="C72" s="34" t="s">
        <v>9</v>
      </c>
      <c r="O72" s="40">
        <v>199</v>
      </c>
      <c r="P72" s="41">
        <f t="shared" si="1"/>
        <v>199</v>
      </c>
    </row>
    <row r="73" spans="1:16" x14ac:dyDescent="0.3">
      <c r="A73" s="34" t="s">
        <v>109</v>
      </c>
      <c r="B73" s="39" t="s">
        <v>37</v>
      </c>
      <c r="C73" s="34" t="s">
        <v>9</v>
      </c>
      <c r="O73" s="40">
        <v>8.8000000000000007</v>
      </c>
      <c r="P73" s="41">
        <f t="shared" si="1"/>
        <v>8.8000000000000007</v>
      </c>
    </row>
    <row r="74" spans="1:16" x14ac:dyDescent="0.3">
      <c r="A74" s="34" t="s">
        <v>109</v>
      </c>
      <c r="B74" s="39" t="s">
        <v>38</v>
      </c>
      <c r="C74" s="34" t="s">
        <v>9</v>
      </c>
      <c r="O74" s="40">
        <v>733.9</v>
      </c>
      <c r="P74" s="41">
        <f t="shared" si="1"/>
        <v>733.9</v>
      </c>
    </row>
    <row r="75" spans="1:16" x14ac:dyDescent="0.3">
      <c r="A75" s="34" t="s">
        <v>109</v>
      </c>
      <c r="B75" s="39" t="s">
        <v>41</v>
      </c>
      <c r="C75" s="34" t="s">
        <v>9</v>
      </c>
      <c r="O75" s="40">
        <v>85.199999999999932</v>
      </c>
      <c r="P75" s="41">
        <f t="shared" si="1"/>
        <v>85.199999999999932</v>
      </c>
    </row>
    <row r="76" spans="1:16" x14ac:dyDescent="0.3">
      <c r="A76" s="34" t="s">
        <v>109</v>
      </c>
      <c r="B76" s="39" t="s">
        <v>42</v>
      </c>
      <c r="C76" s="34" t="s">
        <v>9</v>
      </c>
      <c r="O76" s="40">
        <v>810.5</v>
      </c>
      <c r="P76" s="41">
        <f t="shared" si="1"/>
        <v>810.5</v>
      </c>
    </row>
    <row r="77" spans="1:16" x14ac:dyDescent="0.3">
      <c r="A77" s="34" t="s">
        <v>109</v>
      </c>
      <c r="B77" s="39" t="s">
        <v>43</v>
      </c>
      <c r="C77" s="34" t="s">
        <v>9</v>
      </c>
      <c r="O77" s="40">
        <v>46</v>
      </c>
      <c r="P77" s="41">
        <f t="shared" si="1"/>
        <v>46</v>
      </c>
    </row>
    <row r="78" spans="1:16" x14ac:dyDescent="0.3">
      <c r="A78" s="34" t="s">
        <v>109</v>
      </c>
      <c r="B78" s="35" t="s">
        <v>44</v>
      </c>
      <c r="C78" s="34" t="s">
        <v>9</v>
      </c>
      <c r="P78" s="37">
        <f t="shared" si="1"/>
        <v>0</v>
      </c>
    </row>
    <row r="79" spans="1:16" x14ac:dyDescent="0.3">
      <c r="A79" s="34" t="s">
        <v>109</v>
      </c>
      <c r="B79" s="35" t="s">
        <v>45</v>
      </c>
      <c r="C79" s="34" t="s">
        <v>9</v>
      </c>
      <c r="P79" s="41">
        <f t="shared" si="1"/>
        <v>0</v>
      </c>
    </row>
    <row r="80" spans="1:16" x14ac:dyDescent="0.3">
      <c r="A80" s="34" t="s">
        <v>109</v>
      </c>
      <c r="B80" s="35" t="s">
        <v>47</v>
      </c>
      <c r="C80" s="34" t="s">
        <v>9</v>
      </c>
      <c r="O80" s="41">
        <v>0</v>
      </c>
      <c r="P80" s="41">
        <f t="shared" si="1"/>
        <v>0</v>
      </c>
    </row>
    <row r="81" spans="1:16" x14ac:dyDescent="0.3">
      <c r="A81" s="34" t="s">
        <v>109</v>
      </c>
      <c r="B81" s="35" t="s">
        <v>28</v>
      </c>
      <c r="C81" s="34" t="s">
        <v>10</v>
      </c>
      <c r="P81" s="36">
        <f t="shared" si="1"/>
        <v>0</v>
      </c>
    </row>
    <row r="82" spans="1:16" x14ac:dyDescent="0.3">
      <c r="A82" s="34" t="s">
        <v>109</v>
      </c>
      <c r="B82" s="35" t="s">
        <v>30</v>
      </c>
      <c r="C82" s="34" t="s">
        <v>10</v>
      </c>
      <c r="P82" s="36">
        <f t="shared" si="1"/>
        <v>0</v>
      </c>
    </row>
    <row r="83" spans="1:16" x14ac:dyDescent="0.3">
      <c r="A83" s="34" t="s">
        <v>109</v>
      </c>
      <c r="B83" s="35" t="s">
        <v>31</v>
      </c>
      <c r="C83" s="34" t="s">
        <v>10</v>
      </c>
      <c r="P83" s="37">
        <f t="shared" si="1"/>
        <v>0</v>
      </c>
    </row>
    <row r="84" spans="1:16" x14ac:dyDescent="0.3">
      <c r="A84" s="34" t="s">
        <v>109</v>
      </c>
      <c r="B84" s="35" t="s">
        <v>33</v>
      </c>
      <c r="C84" s="34" t="s">
        <v>10</v>
      </c>
      <c r="P84" s="38">
        <f t="shared" si="1"/>
        <v>0</v>
      </c>
    </row>
    <row r="85" spans="1:16" x14ac:dyDescent="0.3">
      <c r="A85" s="34" t="s">
        <v>109</v>
      </c>
      <c r="B85" s="39" t="s">
        <v>35</v>
      </c>
      <c r="C85" s="34" t="s">
        <v>10</v>
      </c>
      <c r="O85" s="40">
        <v>46</v>
      </c>
      <c r="P85" s="41">
        <f t="shared" si="1"/>
        <v>46</v>
      </c>
    </row>
    <row r="86" spans="1:16" x14ac:dyDescent="0.3">
      <c r="A86" s="34" t="s">
        <v>109</v>
      </c>
      <c r="B86" s="39" t="s">
        <v>37</v>
      </c>
      <c r="C86" s="34" t="s">
        <v>10</v>
      </c>
      <c r="O86" s="40">
        <v>7.2</v>
      </c>
      <c r="P86" s="41">
        <f t="shared" si="1"/>
        <v>7.2</v>
      </c>
    </row>
    <row r="87" spans="1:16" x14ac:dyDescent="0.3">
      <c r="A87" s="34" t="s">
        <v>109</v>
      </c>
      <c r="B87" s="39" t="s">
        <v>38</v>
      </c>
      <c r="C87" s="34" t="s">
        <v>10</v>
      </c>
      <c r="O87" s="40">
        <v>1043.2</v>
      </c>
      <c r="P87" s="41">
        <f t="shared" si="1"/>
        <v>1043.2</v>
      </c>
    </row>
    <row r="88" spans="1:16" x14ac:dyDescent="0.3">
      <c r="A88" s="34" t="s">
        <v>109</v>
      </c>
      <c r="B88" s="39" t="s">
        <v>41</v>
      </c>
      <c r="C88" s="34" t="s">
        <v>10</v>
      </c>
      <c r="O88" s="40">
        <v>101.40000000000011</v>
      </c>
      <c r="P88" s="41">
        <f t="shared" si="1"/>
        <v>101.40000000000011</v>
      </c>
    </row>
    <row r="89" spans="1:16" x14ac:dyDescent="0.3">
      <c r="A89" s="34" t="s">
        <v>109</v>
      </c>
      <c r="B89" s="39" t="s">
        <v>42</v>
      </c>
      <c r="C89" s="34" t="s">
        <v>10</v>
      </c>
      <c r="O89" s="40">
        <v>973</v>
      </c>
      <c r="P89" s="41">
        <f t="shared" si="1"/>
        <v>973</v>
      </c>
    </row>
    <row r="90" spans="1:16" x14ac:dyDescent="0.3">
      <c r="A90" s="34" t="s">
        <v>109</v>
      </c>
      <c r="B90" s="39" t="s">
        <v>43</v>
      </c>
      <c r="C90" s="34" t="s">
        <v>10</v>
      </c>
      <c r="O90" s="40">
        <v>22</v>
      </c>
      <c r="P90" s="41">
        <f t="shared" si="1"/>
        <v>22</v>
      </c>
    </row>
    <row r="91" spans="1:16" x14ac:dyDescent="0.3">
      <c r="A91" s="34" t="s">
        <v>109</v>
      </c>
      <c r="B91" s="35" t="s">
        <v>44</v>
      </c>
      <c r="C91" s="34" t="s">
        <v>10</v>
      </c>
      <c r="P91" s="37">
        <f t="shared" si="1"/>
        <v>0</v>
      </c>
    </row>
    <row r="92" spans="1:16" x14ac:dyDescent="0.3">
      <c r="A92" s="34" t="s">
        <v>109</v>
      </c>
      <c r="B92" s="35" t="s">
        <v>45</v>
      </c>
      <c r="C92" s="34" t="s">
        <v>10</v>
      </c>
      <c r="P92" s="41">
        <f t="shared" si="1"/>
        <v>0</v>
      </c>
    </row>
    <row r="93" spans="1:16" x14ac:dyDescent="0.3">
      <c r="A93" s="34" t="s">
        <v>109</v>
      </c>
      <c r="B93" s="35" t="s">
        <v>47</v>
      </c>
      <c r="C93" s="34" t="s">
        <v>10</v>
      </c>
      <c r="O93" s="41">
        <v>0</v>
      </c>
      <c r="P93" s="41">
        <f t="shared" si="1"/>
        <v>0</v>
      </c>
    </row>
    <row r="94" spans="1:16" x14ac:dyDescent="0.3">
      <c r="A94" s="34" t="s">
        <v>109</v>
      </c>
      <c r="B94" s="35" t="s">
        <v>28</v>
      </c>
      <c r="C94" s="34" t="s">
        <v>11</v>
      </c>
      <c r="P94" s="36">
        <f t="shared" si="1"/>
        <v>0</v>
      </c>
    </row>
    <row r="95" spans="1:16" x14ac:dyDescent="0.3">
      <c r="A95" s="34" t="s">
        <v>109</v>
      </c>
      <c r="B95" s="35" t="s">
        <v>30</v>
      </c>
      <c r="C95" s="34" t="s">
        <v>11</v>
      </c>
      <c r="P95" s="36">
        <f t="shared" si="1"/>
        <v>0</v>
      </c>
    </row>
    <row r="96" spans="1:16" x14ac:dyDescent="0.3">
      <c r="A96" s="34" t="s">
        <v>109</v>
      </c>
      <c r="B96" s="35" t="s">
        <v>31</v>
      </c>
      <c r="C96" s="34" t="s">
        <v>11</v>
      </c>
      <c r="P96" s="37">
        <f t="shared" si="1"/>
        <v>0</v>
      </c>
    </row>
    <row r="97" spans="1:16" x14ac:dyDescent="0.3">
      <c r="A97" s="34" t="s">
        <v>109</v>
      </c>
      <c r="B97" s="35" t="s">
        <v>33</v>
      </c>
      <c r="C97" s="34" t="s">
        <v>11</v>
      </c>
      <c r="P97" s="38">
        <f t="shared" si="1"/>
        <v>0</v>
      </c>
    </row>
    <row r="98" spans="1:16" x14ac:dyDescent="0.3">
      <c r="A98" s="34" t="s">
        <v>109</v>
      </c>
      <c r="B98" s="39" t="s">
        <v>35</v>
      </c>
      <c r="C98" s="34" t="s">
        <v>11</v>
      </c>
      <c r="O98" s="40">
        <v>22</v>
      </c>
      <c r="P98" s="41">
        <f t="shared" si="1"/>
        <v>22</v>
      </c>
    </row>
    <row r="99" spans="1:16" x14ac:dyDescent="0.3">
      <c r="A99" s="34" t="s">
        <v>109</v>
      </c>
      <c r="B99" s="39" t="s">
        <v>37</v>
      </c>
      <c r="C99" s="34" t="s">
        <v>11</v>
      </c>
      <c r="O99" s="40">
        <v>8.1999999999999993</v>
      </c>
      <c r="P99" s="41">
        <f t="shared" si="1"/>
        <v>8.1999999999999993</v>
      </c>
    </row>
    <row r="100" spans="1:16" x14ac:dyDescent="0.3">
      <c r="A100" s="34" t="s">
        <v>109</v>
      </c>
      <c r="B100" s="39" t="s">
        <v>38</v>
      </c>
      <c r="C100" s="34" t="s">
        <v>11</v>
      </c>
      <c r="O100" s="40">
        <v>1530.2</v>
      </c>
      <c r="P100" s="41">
        <f t="shared" si="1"/>
        <v>1530.2</v>
      </c>
    </row>
    <row r="101" spans="1:16" x14ac:dyDescent="0.3">
      <c r="A101" s="34" t="s">
        <v>109</v>
      </c>
      <c r="B101" s="39" t="s">
        <v>41</v>
      </c>
      <c r="C101" s="34" t="s">
        <v>11</v>
      </c>
      <c r="O101" s="40">
        <v>133.60000000000011</v>
      </c>
      <c r="P101" s="41">
        <f t="shared" si="1"/>
        <v>133.60000000000011</v>
      </c>
    </row>
    <row r="102" spans="1:16" x14ac:dyDescent="0.3">
      <c r="A102" s="34" t="s">
        <v>109</v>
      </c>
      <c r="B102" s="39" t="s">
        <v>42</v>
      </c>
      <c r="C102" s="34" t="s">
        <v>11</v>
      </c>
      <c r="O102" s="40">
        <v>1386.8</v>
      </c>
      <c r="P102" s="41">
        <f t="shared" si="1"/>
        <v>1386.8</v>
      </c>
    </row>
    <row r="103" spans="1:16" x14ac:dyDescent="0.3">
      <c r="A103" s="34" t="s">
        <v>109</v>
      </c>
      <c r="B103" s="39" t="s">
        <v>43</v>
      </c>
      <c r="C103" s="34" t="s">
        <v>11</v>
      </c>
      <c r="O103" s="40">
        <v>40</v>
      </c>
      <c r="P103" s="41">
        <f t="shared" si="1"/>
        <v>40</v>
      </c>
    </row>
    <row r="104" spans="1:16" x14ac:dyDescent="0.3">
      <c r="A104" s="34" t="s">
        <v>109</v>
      </c>
      <c r="B104" s="35" t="s">
        <v>44</v>
      </c>
      <c r="C104" s="34" t="s">
        <v>11</v>
      </c>
      <c r="P104" s="37">
        <f t="shared" si="1"/>
        <v>0</v>
      </c>
    </row>
    <row r="105" spans="1:16" x14ac:dyDescent="0.3">
      <c r="A105" s="34" t="s">
        <v>109</v>
      </c>
      <c r="B105" s="35" t="s">
        <v>45</v>
      </c>
      <c r="C105" s="34" t="s">
        <v>11</v>
      </c>
      <c r="P105" s="41">
        <f t="shared" si="1"/>
        <v>0</v>
      </c>
    </row>
    <row r="106" spans="1:16" x14ac:dyDescent="0.3">
      <c r="A106" s="34" t="s">
        <v>109</v>
      </c>
      <c r="B106" s="35" t="s">
        <v>47</v>
      </c>
      <c r="C106" s="34" t="s">
        <v>11</v>
      </c>
      <c r="O106" s="41">
        <v>0</v>
      </c>
      <c r="P106" s="41">
        <f t="shared" si="1"/>
        <v>0</v>
      </c>
    </row>
    <row r="107" spans="1:16" x14ac:dyDescent="0.3">
      <c r="A107" s="34" t="s">
        <v>109</v>
      </c>
      <c r="B107" s="35" t="s">
        <v>28</v>
      </c>
      <c r="C107" s="34" t="s">
        <v>12</v>
      </c>
      <c r="P107" s="36">
        <f t="shared" si="1"/>
        <v>0</v>
      </c>
    </row>
    <row r="108" spans="1:16" x14ac:dyDescent="0.3">
      <c r="A108" s="34" t="s">
        <v>109</v>
      </c>
      <c r="B108" s="35" t="s">
        <v>30</v>
      </c>
      <c r="C108" s="34" t="s">
        <v>12</v>
      </c>
      <c r="P108" s="36">
        <f t="shared" si="1"/>
        <v>0</v>
      </c>
    </row>
    <row r="109" spans="1:16" x14ac:dyDescent="0.3">
      <c r="A109" s="34" t="s">
        <v>109</v>
      </c>
      <c r="B109" s="35" t="s">
        <v>31</v>
      </c>
      <c r="C109" s="34" t="s">
        <v>12</v>
      </c>
      <c r="P109" s="37">
        <f t="shared" si="1"/>
        <v>0</v>
      </c>
    </row>
    <row r="110" spans="1:16" x14ac:dyDescent="0.3">
      <c r="A110" s="34" t="s">
        <v>109</v>
      </c>
      <c r="B110" s="35" t="s">
        <v>33</v>
      </c>
      <c r="C110" s="34" t="s">
        <v>12</v>
      </c>
      <c r="P110" s="38">
        <f t="shared" si="1"/>
        <v>0</v>
      </c>
    </row>
    <row r="111" spans="1:16" x14ac:dyDescent="0.3">
      <c r="A111" s="34" t="s">
        <v>109</v>
      </c>
      <c r="B111" s="39" t="s">
        <v>35</v>
      </c>
      <c r="C111" s="34" t="s">
        <v>12</v>
      </c>
      <c r="O111" s="40">
        <v>40</v>
      </c>
      <c r="P111" s="41">
        <f t="shared" si="1"/>
        <v>40</v>
      </c>
    </row>
    <row r="112" spans="1:16" x14ac:dyDescent="0.3">
      <c r="A112" s="34" t="s">
        <v>109</v>
      </c>
      <c r="B112" s="39" t="s">
        <v>37</v>
      </c>
      <c r="C112" s="34" t="s">
        <v>12</v>
      </c>
      <c r="O112" s="40">
        <v>28.5</v>
      </c>
      <c r="P112" s="41">
        <f t="shared" si="1"/>
        <v>28.5</v>
      </c>
    </row>
    <row r="113" spans="1:16" x14ac:dyDescent="0.3">
      <c r="A113" s="34" t="s">
        <v>109</v>
      </c>
      <c r="B113" s="39" t="s">
        <v>38</v>
      </c>
      <c r="C113" s="34" t="s">
        <v>12</v>
      </c>
      <c r="O113" s="40">
        <v>2004.8</v>
      </c>
      <c r="P113" s="41">
        <f t="shared" si="1"/>
        <v>2004.8</v>
      </c>
    </row>
    <row r="114" spans="1:16" x14ac:dyDescent="0.3">
      <c r="A114" s="34" t="s">
        <v>109</v>
      </c>
      <c r="B114" s="39" t="s">
        <v>41</v>
      </c>
      <c r="C114" s="34" t="s">
        <v>12</v>
      </c>
      <c r="O114" s="40">
        <v>138.30000000000021</v>
      </c>
      <c r="P114" s="41">
        <f t="shared" si="1"/>
        <v>138.30000000000021</v>
      </c>
    </row>
    <row r="115" spans="1:16" x14ac:dyDescent="0.3">
      <c r="A115" s="34" t="s">
        <v>109</v>
      </c>
      <c r="B115" s="39" t="s">
        <v>42</v>
      </c>
      <c r="C115" s="34" t="s">
        <v>12</v>
      </c>
      <c r="O115" s="40">
        <v>1105</v>
      </c>
      <c r="P115" s="41">
        <f t="shared" si="1"/>
        <v>1105</v>
      </c>
    </row>
    <row r="116" spans="1:16" x14ac:dyDescent="0.3">
      <c r="A116" s="34" t="s">
        <v>109</v>
      </c>
      <c r="B116" s="39" t="s">
        <v>43</v>
      </c>
      <c r="C116" s="34" t="s">
        <v>12</v>
      </c>
      <c r="O116" s="40">
        <v>830</v>
      </c>
      <c r="P116" s="41">
        <f t="shared" si="1"/>
        <v>830</v>
      </c>
    </row>
    <row r="117" spans="1:16" x14ac:dyDescent="0.3">
      <c r="A117" s="34" t="s">
        <v>109</v>
      </c>
      <c r="B117" s="35" t="s">
        <v>44</v>
      </c>
      <c r="C117" s="34" t="s">
        <v>12</v>
      </c>
      <c r="P117" s="37">
        <f t="shared" si="1"/>
        <v>0</v>
      </c>
    </row>
    <row r="118" spans="1:16" x14ac:dyDescent="0.3">
      <c r="A118" s="34" t="s">
        <v>109</v>
      </c>
      <c r="B118" s="35" t="s">
        <v>45</v>
      </c>
      <c r="C118" s="34" t="s">
        <v>12</v>
      </c>
      <c r="P118" s="41">
        <f t="shared" si="1"/>
        <v>0</v>
      </c>
    </row>
    <row r="119" spans="1:16" x14ac:dyDescent="0.3">
      <c r="A119" s="34" t="s">
        <v>109</v>
      </c>
      <c r="B119" s="35" t="s">
        <v>47</v>
      </c>
      <c r="C119" s="34" t="s">
        <v>12</v>
      </c>
      <c r="O119" s="41">
        <v>0</v>
      </c>
      <c r="P119" s="41">
        <f t="shared" si="1"/>
        <v>0</v>
      </c>
    </row>
    <row r="120" spans="1:16" x14ac:dyDescent="0.3">
      <c r="A120" s="34" t="s">
        <v>109</v>
      </c>
      <c r="B120" s="35" t="s">
        <v>28</v>
      </c>
      <c r="C120" s="34" t="s">
        <v>13</v>
      </c>
      <c r="P120" s="36">
        <f t="shared" si="1"/>
        <v>0</v>
      </c>
    </row>
    <row r="121" spans="1:16" x14ac:dyDescent="0.3">
      <c r="A121" s="34" t="s">
        <v>109</v>
      </c>
      <c r="B121" s="35" t="s">
        <v>30</v>
      </c>
      <c r="C121" s="34" t="s">
        <v>13</v>
      </c>
      <c r="P121" s="36">
        <f t="shared" si="1"/>
        <v>0</v>
      </c>
    </row>
    <row r="122" spans="1:16" x14ac:dyDescent="0.3">
      <c r="A122" s="34" t="s">
        <v>109</v>
      </c>
      <c r="B122" s="35" t="s">
        <v>31</v>
      </c>
      <c r="C122" s="34" t="s">
        <v>13</v>
      </c>
      <c r="P122" s="37">
        <f t="shared" si="1"/>
        <v>0</v>
      </c>
    </row>
    <row r="123" spans="1:16" x14ac:dyDescent="0.3">
      <c r="A123" s="34" t="s">
        <v>109</v>
      </c>
      <c r="B123" s="35" t="s">
        <v>33</v>
      </c>
      <c r="C123" s="34" t="s">
        <v>13</v>
      </c>
      <c r="P123" s="38">
        <f t="shared" si="1"/>
        <v>0</v>
      </c>
    </row>
    <row r="124" spans="1:16" x14ac:dyDescent="0.3">
      <c r="A124" s="34" t="s">
        <v>109</v>
      </c>
      <c r="B124" s="39" t="s">
        <v>35</v>
      </c>
      <c r="C124" s="34" t="s">
        <v>13</v>
      </c>
      <c r="O124" s="40">
        <v>830</v>
      </c>
      <c r="P124" s="41">
        <f t="shared" si="1"/>
        <v>830</v>
      </c>
    </row>
    <row r="125" spans="1:16" x14ac:dyDescent="0.3">
      <c r="A125" s="34" t="s">
        <v>109</v>
      </c>
      <c r="B125" s="39" t="s">
        <v>37</v>
      </c>
      <c r="C125" s="34" t="s">
        <v>13</v>
      </c>
      <c r="O125" s="40">
        <v>11.4</v>
      </c>
      <c r="P125" s="41">
        <f t="shared" si="1"/>
        <v>11.4</v>
      </c>
    </row>
    <row r="126" spans="1:16" x14ac:dyDescent="0.3">
      <c r="A126" s="34" t="s">
        <v>109</v>
      </c>
      <c r="B126" s="39" t="s">
        <v>38</v>
      </c>
      <c r="C126" s="34" t="s">
        <v>13</v>
      </c>
      <c r="O126" s="40">
        <v>1573.5</v>
      </c>
      <c r="P126" s="41">
        <f t="shared" si="1"/>
        <v>1573.5</v>
      </c>
    </row>
    <row r="127" spans="1:16" x14ac:dyDescent="0.3">
      <c r="A127" s="34" t="s">
        <v>109</v>
      </c>
      <c r="B127" s="39" t="s">
        <v>41</v>
      </c>
      <c r="C127" s="34" t="s">
        <v>13</v>
      </c>
      <c r="O127" s="40">
        <v>407.2000000000001</v>
      </c>
      <c r="P127" s="41">
        <f t="shared" si="1"/>
        <v>407.2000000000001</v>
      </c>
    </row>
    <row r="128" spans="1:16" x14ac:dyDescent="0.3">
      <c r="A128" s="34" t="s">
        <v>109</v>
      </c>
      <c r="B128" s="39" t="s">
        <v>42</v>
      </c>
      <c r="C128" s="34" t="s">
        <v>13</v>
      </c>
      <c r="O128" s="40">
        <v>1147.7</v>
      </c>
      <c r="P128" s="41">
        <f t="shared" si="1"/>
        <v>1147.7</v>
      </c>
    </row>
    <row r="129" spans="1:16" x14ac:dyDescent="0.3">
      <c r="A129" s="34" t="s">
        <v>109</v>
      </c>
      <c r="B129" s="39" t="s">
        <v>43</v>
      </c>
      <c r="C129" s="34" t="s">
        <v>13</v>
      </c>
      <c r="O129" s="40">
        <v>860</v>
      </c>
      <c r="P129" s="41">
        <f t="shared" si="1"/>
        <v>860</v>
      </c>
    </row>
    <row r="130" spans="1:16" x14ac:dyDescent="0.3">
      <c r="A130" s="34" t="s">
        <v>109</v>
      </c>
      <c r="B130" s="35" t="s">
        <v>44</v>
      </c>
      <c r="C130" s="34" t="s">
        <v>13</v>
      </c>
      <c r="P130" s="37">
        <f t="shared" si="1"/>
        <v>0</v>
      </c>
    </row>
    <row r="131" spans="1:16" x14ac:dyDescent="0.3">
      <c r="A131" s="34" t="s">
        <v>109</v>
      </c>
      <c r="B131" s="35" t="s">
        <v>45</v>
      </c>
      <c r="C131" s="34" t="s">
        <v>13</v>
      </c>
      <c r="P131" s="41">
        <f t="shared" ref="P131:P194" si="2">SUM(D131:O131)</f>
        <v>0</v>
      </c>
    </row>
    <row r="132" spans="1:16" x14ac:dyDescent="0.3">
      <c r="A132" s="34" t="s">
        <v>109</v>
      </c>
      <c r="B132" s="35" t="s">
        <v>47</v>
      </c>
      <c r="C132" s="34" t="s">
        <v>13</v>
      </c>
      <c r="O132" s="41">
        <v>0</v>
      </c>
      <c r="P132" s="41">
        <f t="shared" si="2"/>
        <v>0</v>
      </c>
    </row>
    <row r="133" spans="1:16" x14ac:dyDescent="0.3">
      <c r="A133" s="34" t="s">
        <v>109</v>
      </c>
      <c r="B133" s="35" t="s">
        <v>28</v>
      </c>
      <c r="C133" s="34" t="s">
        <v>14</v>
      </c>
      <c r="P133" s="36">
        <f t="shared" si="2"/>
        <v>0</v>
      </c>
    </row>
    <row r="134" spans="1:16" x14ac:dyDescent="0.3">
      <c r="A134" s="34" t="s">
        <v>109</v>
      </c>
      <c r="B134" s="35" t="s">
        <v>30</v>
      </c>
      <c r="C134" s="34" t="s">
        <v>14</v>
      </c>
      <c r="P134" s="36">
        <f t="shared" si="2"/>
        <v>0</v>
      </c>
    </row>
    <row r="135" spans="1:16" x14ac:dyDescent="0.3">
      <c r="A135" s="34" t="s">
        <v>109</v>
      </c>
      <c r="B135" s="35" t="s">
        <v>31</v>
      </c>
      <c r="C135" s="34" t="s">
        <v>14</v>
      </c>
      <c r="P135" s="37">
        <f t="shared" si="2"/>
        <v>0</v>
      </c>
    </row>
    <row r="136" spans="1:16" x14ac:dyDescent="0.3">
      <c r="A136" s="34" t="s">
        <v>109</v>
      </c>
      <c r="B136" s="35" t="s">
        <v>33</v>
      </c>
      <c r="C136" s="34" t="s">
        <v>14</v>
      </c>
      <c r="P136" s="38">
        <f t="shared" si="2"/>
        <v>0</v>
      </c>
    </row>
    <row r="137" spans="1:16" x14ac:dyDescent="0.3">
      <c r="A137" s="34" t="s">
        <v>109</v>
      </c>
      <c r="B137" s="39" t="s">
        <v>35</v>
      </c>
      <c r="C137" s="34" t="s">
        <v>14</v>
      </c>
      <c r="O137" s="40">
        <v>860</v>
      </c>
      <c r="P137" s="41">
        <f t="shared" si="2"/>
        <v>860</v>
      </c>
    </row>
    <row r="138" spans="1:16" x14ac:dyDescent="0.3">
      <c r="A138" s="34" t="s">
        <v>109</v>
      </c>
      <c r="B138" s="39" t="s">
        <v>37</v>
      </c>
      <c r="C138" s="34" t="s">
        <v>14</v>
      </c>
      <c r="O138" s="40">
        <v>8.6999999999999993</v>
      </c>
      <c r="P138" s="41">
        <f t="shared" si="2"/>
        <v>8.6999999999999993</v>
      </c>
    </row>
    <row r="139" spans="1:16" x14ac:dyDescent="0.3">
      <c r="A139" s="34" t="s">
        <v>109</v>
      </c>
      <c r="B139" s="39" t="s">
        <v>38</v>
      </c>
      <c r="C139" s="34" t="s">
        <v>14</v>
      </c>
      <c r="O139" s="40">
        <v>1537.9</v>
      </c>
      <c r="P139" s="41">
        <f t="shared" si="2"/>
        <v>1537.9</v>
      </c>
    </row>
    <row r="140" spans="1:16" x14ac:dyDescent="0.3">
      <c r="A140" s="34" t="s">
        <v>109</v>
      </c>
      <c r="B140" s="39" t="s">
        <v>41</v>
      </c>
      <c r="C140" s="34" t="s">
        <v>14</v>
      </c>
      <c r="O140" s="40">
        <v>301.39999999999992</v>
      </c>
      <c r="P140" s="41">
        <f t="shared" si="2"/>
        <v>301.39999999999992</v>
      </c>
    </row>
    <row r="141" spans="1:16" x14ac:dyDescent="0.3">
      <c r="A141" s="34" t="s">
        <v>109</v>
      </c>
      <c r="B141" s="39" t="s">
        <v>42</v>
      </c>
      <c r="C141" s="34" t="s">
        <v>14</v>
      </c>
      <c r="O141" s="40">
        <v>1638.2</v>
      </c>
      <c r="P141" s="41">
        <f t="shared" si="2"/>
        <v>1638.2</v>
      </c>
    </row>
    <row r="142" spans="1:16" x14ac:dyDescent="0.3">
      <c r="A142" s="34" t="s">
        <v>109</v>
      </c>
      <c r="B142" s="39" t="s">
        <v>43</v>
      </c>
      <c r="C142" s="34" t="s">
        <v>14</v>
      </c>
      <c r="O142" s="40">
        <v>467</v>
      </c>
      <c r="P142" s="41">
        <f t="shared" si="2"/>
        <v>467</v>
      </c>
    </row>
    <row r="143" spans="1:16" x14ac:dyDescent="0.3">
      <c r="A143" s="34" t="s">
        <v>109</v>
      </c>
      <c r="B143" s="35" t="s">
        <v>44</v>
      </c>
      <c r="C143" s="34" t="s">
        <v>14</v>
      </c>
      <c r="P143" s="37">
        <f t="shared" si="2"/>
        <v>0</v>
      </c>
    </row>
    <row r="144" spans="1:16" x14ac:dyDescent="0.3">
      <c r="A144" s="34" t="s">
        <v>109</v>
      </c>
      <c r="B144" s="35" t="s">
        <v>45</v>
      </c>
      <c r="C144" s="34" t="s">
        <v>14</v>
      </c>
      <c r="P144" s="41">
        <f t="shared" si="2"/>
        <v>0</v>
      </c>
    </row>
    <row r="145" spans="1:16" x14ac:dyDescent="0.3">
      <c r="A145" s="34" t="s">
        <v>109</v>
      </c>
      <c r="B145" s="35" t="s">
        <v>47</v>
      </c>
      <c r="C145" s="34" t="s">
        <v>14</v>
      </c>
      <c r="O145" s="41">
        <v>-2.2737367544323211E-13</v>
      </c>
      <c r="P145" s="41">
        <f t="shared" si="2"/>
        <v>-2.2737367544323211E-13</v>
      </c>
    </row>
    <row r="146" spans="1:16" x14ac:dyDescent="0.3">
      <c r="A146" s="34" t="s">
        <v>109</v>
      </c>
      <c r="B146" s="35" t="s">
        <v>28</v>
      </c>
      <c r="C146" s="34" t="s">
        <v>15</v>
      </c>
      <c r="P146" s="36">
        <f t="shared" si="2"/>
        <v>0</v>
      </c>
    </row>
    <row r="147" spans="1:16" x14ac:dyDescent="0.3">
      <c r="A147" s="34" t="s">
        <v>109</v>
      </c>
      <c r="B147" s="35" t="s">
        <v>30</v>
      </c>
      <c r="C147" s="34" t="s">
        <v>15</v>
      </c>
      <c r="P147" s="36">
        <f t="shared" si="2"/>
        <v>0</v>
      </c>
    </row>
    <row r="148" spans="1:16" x14ac:dyDescent="0.3">
      <c r="A148" s="34" t="s">
        <v>109</v>
      </c>
      <c r="B148" s="35" t="s">
        <v>31</v>
      </c>
      <c r="C148" s="34" t="s">
        <v>15</v>
      </c>
      <c r="P148" s="37">
        <f t="shared" si="2"/>
        <v>0</v>
      </c>
    </row>
    <row r="149" spans="1:16" x14ac:dyDescent="0.3">
      <c r="A149" s="34" t="s">
        <v>109</v>
      </c>
      <c r="B149" s="35" t="s">
        <v>33</v>
      </c>
      <c r="C149" s="34" t="s">
        <v>15</v>
      </c>
      <c r="P149" s="38">
        <f t="shared" si="2"/>
        <v>0</v>
      </c>
    </row>
    <row r="150" spans="1:16" x14ac:dyDescent="0.3">
      <c r="A150" s="34" t="s">
        <v>109</v>
      </c>
      <c r="B150" s="39" t="s">
        <v>35</v>
      </c>
      <c r="C150" s="34" t="s">
        <v>15</v>
      </c>
      <c r="O150" s="40">
        <v>467</v>
      </c>
      <c r="P150" s="41">
        <f t="shared" si="2"/>
        <v>467</v>
      </c>
    </row>
    <row r="151" spans="1:16" x14ac:dyDescent="0.3">
      <c r="A151" s="34" t="s">
        <v>109</v>
      </c>
      <c r="B151" s="39" t="s">
        <v>37</v>
      </c>
      <c r="C151" s="34" t="s">
        <v>15</v>
      </c>
      <c r="O151" s="40">
        <v>9.4</v>
      </c>
      <c r="P151" s="41">
        <f t="shared" si="2"/>
        <v>9.4</v>
      </c>
    </row>
    <row r="152" spans="1:16" x14ac:dyDescent="0.3">
      <c r="A152" s="34" t="s">
        <v>109</v>
      </c>
      <c r="B152" s="39" t="s">
        <v>38</v>
      </c>
      <c r="C152" s="34" t="s">
        <v>15</v>
      </c>
      <c r="O152" s="40">
        <v>2261.6999999999998</v>
      </c>
      <c r="P152" s="41">
        <f t="shared" si="2"/>
        <v>2261.6999999999998</v>
      </c>
    </row>
    <row r="153" spans="1:16" x14ac:dyDescent="0.3">
      <c r="A153" s="34" t="s">
        <v>109</v>
      </c>
      <c r="B153" s="39" t="s">
        <v>41</v>
      </c>
      <c r="C153" s="34" t="s">
        <v>15</v>
      </c>
      <c r="O153" s="40">
        <v>199.39999999999981</v>
      </c>
      <c r="P153" s="41">
        <f t="shared" si="2"/>
        <v>199.39999999999981</v>
      </c>
    </row>
    <row r="154" spans="1:16" x14ac:dyDescent="0.3">
      <c r="A154" s="34" t="s">
        <v>109</v>
      </c>
      <c r="B154" s="39" t="s">
        <v>42</v>
      </c>
      <c r="C154" s="34" t="s">
        <v>15</v>
      </c>
      <c r="O154" s="40">
        <v>1752.7</v>
      </c>
      <c r="P154" s="41">
        <f t="shared" si="2"/>
        <v>1752.7</v>
      </c>
    </row>
    <row r="155" spans="1:16" x14ac:dyDescent="0.3">
      <c r="A155" s="34" t="s">
        <v>109</v>
      </c>
      <c r="B155" s="39" t="s">
        <v>43</v>
      </c>
      <c r="C155" s="34" t="s">
        <v>15</v>
      </c>
      <c r="O155" s="40">
        <v>786</v>
      </c>
      <c r="P155" s="41">
        <f t="shared" si="2"/>
        <v>786</v>
      </c>
    </row>
    <row r="156" spans="1:16" x14ac:dyDescent="0.3">
      <c r="A156" s="34" t="s">
        <v>109</v>
      </c>
      <c r="B156" s="35" t="s">
        <v>44</v>
      </c>
      <c r="C156" s="34" t="s">
        <v>15</v>
      </c>
      <c r="P156" s="37">
        <f t="shared" si="2"/>
        <v>0</v>
      </c>
    </row>
    <row r="157" spans="1:16" x14ac:dyDescent="0.3">
      <c r="A157" s="34" t="s">
        <v>109</v>
      </c>
      <c r="B157" s="35" t="s">
        <v>45</v>
      </c>
      <c r="C157" s="34" t="s">
        <v>15</v>
      </c>
      <c r="P157" s="41">
        <f t="shared" si="2"/>
        <v>0</v>
      </c>
    </row>
    <row r="158" spans="1:16" x14ac:dyDescent="0.3">
      <c r="A158" s="34" t="s">
        <v>109</v>
      </c>
      <c r="B158" s="35" t="s">
        <v>47</v>
      </c>
      <c r="C158" s="34" t="s">
        <v>15</v>
      </c>
      <c r="O158" s="41">
        <v>-2.2737367544323211E-13</v>
      </c>
      <c r="P158" s="41">
        <f t="shared" si="2"/>
        <v>-2.2737367544323211E-13</v>
      </c>
    </row>
    <row r="159" spans="1:16" x14ac:dyDescent="0.3">
      <c r="A159" s="34" t="s">
        <v>109</v>
      </c>
      <c r="B159" s="35" t="s">
        <v>28</v>
      </c>
      <c r="C159" s="34" t="s">
        <v>16</v>
      </c>
      <c r="P159" s="36">
        <f t="shared" si="2"/>
        <v>0</v>
      </c>
    </row>
    <row r="160" spans="1:16" x14ac:dyDescent="0.3">
      <c r="A160" s="34" t="s">
        <v>109</v>
      </c>
      <c r="B160" s="35" t="s">
        <v>30</v>
      </c>
      <c r="C160" s="34" t="s">
        <v>16</v>
      </c>
      <c r="P160" s="36">
        <f t="shared" si="2"/>
        <v>0</v>
      </c>
    </row>
    <row r="161" spans="1:16" x14ac:dyDescent="0.3">
      <c r="A161" s="34" t="s">
        <v>109</v>
      </c>
      <c r="B161" s="35" t="s">
        <v>31</v>
      </c>
      <c r="C161" s="34" t="s">
        <v>16</v>
      </c>
      <c r="P161" s="37">
        <f t="shared" si="2"/>
        <v>0</v>
      </c>
    </row>
    <row r="162" spans="1:16" x14ac:dyDescent="0.3">
      <c r="A162" s="34" t="s">
        <v>109</v>
      </c>
      <c r="B162" s="35" t="s">
        <v>33</v>
      </c>
      <c r="C162" s="34" t="s">
        <v>16</v>
      </c>
      <c r="P162" s="38">
        <f t="shared" si="2"/>
        <v>0</v>
      </c>
    </row>
    <row r="163" spans="1:16" x14ac:dyDescent="0.3">
      <c r="A163" s="34" t="s">
        <v>109</v>
      </c>
      <c r="B163" s="39" t="s">
        <v>35</v>
      </c>
      <c r="C163" s="34" t="s">
        <v>16</v>
      </c>
      <c r="O163" s="40">
        <v>786</v>
      </c>
      <c r="P163" s="41">
        <f t="shared" si="2"/>
        <v>786</v>
      </c>
    </row>
    <row r="164" spans="1:16" x14ac:dyDescent="0.3">
      <c r="A164" s="34" t="s">
        <v>109</v>
      </c>
      <c r="B164" s="39" t="s">
        <v>37</v>
      </c>
      <c r="C164" s="34" t="s">
        <v>16</v>
      </c>
      <c r="O164" s="40">
        <v>13.4</v>
      </c>
      <c r="P164" s="41">
        <f t="shared" si="2"/>
        <v>13.4</v>
      </c>
    </row>
    <row r="165" spans="1:16" x14ac:dyDescent="0.3">
      <c r="A165" s="34" t="s">
        <v>109</v>
      </c>
      <c r="B165" s="39" t="s">
        <v>38</v>
      </c>
      <c r="C165" s="34" t="s">
        <v>16</v>
      </c>
      <c r="O165" s="40">
        <v>1987</v>
      </c>
      <c r="P165" s="41">
        <f t="shared" si="2"/>
        <v>1987</v>
      </c>
    </row>
    <row r="166" spans="1:16" x14ac:dyDescent="0.3">
      <c r="A166" s="34" t="s">
        <v>109</v>
      </c>
      <c r="B166" s="39" t="s">
        <v>41</v>
      </c>
      <c r="C166" s="34" t="s">
        <v>16</v>
      </c>
      <c r="O166" s="40">
        <v>244.09999999999991</v>
      </c>
      <c r="P166" s="41">
        <f t="shared" si="2"/>
        <v>244.09999999999991</v>
      </c>
    </row>
    <row r="167" spans="1:16" x14ac:dyDescent="0.3">
      <c r="A167" s="34" t="s">
        <v>109</v>
      </c>
      <c r="B167" s="39" t="s">
        <v>42</v>
      </c>
      <c r="C167" s="34" t="s">
        <v>16</v>
      </c>
      <c r="O167" s="40">
        <v>2179.3000000000002</v>
      </c>
      <c r="P167" s="41">
        <f t="shared" si="2"/>
        <v>2179.3000000000002</v>
      </c>
    </row>
    <row r="168" spans="1:16" x14ac:dyDescent="0.3">
      <c r="A168" s="34" t="s">
        <v>109</v>
      </c>
      <c r="B168" s="39" t="s">
        <v>43</v>
      </c>
      <c r="C168" s="34" t="s">
        <v>16</v>
      </c>
      <c r="O168" s="40">
        <v>363</v>
      </c>
      <c r="P168" s="41">
        <f t="shared" si="2"/>
        <v>363</v>
      </c>
    </row>
    <row r="169" spans="1:16" x14ac:dyDescent="0.3">
      <c r="A169" s="34" t="s">
        <v>109</v>
      </c>
      <c r="B169" s="35" t="s">
        <v>44</v>
      </c>
      <c r="C169" s="34" t="s">
        <v>16</v>
      </c>
      <c r="P169" s="37">
        <f t="shared" si="2"/>
        <v>0</v>
      </c>
    </row>
    <row r="170" spans="1:16" x14ac:dyDescent="0.3">
      <c r="A170" s="34" t="s">
        <v>109</v>
      </c>
      <c r="B170" s="35" t="s">
        <v>45</v>
      </c>
      <c r="C170" s="34" t="s">
        <v>16</v>
      </c>
      <c r="P170" s="41">
        <f t="shared" si="2"/>
        <v>0</v>
      </c>
    </row>
    <row r="171" spans="1:16" x14ac:dyDescent="0.3">
      <c r="A171" s="34" t="s">
        <v>109</v>
      </c>
      <c r="B171" s="35" t="s">
        <v>47</v>
      </c>
      <c r="C171" s="34" t="s">
        <v>16</v>
      </c>
      <c r="O171" s="41">
        <v>0</v>
      </c>
      <c r="P171" s="41">
        <f t="shared" si="2"/>
        <v>0</v>
      </c>
    </row>
    <row r="172" spans="1:16" x14ac:dyDescent="0.3">
      <c r="A172" s="34" t="s">
        <v>109</v>
      </c>
      <c r="B172" s="35" t="s">
        <v>28</v>
      </c>
      <c r="C172" s="34" t="s">
        <v>17</v>
      </c>
      <c r="P172" s="36">
        <f t="shared" si="2"/>
        <v>0</v>
      </c>
    </row>
    <row r="173" spans="1:16" x14ac:dyDescent="0.3">
      <c r="A173" s="34" t="s">
        <v>109</v>
      </c>
      <c r="B173" s="35" t="s">
        <v>30</v>
      </c>
      <c r="C173" s="34" t="s">
        <v>17</v>
      </c>
      <c r="P173" s="36">
        <f t="shared" si="2"/>
        <v>0</v>
      </c>
    </row>
    <row r="174" spans="1:16" x14ac:dyDescent="0.3">
      <c r="A174" s="34" t="s">
        <v>109</v>
      </c>
      <c r="B174" s="35" t="s">
        <v>31</v>
      </c>
      <c r="C174" s="34" t="s">
        <v>17</v>
      </c>
      <c r="P174" s="37">
        <f t="shared" si="2"/>
        <v>0</v>
      </c>
    </row>
    <row r="175" spans="1:16" x14ac:dyDescent="0.3">
      <c r="A175" s="34" t="s">
        <v>109</v>
      </c>
      <c r="B175" s="35" t="s">
        <v>33</v>
      </c>
      <c r="C175" s="34" t="s">
        <v>17</v>
      </c>
      <c r="P175" s="38">
        <f t="shared" si="2"/>
        <v>0</v>
      </c>
    </row>
    <row r="176" spans="1:16" x14ac:dyDescent="0.3">
      <c r="A176" s="34" t="s">
        <v>109</v>
      </c>
      <c r="B176" s="39" t="s">
        <v>35</v>
      </c>
      <c r="C176" s="34" t="s">
        <v>17</v>
      </c>
      <c r="O176" s="40">
        <v>363</v>
      </c>
      <c r="P176" s="41">
        <f t="shared" si="2"/>
        <v>363</v>
      </c>
    </row>
    <row r="177" spans="1:16" x14ac:dyDescent="0.3">
      <c r="A177" s="34" t="s">
        <v>109</v>
      </c>
      <c r="B177" s="39" t="s">
        <v>37</v>
      </c>
      <c r="C177" s="34" t="s">
        <v>17</v>
      </c>
      <c r="O177" s="40">
        <v>16.3</v>
      </c>
      <c r="P177" s="41">
        <f t="shared" si="2"/>
        <v>16.3</v>
      </c>
    </row>
    <row r="178" spans="1:16" x14ac:dyDescent="0.3">
      <c r="A178" s="34" t="s">
        <v>109</v>
      </c>
      <c r="B178" s="39" t="s">
        <v>38</v>
      </c>
      <c r="C178" s="34" t="s">
        <v>17</v>
      </c>
      <c r="O178" s="40">
        <v>2540.5</v>
      </c>
      <c r="P178" s="41">
        <f t="shared" si="2"/>
        <v>2540.5</v>
      </c>
    </row>
    <row r="179" spans="1:16" x14ac:dyDescent="0.3">
      <c r="A179" s="34" t="s">
        <v>109</v>
      </c>
      <c r="B179" s="39" t="s">
        <v>41</v>
      </c>
      <c r="C179" s="34" t="s">
        <v>17</v>
      </c>
      <c r="O179" s="40">
        <v>701.9000000000002</v>
      </c>
      <c r="P179" s="41">
        <f t="shared" si="2"/>
        <v>701.9000000000002</v>
      </c>
    </row>
    <row r="180" spans="1:16" x14ac:dyDescent="0.3">
      <c r="A180" s="34" t="s">
        <v>109</v>
      </c>
      <c r="B180" s="39" t="s">
        <v>42</v>
      </c>
      <c r="C180" s="34" t="s">
        <v>17</v>
      </c>
      <c r="O180" s="40">
        <v>2144.5</v>
      </c>
      <c r="P180" s="41">
        <f t="shared" si="2"/>
        <v>2144.5</v>
      </c>
    </row>
    <row r="181" spans="1:16" x14ac:dyDescent="0.3">
      <c r="A181" s="34" t="s">
        <v>109</v>
      </c>
      <c r="B181" s="39" t="s">
        <v>43</v>
      </c>
      <c r="C181" s="34" t="s">
        <v>17</v>
      </c>
      <c r="O181" s="40">
        <v>73.400000000000006</v>
      </c>
      <c r="P181" s="41">
        <f t="shared" si="2"/>
        <v>73.400000000000006</v>
      </c>
    </row>
    <row r="182" spans="1:16" x14ac:dyDescent="0.3">
      <c r="A182" s="34" t="s">
        <v>109</v>
      </c>
      <c r="B182" s="35" t="s">
        <v>44</v>
      </c>
      <c r="C182" s="34" t="s">
        <v>17</v>
      </c>
      <c r="P182" s="37">
        <f t="shared" si="2"/>
        <v>0</v>
      </c>
    </row>
    <row r="183" spans="1:16" x14ac:dyDescent="0.3">
      <c r="A183" s="34" t="s">
        <v>109</v>
      </c>
      <c r="B183" s="35" t="s">
        <v>45</v>
      </c>
      <c r="C183" s="34" t="s">
        <v>17</v>
      </c>
      <c r="P183" s="41">
        <f t="shared" si="2"/>
        <v>0</v>
      </c>
    </row>
    <row r="184" spans="1:16" x14ac:dyDescent="0.3">
      <c r="A184" s="34" t="s">
        <v>109</v>
      </c>
      <c r="B184" s="35" t="s">
        <v>47</v>
      </c>
      <c r="C184" s="34" t="s">
        <v>17</v>
      </c>
      <c r="O184" s="41">
        <v>8.5265128291212022E-14</v>
      </c>
      <c r="P184" s="41">
        <f t="shared" si="2"/>
        <v>8.5265128291212022E-14</v>
      </c>
    </row>
    <row r="185" spans="1:16" x14ac:dyDescent="0.3">
      <c r="A185" s="34" t="s">
        <v>109</v>
      </c>
      <c r="B185" s="35" t="s">
        <v>28</v>
      </c>
      <c r="C185" s="34" t="s">
        <v>18</v>
      </c>
      <c r="P185" s="36">
        <f t="shared" si="2"/>
        <v>0</v>
      </c>
    </row>
    <row r="186" spans="1:16" x14ac:dyDescent="0.3">
      <c r="A186" s="34" t="s">
        <v>109</v>
      </c>
      <c r="B186" s="35" t="s">
        <v>30</v>
      </c>
      <c r="C186" s="34" t="s">
        <v>18</v>
      </c>
      <c r="P186" s="36">
        <f t="shared" si="2"/>
        <v>0</v>
      </c>
    </row>
    <row r="187" spans="1:16" x14ac:dyDescent="0.3">
      <c r="A187" s="34" t="s">
        <v>109</v>
      </c>
      <c r="B187" s="35" t="s">
        <v>31</v>
      </c>
      <c r="C187" s="34" t="s">
        <v>18</v>
      </c>
      <c r="P187" s="37">
        <f t="shared" si="2"/>
        <v>0</v>
      </c>
    </row>
    <row r="188" spans="1:16" x14ac:dyDescent="0.3">
      <c r="A188" s="34" t="s">
        <v>109</v>
      </c>
      <c r="B188" s="35" t="s">
        <v>33</v>
      </c>
      <c r="C188" s="34" t="s">
        <v>18</v>
      </c>
      <c r="P188" s="38">
        <f t="shared" si="2"/>
        <v>0</v>
      </c>
    </row>
    <row r="189" spans="1:16" x14ac:dyDescent="0.3">
      <c r="A189" s="34" t="s">
        <v>109</v>
      </c>
      <c r="B189" s="39" t="s">
        <v>35</v>
      </c>
      <c r="C189" s="34" t="s">
        <v>18</v>
      </c>
      <c r="O189" s="40">
        <v>73.400000000000006</v>
      </c>
      <c r="P189" s="41">
        <f t="shared" si="2"/>
        <v>73.400000000000006</v>
      </c>
    </row>
    <row r="190" spans="1:16" x14ac:dyDescent="0.3">
      <c r="A190" s="34" t="s">
        <v>109</v>
      </c>
      <c r="B190" s="39" t="s">
        <v>37</v>
      </c>
      <c r="C190" s="34" t="s">
        <v>18</v>
      </c>
      <c r="O190" s="40">
        <v>98</v>
      </c>
      <c r="P190" s="41">
        <f t="shared" si="2"/>
        <v>98</v>
      </c>
    </row>
    <row r="191" spans="1:16" x14ac:dyDescent="0.3">
      <c r="A191" s="34" t="s">
        <v>109</v>
      </c>
      <c r="B191" s="39" t="s">
        <v>38</v>
      </c>
      <c r="C191" s="34" t="s">
        <v>18</v>
      </c>
      <c r="O191" s="40">
        <v>3193.8</v>
      </c>
      <c r="P191" s="41">
        <f t="shared" si="2"/>
        <v>3193.8</v>
      </c>
    </row>
    <row r="192" spans="1:16" x14ac:dyDescent="0.3">
      <c r="A192" s="34" t="s">
        <v>109</v>
      </c>
      <c r="B192" s="39" t="s">
        <v>41</v>
      </c>
      <c r="C192" s="34" t="s">
        <v>18</v>
      </c>
      <c r="O192" s="40">
        <v>595.20000000000027</v>
      </c>
      <c r="P192" s="41">
        <f t="shared" si="2"/>
        <v>595.20000000000027</v>
      </c>
    </row>
    <row r="193" spans="1:16" x14ac:dyDescent="0.3">
      <c r="A193" s="34" t="s">
        <v>109</v>
      </c>
      <c r="B193" s="39" t="s">
        <v>42</v>
      </c>
      <c r="C193" s="34" t="s">
        <v>18</v>
      </c>
      <c r="O193" s="40">
        <v>2455</v>
      </c>
      <c r="P193" s="41">
        <f t="shared" si="2"/>
        <v>2455</v>
      </c>
    </row>
    <row r="194" spans="1:16" x14ac:dyDescent="0.3">
      <c r="A194" s="34" t="s">
        <v>109</v>
      </c>
      <c r="B194" s="39" t="s">
        <v>43</v>
      </c>
      <c r="C194" s="34" t="s">
        <v>18</v>
      </c>
      <c r="O194" s="40">
        <v>315</v>
      </c>
      <c r="P194" s="41">
        <f t="shared" si="2"/>
        <v>315</v>
      </c>
    </row>
    <row r="195" spans="1:16" x14ac:dyDescent="0.3">
      <c r="A195" s="34" t="s">
        <v>109</v>
      </c>
      <c r="B195" s="35" t="s">
        <v>44</v>
      </c>
      <c r="C195" s="34" t="s">
        <v>18</v>
      </c>
      <c r="P195" s="37">
        <f t="shared" ref="P195:P258" si="3">SUM(D195:O195)</f>
        <v>0</v>
      </c>
    </row>
    <row r="196" spans="1:16" x14ac:dyDescent="0.3">
      <c r="A196" s="34" t="s">
        <v>109</v>
      </c>
      <c r="B196" s="35" t="s">
        <v>45</v>
      </c>
      <c r="C196" s="34" t="s">
        <v>18</v>
      </c>
      <c r="P196" s="41">
        <f t="shared" si="3"/>
        <v>0</v>
      </c>
    </row>
    <row r="197" spans="1:16" x14ac:dyDescent="0.3">
      <c r="A197" s="34" t="s">
        <v>109</v>
      </c>
      <c r="B197" s="35" t="s">
        <v>47</v>
      </c>
      <c r="C197" s="34" t="s">
        <v>18</v>
      </c>
      <c r="O197" s="41">
        <v>0</v>
      </c>
      <c r="P197" s="41">
        <f t="shared" si="3"/>
        <v>0</v>
      </c>
    </row>
    <row r="198" spans="1:16" x14ac:dyDescent="0.3">
      <c r="A198" s="34" t="s">
        <v>109</v>
      </c>
      <c r="B198" s="35" t="s">
        <v>28</v>
      </c>
      <c r="C198" s="34" t="s">
        <v>19</v>
      </c>
      <c r="P198" s="36">
        <f t="shared" si="3"/>
        <v>0</v>
      </c>
    </row>
    <row r="199" spans="1:16" x14ac:dyDescent="0.3">
      <c r="A199" s="34" t="s">
        <v>109</v>
      </c>
      <c r="B199" s="35" t="s">
        <v>30</v>
      </c>
      <c r="C199" s="34" t="s">
        <v>19</v>
      </c>
      <c r="P199" s="36">
        <f t="shared" si="3"/>
        <v>0</v>
      </c>
    </row>
    <row r="200" spans="1:16" x14ac:dyDescent="0.3">
      <c r="A200" s="34" t="s">
        <v>109</v>
      </c>
      <c r="B200" s="35" t="s">
        <v>31</v>
      </c>
      <c r="C200" s="34" t="s">
        <v>19</v>
      </c>
      <c r="P200" s="37">
        <f t="shared" si="3"/>
        <v>0</v>
      </c>
    </row>
    <row r="201" spans="1:16" x14ac:dyDescent="0.3">
      <c r="A201" s="34" t="s">
        <v>109</v>
      </c>
      <c r="B201" s="35" t="s">
        <v>33</v>
      </c>
      <c r="C201" s="34" t="s">
        <v>19</v>
      </c>
      <c r="P201" s="38">
        <f t="shared" si="3"/>
        <v>0</v>
      </c>
    </row>
    <row r="202" spans="1:16" x14ac:dyDescent="0.3">
      <c r="A202" s="34" t="s">
        <v>109</v>
      </c>
      <c r="B202" s="39" t="s">
        <v>35</v>
      </c>
      <c r="C202" s="34" t="s">
        <v>19</v>
      </c>
      <c r="O202" s="40">
        <v>315</v>
      </c>
      <c r="P202" s="41">
        <f t="shared" si="3"/>
        <v>315</v>
      </c>
    </row>
    <row r="203" spans="1:16" x14ac:dyDescent="0.3">
      <c r="A203" s="34" t="s">
        <v>109</v>
      </c>
      <c r="B203" s="39" t="s">
        <v>37</v>
      </c>
      <c r="C203" s="34" t="s">
        <v>19</v>
      </c>
      <c r="O203" s="40">
        <v>34.700000000000003</v>
      </c>
      <c r="P203" s="41">
        <f t="shared" si="3"/>
        <v>34.700000000000003</v>
      </c>
    </row>
    <row r="204" spans="1:16" x14ac:dyDescent="0.3">
      <c r="A204" s="34" t="s">
        <v>109</v>
      </c>
      <c r="B204" s="39" t="s">
        <v>38</v>
      </c>
      <c r="C204" s="34" t="s">
        <v>19</v>
      </c>
      <c r="O204" s="40">
        <v>2558.5</v>
      </c>
      <c r="P204" s="41">
        <f t="shared" si="3"/>
        <v>2558.5</v>
      </c>
    </row>
    <row r="205" spans="1:16" x14ac:dyDescent="0.3">
      <c r="A205" s="34" t="s">
        <v>109</v>
      </c>
      <c r="B205" s="39" t="s">
        <v>41</v>
      </c>
      <c r="C205" s="34" t="s">
        <v>19</v>
      </c>
      <c r="O205" s="40">
        <v>497.49999999999977</v>
      </c>
      <c r="P205" s="41">
        <f t="shared" si="3"/>
        <v>497.49999999999977</v>
      </c>
    </row>
    <row r="206" spans="1:16" x14ac:dyDescent="0.3">
      <c r="A206" s="34" t="s">
        <v>109</v>
      </c>
      <c r="B206" s="39" t="s">
        <v>42</v>
      </c>
      <c r="C206" s="34" t="s">
        <v>19</v>
      </c>
      <c r="O206" s="40">
        <v>1538</v>
      </c>
      <c r="P206" s="41">
        <f t="shared" si="3"/>
        <v>1538</v>
      </c>
    </row>
    <row r="207" spans="1:16" x14ac:dyDescent="0.3">
      <c r="A207" s="34" t="s">
        <v>109</v>
      </c>
      <c r="B207" s="39" t="s">
        <v>43</v>
      </c>
      <c r="C207" s="34" t="s">
        <v>19</v>
      </c>
      <c r="O207" s="40">
        <v>872.7</v>
      </c>
      <c r="P207" s="41">
        <f t="shared" si="3"/>
        <v>872.7</v>
      </c>
    </row>
    <row r="208" spans="1:16" x14ac:dyDescent="0.3">
      <c r="A208" s="34" t="s">
        <v>109</v>
      </c>
      <c r="B208" s="35" t="s">
        <v>44</v>
      </c>
      <c r="C208" s="34" t="s">
        <v>19</v>
      </c>
      <c r="P208" s="37">
        <f t="shared" si="3"/>
        <v>0</v>
      </c>
    </row>
    <row r="209" spans="1:16" x14ac:dyDescent="0.3">
      <c r="A209" s="34" t="s">
        <v>109</v>
      </c>
      <c r="B209" s="35" t="s">
        <v>45</v>
      </c>
      <c r="C209" s="34" t="s">
        <v>19</v>
      </c>
      <c r="P209" s="41">
        <f t="shared" si="3"/>
        <v>0</v>
      </c>
    </row>
    <row r="210" spans="1:16" x14ac:dyDescent="0.3">
      <c r="A210" s="34" t="s">
        <v>109</v>
      </c>
      <c r="B210" s="35" t="s">
        <v>47</v>
      </c>
      <c r="C210" s="34" t="s">
        <v>19</v>
      </c>
      <c r="O210" s="41">
        <v>-2.2737367544323211E-13</v>
      </c>
      <c r="P210" s="41">
        <f t="shared" si="3"/>
        <v>-2.2737367544323211E-13</v>
      </c>
    </row>
    <row r="211" spans="1:16" x14ac:dyDescent="0.3">
      <c r="A211" s="34" t="s">
        <v>109</v>
      </c>
      <c r="B211" s="35" t="s">
        <v>28</v>
      </c>
      <c r="C211" s="34" t="s">
        <v>20</v>
      </c>
      <c r="P211" s="36">
        <f t="shared" si="3"/>
        <v>0</v>
      </c>
    </row>
    <row r="212" spans="1:16" x14ac:dyDescent="0.3">
      <c r="A212" s="34" t="s">
        <v>109</v>
      </c>
      <c r="B212" s="35" t="s">
        <v>30</v>
      </c>
      <c r="C212" s="34" t="s">
        <v>20</v>
      </c>
      <c r="P212" s="36">
        <f t="shared" si="3"/>
        <v>0</v>
      </c>
    </row>
    <row r="213" spans="1:16" x14ac:dyDescent="0.3">
      <c r="A213" s="34" t="s">
        <v>109</v>
      </c>
      <c r="B213" s="35" t="s">
        <v>31</v>
      </c>
      <c r="C213" s="34" t="s">
        <v>20</v>
      </c>
      <c r="P213" s="37">
        <f t="shared" si="3"/>
        <v>0</v>
      </c>
    </row>
    <row r="214" spans="1:16" x14ac:dyDescent="0.3">
      <c r="A214" s="34" t="s">
        <v>109</v>
      </c>
      <c r="B214" s="35" t="s">
        <v>33</v>
      </c>
      <c r="C214" s="34" t="s">
        <v>20</v>
      </c>
      <c r="P214" s="38">
        <f t="shared" si="3"/>
        <v>0</v>
      </c>
    </row>
    <row r="215" spans="1:16" x14ac:dyDescent="0.3">
      <c r="A215" s="34" t="s">
        <v>109</v>
      </c>
      <c r="B215" s="39" t="s">
        <v>35</v>
      </c>
      <c r="C215" s="34" t="s">
        <v>20</v>
      </c>
      <c r="O215" s="40">
        <v>872.7</v>
      </c>
      <c r="P215" s="41">
        <f t="shared" si="3"/>
        <v>872.7</v>
      </c>
    </row>
    <row r="216" spans="1:16" x14ac:dyDescent="0.3">
      <c r="A216" s="34" t="s">
        <v>109</v>
      </c>
      <c r="B216" s="39" t="s">
        <v>37</v>
      </c>
      <c r="C216" s="34" t="s">
        <v>20</v>
      </c>
      <c r="O216" s="40">
        <v>50.6</v>
      </c>
      <c r="P216" s="41">
        <f t="shared" si="3"/>
        <v>50.6</v>
      </c>
    </row>
    <row r="217" spans="1:16" x14ac:dyDescent="0.3">
      <c r="A217" s="34" t="s">
        <v>109</v>
      </c>
      <c r="B217" s="39" t="s">
        <v>38</v>
      </c>
      <c r="C217" s="34" t="s">
        <v>20</v>
      </c>
      <c r="O217" s="40">
        <v>2192.1</v>
      </c>
      <c r="P217" s="41">
        <f t="shared" si="3"/>
        <v>2192.1</v>
      </c>
    </row>
    <row r="218" spans="1:16" x14ac:dyDescent="0.3">
      <c r="A218" s="34" t="s">
        <v>109</v>
      </c>
      <c r="B218" s="39" t="s">
        <v>41</v>
      </c>
      <c r="C218" s="34" t="s">
        <v>20</v>
      </c>
      <c r="O218" s="40">
        <v>226.6</v>
      </c>
      <c r="P218" s="41">
        <f t="shared" si="3"/>
        <v>226.6</v>
      </c>
    </row>
    <row r="219" spans="1:16" x14ac:dyDescent="0.3">
      <c r="A219" s="34" t="s">
        <v>109</v>
      </c>
      <c r="B219" s="39" t="s">
        <v>42</v>
      </c>
      <c r="C219" s="34" t="s">
        <v>20</v>
      </c>
      <c r="O219" s="40">
        <v>2033.2</v>
      </c>
      <c r="P219" s="41">
        <f t="shared" si="3"/>
        <v>2033.2</v>
      </c>
    </row>
    <row r="220" spans="1:16" x14ac:dyDescent="0.3">
      <c r="A220" s="34" t="s">
        <v>109</v>
      </c>
      <c r="B220" s="39" t="s">
        <v>43</v>
      </c>
      <c r="C220" s="34" t="s">
        <v>20</v>
      </c>
      <c r="O220" s="40">
        <v>855.6</v>
      </c>
      <c r="P220" s="41">
        <f t="shared" si="3"/>
        <v>855.6</v>
      </c>
    </row>
    <row r="221" spans="1:16" x14ac:dyDescent="0.3">
      <c r="A221" s="34" t="s">
        <v>109</v>
      </c>
      <c r="B221" s="35" t="s">
        <v>44</v>
      </c>
      <c r="C221" s="34" t="s">
        <v>20</v>
      </c>
      <c r="P221" s="37">
        <f t="shared" si="3"/>
        <v>0</v>
      </c>
    </row>
    <row r="222" spans="1:16" x14ac:dyDescent="0.3">
      <c r="A222" s="34" t="s">
        <v>109</v>
      </c>
      <c r="B222" s="35" t="s">
        <v>45</v>
      </c>
      <c r="C222" s="34" t="s">
        <v>20</v>
      </c>
      <c r="P222" s="41">
        <f t="shared" si="3"/>
        <v>0</v>
      </c>
    </row>
    <row r="223" spans="1:16" x14ac:dyDescent="0.3">
      <c r="A223" s="34" t="s">
        <v>109</v>
      </c>
      <c r="B223" s="35" t="s">
        <v>47</v>
      </c>
      <c r="C223" s="34" t="s">
        <v>20</v>
      </c>
      <c r="O223" s="41">
        <v>1.1368683772161611E-13</v>
      </c>
      <c r="P223" s="41">
        <f t="shared" si="3"/>
        <v>1.1368683772161611E-13</v>
      </c>
    </row>
    <row r="224" spans="1:16" x14ac:dyDescent="0.3">
      <c r="A224" s="34" t="s">
        <v>109</v>
      </c>
      <c r="B224" s="35" t="s">
        <v>28</v>
      </c>
      <c r="C224" s="34" t="s">
        <v>21</v>
      </c>
      <c r="P224" s="36">
        <f t="shared" si="3"/>
        <v>0</v>
      </c>
    </row>
    <row r="225" spans="1:16" x14ac:dyDescent="0.3">
      <c r="A225" s="34" t="s">
        <v>109</v>
      </c>
      <c r="B225" s="35" t="s">
        <v>30</v>
      </c>
      <c r="C225" s="34" t="s">
        <v>21</v>
      </c>
      <c r="P225" s="36">
        <f t="shared" si="3"/>
        <v>0</v>
      </c>
    </row>
    <row r="226" spans="1:16" x14ac:dyDescent="0.3">
      <c r="A226" s="34" t="s">
        <v>109</v>
      </c>
      <c r="B226" s="35" t="s">
        <v>31</v>
      </c>
      <c r="C226" s="34" t="s">
        <v>21</v>
      </c>
      <c r="P226" s="37">
        <f t="shared" si="3"/>
        <v>0</v>
      </c>
    </row>
    <row r="227" spans="1:16" x14ac:dyDescent="0.3">
      <c r="A227" s="34" t="s">
        <v>109</v>
      </c>
      <c r="B227" s="35" t="s">
        <v>33</v>
      </c>
      <c r="C227" s="34" t="s">
        <v>21</v>
      </c>
      <c r="P227" s="38">
        <f t="shared" si="3"/>
        <v>0</v>
      </c>
    </row>
    <row r="228" spans="1:16" x14ac:dyDescent="0.3">
      <c r="A228" s="34" t="s">
        <v>109</v>
      </c>
      <c r="B228" s="39" t="s">
        <v>35</v>
      </c>
      <c r="C228" s="34" t="s">
        <v>21</v>
      </c>
      <c r="O228" s="40">
        <v>855.6</v>
      </c>
      <c r="P228" s="41">
        <f t="shared" si="3"/>
        <v>855.6</v>
      </c>
    </row>
    <row r="229" spans="1:16" x14ac:dyDescent="0.3">
      <c r="A229" s="34" t="s">
        <v>109</v>
      </c>
      <c r="B229" s="39" t="s">
        <v>37</v>
      </c>
      <c r="C229" s="34" t="s">
        <v>21</v>
      </c>
      <c r="O229" s="40">
        <v>89.7</v>
      </c>
      <c r="P229" s="41">
        <f t="shared" si="3"/>
        <v>89.7</v>
      </c>
    </row>
    <row r="230" spans="1:16" x14ac:dyDescent="0.3">
      <c r="A230" s="34" t="s">
        <v>109</v>
      </c>
      <c r="B230" s="39" t="s">
        <v>38</v>
      </c>
      <c r="C230" s="34" t="s">
        <v>21</v>
      </c>
      <c r="O230" s="40">
        <v>2382</v>
      </c>
      <c r="P230" s="41">
        <f t="shared" si="3"/>
        <v>2382</v>
      </c>
    </row>
    <row r="231" spans="1:16" x14ac:dyDescent="0.3">
      <c r="A231" s="34" t="s">
        <v>109</v>
      </c>
      <c r="B231" s="39" t="s">
        <v>41</v>
      </c>
      <c r="C231" s="34" t="s">
        <v>21</v>
      </c>
      <c r="O231" s="40">
        <v>383.39999999999969</v>
      </c>
      <c r="P231" s="41">
        <f t="shared" si="3"/>
        <v>383.39999999999969</v>
      </c>
    </row>
    <row r="232" spans="1:16" x14ac:dyDescent="0.3">
      <c r="A232" s="34" t="s">
        <v>109</v>
      </c>
      <c r="B232" s="39" t="s">
        <v>42</v>
      </c>
      <c r="C232" s="34" t="s">
        <v>21</v>
      </c>
      <c r="O232" s="40">
        <v>2734.9</v>
      </c>
      <c r="P232" s="41">
        <f t="shared" si="3"/>
        <v>2734.9</v>
      </c>
    </row>
    <row r="233" spans="1:16" x14ac:dyDescent="0.3">
      <c r="A233" s="34" t="s">
        <v>109</v>
      </c>
      <c r="B233" s="39" t="s">
        <v>43</v>
      </c>
      <c r="C233" s="34" t="s">
        <v>21</v>
      </c>
      <c r="O233" s="40">
        <v>209</v>
      </c>
      <c r="P233" s="41">
        <f t="shared" si="3"/>
        <v>209</v>
      </c>
    </row>
    <row r="234" spans="1:16" x14ac:dyDescent="0.3">
      <c r="A234" s="34" t="s">
        <v>109</v>
      </c>
      <c r="B234" s="35" t="s">
        <v>44</v>
      </c>
      <c r="C234" s="34" t="s">
        <v>21</v>
      </c>
      <c r="P234" s="37">
        <f t="shared" si="3"/>
        <v>0</v>
      </c>
    </row>
    <row r="235" spans="1:16" x14ac:dyDescent="0.3">
      <c r="A235" s="34" t="s">
        <v>109</v>
      </c>
      <c r="B235" s="35" t="s">
        <v>45</v>
      </c>
      <c r="C235" s="34" t="s">
        <v>21</v>
      </c>
      <c r="P235" s="41">
        <f t="shared" si="3"/>
        <v>0</v>
      </c>
    </row>
    <row r="236" spans="1:16" x14ac:dyDescent="0.3">
      <c r="A236" s="34" t="s">
        <v>109</v>
      </c>
      <c r="B236" s="35" t="s">
        <v>47</v>
      </c>
      <c r="C236" s="34" t="s">
        <v>21</v>
      </c>
      <c r="O236" s="41">
        <v>0</v>
      </c>
      <c r="P236" s="41">
        <f t="shared" si="3"/>
        <v>0</v>
      </c>
    </row>
    <row r="237" spans="1:16" x14ac:dyDescent="0.3">
      <c r="A237" s="34" t="s">
        <v>109</v>
      </c>
      <c r="B237" s="35" t="s">
        <v>28</v>
      </c>
      <c r="C237" s="34" t="s">
        <v>22</v>
      </c>
      <c r="P237" s="36">
        <f t="shared" si="3"/>
        <v>0</v>
      </c>
    </row>
    <row r="238" spans="1:16" x14ac:dyDescent="0.3">
      <c r="A238" s="34" t="s">
        <v>109</v>
      </c>
      <c r="B238" s="35" t="s">
        <v>30</v>
      </c>
      <c r="C238" s="34" t="s">
        <v>22</v>
      </c>
      <c r="P238" s="36">
        <f t="shared" si="3"/>
        <v>0</v>
      </c>
    </row>
    <row r="239" spans="1:16" x14ac:dyDescent="0.3">
      <c r="A239" s="34" t="s">
        <v>109</v>
      </c>
      <c r="B239" s="35" t="s">
        <v>31</v>
      </c>
      <c r="C239" s="34" t="s">
        <v>22</v>
      </c>
      <c r="P239" s="37">
        <f t="shared" si="3"/>
        <v>0</v>
      </c>
    </row>
    <row r="240" spans="1:16" x14ac:dyDescent="0.3">
      <c r="A240" s="34" t="s">
        <v>109</v>
      </c>
      <c r="B240" s="35" t="s">
        <v>33</v>
      </c>
      <c r="C240" s="34" t="s">
        <v>22</v>
      </c>
      <c r="P240" s="38">
        <f t="shared" si="3"/>
        <v>0</v>
      </c>
    </row>
    <row r="241" spans="1:16" x14ac:dyDescent="0.3">
      <c r="A241" s="34" t="s">
        <v>109</v>
      </c>
      <c r="B241" s="39" t="s">
        <v>35</v>
      </c>
      <c r="C241" s="34" t="s">
        <v>22</v>
      </c>
      <c r="O241" s="40">
        <v>209</v>
      </c>
      <c r="P241" s="41">
        <f t="shared" si="3"/>
        <v>209</v>
      </c>
    </row>
    <row r="242" spans="1:16" x14ac:dyDescent="0.3">
      <c r="A242" s="34" t="s">
        <v>109</v>
      </c>
      <c r="B242" s="39" t="s">
        <v>37</v>
      </c>
      <c r="C242" s="34" t="s">
        <v>22</v>
      </c>
      <c r="O242" s="40">
        <v>109.9</v>
      </c>
      <c r="P242" s="41">
        <f t="shared" si="3"/>
        <v>109.9</v>
      </c>
    </row>
    <row r="243" spans="1:16" x14ac:dyDescent="0.3">
      <c r="A243" s="34" t="s">
        <v>109</v>
      </c>
      <c r="B243" s="39" t="s">
        <v>38</v>
      </c>
      <c r="C243" s="34" t="s">
        <v>22</v>
      </c>
      <c r="O243" s="40">
        <v>2867.7</v>
      </c>
      <c r="P243" s="41">
        <f t="shared" si="3"/>
        <v>2867.7</v>
      </c>
    </row>
    <row r="244" spans="1:16" x14ac:dyDescent="0.3">
      <c r="A244" s="34" t="s">
        <v>109</v>
      </c>
      <c r="B244" s="39" t="s">
        <v>41</v>
      </c>
      <c r="C244" s="34" t="s">
        <v>22</v>
      </c>
      <c r="O244" s="40">
        <v>421.09999999999991</v>
      </c>
      <c r="P244" s="41">
        <f t="shared" si="3"/>
        <v>421.09999999999991</v>
      </c>
    </row>
    <row r="245" spans="1:16" x14ac:dyDescent="0.3">
      <c r="A245" s="34" t="s">
        <v>109</v>
      </c>
      <c r="B245" s="39" t="s">
        <v>42</v>
      </c>
      <c r="C245" s="34" t="s">
        <v>22</v>
      </c>
      <c r="O245" s="40">
        <v>2327.5</v>
      </c>
      <c r="P245" s="41">
        <f t="shared" si="3"/>
        <v>2327.5</v>
      </c>
    </row>
    <row r="246" spans="1:16" x14ac:dyDescent="0.3">
      <c r="A246" s="34" t="s">
        <v>109</v>
      </c>
      <c r="B246" s="39" t="s">
        <v>43</v>
      </c>
      <c r="C246" s="34" t="s">
        <v>22</v>
      </c>
      <c r="O246" s="40">
        <v>438</v>
      </c>
      <c r="P246" s="41">
        <f t="shared" si="3"/>
        <v>438</v>
      </c>
    </row>
    <row r="247" spans="1:16" x14ac:dyDescent="0.3">
      <c r="A247" s="34" t="s">
        <v>109</v>
      </c>
      <c r="B247" s="35" t="s">
        <v>44</v>
      </c>
      <c r="C247" s="34" t="s">
        <v>22</v>
      </c>
      <c r="P247" s="37">
        <f t="shared" si="3"/>
        <v>0</v>
      </c>
    </row>
    <row r="248" spans="1:16" x14ac:dyDescent="0.3">
      <c r="A248" s="34" t="s">
        <v>109</v>
      </c>
      <c r="B248" s="35" t="s">
        <v>45</v>
      </c>
      <c r="C248" s="34" t="s">
        <v>22</v>
      </c>
      <c r="P248" s="41">
        <f t="shared" si="3"/>
        <v>0</v>
      </c>
    </row>
    <row r="249" spans="1:16" x14ac:dyDescent="0.3">
      <c r="A249" s="34" t="s">
        <v>109</v>
      </c>
      <c r="B249" s="35" t="s">
        <v>47</v>
      </c>
      <c r="C249" s="34" t="s">
        <v>22</v>
      </c>
      <c r="O249" s="41">
        <v>0</v>
      </c>
      <c r="P249" s="41">
        <f t="shared" si="3"/>
        <v>0</v>
      </c>
    </row>
    <row r="250" spans="1:16" x14ac:dyDescent="0.3">
      <c r="A250" s="34" t="s">
        <v>109</v>
      </c>
      <c r="B250" s="35" t="s">
        <v>28</v>
      </c>
      <c r="C250" s="34" t="s">
        <v>23</v>
      </c>
      <c r="P250" s="36">
        <f t="shared" si="3"/>
        <v>0</v>
      </c>
    </row>
    <row r="251" spans="1:16" x14ac:dyDescent="0.3">
      <c r="A251" s="34" t="s">
        <v>109</v>
      </c>
      <c r="B251" s="35" t="s">
        <v>30</v>
      </c>
      <c r="C251" s="34" t="s">
        <v>23</v>
      </c>
      <c r="P251" s="36">
        <f t="shared" si="3"/>
        <v>0</v>
      </c>
    </row>
    <row r="252" spans="1:16" x14ac:dyDescent="0.3">
      <c r="A252" s="34" t="s">
        <v>109</v>
      </c>
      <c r="B252" s="35" t="s">
        <v>31</v>
      </c>
      <c r="C252" s="34" t="s">
        <v>23</v>
      </c>
      <c r="P252" s="37">
        <f t="shared" si="3"/>
        <v>0</v>
      </c>
    </row>
    <row r="253" spans="1:16" x14ac:dyDescent="0.3">
      <c r="A253" s="34" t="s">
        <v>109</v>
      </c>
      <c r="B253" s="35" t="s">
        <v>33</v>
      </c>
      <c r="C253" s="34" t="s">
        <v>23</v>
      </c>
      <c r="P253" s="38">
        <f t="shared" si="3"/>
        <v>0</v>
      </c>
    </row>
    <row r="254" spans="1:16" x14ac:dyDescent="0.3">
      <c r="A254" s="34" t="s">
        <v>109</v>
      </c>
      <c r="B254" s="39" t="s">
        <v>35</v>
      </c>
      <c r="C254" s="34" t="s">
        <v>23</v>
      </c>
      <c r="O254" s="40">
        <v>438</v>
      </c>
      <c r="P254" s="41">
        <f t="shared" si="3"/>
        <v>438</v>
      </c>
    </row>
    <row r="255" spans="1:16" x14ac:dyDescent="0.3">
      <c r="A255" s="34" t="s">
        <v>109</v>
      </c>
      <c r="B255" s="39" t="s">
        <v>37</v>
      </c>
      <c r="C255" s="34" t="s">
        <v>23</v>
      </c>
      <c r="O255" s="40">
        <v>51.3</v>
      </c>
      <c r="P255" s="41">
        <f t="shared" si="3"/>
        <v>51.3</v>
      </c>
    </row>
    <row r="256" spans="1:16" x14ac:dyDescent="0.3">
      <c r="A256" s="34" t="s">
        <v>109</v>
      </c>
      <c r="B256" s="39" t="s">
        <v>38</v>
      </c>
      <c r="C256" s="34" t="s">
        <v>23</v>
      </c>
      <c r="O256" s="40">
        <v>1593.6</v>
      </c>
      <c r="P256" s="41">
        <f t="shared" si="3"/>
        <v>1593.6</v>
      </c>
    </row>
    <row r="257" spans="1:16" x14ac:dyDescent="0.3">
      <c r="A257" s="34" t="s">
        <v>109</v>
      </c>
      <c r="B257" s="39" t="s">
        <v>41</v>
      </c>
      <c r="C257" s="34" t="s">
        <v>23</v>
      </c>
      <c r="O257" s="40">
        <v>255.10000000000011</v>
      </c>
      <c r="P257" s="41">
        <f t="shared" si="3"/>
        <v>255.10000000000011</v>
      </c>
    </row>
    <row r="258" spans="1:16" x14ac:dyDescent="0.3">
      <c r="A258" s="34" t="s">
        <v>109</v>
      </c>
      <c r="B258" s="39" t="s">
        <v>42</v>
      </c>
      <c r="C258" s="34" t="s">
        <v>23</v>
      </c>
      <c r="O258" s="40">
        <v>1602.8</v>
      </c>
      <c r="P258" s="41">
        <f t="shared" si="3"/>
        <v>1602.8</v>
      </c>
    </row>
    <row r="259" spans="1:16" x14ac:dyDescent="0.3">
      <c r="A259" s="34" t="s">
        <v>109</v>
      </c>
      <c r="B259" s="39" t="s">
        <v>43</v>
      </c>
      <c r="C259" s="34" t="s">
        <v>23</v>
      </c>
      <c r="O259" s="40">
        <v>225</v>
      </c>
      <c r="P259" s="41">
        <f t="shared" ref="P259:P322" si="4">SUM(D259:O259)</f>
        <v>225</v>
      </c>
    </row>
    <row r="260" spans="1:16" x14ac:dyDescent="0.3">
      <c r="A260" s="34" t="s">
        <v>109</v>
      </c>
      <c r="B260" s="35" t="s">
        <v>44</v>
      </c>
      <c r="C260" s="34" t="s">
        <v>23</v>
      </c>
      <c r="P260" s="37">
        <f t="shared" si="4"/>
        <v>0</v>
      </c>
    </row>
    <row r="261" spans="1:16" x14ac:dyDescent="0.3">
      <c r="A261" s="34" t="s">
        <v>109</v>
      </c>
      <c r="B261" s="35" t="s">
        <v>45</v>
      </c>
      <c r="C261" s="34" t="s">
        <v>23</v>
      </c>
      <c r="P261" s="41">
        <f t="shared" si="4"/>
        <v>0</v>
      </c>
    </row>
    <row r="262" spans="1:16" x14ac:dyDescent="0.3">
      <c r="A262" s="34" t="s">
        <v>109</v>
      </c>
      <c r="B262" s="35" t="s">
        <v>47</v>
      </c>
      <c r="C262" s="34" t="s">
        <v>23</v>
      </c>
      <c r="O262" s="41">
        <v>0</v>
      </c>
      <c r="P262" s="41">
        <f t="shared" si="4"/>
        <v>0</v>
      </c>
    </row>
    <row r="263" spans="1:16" x14ac:dyDescent="0.3">
      <c r="A263" s="34" t="s">
        <v>109</v>
      </c>
      <c r="B263" s="35" t="s">
        <v>28</v>
      </c>
      <c r="C263" s="34" t="s">
        <v>24</v>
      </c>
      <c r="P263" s="36">
        <f t="shared" si="4"/>
        <v>0</v>
      </c>
    </row>
    <row r="264" spans="1:16" x14ac:dyDescent="0.3">
      <c r="A264" s="34" t="s">
        <v>109</v>
      </c>
      <c r="B264" s="35" t="s">
        <v>30</v>
      </c>
      <c r="C264" s="34" t="s">
        <v>24</v>
      </c>
      <c r="P264" s="36">
        <f t="shared" si="4"/>
        <v>0</v>
      </c>
    </row>
    <row r="265" spans="1:16" x14ac:dyDescent="0.3">
      <c r="A265" s="34" t="s">
        <v>109</v>
      </c>
      <c r="B265" s="35" t="s">
        <v>31</v>
      </c>
      <c r="C265" s="34" t="s">
        <v>24</v>
      </c>
      <c r="P265" s="37">
        <f t="shared" si="4"/>
        <v>0</v>
      </c>
    </row>
    <row r="266" spans="1:16" x14ac:dyDescent="0.3">
      <c r="A266" s="34" t="s">
        <v>109</v>
      </c>
      <c r="B266" s="35" t="s">
        <v>33</v>
      </c>
      <c r="C266" s="34" t="s">
        <v>24</v>
      </c>
      <c r="P266" s="38">
        <f t="shared" si="4"/>
        <v>0</v>
      </c>
    </row>
    <row r="267" spans="1:16" x14ac:dyDescent="0.3">
      <c r="A267" s="34" t="s">
        <v>109</v>
      </c>
      <c r="B267" s="39" t="s">
        <v>35</v>
      </c>
      <c r="C267" s="34" t="s">
        <v>24</v>
      </c>
      <c r="O267" s="40">
        <v>225</v>
      </c>
      <c r="P267" s="41">
        <f t="shared" si="4"/>
        <v>225</v>
      </c>
    </row>
    <row r="268" spans="1:16" x14ac:dyDescent="0.3">
      <c r="A268" s="34" t="s">
        <v>109</v>
      </c>
      <c r="B268" s="39" t="s">
        <v>37</v>
      </c>
      <c r="C268" s="34" t="s">
        <v>24</v>
      </c>
      <c r="O268" s="40">
        <v>86.5</v>
      </c>
      <c r="P268" s="41">
        <f t="shared" si="4"/>
        <v>86.5</v>
      </c>
    </row>
    <row r="269" spans="1:16" x14ac:dyDescent="0.3">
      <c r="A269" s="34" t="s">
        <v>109</v>
      </c>
      <c r="B269" s="39" t="s">
        <v>38</v>
      </c>
      <c r="C269" s="34" t="s">
        <v>24</v>
      </c>
      <c r="O269" s="40">
        <v>2330.6</v>
      </c>
      <c r="P269" s="41">
        <f t="shared" si="4"/>
        <v>2330.6</v>
      </c>
    </row>
    <row r="270" spans="1:16" x14ac:dyDescent="0.3">
      <c r="A270" s="34" t="s">
        <v>109</v>
      </c>
      <c r="B270" s="39" t="s">
        <v>41</v>
      </c>
      <c r="C270" s="34" t="s">
        <v>24</v>
      </c>
      <c r="O270" s="40">
        <v>222.2000000000001</v>
      </c>
      <c r="P270" s="41">
        <f t="shared" si="4"/>
        <v>222.2000000000001</v>
      </c>
    </row>
    <row r="271" spans="1:16" x14ac:dyDescent="0.3">
      <c r="A271" s="34" t="s">
        <v>109</v>
      </c>
      <c r="B271" s="39" t="s">
        <v>42</v>
      </c>
      <c r="C271" s="34" t="s">
        <v>24</v>
      </c>
      <c r="O271" s="40">
        <v>2208.6999999999998</v>
      </c>
      <c r="P271" s="41">
        <f t="shared" si="4"/>
        <v>2208.6999999999998</v>
      </c>
    </row>
    <row r="272" spans="1:16" x14ac:dyDescent="0.3">
      <c r="A272" s="34" t="s">
        <v>109</v>
      </c>
      <c r="B272" s="39" t="s">
        <v>43</v>
      </c>
      <c r="C272" s="34" t="s">
        <v>24</v>
      </c>
      <c r="O272" s="40">
        <v>211.2</v>
      </c>
      <c r="P272" s="41">
        <f t="shared" si="4"/>
        <v>211.2</v>
      </c>
    </row>
    <row r="273" spans="1:16" x14ac:dyDescent="0.3">
      <c r="A273" s="34" t="s">
        <v>109</v>
      </c>
      <c r="B273" s="35" t="s">
        <v>44</v>
      </c>
      <c r="C273" s="34" t="s">
        <v>24</v>
      </c>
      <c r="P273" s="37">
        <f t="shared" si="4"/>
        <v>0</v>
      </c>
    </row>
    <row r="274" spans="1:16" x14ac:dyDescent="0.3">
      <c r="A274" s="34" t="s">
        <v>109</v>
      </c>
      <c r="B274" s="35" t="s">
        <v>45</v>
      </c>
      <c r="C274" s="34" t="s">
        <v>24</v>
      </c>
      <c r="P274" s="41">
        <f t="shared" si="4"/>
        <v>0</v>
      </c>
    </row>
    <row r="275" spans="1:16" x14ac:dyDescent="0.3">
      <c r="A275" s="34" t="s">
        <v>109</v>
      </c>
      <c r="B275" s="35" t="s">
        <v>47</v>
      </c>
      <c r="C275" s="34" t="s">
        <v>24</v>
      </c>
      <c r="O275" s="41">
        <v>-1.7053025658242399E-13</v>
      </c>
      <c r="P275" s="41">
        <f t="shared" si="4"/>
        <v>-1.7053025658242399E-13</v>
      </c>
    </row>
    <row r="276" spans="1:16" x14ac:dyDescent="0.3">
      <c r="A276" s="34" t="s">
        <v>109</v>
      </c>
      <c r="B276" s="35" t="s">
        <v>28</v>
      </c>
      <c r="C276" s="34" t="s">
        <v>25</v>
      </c>
      <c r="P276" s="36">
        <f t="shared" si="4"/>
        <v>0</v>
      </c>
    </row>
    <row r="277" spans="1:16" x14ac:dyDescent="0.3">
      <c r="A277" s="34" t="s">
        <v>109</v>
      </c>
      <c r="B277" s="35" t="s">
        <v>30</v>
      </c>
      <c r="C277" s="34" t="s">
        <v>25</v>
      </c>
      <c r="P277" s="36">
        <f t="shared" si="4"/>
        <v>0</v>
      </c>
    </row>
    <row r="278" spans="1:16" x14ac:dyDescent="0.3">
      <c r="A278" s="34" t="s">
        <v>109</v>
      </c>
      <c r="B278" s="35" t="s">
        <v>31</v>
      </c>
      <c r="C278" s="34" t="s">
        <v>25</v>
      </c>
      <c r="P278" s="37">
        <f t="shared" si="4"/>
        <v>0</v>
      </c>
    </row>
    <row r="279" spans="1:16" x14ac:dyDescent="0.3">
      <c r="A279" s="34" t="s">
        <v>109</v>
      </c>
      <c r="B279" s="35" t="s">
        <v>33</v>
      </c>
      <c r="C279" s="34" t="s">
        <v>25</v>
      </c>
      <c r="P279" s="38">
        <f t="shared" si="4"/>
        <v>0</v>
      </c>
    </row>
    <row r="280" spans="1:16" x14ac:dyDescent="0.3">
      <c r="A280" s="34" t="s">
        <v>109</v>
      </c>
      <c r="B280" s="39" t="s">
        <v>35</v>
      </c>
      <c r="C280" s="34" t="s">
        <v>25</v>
      </c>
      <c r="O280" s="40">
        <v>211.2</v>
      </c>
      <c r="P280" s="41">
        <f t="shared" si="4"/>
        <v>211.2</v>
      </c>
    </row>
    <row r="281" spans="1:16" x14ac:dyDescent="0.3">
      <c r="A281" s="34" t="s">
        <v>109</v>
      </c>
      <c r="B281" s="39" t="s">
        <v>37</v>
      </c>
      <c r="C281" s="34" t="s">
        <v>25</v>
      </c>
      <c r="O281" s="40">
        <v>91.7</v>
      </c>
      <c r="P281" s="41">
        <f t="shared" si="4"/>
        <v>91.7</v>
      </c>
    </row>
    <row r="282" spans="1:16" x14ac:dyDescent="0.3">
      <c r="A282" s="34" t="s">
        <v>109</v>
      </c>
      <c r="B282" s="39" t="s">
        <v>38</v>
      </c>
      <c r="C282" s="34" t="s">
        <v>25</v>
      </c>
      <c r="O282" s="40">
        <v>1801.1</v>
      </c>
      <c r="P282" s="41">
        <f t="shared" si="4"/>
        <v>1801.1</v>
      </c>
    </row>
    <row r="283" spans="1:16" x14ac:dyDescent="0.3">
      <c r="A283" s="34" t="s">
        <v>109</v>
      </c>
      <c r="B283" s="39" t="s">
        <v>41</v>
      </c>
      <c r="C283" s="34" t="s">
        <v>25</v>
      </c>
      <c r="O283" s="40">
        <v>263.5</v>
      </c>
      <c r="P283" s="41">
        <f t="shared" si="4"/>
        <v>263.5</v>
      </c>
    </row>
    <row r="284" spans="1:16" x14ac:dyDescent="0.3">
      <c r="A284" s="34" t="s">
        <v>109</v>
      </c>
      <c r="B284" s="39" t="s">
        <v>42</v>
      </c>
      <c r="C284" s="34" t="s">
        <v>25</v>
      </c>
      <c r="O284" s="40">
        <v>1675.5</v>
      </c>
      <c r="P284" s="41">
        <f t="shared" si="4"/>
        <v>1675.5</v>
      </c>
    </row>
    <row r="285" spans="1:16" x14ac:dyDescent="0.3">
      <c r="A285" s="34" t="s">
        <v>109</v>
      </c>
      <c r="B285" s="39" t="s">
        <v>43</v>
      </c>
      <c r="C285" s="34" t="s">
        <v>25</v>
      </c>
      <c r="O285" s="40">
        <v>165</v>
      </c>
      <c r="P285" s="41">
        <f t="shared" si="4"/>
        <v>165</v>
      </c>
    </row>
    <row r="286" spans="1:16" x14ac:dyDescent="0.3">
      <c r="A286" s="34" t="s">
        <v>109</v>
      </c>
      <c r="B286" s="35" t="s">
        <v>44</v>
      </c>
      <c r="C286" s="34" t="s">
        <v>25</v>
      </c>
      <c r="P286" s="37">
        <f t="shared" si="4"/>
        <v>0</v>
      </c>
    </row>
    <row r="287" spans="1:16" x14ac:dyDescent="0.3">
      <c r="A287" s="34" t="s">
        <v>109</v>
      </c>
      <c r="B287" s="35" t="s">
        <v>45</v>
      </c>
      <c r="C287" s="34" t="s">
        <v>25</v>
      </c>
      <c r="P287" s="41">
        <f t="shared" si="4"/>
        <v>0</v>
      </c>
    </row>
    <row r="288" spans="1:16" x14ac:dyDescent="0.3">
      <c r="A288" s="34" t="s">
        <v>109</v>
      </c>
      <c r="B288" s="35" t="s">
        <v>47</v>
      </c>
      <c r="C288" s="34" t="s">
        <v>25</v>
      </c>
      <c r="O288" s="41">
        <v>0</v>
      </c>
      <c r="P288" s="41">
        <f t="shared" si="4"/>
        <v>0</v>
      </c>
    </row>
    <row r="289" spans="1:16" x14ac:dyDescent="0.3">
      <c r="A289" s="34" t="s">
        <v>109</v>
      </c>
      <c r="B289" s="35" t="s">
        <v>28</v>
      </c>
      <c r="C289" s="34" t="s">
        <v>26</v>
      </c>
      <c r="P289" s="36">
        <f t="shared" si="4"/>
        <v>0</v>
      </c>
    </row>
    <row r="290" spans="1:16" x14ac:dyDescent="0.3">
      <c r="A290" s="34" t="s">
        <v>109</v>
      </c>
      <c r="B290" s="35" t="s">
        <v>30</v>
      </c>
      <c r="C290" s="34" t="s">
        <v>26</v>
      </c>
      <c r="P290" s="36">
        <f t="shared" si="4"/>
        <v>0</v>
      </c>
    </row>
    <row r="291" spans="1:16" x14ac:dyDescent="0.3">
      <c r="A291" s="34" t="s">
        <v>109</v>
      </c>
      <c r="B291" s="35" t="s">
        <v>31</v>
      </c>
      <c r="C291" s="34" t="s">
        <v>26</v>
      </c>
      <c r="P291" s="37">
        <f t="shared" si="4"/>
        <v>0</v>
      </c>
    </row>
    <row r="292" spans="1:16" x14ac:dyDescent="0.3">
      <c r="A292" s="34" t="s">
        <v>109</v>
      </c>
      <c r="B292" s="35" t="s">
        <v>33</v>
      </c>
      <c r="C292" s="34" t="s">
        <v>26</v>
      </c>
      <c r="P292" s="38">
        <f t="shared" si="4"/>
        <v>0</v>
      </c>
    </row>
    <row r="293" spans="1:16" x14ac:dyDescent="0.3">
      <c r="A293" s="34" t="s">
        <v>109</v>
      </c>
      <c r="B293" s="39" t="s">
        <v>35</v>
      </c>
      <c r="C293" s="34" t="s">
        <v>26</v>
      </c>
      <c r="O293" s="40">
        <v>165</v>
      </c>
      <c r="P293" s="41">
        <f t="shared" si="4"/>
        <v>165</v>
      </c>
    </row>
    <row r="294" spans="1:16" x14ac:dyDescent="0.3">
      <c r="A294" s="34" t="s">
        <v>109</v>
      </c>
      <c r="B294" s="39" t="s">
        <v>37</v>
      </c>
      <c r="C294" s="34" t="s">
        <v>26</v>
      </c>
      <c r="O294" s="40">
        <v>125.7</v>
      </c>
      <c r="P294" s="41">
        <f t="shared" si="4"/>
        <v>125.7</v>
      </c>
    </row>
    <row r="295" spans="1:16" x14ac:dyDescent="0.3">
      <c r="A295" s="34" t="s">
        <v>109</v>
      </c>
      <c r="B295" s="39" t="s">
        <v>38</v>
      </c>
      <c r="C295" s="34" t="s">
        <v>26</v>
      </c>
      <c r="O295" s="40">
        <v>2431.3000000000002</v>
      </c>
      <c r="P295" s="41">
        <f t="shared" si="4"/>
        <v>2431.3000000000002</v>
      </c>
    </row>
    <row r="296" spans="1:16" x14ac:dyDescent="0.3">
      <c r="A296" s="34" t="s">
        <v>109</v>
      </c>
      <c r="B296" s="39" t="s">
        <v>41</v>
      </c>
      <c r="C296" s="34" t="s">
        <v>26</v>
      </c>
      <c r="O296" s="40">
        <v>338.7</v>
      </c>
      <c r="P296" s="41">
        <f t="shared" si="4"/>
        <v>338.7</v>
      </c>
    </row>
    <row r="297" spans="1:16" x14ac:dyDescent="0.3">
      <c r="A297" s="34" t="s">
        <v>109</v>
      </c>
      <c r="B297" s="39" t="s">
        <v>42</v>
      </c>
      <c r="C297" s="34" t="s">
        <v>26</v>
      </c>
      <c r="O297" s="40">
        <v>1822.1</v>
      </c>
      <c r="P297" s="41">
        <f t="shared" si="4"/>
        <v>1822.1</v>
      </c>
    </row>
    <row r="298" spans="1:16" x14ac:dyDescent="0.3">
      <c r="A298" s="34" t="s">
        <v>109</v>
      </c>
      <c r="B298" s="39" t="s">
        <v>43</v>
      </c>
      <c r="C298" s="34" t="s">
        <v>26</v>
      </c>
      <c r="O298" s="40">
        <v>561.20000000000005</v>
      </c>
      <c r="P298" s="41">
        <f t="shared" si="4"/>
        <v>561.20000000000005</v>
      </c>
    </row>
    <row r="299" spans="1:16" x14ac:dyDescent="0.3">
      <c r="A299" s="34" t="s">
        <v>109</v>
      </c>
      <c r="B299" s="35" t="s">
        <v>44</v>
      </c>
      <c r="C299" s="34" t="s">
        <v>26</v>
      </c>
      <c r="P299" s="37">
        <f t="shared" si="4"/>
        <v>0</v>
      </c>
    </row>
    <row r="300" spans="1:16" x14ac:dyDescent="0.3">
      <c r="A300" s="34" t="s">
        <v>109</v>
      </c>
      <c r="B300" s="35" t="s">
        <v>45</v>
      </c>
      <c r="C300" s="34" t="s">
        <v>26</v>
      </c>
      <c r="P300" s="41">
        <f t="shared" si="4"/>
        <v>0</v>
      </c>
    </row>
    <row r="301" spans="1:16" x14ac:dyDescent="0.3">
      <c r="A301" s="34" t="s">
        <v>109</v>
      </c>
      <c r="B301" s="35" t="s">
        <v>47</v>
      </c>
      <c r="C301" s="34" t="s">
        <v>26</v>
      </c>
      <c r="O301" s="41">
        <v>2.2737367544323211E-13</v>
      </c>
      <c r="P301" s="41">
        <f t="shared" si="4"/>
        <v>2.2737367544323211E-13</v>
      </c>
    </row>
    <row r="302" spans="1:16" x14ac:dyDescent="0.3">
      <c r="A302" s="34" t="s">
        <v>109</v>
      </c>
      <c r="B302" s="42" t="s">
        <v>47</v>
      </c>
      <c r="C302" s="43" t="s">
        <v>36</v>
      </c>
      <c r="D302" s="40">
        <v>0</v>
      </c>
      <c r="E302" s="40">
        <v>0</v>
      </c>
      <c r="F302" s="40">
        <v>0</v>
      </c>
      <c r="G302" s="40">
        <v>0</v>
      </c>
      <c r="H302" s="40">
        <v>0</v>
      </c>
      <c r="I302" s="40">
        <v>0</v>
      </c>
      <c r="J302" s="40">
        <v>0</v>
      </c>
      <c r="K302" s="40">
        <v>0</v>
      </c>
      <c r="L302" s="40">
        <v>0</v>
      </c>
      <c r="M302" s="40">
        <v>0</v>
      </c>
      <c r="N302" s="40">
        <v>0</v>
      </c>
      <c r="O302" s="40">
        <v>0</v>
      </c>
      <c r="P302" s="44">
        <v>0</v>
      </c>
    </row>
  </sheetData>
  <mergeCells count="1">
    <mergeCell ref="A1:C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P348"/>
  <sheetViews>
    <sheetView tabSelected="1" workbookViewId="0">
      <selection sqref="A1:C1"/>
    </sheetView>
  </sheetViews>
  <sheetFormatPr defaultRowHeight="14.4" x14ac:dyDescent="0.3"/>
  <cols>
    <col min="1" max="1" width="18" customWidth="1"/>
    <col min="2" max="2" width="28" customWidth="1"/>
    <col min="3" max="3" width="10" customWidth="1"/>
    <col min="4" max="15" width="8" customWidth="1"/>
    <col min="16" max="16" width="12" customWidth="1"/>
  </cols>
  <sheetData>
    <row r="1" spans="1:16" ht="15.6" x14ac:dyDescent="0.3">
      <c r="A1" s="60" t="s">
        <v>89</v>
      </c>
      <c r="B1" s="58"/>
      <c r="C1" s="58"/>
    </row>
    <row r="2" spans="1:16" x14ac:dyDescent="0.3">
      <c r="A2" s="45" t="s">
        <v>1</v>
      </c>
      <c r="B2" s="45" t="s">
        <v>2</v>
      </c>
      <c r="C2" s="45" t="s">
        <v>48</v>
      </c>
      <c r="D2" s="45" t="s">
        <v>106</v>
      </c>
      <c r="E2" s="45" t="s">
        <v>95</v>
      </c>
      <c r="F2" s="45" t="s">
        <v>96</v>
      </c>
      <c r="G2" s="45" t="s">
        <v>97</v>
      </c>
      <c r="H2" s="45" t="s">
        <v>98</v>
      </c>
      <c r="I2" s="45" t="s">
        <v>99</v>
      </c>
      <c r="J2" s="45" t="s">
        <v>100</v>
      </c>
      <c r="K2" s="45" t="s">
        <v>101</v>
      </c>
      <c r="L2" s="45" t="s">
        <v>102</v>
      </c>
      <c r="M2" s="45" t="s">
        <v>103</v>
      </c>
      <c r="N2" s="45" t="s">
        <v>104</v>
      </c>
      <c r="O2" s="45" t="s">
        <v>105</v>
      </c>
      <c r="P2" s="45" t="s">
        <v>107</v>
      </c>
    </row>
    <row r="3" spans="1:16" x14ac:dyDescent="0.3">
      <c r="A3" s="46" t="s">
        <v>89</v>
      </c>
      <c r="B3" s="47" t="s">
        <v>28</v>
      </c>
      <c r="C3" s="46" t="s">
        <v>4</v>
      </c>
      <c r="P3" s="48">
        <f t="shared" ref="P3:P66" si="0">SUM(D3:O3)</f>
        <v>0</v>
      </c>
    </row>
    <row r="4" spans="1:16" x14ac:dyDescent="0.3">
      <c r="A4" s="46" t="s">
        <v>89</v>
      </c>
      <c r="B4" s="47" t="s">
        <v>30</v>
      </c>
      <c r="C4" s="46" t="s">
        <v>4</v>
      </c>
      <c r="P4" s="48">
        <f t="shared" si="0"/>
        <v>0</v>
      </c>
    </row>
    <row r="5" spans="1:16" x14ac:dyDescent="0.3">
      <c r="A5" s="46" t="s">
        <v>89</v>
      </c>
      <c r="B5" s="47" t="s">
        <v>31</v>
      </c>
      <c r="C5" s="46" t="s">
        <v>4</v>
      </c>
      <c r="P5" s="49">
        <f t="shared" si="0"/>
        <v>0</v>
      </c>
    </row>
    <row r="6" spans="1:16" x14ac:dyDescent="0.3">
      <c r="A6" s="46" t="s">
        <v>89</v>
      </c>
      <c r="B6" s="47" t="s">
        <v>33</v>
      </c>
      <c r="C6" s="46" t="s">
        <v>4</v>
      </c>
      <c r="P6" s="50">
        <f t="shared" si="0"/>
        <v>0</v>
      </c>
    </row>
    <row r="7" spans="1:16" x14ac:dyDescent="0.3">
      <c r="A7" s="46" t="s">
        <v>89</v>
      </c>
      <c r="B7" s="51" t="s">
        <v>35</v>
      </c>
      <c r="C7" s="46" t="s">
        <v>4</v>
      </c>
      <c r="H7" s="52">
        <v>1544.9</v>
      </c>
      <c r="K7" s="52">
        <v>3665.4</v>
      </c>
      <c r="O7" s="52">
        <v>3133.4</v>
      </c>
      <c r="P7" s="53">
        <f t="shared" si="0"/>
        <v>8343.7000000000007</v>
      </c>
    </row>
    <row r="8" spans="1:16" x14ac:dyDescent="0.3">
      <c r="A8" s="46" t="s">
        <v>89</v>
      </c>
      <c r="B8" s="51" t="s">
        <v>37</v>
      </c>
      <c r="C8" s="46" t="s">
        <v>4</v>
      </c>
      <c r="H8" s="52">
        <v>3.9</v>
      </c>
      <c r="K8" s="52">
        <v>5.3</v>
      </c>
      <c r="O8" s="52">
        <v>5.5</v>
      </c>
      <c r="P8" s="53">
        <f t="shared" si="0"/>
        <v>14.7</v>
      </c>
    </row>
    <row r="9" spans="1:16" x14ac:dyDescent="0.3">
      <c r="A9" s="46" t="s">
        <v>89</v>
      </c>
      <c r="B9" s="51" t="s">
        <v>38</v>
      </c>
      <c r="C9" s="46" t="s">
        <v>4</v>
      </c>
      <c r="H9" s="52">
        <v>3876.9</v>
      </c>
      <c r="K9" s="52">
        <v>3876.9</v>
      </c>
      <c r="O9" s="52">
        <v>3876.9</v>
      </c>
      <c r="P9" s="53">
        <f t="shared" si="0"/>
        <v>11630.7</v>
      </c>
    </row>
    <row r="10" spans="1:16" x14ac:dyDescent="0.3">
      <c r="A10" s="46" t="s">
        <v>89</v>
      </c>
      <c r="B10" s="51" t="s">
        <v>39</v>
      </c>
      <c r="C10" s="46" t="s">
        <v>4</v>
      </c>
      <c r="H10" s="52">
        <v>23.58</v>
      </c>
      <c r="K10" s="52">
        <v>24.766666666666659</v>
      </c>
      <c r="O10" s="52">
        <v>21.025000000000009</v>
      </c>
      <c r="P10" s="53">
        <f t="shared" si="0"/>
        <v>69.37166666666667</v>
      </c>
    </row>
    <row r="11" spans="1:16" x14ac:dyDescent="0.3">
      <c r="A11" s="46" t="s">
        <v>89</v>
      </c>
      <c r="B11" s="51" t="s">
        <v>40</v>
      </c>
      <c r="C11" s="46" t="s">
        <v>4</v>
      </c>
      <c r="H11" s="52">
        <v>0</v>
      </c>
      <c r="K11" s="52">
        <v>0</v>
      </c>
      <c r="O11" s="52">
        <v>0</v>
      </c>
      <c r="P11" s="53">
        <f t="shared" si="0"/>
        <v>0</v>
      </c>
    </row>
    <row r="12" spans="1:16" x14ac:dyDescent="0.3">
      <c r="A12" s="46" t="s">
        <v>89</v>
      </c>
      <c r="B12" s="51" t="s">
        <v>41</v>
      </c>
      <c r="C12" s="46" t="s">
        <v>4</v>
      </c>
      <c r="H12" s="52">
        <v>1459.1999999999989</v>
      </c>
      <c r="K12" s="52">
        <v>4253.4333333333343</v>
      </c>
      <c r="O12" s="52">
        <v>5093.0750000000007</v>
      </c>
      <c r="P12" s="53">
        <f t="shared" si="0"/>
        <v>10805.708333333334</v>
      </c>
    </row>
    <row r="13" spans="1:16" x14ac:dyDescent="0.3">
      <c r="A13" s="46" t="s">
        <v>89</v>
      </c>
      <c r="B13" s="51" t="s">
        <v>42</v>
      </c>
      <c r="C13" s="46" t="s">
        <v>4</v>
      </c>
      <c r="H13" s="52">
        <v>277.52</v>
      </c>
      <c r="K13" s="52">
        <v>136</v>
      </c>
      <c r="O13" s="52">
        <v>293.10000000000002</v>
      </c>
      <c r="P13" s="53">
        <f t="shared" si="0"/>
        <v>706.62</v>
      </c>
    </row>
    <row r="14" spans="1:16" x14ac:dyDescent="0.3">
      <c r="A14" s="46" t="s">
        <v>89</v>
      </c>
      <c r="B14" s="51" t="s">
        <v>43</v>
      </c>
      <c r="C14" s="46" t="s">
        <v>4</v>
      </c>
      <c r="H14" s="52">
        <v>3665.4</v>
      </c>
      <c r="K14" s="52">
        <v>3133.4</v>
      </c>
      <c r="O14" s="52">
        <v>1608.6</v>
      </c>
      <c r="P14" s="53">
        <f t="shared" si="0"/>
        <v>8407.4</v>
      </c>
    </row>
    <row r="15" spans="1:16" x14ac:dyDescent="0.3">
      <c r="A15" s="46" t="s">
        <v>89</v>
      </c>
      <c r="B15" s="47" t="s">
        <v>44</v>
      </c>
      <c r="C15" s="46" t="s">
        <v>4</v>
      </c>
      <c r="P15" s="49">
        <f t="shared" si="0"/>
        <v>0</v>
      </c>
    </row>
    <row r="16" spans="1:16" x14ac:dyDescent="0.3">
      <c r="A16" s="46" t="s">
        <v>89</v>
      </c>
      <c r="B16" s="47" t="s">
        <v>45</v>
      </c>
      <c r="C16" s="46" t="s">
        <v>4</v>
      </c>
      <c r="P16" s="53">
        <f t="shared" si="0"/>
        <v>0</v>
      </c>
    </row>
    <row r="17" spans="1:16" x14ac:dyDescent="0.3">
      <c r="A17" s="46" t="s">
        <v>89</v>
      </c>
      <c r="B17" s="47" t="s">
        <v>47</v>
      </c>
      <c r="C17" s="46" t="s">
        <v>4</v>
      </c>
      <c r="H17" s="53">
        <v>4.5474735088646412E-13</v>
      </c>
      <c r="K17" s="53">
        <v>-4.5474735088646412E-13</v>
      </c>
      <c r="O17" s="53">
        <v>0</v>
      </c>
      <c r="P17" s="53">
        <f t="shared" si="0"/>
        <v>0</v>
      </c>
    </row>
    <row r="18" spans="1:16" x14ac:dyDescent="0.3">
      <c r="A18" s="46" t="s">
        <v>89</v>
      </c>
      <c r="B18" s="47" t="s">
        <v>28</v>
      </c>
      <c r="C18" s="46" t="s">
        <v>5</v>
      </c>
      <c r="P18" s="48">
        <f t="shared" si="0"/>
        <v>0</v>
      </c>
    </row>
    <row r="19" spans="1:16" x14ac:dyDescent="0.3">
      <c r="A19" s="46" t="s">
        <v>89</v>
      </c>
      <c r="B19" s="47" t="s">
        <v>30</v>
      </c>
      <c r="C19" s="46" t="s">
        <v>5</v>
      </c>
      <c r="P19" s="48">
        <f t="shared" si="0"/>
        <v>0</v>
      </c>
    </row>
    <row r="20" spans="1:16" x14ac:dyDescent="0.3">
      <c r="A20" s="46" t="s">
        <v>89</v>
      </c>
      <c r="B20" s="47" t="s">
        <v>31</v>
      </c>
      <c r="C20" s="46" t="s">
        <v>5</v>
      </c>
      <c r="P20" s="49">
        <f t="shared" si="0"/>
        <v>0</v>
      </c>
    </row>
    <row r="21" spans="1:16" x14ac:dyDescent="0.3">
      <c r="A21" s="46" t="s">
        <v>89</v>
      </c>
      <c r="B21" s="47" t="s">
        <v>33</v>
      </c>
      <c r="C21" s="46" t="s">
        <v>5</v>
      </c>
      <c r="P21" s="50">
        <f t="shared" si="0"/>
        <v>0</v>
      </c>
    </row>
    <row r="22" spans="1:16" x14ac:dyDescent="0.3">
      <c r="A22" s="46" t="s">
        <v>89</v>
      </c>
      <c r="B22" s="51" t="s">
        <v>35</v>
      </c>
      <c r="C22" s="46" t="s">
        <v>5</v>
      </c>
      <c r="H22" s="52">
        <v>1608.6</v>
      </c>
      <c r="K22" s="52">
        <v>3906.7</v>
      </c>
      <c r="O22" s="52">
        <v>3138.6</v>
      </c>
      <c r="P22" s="53">
        <f t="shared" si="0"/>
        <v>8653.9</v>
      </c>
    </row>
    <row r="23" spans="1:16" x14ac:dyDescent="0.3">
      <c r="A23" s="46" t="s">
        <v>89</v>
      </c>
      <c r="B23" s="51" t="s">
        <v>37</v>
      </c>
      <c r="C23" s="46" t="s">
        <v>5</v>
      </c>
      <c r="H23" s="52">
        <v>0.3</v>
      </c>
      <c r="K23" s="52">
        <v>0.7</v>
      </c>
      <c r="O23" s="52">
        <v>1.3</v>
      </c>
      <c r="P23" s="53">
        <f t="shared" si="0"/>
        <v>2.2999999999999998</v>
      </c>
    </row>
    <row r="24" spans="1:16" x14ac:dyDescent="0.3">
      <c r="A24" s="46" t="s">
        <v>89</v>
      </c>
      <c r="B24" s="51" t="s">
        <v>38</v>
      </c>
      <c r="C24" s="46" t="s">
        <v>5</v>
      </c>
      <c r="H24" s="52">
        <v>4211.6000000000004</v>
      </c>
      <c r="K24" s="52">
        <v>4211.6000000000004</v>
      </c>
      <c r="O24" s="52">
        <v>4211.6000000000004</v>
      </c>
      <c r="P24" s="53">
        <f t="shared" si="0"/>
        <v>12634.800000000001</v>
      </c>
    </row>
    <row r="25" spans="1:16" x14ac:dyDescent="0.3">
      <c r="A25" s="46" t="s">
        <v>89</v>
      </c>
      <c r="B25" s="51" t="s">
        <v>39</v>
      </c>
      <c r="C25" s="46" t="s">
        <v>5</v>
      </c>
      <c r="H25" s="52">
        <v>22.46</v>
      </c>
      <c r="K25" s="52">
        <v>20.7</v>
      </c>
      <c r="O25" s="52">
        <v>19.274999999999999</v>
      </c>
      <c r="P25" s="53">
        <f t="shared" si="0"/>
        <v>62.434999999999995</v>
      </c>
    </row>
    <row r="26" spans="1:16" x14ac:dyDescent="0.3">
      <c r="A26" s="46" t="s">
        <v>89</v>
      </c>
      <c r="B26" s="51" t="s">
        <v>40</v>
      </c>
      <c r="C26" s="46" t="s">
        <v>5</v>
      </c>
      <c r="H26" s="52">
        <v>0</v>
      </c>
      <c r="K26" s="52">
        <v>0</v>
      </c>
      <c r="O26" s="52">
        <v>0</v>
      </c>
      <c r="P26" s="53">
        <f t="shared" si="0"/>
        <v>0</v>
      </c>
    </row>
    <row r="27" spans="1:16" x14ac:dyDescent="0.3">
      <c r="A27" s="46" t="s">
        <v>89</v>
      </c>
      <c r="B27" s="51" t="s">
        <v>41</v>
      </c>
      <c r="C27" s="46" t="s">
        <v>5</v>
      </c>
      <c r="H27" s="52">
        <v>1553.5200000000009</v>
      </c>
      <c r="K27" s="52">
        <v>4731.1333333333332</v>
      </c>
      <c r="O27" s="52">
        <v>5294.9750000000004</v>
      </c>
      <c r="P27" s="53">
        <f t="shared" si="0"/>
        <v>11579.628333333334</v>
      </c>
    </row>
    <row r="28" spans="1:16" x14ac:dyDescent="0.3">
      <c r="A28" s="46" t="s">
        <v>89</v>
      </c>
      <c r="B28" s="51" t="s">
        <v>42</v>
      </c>
      <c r="C28" s="46" t="s">
        <v>5</v>
      </c>
      <c r="H28" s="52">
        <v>337.82</v>
      </c>
      <c r="K28" s="52">
        <v>228.56666666666669</v>
      </c>
      <c r="O28" s="52">
        <v>263.14999999999998</v>
      </c>
      <c r="P28" s="53">
        <f t="shared" si="0"/>
        <v>829.53666666666663</v>
      </c>
    </row>
    <row r="29" spans="1:16" x14ac:dyDescent="0.3">
      <c r="A29" s="46" t="s">
        <v>89</v>
      </c>
      <c r="B29" s="51" t="s">
        <v>43</v>
      </c>
      <c r="C29" s="46" t="s">
        <v>5</v>
      </c>
      <c r="H29" s="52">
        <v>3906.7</v>
      </c>
      <c r="K29" s="52">
        <v>3138.6</v>
      </c>
      <c r="O29" s="52">
        <v>1774.1</v>
      </c>
      <c r="P29" s="53">
        <f t="shared" si="0"/>
        <v>8819.4</v>
      </c>
    </row>
    <row r="30" spans="1:16" x14ac:dyDescent="0.3">
      <c r="A30" s="46" t="s">
        <v>89</v>
      </c>
      <c r="B30" s="47" t="s">
        <v>44</v>
      </c>
      <c r="C30" s="46" t="s">
        <v>5</v>
      </c>
      <c r="P30" s="49">
        <f t="shared" si="0"/>
        <v>0</v>
      </c>
    </row>
    <row r="31" spans="1:16" x14ac:dyDescent="0.3">
      <c r="A31" s="46" t="s">
        <v>89</v>
      </c>
      <c r="B31" s="47" t="s">
        <v>45</v>
      </c>
      <c r="C31" s="46" t="s">
        <v>5</v>
      </c>
      <c r="P31" s="53">
        <f t="shared" si="0"/>
        <v>0</v>
      </c>
    </row>
    <row r="32" spans="1:16" x14ac:dyDescent="0.3">
      <c r="A32" s="46" t="s">
        <v>89</v>
      </c>
      <c r="B32" s="47" t="s">
        <v>47</v>
      </c>
      <c r="C32" s="46" t="s">
        <v>5</v>
      </c>
      <c r="H32" s="53">
        <v>-4.5474735088646412E-13</v>
      </c>
      <c r="K32" s="53">
        <v>4.5474735088646412E-13</v>
      </c>
      <c r="O32" s="53">
        <v>9.0949470177292824E-13</v>
      </c>
      <c r="P32" s="53">
        <f t="shared" si="0"/>
        <v>9.0949470177292824E-13</v>
      </c>
    </row>
    <row r="33" spans="1:16" x14ac:dyDescent="0.3">
      <c r="A33" s="46" t="s">
        <v>89</v>
      </c>
      <c r="B33" s="47" t="s">
        <v>28</v>
      </c>
      <c r="C33" s="46" t="s">
        <v>6</v>
      </c>
      <c r="P33" s="48">
        <f t="shared" si="0"/>
        <v>0</v>
      </c>
    </row>
    <row r="34" spans="1:16" x14ac:dyDescent="0.3">
      <c r="A34" s="46" t="s">
        <v>89</v>
      </c>
      <c r="B34" s="47" t="s">
        <v>30</v>
      </c>
      <c r="C34" s="46" t="s">
        <v>6</v>
      </c>
      <c r="P34" s="48">
        <f t="shared" si="0"/>
        <v>0</v>
      </c>
    </row>
    <row r="35" spans="1:16" x14ac:dyDescent="0.3">
      <c r="A35" s="46" t="s">
        <v>89</v>
      </c>
      <c r="B35" s="47" t="s">
        <v>31</v>
      </c>
      <c r="C35" s="46" t="s">
        <v>6</v>
      </c>
      <c r="P35" s="49">
        <f t="shared" si="0"/>
        <v>0</v>
      </c>
    </row>
    <row r="36" spans="1:16" x14ac:dyDescent="0.3">
      <c r="A36" s="46" t="s">
        <v>89</v>
      </c>
      <c r="B36" s="47" t="s">
        <v>33</v>
      </c>
      <c r="C36" s="46" t="s">
        <v>6</v>
      </c>
      <c r="P36" s="50">
        <f t="shared" si="0"/>
        <v>0</v>
      </c>
    </row>
    <row r="37" spans="1:16" x14ac:dyDescent="0.3">
      <c r="A37" s="46" t="s">
        <v>89</v>
      </c>
      <c r="B37" s="51" t="s">
        <v>35</v>
      </c>
      <c r="C37" s="46" t="s">
        <v>6</v>
      </c>
      <c r="H37" s="52">
        <v>1774.1</v>
      </c>
      <c r="K37" s="52">
        <v>4833.7</v>
      </c>
      <c r="O37" s="52">
        <v>4160</v>
      </c>
      <c r="P37" s="53">
        <f t="shared" si="0"/>
        <v>10767.8</v>
      </c>
    </row>
    <row r="38" spans="1:16" x14ac:dyDescent="0.3">
      <c r="A38" s="46" t="s">
        <v>89</v>
      </c>
      <c r="B38" s="51" t="s">
        <v>37</v>
      </c>
      <c r="C38" s="46" t="s">
        <v>6</v>
      </c>
      <c r="H38" s="52">
        <v>0.3</v>
      </c>
      <c r="K38" s="52">
        <v>0.5</v>
      </c>
      <c r="O38" s="52">
        <v>0.8</v>
      </c>
      <c r="P38" s="53">
        <f t="shared" si="0"/>
        <v>1.6</v>
      </c>
    </row>
    <row r="39" spans="1:16" x14ac:dyDescent="0.3">
      <c r="A39" s="46" t="s">
        <v>89</v>
      </c>
      <c r="B39" s="51" t="s">
        <v>38</v>
      </c>
      <c r="C39" s="46" t="s">
        <v>6</v>
      </c>
      <c r="H39" s="52">
        <v>4801.3999999999996</v>
      </c>
      <c r="K39" s="52">
        <v>4801.3999999999996</v>
      </c>
      <c r="O39" s="52">
        <v>4801.3999999999996</v>
      </c>
      <c r="P39" s="53">
        <f t="shared" si="0"/>
        <v>14404.199999999999</v>
      </c>
    </row>
    <row r="40" spans="1:16" x14ac:dyDescent="0.3">
      <c r="A40" s="46" t="s">
        <v>89</v>
      </c>
      <c r="B40" s="51" t="s">
        <v>39</v>
      </c>
      <c r="C40" s="46" t="s">
        <v>6</v>
      </c>
      <c r="H40" s="52">
        <v>22.34</v>
      </c>
      <c r="K40" s="52">
        <v>21.3</v>
      </c>
      <c r="O40" s="52">
        <v>19.649999999999999</v>
      </c>
      <c r="P40" s="53">
        <f t="shared" si="0"/>
        <v>63.29</v>
      </c>
    </row>
    <row r="41" spans="1:16" x14ac:dyDescent="0.3">
      <c r="A41" s="46" t="s">
        <v>89</v>
      </c>
      <c r="B41" s="51" t="s">
        <v>40</v>
      </c>
      <c r="C41" s="46" t="s">
        <v>6</v>
      </c>
      <c r="H41" s="52">
        <v>0</v>
      </c>
      <c r="K41" s="52">
        <v>0</v>
      </c>
      <c r="O41" s="52">
        <v>0</v>
      </c>
      <c r="P41" s="53">
        <f t="shared" si="0"/>
        <v>0</v>
      </c>
    </row>
    <row r="42" spans="1:16" x14ac:dyDescent="0.3">
      <c r="A42" s="46" t="s">
        <v>89</v>
      </c>
      <c r="B42" s="51" t="s">
        <v>41</v>
      </c>
      <c r="C42" s="46" t="s">
        <v>6</v>
      </c>
      <c r="H42" s="52">
        <v>1413.700000000001</v>
      </c>
      <c r="K42" s="52">
        <v>5292.0666666666657</v>
      </c>
      <c r="O42" s="52">
        <v>6155.2999999999993</v>
      </c>
      <c r="P42" s="53">
        <f t="shared" si="0"/>
        <v>12861.066666666666</v>
      </c>
    </row>
    <row r="43" spans="1:16" x14ac:dyDescent="0.3">
      <c r="A43" s="46" t="s">
        <v>89</v>
      </c>
      <c r="B43" s="51" t="s">
        <v>42</v>
      </c>
      <c r="C43" s="46" t="s">
        <v>6</v>
      </c>
      <c r="H43" s="52">
        <v>306.06</v>
      </c>
      <c r="K43" s="52">
        <v>162.23333333333329</v>
      </c>
      <c r="O43" s="52">
        <v>300.35000000000002</v>
      </c>
      <c r="P43" s="53">
        <f t="shared" si="0"/>
        <v>768.64333333333332</v>
      </c>
    </row>
    <row r="44" spans="1:16" x14ac:dyDescent="0.3">
      <c r="A44" s="46" t="s">
        <v>89</v>
      </c>
      <c r="B44" s="51" t="s">
        <v>43</v>
      </c>
      <c r="C44" s="46" t="s">
        <v>6</v>
      </c>
      <c r="H44" s="52">
        <v>4833.7</v>
      </c>
      <c r="K44" s="52">
        <v>4160</v>
      </c>
      <c r="O44" s="52">
        <v>2486.9</v>
      </c>
      <c r="P44" s="53">
        <f t="shared" si="0"/>
        <v>11480.6</v>
      </c>
    </row>
    <row r="45" spans="1:16" x14ac:dyDescent="0.3">
      <c r="A45" s="46" t="s">
        <v>89</v>
      </c>
      <c r="B45" s="47" t="s">
        <v>44</v>
      </c>
      <c r="C45" s="46" t="s">
        <v>6</v>
      </c>
      <c r="P45" s="49">
        <f t="shared" si="0"/>
        <v>0</v>
      </c>
    </row>
    <row r="46" spans="1:16" x14ac:dyDescent="0.3">
      <c r="A46" s="46" t="s">
        <v>89</v>
      </c>
      <c r="B46" s="47" t="s">
        <v>45</v>
      </c>
      <c r="C46" s="46" t="s">
        <v>6</v>
      </c>
      <c r="P46" s="53">
        <f t="shared" si="0"/>
        <v>0</v>
      </c>
    </row>
    <row r="47" spans="1:16" x14ac:dyDescent="0.3">
      <c r="A47" s="46" t="s">
        <v>89</v>
      </c>
      <c r="B47" s="47" t="s">
        <v>47</v>
      </c>
      <c r="C47" s="46" t="s">
        <v>6</v>
      </c>
      <c r="H47" s="53">
        <v>-9.0949470177292824E-13</v>
      </c>
      <c r="K47" s="53">
        <v>0</v>
      </c>
      <c r="O47" s="53">
        <v>0</v>
      </c>
      <c r="P47" s="53">
        <f t="shared" si="0"/>
        <v>-9.0949470177292824E-13</v>
      </c>
    </row>
    <row r="48" spans="1:16" x14ac:dyDescent="0.3">
      <c r="A48" s="46" t="s">
        <v>89</v>
      </c>
      <c r="B48" s="47" t="s">
        <v>28</v>
      </c>
      <c r="C48" s="46" t="s">
        <v>7</v>
      </c>
      <c r="P48" s="48">
        <f t="shared" si="0"/>
        <v>0</v>
      </c>
    </row>
    <row r="49" spans="1:16" x14ac:dyDescent="0.3">
      <c r="A49" s="46" t="s">
        <v>89</v>
      </c>
      <c r="B49" s="47" t="s">
        <v>30</v>
      </c>
      <c r="C49" s="46" t="s">
        <v>7</v>
      </c>
      <c r="P49" s="48">
        <f t="shared" si="0"/>
        <v>0</v>
      </c>
    </row>
    <row r="50" spans="1:16" x14ac:dyDescent="0.3">
      <c r="A50" s="46" t="s">
        <v>89</v>
      </c>
      <c r="B50" s="47" t="s">
        <v>31</v>
      </c>
      <c r="C50" s="46" t="s">
        <v>7</v>
      </c>
      <c r="P50" s="49">
        <f t="shared" si="0"/>
        <v>0</v>
      </c>
    </row>
    <row r="51" spans="1:16" x14ac:dyDescent="0.3">
      <c r="A51" s="46" t="s">
        <v>89</v>
      </c>
      <c r="B51" s="47" t="s">
        <v>33</v>
      </c>
      <c r="C51" s="46" t="s">
        <v>7</v>
      </c>
      <c r="P51" s="50">
        <f t="shared" si="0"/>
        <v>0</v>
      </c>
    </row>
    <row r="52" spans="1:16" x14ac:dyDescent="0.3">
      <c r="A52" s="46" t="s">
        <v>89</v>
      </c>
      <c r="B52" s="51" t="s">
        <v>35</v>
      </c>
      <c r="C52" s="46" t="s">
        <v>7</v>
      </c>
      <c r="H52" s="52">
        <v>2486.9</v>
      </c>
      <c r="K52" s="52">
        <v>6393</v>
      </c>
      <c r="O52" s="52">
        <v>5206.7</v>
      </c>
      <c r="P52" s="53">
        <f t="shared" si="0"/>
        <v>14086.599999999999</v>
      </c>
    </row>
    <row r="53" spans="1:16" x14ac:dyDescent="0.3">
      <c r="A53" s="46" t="s">
        <v>89</v>
      </c>
      <c r="B53" s="51" t="s">
        <v>37</v>
      </c>
      <c r="C53" s="46" t="s">
        <v>7</v>
      </c>
      <c r="H53" s="52">
        <v>0.1</v>
      </c>
      <c r="K53" s="52">
        <v>3.5</v>
      </c>
      <c r="O53" s="52">
        <v>3.6</v>
      </c>
      <c r="P53" s="53">
        <f t="shared" si="0"/>
        <v>7.2</v>
      </c>
    </row>
    <row r="54" spans="1:16" x14ac:dyDescent="0.3">
      <c r="A54" s="46" t="s">
        <v>89</v>
      </c>
      <c r="B54" s="51" t="s">
        <v>38</v>
      </c>
      <c r="C54" s="46" t="s">
        <v>7</v>
      </c>
      <c r="H54" s="52">
        <v>5914.6</v>
      </c>
      <c r="K54" s="52">
        <v>5914.6</v>
      </c>
      <c r="O54" s="52">
        <v>5914.6</v>
      </c>
      <c r="P54" s="53">
        <f t="shared" si="0"/>
        <v>17743.800000000003</v>
      </c>
    </row>
    <row r="55" spans="1:16" x14ac:dyDescent="0.3">
      <c r="A55" s="46" t="s">
        <v>89</v>
      </c>
      <c r="B55" s="51" t="s">
        <v>39</v>
      </c>
      <c r="C55" s="46" t="s">
        <v>7</v>
      </c>
      <c r="H55" s="52">
        <v>21.62</v>
      </c>
      <c r="K55" s="52">
        <v>21.266666666666669</v>
      </c>
      <c r="O55" s="52">
        <v>19.05</v>
      </c>
      <c r="P55" s="53">
        <f t="shared" si="0"/>
        <v>61.936666666666667</v>
      </c>
    </row>
    <row r="56" spans="1:16" x14ac:dyDescent="0.3">
      <c r="A56" s="46" t="s">
        <v>89</v>
      </c>
      <c r="B56" s="51" t="s">
        <v>40</v>
      </c>
      <c r="C56" s="46" t="s">
        <v>7</v>
      </c>
      <c r="H56" s="52">
        <v>0</v>
      </c>
      <c r="K56" s="52">
        <v>0</v>
      </c>
      <c r="O56" s="52">
        <v>0</v>
      </c>
      <c r="P56" s="53">
        <f t="shared" si="0"/>
        <v>0</v>
      </c>
    </row>
    <row r="57" spans="1:16" x14ac:dyDescent="0.3">
      <c r="A57" s="46" t="s">
        <v>89</v>
      </c>
      <c r="B57" s="51" t="s">
        <v>41</v>
      </c>
      <c r="C57" s="46" t="s">
        <v>7</v>
      </c>
      <c r="H57" s="52">
        <v>1629.7400000000009</v>
      </c>
      <c r="K57" s="52">
        <v>6766.7666666666673</v>
      </c>
      <c r="O57" s="52">
        <v>7448.15</v>
      </c>
      <c r="P57" s="53">
        <f t="shared" si="0"/>
        <v>15844.656666666668</v>
      </c>
    </row>
    <row r="58" spans="1:16" x14ac:dyDescent="0.3">
      <c r="A58" s="46" t="s">
        <v>89</v>
      </c>
      <c r="B58" s="51" t="s">
        <v>42</v>
      </c>
      <c r="C58" s="46" t="s">
        <v>7</v>
      </c>
      <c r="H58" s="52">
        <v>357.24</v>
      </c>
      <c r="K58" s="52">
        <v>316.36666666666667</v>
      </c>
      <c r="O58" s="52">
        <v>384.3</v>
      </c>
      <c r="P58" s="53">
        <f t="shared" si="0"/>
        <v>1057.9066666666668</v>
      </c>
    </row>
    <row r="59" spans="1:16" x14ac:dyDescent="0.3">
      <c r="A59" s="46" t="s">
        <v>89</v>
      </c>
      <c r="B59" s="51" t="s">
        <v>43</v>
      </c>
      <c r="C59" s="46" t="s">
        <v>7</v>
      </c>
      <c r="H59" s="52">
        <v>6393</v>
      </c>
      <c r="K59" s="52">
        <v>5206.7</v>
      </c>
      <c r="O59" s="52">
        <v>3273.4</v>
      </c>
      <c r="P59" s="53">
        <f t="shared" si="0"/>
        <v>14873.1</v>
      </c>
    </row>
    <row r="60" spans="1:16" x14ac:dyDescent="0.3">
      <c r="A60" s="46" t="s">
        <v>89</v>
      </c>
      <c r="B60" s="47" t="s">
        <v>44</v>
      </c>
      <c r="C60" s="46" t="s">
        <v>7</v>
      </c>
      <c r="P60" s="49">
        <f t="shared" si="0"/>
        <v>0</v>
      </c>
    </row>
    <row r="61" spans="1:16" x14ac:dyDescent="0.3">
      <c r="A61" s="46" t="s">
        <v>89</v>
      </c>
      <c r="B61" s="47" t="s">
        <v>45</v>
      </c>
      <c r="C61" s="46" t="s">
        <v>7</v>
      </c>
      <c r="P61" s="53">
        <f t="shared" si="0"/>
        <v>0</v>
      </c>
    </row>
    <row r="62" spans="1:16" x14ac:dyDescent="0.3">
      <c r="A62" s="46" t="s">
        <v>89</v>
      </c>
      <c r="B62" s="47" t="s">
        <v>47</v>
      </c>
      <c r="C62" s="46" t="s">
        <v>7</v>
      </c>
      <c r="H62" s="53">
        <v>-9.0949470177292824E-13</v>
      </c>
      <c r="K62" s="53">
        <v>0</v>
      </c>
      <c r="O62" s="53">
        <v>4.5474735088646412E-13</v>
      </c>
      <c r="P62" s="53">
        <f t="shared" si="0"/>
        <v>-4.5474735088646412E-13</v>
      </c>
    </row>
    <row r="63" spans="1:16" x14ac:dyDescent="0.3">
      <c r="A63" s="46" t="s">
        <v>89</v>
      </c>
      <c r="B63" s="47" t="s">
        <v>28</v>
      </c>
      <c r="C63" s="46" t="s">
        <v>8</v>
      </c>
      <c r="P63" s="48">
        <f t="shared" si="0"/>
        <v>0</v>
      </c>
    </row>
    <row r="64" spans="1:16" x14ac:dyDescent="0.3">
      <c r="A64" s="46" t="s">
        <v>89</v>
      </c>
      <c r="B64" s="47" t="s">
        <v>30</v>
      </c>
      <c r="C64" s="46" t="s">
        <v>8</v>
      </c>
      <c r="P64" s="48">
        <f t="shared" si="0"/>
        <v>0</v>
      </c>
    </row>
    <row r="65" spans="1:16" x14ac:dyDescent="0.3">
      <c r="A65" s="46" t="s">
        <v>89</v>
      </c>
      <c r="B65" s="47" t="s">
        <v>31</v>
      </c>
      <c r="C65" s="46" t="s">
        <v>8</v>
      </c>
      <c r="P65" s="49">
        <f t="shared" si="0"/>
        <v>0</v>
      </c>
    </row>
    <row r="66" spans="1:16" x14ac:dyDescent="0.3">
      <c r="A66" s="46" t="s">
        <v>89</v>
      </c>
      <c r="B66" s="47" t="s">
        <v>33</v>
      </c>
      <c r="C66" s="46" t="s">
        <v>8</v>
      </c>
      <c r="P66" s="50">
        <f t="shared" si="0"/>
        <v>0</v>
      </c>
    </row>
    <row r="67" spans="1:16" x14ac:dyDescent="0.3">
      <c r="A67" s="46" t="s">
        <v>89</v>
      </c>
      <c r="B67" s="51" t="s">
        <v>35</v>
      </c>
      <c r="C67" s="46" t="s">
        <v>8</v>
      </c>
      <c r="H67" s="52">
        <v>3273.4</v>
      </c>
      <c r="K67" s="52">
        <v>4071.9</v>
      </c>
      <c r="O67" s="52">
        <v>3155</v>
      </c>
      <c r="P67" s="53">
        <f t="shared" ref="P67:P130" si="1">SUM(D67:O67)</f>
        <v>10500.3</v>
      </c>
    </row>
    <row r="68" spans="1:16" x14ac:dyDescent="0.3">
      <c r="A68" s="46" t="s">
        <v>89</v>
      </c>
      <c r="B68" s="51" t="s">
        <v>37</v>
      </c>
      <c r="C68" s="46" t="s">
        <v>8</v>
      </c>
      <c r="H68" s="52">
        <v>0.3</v>
      </c>
      <c r="K68" s="52">
        <v>0.4</v>
      </c>
      <c r="O68" s="52">
        <v>0.9</v>
      </c>
      <c r="P68" s="53">
        <f t="shared" si="1"/>
        <v>1.6</v>
      </c>
    </row>
    <row r="69" spans="1:16" x14ac:dyDescent="0.3">
      <c r="A69" s="46" t="s">
        <v>89</v>
      </c>
      <c r="B69" s="51" t="s">
        <v>38</v>
      </c>
      <c r="C69" s="46" t="s">
        <v>8</v>
      </c>
      <c r="H69" s="52">
        <v>3346.2</v>
      </c>
      <c r="K69" s="52">
        <v>3346.2</v>
      </c>
      <c r="O69" s="52">
        <v>3346.2</v>
      </c>
      <c r="P69" s="53">
        <f t="shared" si="1"/>
        <v>10038.599999999999</v>
      </c>
    </row>
    <row r="70" spans="1:16" x14ac:dyDescent="0.3">
      <c r="A70" s="46" t="s">
        <v>89</v>
      </c>
      <c r="B70" s="51" t="s">
        <v>39</v>
      </c>
      <c r="C70" s="46" t="s">
        <v>8</v>
      </c>
      <c r="H70" s="52">
        <v>21.36</v>
      </c>
      <c r="K70" s="52">
        <v>23.133333333333329</v>
      </c>
      <c r="O70" s="52">
        <v>20.074999999999999</v>
      </c>
      <c r="P70" s="53">
        <f t="shared" si="1"/>
        <v>64.568333333333328</v>
      </c>
    </row>
    <row r="71" spans="1:16" x14ac:dyDescent="0.3">
      <c r="A71" s="46" t="s">
        <v>89</v>
      </c>
      <c r="B71" s="51" t="s">
        <v>40</v>
      </c>
      <c r="C71" s="46" t="s">
        <v>8</v>
      </c>
      <c r="H71" s="52">
        <v>0</v>
      </c>
      <c r="K71" s="52">
        <v>0</v>
      </c>
      <c r="O71" s="52">
        <v>0</v>
      </c>
      <c r="P71" s="53">
        <f t="shared" si="1"/>
        <v>0</v>
      </c>
    </row>
    <row r="72" spans="1:16" x14ac:dyDescent="0.3">
      <c r="A72" s="46" t="s">
        <v>89</v>
      </c>
      <c r="B72" s="51" t="s">
        <v>41</v>
      </c>
      <c r="C72" s="46" t="s">
        <v>8</v>
      </c>
      <c r="H72" s="52">
        <v>2087.12</v>
      </c>
      <c r="K72" s="52">
        <v>4004.4333333333329</v>
      </c>
      <c r="O72" s="52">
        <v>4831.8749999999991</v>
      </c>
      <c r="P72" s="53">
        <f t="shared" si="1"/>
        <v>10923.428333333333</v>
      </c>
    </row>
    <row r="73" spans="1:16" x14ac:dyDescent="0.3">
      <c r="A73" s="46" t="s">
        <v>89</v>
      </c>
      <c r="B73" s="51" t="s">
        <v>42</v>
      </c>
      <c r="C73" s="46" t="s">
        <v>8</v>
      </c>
      <c r="H73" s="52">
        <v>439.52</v>
      </c>
      <c r="K73" s="52">
        <v>235.93333333333339</v>
      </c>
      <c r="O73" s="52">
        <v>393.35</v>
      </c>
      <c r="P73" s="53">
        <f t="shared" si="1"/>
        <v>1068.8033333333333</v>
      </c>
    </row>
    <row r="74" spans="1:16" x14ac:dyDescent="0.3">
      <c r="A74" s="46" t="s">
        <v>89</v>
      </c>
      <c r="B74" s="51" t="s">
        <v>43</v>
      </c>
      <c r="C74" s="46" t="s">
        <v>8</v>
      </c>
      <c r="H74" s="52">
        <v>4071.9</v>
      </c>
      <c r="K74" s="52">
        <v>3155</v>
      </c>
      <c r="O74" s="52">
        <v>1256.8</v>
      </c>
      <c r="P74" s="53">
        <f t="shared" si="1"/>
        <v>8483.6999999999989</v>
      </c>
    </row>
    <row r="75" spans="1:16" x14ac:dyDescent="0.3">
      <c r="A75" s="46" t="s">
        <v>89</v>
      </c>
      <c r="B75" s="47" t="s">
        <v>44</v>
      </c>
      <c r="C75" s="46" t="s">
        <v>8</v>
      </c>
      <c r="P75" s="49">
        <f t="shared" si="1"/>
        <v>0</v>
      </c>
    </row>
    <row r="76" spans="1:16" x14ac:dyDescent="0.3">
      <c r="A76" s="46" t="s">
        <v>89</v>
      </c>
      <c r="B76" s="47" t="s">
        <v>45</v>
      </c>
      <c r="C76" s="46" t="s">
        <v>8</v>
      </c>
      <c r="P76" s="53">
        <f t="shared" si="1"/>
        <v>0</v>
      </c>
    </row>
    <row r="77" spans="1:16" x14ac:dyDescent="0.3">
      <c r="A77" s="46" t="s">
        <v>89</v>
      </c>
      <c r="B77" s="47" t="s">
        <v>47</v>
      </c>
      <c r="C77" s="46" t="s">
        <v>8</v>
      </c>
      <c r="H77" s="53">
        <v>0</v>
      </c>
      <c r="K77" s="53">
        <v>0</v>
      </c>
      <c r="O77" s="53">
        <v>6.8212102632969618E-13</v>
      </c>
      <c r="P77" s="53">
        <f t="shared" si="1"/>
        <v>6.8212102632969618E-13</v>
      </c>
    </row>
    <row r="78" spans="1:16" x14ac:dyDescent="0.3">
      <c r="A78" s="46" t="s">
        <v>89</v>
      </c>
      <c r="B78" s="47" t="s">
        <v>28</v>
      </c>
      <c r="C78" s="46" t="s">
        <v>9</v>
      </c>
      <c r="P78" s="48">
        <f t="shared" si="1"/>
        <v>0</v>
      </c>
    </row>
    <row r="79" spans="1:16" x14ac:dyDescent="0.3">
      <c r="A79" s="46" t="s">
        <v>89</v>
      </c>
      <c r="B79" s="47" t="s">
        <v>30</v>
      </c>
      <c r="C79" s="46" t="s">
        <v>9</v>
      </c>
      <c r="P79" s="48">
        <f t="shared" si="1"/>
        <v>0</v>
      </c>
    </row>
    <row r="80" spans="1:16" x14ac:dyDescent="0.3">
      <c r="A80" s="46" t="s">
        <v>89</v>
      </c>
      <c r="B80" s="47" t="s">
        <v>31</v>
      </c>
      <c r="C80" s="46" t="s">
        <v>9</v>
      </c>
      <c r="P80" s="49">
        <f t="shared" si="1"/>
        <v>0</v>
      </c>
    </row>
    <row r="81" spans="1:16" x14ac:dyDescent="0.3">
      <c r="A81" s="46" t="s">
        <v>89</v>
      </c>
      <c r="B81" s="47" t="s">
        <v>33</v>
      </c>
      <c r="C81" s="46" t="s">
        <v>9</v>
      </c>
      <c r="P81" s="50">
        <f t="shared" si="1"/>
        <v>0</v>
      </c>
    </row>
    <row r="82" spans="1:16" x14ac:dyDescent="0.3">
      <c r="A82" s="46" t="s">
        <v>89</v>
      </c>
      <c r="B82" s="51" t="s">
        <v>35</v>
      </c>
      <c r="C82" s="46" t="s">
        <v>9</v>
      </c>
      <c r="H82" s="52">
        <v>1256.8</v>
      </c>
      <c r="K82" s="52">
        <v>2972.1</v>
      </c>
      <c r="O82" s="52">
        <v>2070.8000000000002</v>
      </c>
      <c r="P82" s="53">
        <f t="shared" si="1"/>
        <v>6299.7</v>
      </c>
    </row>
    <row r="83" spans="1:16" x14ac:dyDescent="0.3">
      <c r="A83" s="46" t="s">
        <v>89</v>
      </c>
      <c r="B83" s="51" t="s">
        <v>37</v>
      </c>
      <c r="C83" s="46" t="s">
        <v>9</v>
      </c>
      <c r="H83" s="52">
        <v>1.8</v>
      </c>
      <c r="K83" s="52">
        <v>2.2000000000000002</v>
      </c>
      <c r="O83" s="52">
        <v>2.9</v>
      </c>
      <c r="P83" s="53">
        <f t="shared" si="1"/>
        <v>6.9</v>
      </c>
    </row>
    <row r="84" spans="1:16" x14ac:dyDescent="0.3">
      <c r="A84" s="46" t="s">
        <v>89</v>
      </c>
      <c r="B84" s="51" t="s">
        <v>38</v>
      </c>
      <c r="C84" s="46" t="s">
        <v>9</v>
      </c>
      <c r="H84" s="52">
        <v>3681.4</v>
      </c>
      <c r="K84" s="52">
        <v>3681.4</v>
      </c>
      <c r="O84" s="52">
        <v>3681.4</v>
      </c>
      <c r="P84" s="53">
        <f t="shared" si="1"/>
        <v>11044.2</v>
      </c>
    </row>
    <row r="85" spans="1:16" x14ac:dyDescent="0.3">
      <c r="A85" s="46" t="s">
        <v>89</v>
      </c>
      <c r="B85" s="51" t="s">
        <v>39</v>
      </c>
      <c r="C85" s="46" t="s">
        <v>9</v>
      </c>
      <c r="H85" s="52">
        <v>21.42</v>
      </c>
      <c r="K85" s="52">
        <v>17.733333333333341</v>
      </c>
      <c r="O85" s="52">
        <v>17.05</v>
      </c>
      <c r="P85" s="53">
        <f t="shared" si="1"/>
        <v>56.203333333333347</v>
      </c>
    </row>
    <row r="86" spans="1:16" x14ac:dyDescent="0.3">
      <c r="A86" s="46" t="s">
        <v>89</v>
      </c>
      <c r="B86" s="51" t="s">
        <v>40</v>
      </c>
      <c r="C86" s="46" t="s">
        <v>9</v>
      </c>
      <c r="H86" s="52">
        <v>0</v>
      </c>
      <c r="K86" s="52">
        <v>0</v>
      </c>
      <c r="O86" s="52">
        <v>0</v>
      </c>
      <c r="P86" s="53">
        <f t="shared" si="1"/>
        <v>0</v>
      </c>
    </row>
    <row r="87" spans="1:16" x14ac:dyDescent="0.3">
      <c r="A87" s="46" t="s">
        <v>89</v>
      </c>
      <c r="B87" s="51" t="s">
        <v>41</v>
      </c>
      <c r="C87" s="46" t="s">
        <v>9</v>
      </c>
      <c r="H87" s="52">
        <v>1637.96</v>
      </c>
      <c r="K87" s="52">
        <v>4305.6666666666661</v>
      </c>
      <c r="O87" s="52">
        <v>4717.5000000000009</v>
      </c>
      <c r="P87" s="53">
        <f t="shared" si="1"/>
        <v>10661.126666666667</v>
      </c>
    </row>
    <row r="88" spans="1:16" x14ac:dyDescent="0.3">
      <c r="A88" s="46" t="s">
        <v>89</v>
      </c>
      <c r="B88" s="51" t="s">
        <v>42</v>
      </c>
      <c r="C88" s="46" t="s">
        <v>9</v>
      </c>
      <c r="H88" s="52">
        <v>308.52</v>
      </c>
      <c r="K88" s="52">
        <v>261.5</v>
      </c>
      <c r="O88" s="52">
        <v>211.85</v>
      </c>
      <c r="P88" s="53">
        <f t="shared" si="1"/>
        <v>781.87</v>
      </c>
    </row>
    <row r="89" spans="1:16" x14ac:dyDescent="0.3">
      <c r="A89" s="46" t="s">
        <v>89</v>
      </c>
      <c r="B89" s="51" t="s">
        <v>43</v>
      </c>
      <c r="C89" s="46" t="s">
        <v>9</v>
      </c>
      <c r="H89" s="52">
        <v>2972.1</v>
      </c>
      <c r="K89" s="52">
        <v>2070.8000000000002</v>
      </c>
      <c r="O89" s="52">
        <v>808.7</v>
      </c>
      <c r="P89" s="53">
        <f t="shared" si="1"/>
        <v>5851.5999999999995</v>
      </c>
    </row>
    <row r="90" spans="1:16" x14ac:dyDescent="0.3">
      <c r="A90" s="46" t="s">
        <v>89</v>
      </c>
      <c r="B90" s="47" t="s">
        <v>44</v>
      </c>
      <c r="C90" s="46" t="s">
        <v>9</v>
      </c>
      <c r="P90" s="49">
        <f t="shared" si="1"/>
        <v>0</v>
      </c>
    </row>
    <row r="91" spans="1:16" x14ac:dyDescent="0.3">
      <c r="A91" s="46" t="s">
        <v>89</v>
      </c>
      <c r="B91" s="47" t="s">
        <v>45</v>
      </c>
      <c r="C91" s="46" t="s">
        <v>9</v>
      </c>
      <c r="P91" s="53">
        <f t="shared" si="1"/>
        <v>0</v>
      </c>
    </row>
    <row r="92" spans="1:16" x14ac:dyDescent="0.3">
      <c r="A92" s="46" t="s">
        <v>89</v>
      </c>
      <c r="B92" s="47" t="s">
        <v>47</v>
      </c>
      <c r="C92" s="46" t="s">
        <v>9</v>
      </c>
      <c r="H92" s="53">
        <v>-4.5474735088646412E-13</v>
      </c>
      <c r="K92" s="53">
        <v>0</v>
      </c>
      <c r="O92" s="53">
        <v>-7.9580786405131221E-13</v>
      </c>
      <c r="P92" s="53">
        <f t="shared" si="1"/>
        <v>-1.2505552149377763E-12</v>
      </c>
    </row>
    <row r="93" spans="1:16" x14ac:dyDescent="0.3">
      <c r="A93" s="46" t="s">
        <v>89</v>
      </c>
      <c r="B93" s="47" t="s">
        <v>28</v>
      </c>
      <c r="C93" s="46" t="s">
        <v>10</v>
      </c>
      <c r="P93" s="48">
        <f t="shared" si="1"/>
        <v>0</v>
      </c>
    </row>
    <row r="94" spans="1:16" x14ac:dyDescent="0.3">
      <c r="A94" s="46" t="s">
        <v>89</v>
      </c>
      <c r="B94" s="47" t="s">
        <v>30</v>
      </c>
      <c r="C94" s="46" t="s">
        <v>10</v>
      </c>
      <c r="P94" s="48">
        <f t="shared" si="1"/>
        <v>0</v>
      </c>
    </row>
    <row r="95" spans="1:16" x14ac:dyDescent="0.3">
      <c r="A95" s="46" t="s">
        <v>89</v>
      </c>
      <c r="B95" s="47" t="s">
        <v>31</v>
      </c>
      <c r="C95" s="46" t="s">
        <v>10</v>
      </c>
      <c r="P95" s="49">
        <f t="shared" si="1"/>
        <v>0</v>
      </c>
    </row>
    <row r="96" spans="1:16" x14ac:dyDescent="0.3">
      <c r="A96" s="46" t="s">
        <v>89</v>
      </c>
      <c r="B96" s="47" t="s">
        <v>33</v>
      </c>
      <c r="C96" s="46" t="s">
        <v>10</v>
      </c>
      <c r="P96" s="50">
        <f t="shared" si="1"/>
        <v>0</v>
      </c>
    </row>
    <row r="97" spans="1:16" x14ac:dyDescent="0.3">
      <c r="A97" s="46" t="s">
        <v>89</v>
      </c>
      <c r="B97" s="51" t="s">
        <v>35</v>
      </c>
      <c r="C97" s="46" t="s">
        <v>10</v>
      </c>
      <c r="H97" s="52">
        <v>808.7</v>
      </c>
      <c r="K97" s="52">
        <v>4873.7</v>
      </c>
      <c r="O97" s="52">
        <v>3901.7</v>
      </c>
      <c r="P97" s="53">
        <f t="shared" si="1"/>
        <v>9584.0999999999985</v>
      </c>
    </row>
    <row r="98" spans="1:16" x14ac:dyDescent="0.3">
      <c r="A98" s="46" t="s">
        <v>89</v>
      </c>
      <c r="B98" s="51" t="s">
        <v>37</v>
      </c>
      <c r="C98" s="46" t="s">
        <v>10</v>
      </c>
      <c r="H98" s="52">
        <v>1.2</v>
      </c>
      <c r="K98" s="52">
        <v>2.1</v>
      </c>
      <c r="O98" s="52">
        <v>2.4</v>
      </c>
      <c r="P98" s="53">
        <f t="shared" si="1"/>
        <v>5.6999999999999993</v>
      </c>
    </row>
    <row r="99" spans="1:16" x14ac:dyDescent="0.3">
      <c r="A99" s="46" t="s">
        <v>89</v>
      </c>
      <c r="B99" s="51" t="s">
        <v>38</v>
      </c>
      <c r="C99" s="46" t="s">
        <v>10</v>
      </c>
      <c r="H99" s="52">
        <v>5519.3</v>
      </c>
      <c r="K99" s="52">
        <v>5519.3</v>
      </c>
      <c r="O99" s="52">
        <v>5519.3</v>
      </c>
      <c r="P99" s="53">
        <f t="shared" si="1"/>
        <v>16557.900000000001</v>
      </c>
    </row>
    <row r="100" spans="1:16" x14ac:dyDescent="0.3">
      <c r="A100" s="46" t="s">
        <v>89</v>
      </c>
      <c r="B100" s="51" t="s">
        <v>39</v>
      </c>
      <c r="C100" s="46" t="s">
        <v>10</v>
      </c>
      <c r="H100" s="52">
        <v>19.34</v>
      </c>
      <c r="K100" s="52">
        <v>20.5</v>
      </c>
      <c r="O100" s="52">
        <v>19.525000000000009</v>
      </c>
      <c r="P100" s="53">
        <f t="shared" si="1"/>
        <v>59.365000000000009</v>
      </c>
    </row>
    <row r="101" spans="1:16" x14ac:dyDescent="0.3">
      <c r="A101" s="46" t="s">
        <v>89</v>
      </c>
      <c r="B101" s="51" t="s">
        <v>40</v>
      </c>
      <c r="C101" s="46" t="s">
        <v>10</v>
      </c>
      <c r="H101" s="52">
        <v>0</v>
      </c>
      <c r="K101" s="52">
        <v>0</v>
      </c>
      <c r="O101" s="52">
        <v>0</v>
      </c>
      <c r="P101" s="53">
        <f t="shared" si="1"/>
        <v>0</v>
      </c>
    </row>
    <row r="102" spans="1:16" x14ac:dyDescent="0.3">
      <c r="A102" s="46" t="s">
        <v>89</v>
      </c>
      <c r="B102" s="51" t="s">
        <v>41</v>
      </c>
      <c r="C102" s="46" t="s">
        <v>10</v>
      </c>
      <c r="H102" s="52">
        <v>1178.58</v>
      </c>
      <c r="K102" s="52">
        <v>6209.166666666667</v>
      </c>
      <c r="O102" s="52">
        <v>7010.4499999999989</v>
      </c>
      <c r="P102" s="53">
        <f t="shared" si="1"/>
        <v>14398.196666666667</v>
      </c>
    </row>
    <row r="103" spans="1:16" x14ac:dyDescent="0.3">
      <c r="A103" s="46" t="s">
        <v>89</v>
      </c>
      <c r="B103" s="51" t="s">
        <v>42</v>
      </c>
      <c r="C103" s="46" t="s">
        <v>10</v>
      </c>
      <c r="H103" s="52">
        <v>257.58</v>
      </c>
      <c r="K103" s="52">
        <v>263.73333333333329</v>
      </c>
      <c r="O103" s="52">
        <v>390.32499999999999</v>
      </c>
      <c r="P103" s="53">
        <f t="shared" si="1"/>
        <v>911.63833333333332</v>
      </c>
    </row>
    <row r="104" spans="1:16" x14ac:dyDescent="0.3">
      <c r="A104" s="46" t="s">
        <v>89</v>
      </c>
      <c r="B104" s="51" t="s">
        <v>43</v>
      </c>
      <c r="C104" s="46" t="s">
        <v>10</v>
      </c>
      <c r="H104" s="52">
        <v>4873.7</v>
      </c>
      <c r="K104" s="52">
        <v>3901.7</v>
      </c>
      <c r="O104" s="52">
        <v>2003.1</v>
      </c>
      <c r="P104" s="53">
        <f t="shared" si="1"/>
        <v>10778.5</v>
      </c>
    </row>
    <row r="105" spans="1:16" x14ac:dyDescent="0.3">
      <c r="A105" s="46" t="s">
        <v>89</v>
      </c>
      <c r="B105" s="47" t="s">
        <v>44</v>
      </c>
      <c r="C105" s="46" t="s">
        <v>10</v>
      </c>
      <c r="P105" s="49">
        <f t="shared" si="1"/>
        <v>0</v>
      </c>
    </row>
    <row r="106" spans="1:16" x14ac:dyDescent="0.3">
      <c r="A106" s="46" t="s">
        <v>89</v>
      </c>
      <c r="B106" s="47" t="s">
        <v>45</v>
      </c>
      <c r="C106" s="46" t="s">
        <v>10</v>
      </c>
      <c r="P106" s="53">
        <f t="shared" si="1"/>
        <v>0</v>
      </c>
    </row>
    <row r="107" spans="1:16" x14ac:dyDescent="0.3">
      <c r="A107" s="46" t="s">
        <v>89</v>
      </c>
      <c r="B107" s="47" t="s">
        <v>47</v>
      </c>
      <c r="C107" s="46" t="s">
        <v>10</v>
      </c>
      <c r="H107" s="53">
        <v>0</v>
      </c>
      <c r="K107" s="53">
        <v>4.5474735088646412E-13</v>
      </c>
      <c r="O107" s="53">
        <v>1.1368683772161601E-12</v>
      </c>
      <c r="P107" s="53">
        <f t="shared" si="1"/>
        <v>1.5916157281026242E-12</v>
      </c>
    </row>
    <row r="108" spans="1:16" x14ac:dyDescent="0.3">
      <c r="A108" s="46" t="s">
        <v>89</v>
      </c>
      <c r="B108" s="47" t="s">
        <v>28</v>
      </c>
      <c r="C108" s="46" t="s">
        <v>11</v>
      </c>
      <c r="P108" s="48">
        <f t="shared" si="1"/>
        <v>0</v>
      </c>
    </row>
    <row r="109" spans="1:16" x14ac:dyDescent="0.3">
      <c r="A109" s="46" t="s">
        <v>89</v>
      </c>
      <c r="B109" s="47" t="s">
        <v>30</v>
      </c>
      <c r="C109" s="46" t="s">
        <v>11</v>
      </c>
      <c r="P109" s="48">
        <f t="shared" si="1"/>
        <v>0</v>
      </c>
    </row>
    <row r="110" spans="1:16" x14ac:dyDescent="0.3">
      <c r="A110" s="46" t="s">
        <v>89</v>
      </c>
      <c r="B110" s="47" t="s">
        <v>31</v>
      </c>
      <c r="C110" s="46" t="s">
        <v>11</v>
      </c>
      <c r="P110" s="49">
        <f t="shared" si="1"/>
        <v>0</v>
      </c>
    </row>
    <row r="111" spans="1:16" x14ac:dyDescent="0.3">
      <c r="A111" s="46" t="s">
        <v>89</v>
      </c>
      <c r="B111" s="47" t="s">
        <v>33</v>
      </c>
      <c r="C111" s="46" t="s">
        <v>11</v>
      </c>
      <c r="P111" s="50">
        <f t="shared" si="1"/>
        <v>0</v>
      </c>
    </row>
    <row r="112" spans="1:16" x14ac:dyDescent="0.3">
      <c r="A112" s="46" t="s">
        <v>89</v>
      </c>
      <c r="B112" s="51" t="s">
        <v>35</v>
      </c>
      <c r="C112" s="46" t="s">
        <v>11</v>
      </c>
      <c r="H112" s="52">
        <v>2003.1</v>
      </c>
      <c r="K112" s="52">
        <v>5634</v>
      </c>
      <c r="O112" s="52">
        <v>4637.8999999999996</v>
      </c>
      <c r="P112" s="53">
        <f t="shared" si="1"/>
        <v>12275</v>
      </c>
    </row>
    <row r="113" spans="1:16" x14ac:dyDescent="0.3">
      <c r="A113" s="46" t="s">
        <v>89</v>
      </c>
      <c r="B113" s="51" t="s">
        <v>37</v>
      </c>
      <c r="C113" s="46" t="s">
        <v>11</v>
      </c>
      <c r="H113" s="52">
        <v>1.4</v>
      </c>
      <c r="K113" s="52">
        <v>1.7</v>
      </c>
      <c r="O113" s="52">
        <v>2.4</v>
      </c>
      <c r="P113" s="53">
        <f t="shared" si="1"/>
        <v>5.5</v>
      </c>
    </row>
    <row r="114" spans="1:16" x14ac:dyDescent="0.3">
      <c r="A114" s="46" t="s">
        <v>89</v>
      </c>
      <c r="B114" s="51" t="s">
        <v>38</v>
      </c>
      <c r="C114" s="46" t="s">
        <v>11</v>
      </c>
      <c r="H114" s="52">
        <v>5399.6</v>
      </c>
      <c r="K114" s="52">
        <v>5399.6</v>
      </c>
      <c r="O114" s="52">
        <v>5399.6</v>
      </c>
      <c r="P114" s="53">
        <f t="shared" si="1"/>
        <v>16198.800000000001</v>
      </c>
    </row>
    <row r="115" spans="1:16" x14ac:dyDescent="0.3">
      <c r="A115" s="46" t="s">
        <v>89</v>
      </c>
      <c r="B115" s="51" t="s">
        <v>39</v>
      </c>
      <c r="C115" s="46" t="s">
        <v>11</v>
      </c>
      <c r="H115" s="52">
        <v>21.78</v>
      </c>
      <c r="K115" s="52">
        <v>23</v>
      </c>
      <c r="O115" s="52">
        <v>20.725000000000001</v>
      </c>
      <c r="P115" s="53">
        <f t="shared" si="1"/>
        <v>65.504999999999995</v>
      </c>
    </row>
    <row r="116" spans="1:16" x14ac:dyDescent="0.3">
      <c r="A116" s="46" t="s">
        <v>89</v>
      </c>
      <c r="B116" s="51" t="s">
        <v>40</v>
      </c>
      <c r="C116" s="46" t="s">
        <v>11</v>
      </c>
      <c r="H116" s="52">
        <v>0</v>
      </c>
      <c r="K116" s="52">
        <v>0</v>
      </c>
      <c r="O116" s="52">
        <v>0</v>
      </c>
      <c r="P116" s="53">
        <f t="shared" si="1"/>
        <v>0</v>
      </c>
    </row>
    <row r="117" spans="1:16" x14ac:dyDescent="0.3">
      <c r="A117" s="46" t="s">
        <v>89</v>
      </c>
      <c r="B117" s="51" t="s">
        <v>41</v>
      </c>
      <c r="C117" s="46" t="s">
        <v>11</v>
      </c>
      <c r="H117" s="52">
        <v>1458.2800000000011</v>
      </c>
      <c r="K117" s="52">
        <v>6124.5666666666684</v>
      </c>
      <c r="O117" s="52">
        <v>6920.25</v>
      </c>
      <c r="P117" s="53">
        <f t="shared" si="1"/>
        <v>14503.09666666667</v>
      </c>
    </row>
    <row r="118" spans="1:16" x14ac:dyDescent="0.3">
      <c r="A118" s="46" t="s">
        <v>89</v>
      </c>
      <c r="B118" s="51" t="s">
        <v>42</v>
      </c>
      <c r="C118" s="46" t="s">
        <v>11</v>
      </c>
      <c r="H118" s="52">
        <v>290.04000000000002</v>
      </c>
      <c r="K118" s="52">
        <v>249.83333333333329</v>
      </c>
      <c r="O118" s="52">
        <v>405.02500000000009</v>
      </c>
      <c r="P118" s="53">
        <f t="shared" si="1"/>
        <v>944.89833333333343</v>
      </c>
    </row>
    <row r="119" spans="1:16" x14ac:dyDescent="0.3">
      <c r="A119" s="46" t="s">
        <v>89</v>
      </c>
      <c r="B119" s="51" t="s">
        <v>43</v>
      </c>
      <c r="C119" s="46" t="s">
        <v>11</v>
      </c>
      <c r="H119" s="52">
        <v>5634</v>
      </c>
      <c r="K119" s="52">
        <v>4637.8999999999996</v>
      </c>
      <c r="O119" s="52">
        <v>2693.9</v>
      </c>
      <c r="P119" s="53">
        <f t="shared" si="1"/>
        <v>12965.8</v>
      </c>
    </row>
    <row r="120" spans="1:16" x14ac:dyDescent="0.3">
      <c r="A120" s="46" t="s">
        <v>89</v>
      </c>
      <c r="B120" s="47" t="s">
        <v>44</v>
      </c>
      <c r="C120" s="46" t="s">
        <v>11</v>
      </c>
      <c r="P120" s="49">
        <f t="shared" si="1"/>
        <v>0</v>
      </c>
    </row>
    <row r="121" spans="1:16" x14ac:dyDescent="0.3">
      <c r="A121" s="46" t="s">
        <v>89</v>
      </c>
      <c r="B121" s="47" t="s">
        <v>45</v>
      </c>
      <c r="C121" s="46" t="s">
        <v>11</v>
      </c>
      <c r="P121" s="53">
        <f t="shared" si="1"/>
        <v>0</v>
      </c>
    </row>
    <row r="122" spans="1:16" x14ac:dyDescent="0.3">
      <c r="A122" s="46" t="s">
        <v>89</v>
      </c>
      <c r="B122" s="47" t="s">
        <v>47</v>
      </c>
      <c r="C122" s="46" t="s">
        <v>11</v>
      </c>
      <c r="H122" s="53">
        <v>0</v>
      </c>
      <c r="K122" s="53">
        <v>9.0949470177292824E-13</v>
      </c>
      <c r="O122" s="53">
        <v>-9.0949470177292824E-13</v>
      </c>
      <c r="P122" s="53">
        <f t="shared" si="1"/>
        <v>0</v>
      </c>
    </row>
    <row r="123" spans="1:16" x14ac:dyDescent="0.3">
      <c r="A123" s="46" t="s">
        <v>89</v>
      </c>
      <c r="B123" s="47" t="s">
        <v>28</v>
      </c>
      <c r="C123" s="46" t="s">
        <v>12</v>
      </c>
      <c r="P123" s="48">
        <f t="shared" si="1"/>
        <v>0</v>
      </c>
    </row>
    <row r="124" spans="1:16" x14ac:dyDescent="0.3">
      <c r="A124" s="46" t="s">
        <v>89</v>
      </c>
      <c r="B124" s="47" t="s">
        <v>30</v>
      </c>
      <c r="C124" s="46" t="s">
        <v>12</v>
      </c>
      <c r="P124" s="48">
        <f t="shared" si="1"/>
        <v>0</v>
      </c>
    </row>
    <row r="125" spans="1:16" x14ac:dyDescent="0.3">
      <c r="A125" s="46" t="s">
        <v>89</v>
      </c>
      <c r="B125" s="47" t="s">
        <v>31</v>
      </c>
      <c r="C125" s="46" t="s">
        <v>12</v>
      </c>
      <c r="P125" s="49">
        <f t="shared" si="1"/>
        <v>0</v>
      </c>
    </row>
    <row r="126" spans="1:16" x14ac:dyDescent="0.3">
      <c r="A126" s="46" t="s">
        <v>89</v>
      </c>
      <c r="B126" s="47" t="s">
        <v>33</v>
      </c>
      <c r="C126" s="46" t="s">
        <v>12</v>
      </c>
      <c r="P126" s="50">
        <f t="shared" si="1"/>
        <v>0</v>
      </c>
    </row>
    <row r="127" spans="1:16" x14ac:dyDescent="0.3">
      <c r="A127" s="46" t="s">
        <v>89</v>
      </c>
      <c r="B127" s="51" t="s">
        <v>35</v>
      </c>
      <c r="C127" s="46" t="s">
        <v>12</v>
      </c>
      <c r="H127" s="52">
        <v>2693.9</v>
      </c>
      <c r="K127" s="52">
        <v>3774.7</v>
      </c>
      <c r="O127" s="52">
        <v>2946.3</v>
      </c>
      <c r="P127" s="53">
        <f t="shared" si="1"/>
        <v>9414.9000000000015</v>
      </c>
    </row>
    <row r="128" spans="1:16" x14ac:dyDescent="0.3">
      <c r="A128" s="46" t="s">
        <v>89</v>
      </c>
      <c r="B128" s="51" t="s">
        <v>37</v>
      </c>
      <c r="C128" s="46" t="s">
        <v>12</v>
      </c>
      <c r="H128" s="52">
        <v>22.5</v>
      </c>
      <c r="K128" s="52">
        <v>34.4</v>
      </c>
      <c r="O128" s="52">
        <v>36.5</v>
      </c>
      <c r="P128" s="53">
        <f t="shared" si="1"/>
        <v>93.4</v>
      </c>
    </row>
    <row r="129" spans="1:16" x14ac:dyDescent="0.3">
      <c r="A129" s="46" t="s">
        <v>89</v>
      </c>
      <c r="B129" s="51" t="s">
        <v>38</v>
      </c>
      <c r="C129" s="46" t="s">
        <v>12</v>
      </c>
      <c r="H129" s="52">
        <v>3024.7</v>
      </c>
      <c r="K129" s="52">
        <v>3024.7</v>
      </c>
      <c r="O129" s="52">
        <v>3024.7</v>
      </c>
      <c r="P129" s="53">
        <f t="shared" si="1"/>
        <v>9074.0999999999985</v>
      </c>
    </row>
    <row r="130" spans="1:16" x14ac:dyDescent="0.3">
      <c r="A130" s="46" t="s">
        <v>89</v>
      </c>
      <c r="B130" s="51" t="s">
        <v>39</v>
      </c>
      <c r="C130" s="46" t="s">
        <v>12</v>
      </c>
      <c r="H130" s="52">
        <v>22.58</v>
      </c>
      <c r="K130" s="52">
        <v>21.033333333333331</v>
      </c>
      <c r="O130" s="52">
        <v>19.649999999999999</v>
      </c>
      <c r="P130" s="53">
        <f t="shared" si="1"/>
        <v>63.263333333333328</v>
      </c>
    </row>
    <row r="131" spans="1:16" x14ac:dyDescent="0.3">
      <c r="A131" s="46" t="s">
        <v>89</v>
      </c>
      <c r="B131" s="51" t="s">
        <v>40</v>
      </c>
      <c r="C131" s="46" t="s">
        <v>12</v>
      </c>
      <c r="H131" s="52">
        <v>0</v>
      </c>
      <c r="K131" s="52">
        <v>0</v>
      </c>
      <c r="O131" s="52">
        <v>0</v>
      </c>
      <c r="P131" s="53">
        <f t="shared" ref="P131:P194" si="2">SUM(D131:O131)</f>
        <v>0</v>
      </c>
    </row>
    <row r="132" spans="1:16" x14ac:dyDescent="0.3">
      <c r="A132" s="46" t="s">
        <v>89</v>
      </c>
      <c r="B132" s="51" t="s">
        <v>41</v>
      </c>
      <c r="C132" s="46" t="s">
        <v>12</v>
      </c>
      <c r="H132" s="52">
        <v>1608.5400000000011</v>
      </c>
      <c r="K132" s="52">
        <v>3663.2999999999988</v>
      </c>
      <c r="O132" s="52">
        <v>4167.625</v>
      </c>
      <c r="P132" s="53">
        <f t="shared" si="2"/>
        <v>9439.4650000000001</v>
      </c>
    </row>
    <row r="133" spans="1:16" x14ac:dyDescent="0.3">
      <c r="A133" s="46" t="s">
        <v>89</v>
      </c>
      <c r="B133" s="51" t="s">
        <v>42</v>
      </c>
      <c r="C133" s="46" t="s">
        <v>12</v>
      </c>
      <c r="H133" s="52">
        <v>335.28</v>
      </c>
      <c r="K133" s="52">
        <v>203.16666666666671</v>
      </c>
      <c r="O133" s="52">
        <v>254.22499999999999</v>
      </c>
      <c r="P133" s="53">
        <f t="shared" si="2"/>
        <v>792.67166666666674</v>
      </c>
    </row>
    <row r="134" spans="1:16" x14ac:dyDescent="0.3">
      <c r="A134" s="46" t="s">
        <v>89</v>
      </c>
      <c r="B134" s="51" t="s">
        <v>43</v>
      </c>
      <c r="C134" s="46" t="s">
        <v>12</v>
      </c>
      <c r="H134" s="52">
        <v>3774.7</v>
      </c>
      <c r="K134" s="52">
        <v>2946.3</v>
      </c>
      <c r="O134" s="52">
        <v>1566</v>
      </c>
      <c r="P134" s="53">
        <f t="shared" si="2"/>
        <v>8287</v>
      </c>
    </row>
    <row r="135" spans="1:16" x14ac:dyDescent="0.3">
      <c r="A135" s="46" t="s">
        <v>89</v>
      </c>
      <c r="B135" s="47" t="s">
        <v>44</v>
      </c>
      <c r="C135" s="46" t="s">
        <v>12</v>
      </c>
      <c r="P135" s="49">
        <f t="shared" si="2"/>
        <v>0</v>
      </c>
    </row>
    <row r="136" spans="1:16" x14ac:dyDescent="0.3">
      <c r="A136" s="46" t="s">
        <v>89</v>
      </c>
      <c r="B136" s="47" t="s">
        <v>45</v>
      </c>
      <c r="C136" s="46" t="s">
        <v>12</v>
      </c>
      <c r="P136" s="53">
        <f t="shared" si="2"/>
        <v>0</v>
      </c>
    </row>
    <row r="137" spans="1:16" x14ac:dyDescent="0.3">
      <c r="A137" s="46" t="s">
        <v>89</v>
      </c>
      <c r="B137" s="47" t="s">
        <v>47</v>
      </c>
      <c r="C137" s="46" t="s">
        <v>12</v>
      </c>
      <c r="H137" s="53">
        <v>-4.5474735088646412E-13</v>
      </c>
      <c r="K137" s="53">
        <v>-4.5474735088646412E-13</v>
      </c>
      <c r="O137" s="53">
        <v>4.5474735088646412E-13</v>
      </c>
      <c r="P137" s="53">
        <f t="shared" si="2"/>
        <v>-4.5474735088646412E-13</v>
      </c>
    </row>
    <row r="138" spans="1:16" x14ac:dyDescent="0.3">
      <c r="A138" s="46" t="s">
        <v>89</v>
      </c>
      <c r="B138" s="47" t="s">
        <v>28</v>
      </c>
      <c r="C138" s="46" t="s">
        <v>13</v>
      </c>
      <c r="P138" s="48">
        <f t="shared" si="2"/>
        <v>0</v>
      </c>
    </row>
    <row r="139" spans="1:16" x14ac:dyDescent="0.3">
      <c r="A139" s="46" t="s">
        <v>89</v>
      </c>
      <c r="B139" s="47" t="s">
        <v>30</v>
      </c>
      <c r="C139" s="46" t="s">
        <v>13</v>
      </c>
      <c r="P139" s="48">
        <f t="shared" si="2"/>
        <v>0</v>
      </c>
    </row>
    <row r="140" spans="1:16" x14ac:dyDescent="0.3">
      <c r="A140" s="46" t="s">
        <v>89</v>
      </c>
      <c r="B140" s="47" t="s">
        <v>31</v>
      </c>
      <c r="C140" s="46" t="s">
        <v>13</v>
      </c>
      <c r="P140" s="49">
        <f t="shared" si="2"/>
        <v>0</v>
      </c>
    </row>
    <row r="141" spans="1:16" x14ac:dyDescent="0.3">
      <c r="A141" s="46" t="s">
        <v>89</v>
      </c>
      <c r="B141" s="47" t="s">
        <v>33</v>
      </c>
      <c r="C141" s="46" t="s">
        <v>13</v>
      </c>
      <c r="P141" s="50">
        <f t="shared" si="2"/>
        <v>0</v>
      </c>
    </row>
    <row r="142" spans="1:16" x14ac:dyDescent="0.3">
      <c r="A142" s="46" t="s">
        <v>89</v>
      </c>
      <c r="B142" s="51" t="s">
        <v>35</v>
      </c>
      <c r="C142" s="46" t="s">
        <v>13</v>
      </c>
      <c r="H142" s="52">
        <v>1566</v>
      </c>
      <c r="K142" s="52">
        <v>3994.9</v>
      </c>
      <c r="O142" s="52">
        <v>3087.1</v>
      </c>
      <c r="P142" s="53">
        <f t="shared" si="2"/>
        <v>8648</v>
      </c>
    </row>
    <row r="143" spans="1:16" x14ac:dyDescent="0.3">
      <c r="A143" s="46" t="s">
        <v>89</v>
      </c>
      <c r="B143" s="51" t="s">
        <v>37</v>
      </c>
      <c r="C143" s="46" t="s">
        <v>13</v>
      </c>
      <c r="H143" s="52">
        <v>11.8</v>
      </c>
      <c r="K143" s="52">
        <v>13.9</v>
      </c>
      <c r="O143" s="52">
        <v>17.3</v>
      </c>
      <c r="P143" s="53">
        <f t="shared" si="2"/>
        <v>43</v>
      </c>
    </row>
    <row r="144" spans="1:16" x14ac:dyDescent="0.3">
      <c r="A144" s="46" t="s">
        <v>89</v>
      </c>
      <c r="B144" s="51" t="s">
        <v>38</v>
      </c>
      <c r="C144" s="46" t="s">
        <v>13</v>
      </c>
      <c r="H144" s="52">
        <v>4172.1000000000004</v>
      </c>
      <c r="K144" s="52">
        <v>4172.1000000000004</v>
      </c>
      <c r="O144" s="52">
        <v>4172.1000000000004</v>
      </c>
      <c r="P144" s="53">
        <f t="shared" si="2"/>
        <v>12516.300000000001</v>
      </c>
    </row>
    <row r="145" spans="1:16" x14ac:dyDescent="0.3">
      <c r="A145" s="46" t="s">
        <v>89</v>
      </c>
      <c r="B145" s="51" t="s">
        <v>39</v>
      </c>
      <c r="C145" s="46" t="s">
        <v>13</v>
      </c>
      <c r="H145" s="52">
        <v>19.14</v>
      </c>
      <c r="K145" s="52">
        <v>19.06666666666667</v>
      </c>
      <c r="O145" s="52">
        <v>19.875</v>
      </c>
      <c r="P145" s="53">
        <f t="shared" si="2"/>
        <v>58.081666666666671</v>
      </c>
    </row>
    <row r="146" spans="1:16" x14ac:dyDescent="0.3">
      <c r="A146" s="46" t="s">
        <v>89</v>
      </c>
      <c r="B146" s="51" t="s">
        <v>40</v>
      </c>
      <c r="C146" s="46" t="s">
        <v>13</v>
      </c>
      <c r="H146" s="52">
        <v>0</v>
      </c>
      <c r="K146" s="52">
        <v>0</v>
      </c>
      <c r="O146" s="52">
        <v>0</v>
      </c>
      <c r="P146" s="53">
        <f t="shared" si="2"/>
        <v>0</v>
      </c>
    </row>
    <row r="147" spans="1:16" x14ac:dyDescent="0.3">
      <c r="A147" s="46" t="s">
        <v>89</v>
      </c>
      <c r="B147" s="51" t="s">
        <v>41</v>
      </c>
      <c r="C147" s="46" t="s">
        <v>13</v>
      </c>
      <c r="H147" s="52">
        <v>1431.28</v>
      </c>
      <c r="K147" s="52">
        <v>4806.4333333333316</v>
      </c>
      <c r="O147" s="52">
        <v>5456.6250000000018</v>
      </c>
      <c r="P147" s="53">
        <f t="shared" si="2"/>
        <v>11694.338333333333</v>
      </c>
    </row>
    <row r="148" spans="1:16" x14ac:dyDescent="0.3">
      <c r="A148" s="46" t="s">
        <v>89</v>
      </c>
      <c r="B148" s="51" t="s">
        <v>42</v>
      </c>
      <c r="C148" s="46" t="s">
        <v>13</v>
      </c>
      <c r="H148" s="52">
        <v>304.58</v>
      </c>
      <c r="K148" s="52">
        <v>268.3</v>
      </c>
      <c r="O148" s="52">
        <v>313.89999999999998</v>
      </c>
      <c r="P148" s="53">
        <f t="shared" si="2"/>
        <v>886.78</v>
      </c>
    </row>
    <row r="149" spans="1:16" x14ac:dyDescent="0.3">
      <c r="A149" s="46" t="s">
        <v>89</v>
      </c>
      <c r="B149" s="51" t="s">
        <v>43</v>
      </c>
      <c r="C149" s="46" t="s">
        <v>13</v>
      </c>
      <c r="H149" s="52">
        <v>3994.9</v>
      </c>
      <c r="K149" s="52">
        <v>3087.1</v>
      </c>
      <c r="O149" s="52">
        <v>1486.1</v>
      </c>
      <c r="P149" s="53">
        <f t="shared" si="2"/>
        <v>8568.1</v>
      </c>
    </row>
    <row r="150" spans="1:16" x14ac:dyDescent="0.3">
      <c r="A150" s="46" t="s">
        <v>89</v>
      </c>
      <c r="B150" s="47" t="s">
        <v>44</v>
      </c>
      <c r="C150" s="46" t="s">
        <v>13</v>
      </c>
      <c r="P150" s="49">
        <f t="shared" si="2"/>
        <v>0</v>
      </c>
    </row>
    <row r="151" spans="1:16" x14ac:dyDescent="0.3">
      <c r="A151" s="46" t="s">
        <v>89</v>
      </c>
      <c r="B151" s="47" t="s">
        <v>45</v>
      </c>
      <c r="C151" s="46" t="s">
        <v>13</v>
      </c>
      <c r="P151" s="53">
        <f t="shared" si="2"/>
        <v>0</v>
      </c>
    </row>
    <row r="152" spans="1:16" x14ac:dyDescent="0.3">
      <c r="A152" s="46" t="s">
        <v>89</v>
      </c>
      <c r="B152" s="47" t="s">
        <v>47</v>
      </c>
      <c r="C152" s="46" t="s">
        <v>13</v>
      </c>
      <c r="H152" s="53">
        <v>-4.5474735088646412E-13</v>
      </c>
      <c r="K152" s="53">
        <v>4.5474735088646412E-13</v>
      </c>
      <c r="O152" s="53">
        <v>-9.0949470177292824E-13</v>
      </c>
      <c r="P152" s="53">
        <f t="shared" si="2"/>
        <v>-9.0949470177292824E-13</v>
      </c>
    </row>
    <row r="153" spans="1:16" x14ac:dyDescent="0.3">
      <c r="A153" s="46" t="s">
        <v>89</v>
      </c>
      <c r="B153" s="47" t="s">
        <v>28</v>
      </c>
      <c r="C153" s="46" t="s">
        <v>14</v>
      </c>
      <c r="P153" s="48">
        <f t="shared" si="2"/>
        <v>0</v>
      </c>
    </row>
    <row r="154" spans="1:16" x14ac:dyDescent="0.3">
      <c r="A154" s="46" t="s">
        <v>89</v>
      </c>
      <c r="B154" s="47" t="s">
        <v>30</v>
      </c>
      <c r="C154" s="46" t="s">
        <v>14</v>
      </c>
      <c r="P154" s="48">
        <f t="shared" si="2"/>
        <v>0</v>
      </c>
    </row>
    <row r="155" spans="1:16" x14ac:dyDescent="0.3">
      <c r="A155" s="46" t="s">
        <v>89</v>
      </c>
      <c r="B155" s="47" t="s">
        <v>31</v>
      </c>
      <c r="C155" s="46" t="s">
        <v>14</v>
      </c>
      <c r="P155" s="49">
        <f t="shared" si="2"/>
        <v>0</v>
      </c>
    </row>
    <row r="156" spans="1:16" x14ac:dyDescent="0.3">
      <c r="A156" s="46" t="s">
        <v>89</v>
      </c>
      <c r="B156" s="47" t="s">
        <v>33</v>
      </c>
      <c r="C156" s="46" t="s">
        <v>14</v>
      </c>
      <c r="P156" s="50">
        <f t="shared" si="2"/>
        <v>0</v>
      </c>
    </row>
    <row r="157" spans="1:16" x14ac:dyDescent="0.3">
      <c r="A157" s="46" t="s">
        <v>89</v>
      </c>
      <c r="B157" s="51" t="s">
        <v>35</v>
      </c>
      <c r="C157" s="46" t="s">
        <v>14</v>
      </c>
      <c r="H157" s="52">
        <v>1486.1</v>
      </c>
      <c r="K157" s="52">
        <v>3935.5</v>
      </c>
      <c r="O157" s="52">
        <v>2992</v>
      </c>
      <c r="P157" s="53">
        <f t="shared" si="2"/>
        <v>8413.6</v>
      </c>
    </row>
    <row r="158" spans="1:16" x14ac:dyDescent="0.3">
      <c r="A158" s="46" t="s">
        <v>89</v>
      </c>
      <c r="B158" s="51" t="s">
        <v>37</v>
      </c>
      <c r="C158" s="46" t="s">
        <v>14</v>
      </c>
      <c r="H158" s="52">
        <v>34.1</v>
      </c>
      <c r="K158" s="52">
        <v>34.9</v>
      </c>
      <c r="O158" s="52">
        <v>35.799999999999997</v>
      </c>
      <c r="P158" s="53">
        <f t="shared" si="2"/>
        <v>104.8</v>
      </c>
    </row>
    <row r="159" spans="1:16" x14ac:dyDescent="0.3">
      <c r="A159" s="46" t="s">
        <v>89</v>
      </c>
      <c r="B159" s="51" t="s">
        <v>38</v>
      </c>
      <c r="C159" s="46" t="s">
        <v>14</v>
      </c>
      <c r="H159" s="52">
        <v>4626.6000000000004</v>
      </c>
      <c r="K159" s="52">
        <v>4626.6000000000004</v>
      </c>
      <c r="O159" s="52">
        <v>4626.6000000000004</v>
      </c>
      <c r="P159" s="53">
        <f t="shared" si="2"/>
        <v>13879.800000000001</v>
      </c>
    </row>
    <row r="160" spans="1:16" x14ac:dyDescent="0.3">
      <c r="A160" s="46" t="s">
        <v>89</v>
      </c>
      <c r="B160" s="51" t="s">
        <v>39</v>
      </c>
      <c r="C160" s="46" t="s">
        <v>14</v>
      </c>
      <c r="H160" s="52">
        <v>19.399999999999999</v>
      </c>
      <c r="K160" s="52">
        <v>19.966666666666669</v>
      </c>
      <c r="O160" s="52">
        <v>18.55</v>
      </c>
      <c r="P160" s="53">
        <f t="shared" si="2"/>
        <v>57.916666666666671</v>
      </c>
    </row>
    <row r="161" spans="1:16" x14ac:dyDescent="0.3">
      <c r="A161" s="46" t="s">
        <v>89</v>
      </c>
      <c r="B161" s="51" t="s">
        <v>40</v>
      </c>
      <c r="C161" s="46" t="s">
        <v>14</v>
      </c>
      <c r="H161" s="52">
        <v>0</v>
      </c>
      <c r="K161" s="52">
        <v>0</v>
      </c>
      <c r="O161" s="52">
        <v>0</v>
      </c>
      <c r="P161" s="53">
        <f t="shared" si="2"/>
        <v>0</v>
      </c>
    </row>
    <row r="162" spans="1:16" x14ac:dyDescent="0.3">
      <c r="A162" s="46" t="s">
        <v>89</v>
      </c>
      <c r="B162" s="51" t="s">
        <v>41</v>
      </c>
      <c r="C162" s="46" t="s">
        <v>14</v>
      </c>
      <c r="H162" s="52">
        <v>1789.4800000000009</v>
      </c>
      <c r="K162" s="52">
        <v>5295.1666666666661</v>
      </c>
      <c r="O162" s="52">
        <v>6168.0249999999996</v>
      </c>
      <c r="P162" s="53">
        <f t="shared" si="2"/>
        <v>13252.671666666667</v>
      </c>
    </row>
    <row r="163" spans="1:16" x14ac:dyDescent="0.3">
      <c r="A163" s="46" t="s">
        <v>89</v>
      </c>
      <c r="B163" s="51" t="s">
        <v>42</v>
      </c>
      <c r="C163" s="46" t="s">
        <v>14</v>
      </c>
      <c r="H163" s="52">
        <v>402.42</v>
      </c>
      <c r="K163" s="52">
        <v>289.86666666666662</v>
      </c>
      <c r="O163" s="52">
        <v>340.92500000000001</v>
      </c>
      <c r="P163" s="53">
        <f t="shared" si="2"/>
        <v>1033.2116666666666</v>
      </c>
    </row>
    <row r="164" spans="1:16" x14ac:dyDescent="0.3">
      <c r="A164" s="46" t="s">
        <v>89</v>
      </c>
      <c r="B164" s="51" t="s">
        <v>43</v>
      </c>
      <c r="C164" s="46" t="s">
        <v>14</v>
      </c>
      <c r="H164" s="52">
        <v>3935.5</v>
      </c>
      <c r="K164" s="52">
        <v>2992</v>
      </c>
      <c r="O164" s="52">
        <v>1126.9000000000001</v>
      </c>
      <c r="P164" s="53">
        <f t="shared" si="2"/>
        <v>8054.4</v>
      </c>
    </row>
    <row r="165" spans="1:16" x14ac:dyDescent="0.3">
      <c r="A165" s="46" t="s">
        <v>89</v>
      </c>
      <c r="B165" s="47" t="s">
        <v>44</v>
      </c>
      <c r="C165" s="46" t="s">
        <v>14</v>
      </c>
      <c r="P165" s="49">
        <f t="shared" si="2"/>
        <v>0</v>
      </c>
    </row>
    <row r="166" spans="1:16" x14ac:dyDescent="0.3">
      <c r="A166" s="46" t="s">
        <v>89</v>
      </c>
      <c r="B166" s="47" t="s">
        <v>45</v>
      </c>
      <c r="C166" s="46" t="s">
        <v>14</v>
      </c>
      <c r="P166" s="53">
        <f t="shared" si="2"/>
        <v>0</v>
      </c>
    </row>
    <row r="167" spans="1:16" x14ac:dyDescent="0.3">
      <c r="A167" s="46" t="s">
        <v>89</v>
      </c>
      <c r="B167" s="47" t="s">
        <v>47</v>
      </c>
      <c r="C167" s="46" t="s">
        <v>14</v>
      </c>
      <c r="H167" s="53">
        <v>0</v>
      </c>
      <c r="K167" s="53">
        <v>0</v>
      </c>
      <c r="O167" s="53">
        <v>6.8212102632969618E-13</v>
      </c>
      <c r="P167" s="53">
        <f t="shared" si="2"/>
        <v>6.8212102632969618E-13</v>
      </c>
    </row>
    <row r="168" spans="1:16" x14ac:dyDescent="0.3">
      <c r="A168" s="46" t="s">
        <v>89</v>
      </c>
      <c r="B168" s="47" t="s">
        <v>28</v>
      </c>
      <c r="C168" s="46" t="s">
        <v>15</v>
      </c>
      <c r="P168" s="48">
        <f t="shared" si="2"/>
        <v>0</v>
      </c>
    </row>
    <row r="169" spans="1:16" x14ac:dyDescent="0.3">
      <c r="A169" s="46" t="s">
        <v>89</v>
      </c>
      <c r="B169" s="47" t="s">
        <v>30</v>
      </c>
      <c r="C169" s="46" t="s">
        <v>15</v>
      </c>
      <c r="P169" s="48">
        <f t="shared" si="2"/>
        <v>0</v>
      </c>
    </row>
    <row r="170" spans="1:16" x14ac:dyDescent="0.3">
      <c r="A170" s="46" t="s">
        <v>89</v>
      </c>
      <c r="B170" s="47" t="s">
        <v>31</v>
      </c>
      <c r="C170" s="46" t="s">
        <v>15</v>
      </c>
      <c r="P170" s="49">
        <f t="shared" si="2"/>
        <v>0</v>
      </c>
    </row>
    <row r="171" spans="1:16" x14ac:dyDescent="0.3">
      <c r="A171" s="46" t="s">
        <v>89</v>
      </c>
      <c r="B171" s="47" t="s">
        <v>33</v>
      </c>
      <c r="C171" s="46" t="s">
        <v>15</v>
      </c>
      <c r="P171" s="50">
        <f t="shared" si="2"/>
        <v>0</v>
      </c>
    </row>
    <row r="172" spans="1:16" x14ac:dyDescent="0.3">
      <c r="A172" s="46" t="s">
        <v>89</v>
      </c>
      <c r="B172" s="51" t="s">
        <v>35</v>
      </c>
      <c r="C172" s="46" t="s">
        <v>15</v>
      </c>
      <c r="H172" s="52">
        <v>1126.9000000000001</v>
      </c>
      <c r="K172" s="52">
        <v>5264</v>
      </c>
      <c r="O172" s="52">
        <v>3977.1</v>
      </c>
      <c r="P172" s="53">
        <f t="shared" si="2"/>
        <v>10368</v>
      </c>
    </row>
    <row r="173" spans="1:16" x14ac:dyDescent="0.3">
      <c r="A173" s="46" t="s">
        <v>89</v>
      </c>
      <c r="B173" s="51" t="s">
        <v>37</v>
      </c>
      <c r="C173" s="46" t="s">
        <v>15</v>
      </c>
      <c r="H173" s="52">
        <v>0.8</v>
      </c>
      <c r="K173" s="52">
        <v>3.4</v>
      </c>
      <c r="O173" s="52">
        <v>5.0999999999999996</v>
      </c>
      <c r="P173" s="53">
        <f t="shared" si="2"/>
        <v>9.3000000000000007</v>
      </c>
    </row>
    <row r="174" spans="1:16" x14ac:dyDescent="0.3">
      <c r="A174" s="46" t="s">
        <v>89</v>
      </c>
      <c r="B174" s="51" t="s">
        <v>38</v>
      </c>
      <c r="C174" s="46" t="s">
        <v>15</v>
      </c>
      <c r="H174" s="52">
        <v>6504.5</v>
      </c>
      <c r="K174" s="52">
        <v>6504.5</v>
      </c>
      <c r="O174" s="52">
        <v>6504.5</v>
      </c>
      <c r="P174" s="53">
        <f t="shared" si="2"/>
        <v>19513.5</v>
      </c>
    </row>
    <row r="175" spans="1:16" x14ac:dyDescent="0.3">
      <c r="A175" s="46" t="s">
        <v>89</v>
      </c>
      <c r="B175" s="51" t="s">
        <v>39</v>
      </c>
      <c r="C175" s="46" t="s">
        <v>15</v>
      </c>
      <c r="H175" s="52">
        <v>19.86</v>
      </c>
      <c r="K175" s="52">
        <v>20.233333333333331</v>
      </c>
      <c r="O175" s="52">
        <v>19.074999999999999</v>
      </c>
      <c r="P175" s="53">
        <f t="shared" si="2"/>
        <v>59.168333333333337</v>
      </c>
    </row>
    <row r="176" spans="1:16" x14ac:dyDescent="0.3">
      <c r="A176" s="46" t="s">
        <v>89</v>
      </c>
      <c r="B176" s="51" t="s">
        <v>40</v>
      </c>
      <c r="C176" s="46" t="s">
        <v>15</v>
      </c>
      <c r="H176" s="52">
        <v>0</v>
      </c>
      <c r="K176" s="52">
        <v>0</v>
      </c>
      <c r="O176" s="52">
        <v>0</v>
      </c>
      <c r="P176" s="53">
        <f t="shared" si="2"/>
        <v>0</v>
      </c>
    </row>
    <row r="177" spans="1:16" x14ac:dyDescent="0.3">
      <c r="A177" s="46" t="s">
        <v>89</v>
      </c>
      <c r="B177" s="51" t="s">
        <v>41</v>
      </c>
      <c r="C177" s="46" t="s">
        <v>15</v>
      </c>
      <c r="H177" s="52">
        <v>1969.059999999999</v>
      </c>
      <c r="K177" s="52">
        <v>7370.6999999999989</v>
      </c>
      <c r="O177" s="52">
        <v>8238.2250000000004</v>
      </c>
      <c r="P177" s="53">
        <f t="shared" si="2"/>
        <v>17577.985000000001</v>
      </c>
    </row>
    <row r="178" spans="1:16" x14ac:dyDescent="0.3">
      <c r="A178" s="46" t="s">
        <v>89</v>
      </c>
      <c r="B178" s="51" t="s">
        <v>42</v>
      </c>
      <c r="C178" s="46" t="s">
        <v>15</v>
      </c>
      <c r="H178" s="52">
        <v>379.28</v>
      </c>
      <c r="K178" s="52">
        <v>403.86666666666662</v>
      </c>
      <c r="O178" s="52">
        <v>490.5</v>
      </c>
      <c r="P178" s="53">
        <f t="shared" si="2"/>
        <v>1273.6466666666665</v>
      </c>
    </row>
    <row r="179" spans="1:16" x14ac:dyDescent="0.3">
      <c r="A179" s="46" t="s">
        <v>89</v>
      </c>
      <c r="B179" s="51" t="s">
        <v>43</v>
      </c>
      <c r="C179" s="46" t="s">
        <v>15</v>
      </c>
      <c r="H179" s="52">
        <v>5264</v>
      </c>
      <c r="K179" s="52">
        <v>3977.1</v>
      </c>
      <c r="O179" s="52">
        <v>1738.9</v>
      </c>
      <c r="P179" s="53">
        <f t="shared" si="2"/>
        <v>10980</v>
      </c>
    </row>
    <row r="180" spans="1:16" x14ac:dyDescent="0.3">
      <c r="A180" s="46" t="s">
        <v>89</v>
      </c>
      <c r="B180" s="47" t="s">
        <v>44</v>
      </c>
      <c r="C180" s="46" t="s">
        <v>15</v>
      </c>
      <c r="P180" s="49">
        <f t="shared" si="2"/>
        <v>0</v>
      </c>
    </row>
    <row r="181" spans="1:16" x14ac:dyDescent="0.3">
      <c r="A181" s="46" t="s">
        <v>89</v>
      </c>
      <c r="B181" s="47" t="s">
        <v>45</v>
      </c>
      <c r="C181" s="46" t="s">
        <v>15</v>
      </c>
      <c r="P181" s="53">
        <f t="shared" si="2"/>
        <v>0</v>
      </c>
    </row>
    <row r="182" spans="1:16" x14ac:dyDescent="0.3">
      <c r="A182" s="46" t="s">
        <v>89</v>
      </c>
      <c r="B182" s="47" t="s">
        <v>47</v>
      </c>
      <c r="C182" s="46" t="s">
        <v>15</v>
      </c>
      <c r="H182" s="53">
        <v>9.0949470177292824E-13</v>
      </c>
      <c r="K182" s="53">
        <v>4.5474735088646412E-13</v>
      </c>
      <c r="O182" s="53">
        <v>-4.5474735088646412E-13</v>
      </c>
      <c r="P182" s="53">
        <f t="shared" si="2"/>
        <v>9.0949470177292824E-13</v>
      </c>
    </row>
    <row r="183" spans="1:16" x14ac:dyDescent="0.3">
      <c r="A183" s="46" t="s">
        <v>89</v>
      </c>
      <c r="B183" s="47" t="s">
        <v>28</v>
      </c>
      <c r="C183" s="46" t="s">
        <v>16</v>
      </c>
      <c r="P183" s="48">
        <f t="shared" si="2"/>
        <v>0</v>
      </c>
    </row>
    <row r="184" spans="1:16" x14ac:dyDescent="0.3">
      <c r="A184" s="46" t="s">
        <v>89</v>
      </c>
      <c r="B184" s="47" t="s">
        <v>30</v>
      </c>
      <c r="C184" s="46" t="s">
        <v>16</v>
      </c>
      <c r="P184" s="48">
        <f t="shared" si="2"/>
        <v>0</v>
      </c>
    </row>
    <row r="185" spans="1:16" x14ac:dyDescent="0.3">
      <c r="A185" s="46" t="s">
        <v>89</v>
      </c>
      <c r="B185" s="47" t="s">
        <v>31</v>
      </c>
      <c r="C185" s="46" t="s">
        <v>16</v>
      </c>
      <c r="P185" s="49">
        <f t="shared" si="2"/>
        <v>0</v>
      </c>
    </row>
    <row r="186" spans="1:16" x14ac:dyDescent="0.3">
      <c r="A186" s="46" t="s">
        <v>89</v>
      </c>
      <c r="B186" s="47" t="s">
        <v>33</v>
      </c>
      <c r="C186" s="46" t="s">
        <v>16</v>
      </c>
      <c r="P186" s="50">
        <f t="shared" si="2"/>
        <v>0</v>
      </c>
    </row>
    <row r="187" spans="1:16" x14ac:dyDescent="0.3">
      <c r="A187" s="46" t="s">
        <v>89</v>
      </c>
      <c r="B187" s="51" t="s">
        <v>35</v>
      </c>
      <c r="C187" s="46" t="s">
        <v>16</v>
      </c>
      <c r="H187" s="52">
        <v>1738.9</v>
      </c>
      <c r="K187" s="52">
        <v>4086.8</v>
      </c>
      <c r="O187" s="52">
        <v>2557.8000000000002</v>
      </c>
      <c r="P187" s="53">
        <f t="shared" si="2"/>
        <v>8383.5</v>
      </c>
    </row>
    <row r="188" spans="1:16" x14ac:dyDescent="0.3">
      <c r="A188" s="46" t="s">
        <v>89</v>
      </c>
      <c r="B188" s="51" t="s">
        <v>37</v>
      </c>
      <c r="C188" s="46" t="s">
        <v>16</v>
      </c>
      <c r="H188" s="52">
        <v>4.0999999999999996</v>
      </c>
      <c r="K188" s="52">
        <v>5.3</v>
      </c>
      <c r="O188" s="52">
        <v>7.7</v>
      </c>
      <c r="P188" s="53">
        <f t="shared" si="2"/>
        <v>17.099999999999998</v>
      </c>
    </row>
    <row r="189" spans="1:16" x14ac:dyDescent="0.3">
      <c r="A189" s="46" t="s">
        <v>89</v>
      </c>
      <c r="B189" s="51" t="s">
        <v>38</v>
      </c>
      <c r="C189" s="46" t="s">
        <v>16</v>
      </c>
      <c r="H189" s="52">
        <v>5192.7</v>
      </c>
      <c r="K189" s="52">
        <v>5192.7</v>
      </c>
      <c r="O189" s="52">
        <v>5192.7</v>
      </c>
      <c r="P189" s="53">
        <f t="shared" si="2"/>
        <v>15578.099999999999</v>
      </c>
    </row>
    <row r="190" spans="1:16" x14ac:dyDescent="0.3">
      <c r="A190" s="46" t="s">
        <v>89</v>
      </c>
      <c r="B190" s="51" t="s">
        <v>39</v>
      </c>
      <c r="C190" s="46" t="s">
        <v>16</v>
      </c>
      <c r="H190" s="52">
        <v>17.04</v>
      </c>
      <c r="K190" s="52">
        <v>16.600000000000001</v>
      </c>
      <c r="O190" s="52">
        <v>16.399999999999999</v>
      </c>
      <c r="P190" s="53">
        <f t="shared" si="2"/>
        <v>50.04</v>
      </c>
    </row>
    <row r="191" spans="1:16" x14ac:dyDescent="0.3">
      <c r="A191" s="46" t="s">
        <v>89</v>
      </c>
      <c r="B191" s="51" t="s">
        <v>40</v>
      </c>
      <c r="C191" s="46" t="s">
        <v>16</v>
      </c>
      <c r="H191" s="52">
        <v>0</v>
      </c>
      <c r="K191" s="52">
        <v>0</v>
      </c>
      <c r="O191" s="52">
        <v>0</v>
      </c>
      <c r="P191" s="53">
        <f t="shared" si="2"/>
        <v>0</v>
      </c>
    </row>
    <row r="192" spans="1:16" x14ac:dyDescent="0.3">
      <c r="A192" s="46" t="s">
        <v>89</v>
      </c>
      <c r="B192" s="51" t="s">
        <v>41</v>
      </c>
      <c r="C192" s="46" t="s">
        <v>16</v>
      </c>
      <c r="H192" s="52">
        <v>2311.2600000000002</v>
      </c>
      <c r="K192" s="52">
        <v>6254.333333333333</v>
      </c>
      <c r="O192" s="52">
        <v>6464.3749999999991</v>
      </c>
      <c r="P192" s="53">
        <f t="shared" si="2"/>
        <v>15029.968333333334</v>
      </c>
    </row>
    <row r="193" spans="1:16" x14ac:dyDescent="0.3">
      <c r="A193" s="46" t="s">
        <v>89</v>
      </c>
      <c r="B193" s="51" t="s">
        <v>42</v>
      </c>
      <c r="C193" s="46" t="s">
        <v>16</v>
      </c>
      <c r="H193" s="52">
        <v>520.6</v>
      </c>
      <c r="K193" s="52">
        <v>456.06666666666661</v>
      </c>
      <c r="O193" s="52">
        <v>301.32499999999999</v>
      </c>
      <c r="P193" s="53">
        <f t="shared" si="2"/>
        <v>1277.9916666666666</v>
      </c>
    </row>
    <row r="194" spans="1:16" x14ac:dyDescent="0.3">
      <c r="A194" s="46" t="s">
        <v>89</v>
      </c>
      <c r="B194" s="51" t="s">
        <v>43</v>
      </c>
      <c r="C194" s="46" t="s">
        <v>16</v>
      </c>
      <c r="H194" s="52">
        <v>4086.8</v>
      </c>
      <c r="K194" s="52">
        <v>2557.8000000000002</v>
      </c>
      <c r="O194" s="52">
        <v>976.1</v>
      </c>
      <c r="P194" s="53">
        <f t="shared" si="2"/>
        <v>7620.7000000000007</v>
      </c>
    </row>
    <row r="195" spans="1:16" x14ac:dyDescent="0.3">
      <c r="A195" s="46" t="s">
        <v>89</v>
      </c>
      <c r="B195" s="47" t="s">
        <v>44</v>
      </c>
      <c r="C195" s="46" t="s">
        <v>16</v>
      </c>
      <c r="P195" s="49">
        <f t="shared" ref="P195:P258" si="3">SUM(D195:O195)</f>
        <v>0</v>
      </c>
    </row>
    <row r="196" spans="1:16" x14ac:dyDescent="0.3">
      <c r="A196" s="46" t="s">
        <v>89</v>
      </c>
      <c r="B196" s="47" t="s">
        <v>45</v>
      </c>
      <c r="C196" s="46" t="s">
        <v>16</v>
      </c>
      <c r="P196" s="53">
        <f t="shared" si="3"/>
        <v>0</v>
      </c>
    </row>
    <row r="197" spans="1:16" x14ac:dyDescent="0.3">
      <c r="A197" s="46" t="s">
        <v>89</v>
      </c>
      <c r="B197" s="47" t="s">
        <v>47</v>
      </c>
      <c r="C197" s="46" t="s">
        <v>16</v>
      </c>
      <c r="H197" s="53">
        <v>4.5474735088646412E-13</v>
      </c>
      <c r="K197" s="53">
        <v>-9.0949470177292824E-13</v>
      </c>
      <c r="O197" s="53">
        <v>1.0231815394945441E-12</v>
      </c>
      <c r="P197" s="53">
        <f t="shared" si="3"/>
        <v>5.6843418860807995E-13</v>
      </c>
    </row>
    <row r="198" spans="1:16" x14ac:dyDescent="0.3">
      <c r="A198" s="46" t="s">
        <v>89</v>
      </c>
      <c r="B198" s="47" t="s">
        <v>28</v>
      </c>
      <c r="C198" s="46" t="s">
        <v>17</v>
      </c>
      <c r="P198" s="48">
        <f t="shared" si="3"/>
        <v>0</v>
      </c>
    </row>
    <row r="199" spans="1:16" x14ac:dyDescent="0.3">
      <c r="A199" s="46" t="s">
        <v>89</v>
      </c>
      <c r="B199" s="47" t="s">
        <v>30</v>
      </c>
      <c r="C199" s="46" t="s">
        <v>17</v>
      </c>
      <c r="P199" s="48">
        <f t="shared" si="3"/>
        <v>0</v>
      </c>
    </row>
    <row r="200" spans="1:16" x14ac:dyDescent="0.3">
      <c r="A200" s="46" t="s">
        <v>89</v>
      </c>
      <c r="B200" s="47" t="s">
        <v>31</v>
      </c>
      <c r="C200" s="46" t="s">
        <v>17</v>
      </c>
      <c r="P200" s="49">
        <f t="shared" si="3"/>
        <v>0</v>
      </c>
    </row>
    <row r="201" spans="1:16" x14ac:dyDescent="0.3">
      <c r="A201" s="46" t="s">
        <v>89</v>
      </c>
      <c r="B201" s="47" t="s">
        <v>33</v>
      </c>
      <c r="C201" s="46" t="s">
        <v>17</v>
      </c>
      <c r="P201" s="50">
        <f t="shared" si="3"/>
        <v>0</v>
      </c>
    </row>
    <row r="202" spans="1:16" x14ac:dyDescent="0.3">
      <c r="A202" s="46" t="s">
        <v>89</v>
      </c>
      <c r="B202" s="51" t="s">
        <v>35</v>
      </c>
      <c r="C202" s="46" t="s">
        <v>17</v>
      </c>
      <c r="H202" s="52">
        <v>976.1</v>
      </c>
      <c r="K202" s="52">
        <v>4231.3</v>
      </c>
      <c r="O202" s="52">
        <v>2704.5</v>
      </c>
      <c r="P202" s="53">
        <f t="shared" si="3"/>
        <v>7911.9000000000005</v>
      </c>
    </row>
    <row r="203" spans="1:16" x14ac:dyDescent="0.3">
      <c r="A203" s="46" t="s">
        <v>89</v>
      </c>
      <c r="B203" s="51" t="s">
        <v>37</v>
      </c>
      <c r="C203" s="46" t="s">
        <v>17</v>
      </c>
      <c r="H203" s="52">
        <v>8.5</v>
      </c>
      <c r="K203" s="52">
        <v>10.7</v>
      </c>
      <c r="O203" s="52">
        <v>12.9</v>
      </c>
      <c r="P203" s="53">
        <f t="shared" si="3"/>
        <v>32.1</v>
      </c>
    </row>
    <row r="204" spans="1:16" x14ac:dyDescent="0.3">
      <c r="A204" s="46" t="s">
        <v>89</v>
      </c>
      <c r="B204" s="51" t="s">
        <v>38</v>
      </c>
      <c r="C204" s="46" t="s">
        <v>17</v>
      </c>
      <c r="H204" s="52">
        <v>5388.7</v>
      </c>
      <c r="K204" s="52">
        <v>5388.7</v>
      </c>
      <c r="O204" s="52">
        <v>5388.7</v>
      </c>
      <c r="P204" s="53">
        <f t="shared" si="3"/>
        <v>16166.099999999999</v>
      </c>
    </row>
    <row r="205" spans="1:16" x14ac:dyDescent="0.3">
      <c r="A205" s="46" t="s">
        <v>89</v>
      </c>
      <c r="B205" s="51" t="s">
        <v>39</v>
      </c>
      <c r="C205" s="46" t="s">
        <v>17</v>
      </c>
      <c r="H205" s="52">
        <v>17.760000000000002</v>
      </c>
      <c r="K205" s="52">
        <v>18.166666666666671</v>
      </c>
      <c r="O205" s="52">
        <v>16.45</v>
      </c>
      <c r="P205" s="53">
        <f t="shared" si="3"/>
        <v>52.376666666666679</v>
      </c>
    </row>
    <row r="206" spans="1:16" x14ac:dyDescent="0.3">
      <c r="A206" s="46" t="s">
        <v>89</v>
      </c>
      <c r="B206" s="51" t="s">
        <v>40</v>
      </c>
      <c r="C206" s="46" t="s">
        <v>17</v>
      </c>
      <c r="H206" s="52">
        <v>0</v>
      </c>
      <c r="K206" s="52">
        <v>0</v>
      </c>
      <c r="O206" s="52">
        <v>0</v>
      </c>
      <c r="P206" s="53">
        <f t="shared" si="3"/>
        <v>0</v>
      </c>
    </row>
    <row r="207" spans="1:16" x14ac:dyDescent="0.3">
      <c r="A207" s="46" t="s">
        <v>89</v>
      </c>
      <c r="B207" s="51" t="s">
        <v>41</v>
      </c>
      <c r="C207" s="46" t="s">
        <v>17</v>
      </c>
      <c r="H207" s="52">
        <v>1742.34</v>
      </c>
      <c r="K207" s="52">
        <v>6425.4000000000005</v>
      </c>
      <c r="O207" s="52">
        <v>6700.1749999999993</v>
      </c>
      <c r="P207" s="53">
        <f t="shared" si="3"/>
        <v>14867.915000000001</v>
      </c>
    </row>
    <row r="208" spans="1:16" x14ac:dyDescent="0.3">
      <c r="A208" s="46" t="s">
        <v>89</v>
      </c>
      <c r="B208" s="51" t="s">
        <v>42</v>
      </c>
      <c r="C208" s="46" t="s">
        <v>17</v>
      </c>
      <c r="H208" s="52">
        <v>381.9</v>
      </c>
      <c r="K208" s="52">
        <v>482.63333333333338</v>
      </c>
      <c r="O208" s="52">
        <v>289.17500000000013</v>
      </c>
      <c r="P208" s="53">
        <f t="shared" si="3"/>
        <v>1153.7083333333335</v>
      </c>
    </row>
    <row r="209" spans="1:16" x14ac:dyDescent="0.3">
      <c r="A209" s="46" t="s">
        <v>89</v>
      </c>
      <c r="B209" s="51" t="s">
        <v>43</v>
      </c>
      <c r="C209" s="46" t="s">
        <v>17</v>
      </c>
      <c r="H209" s="52">
        <v>4231.3</v>
      </c>
      <c r="K209" s="52">
        <v>2704.5</v>
      </c>
      <c r="O209" s="52">
        <v>1100.3</v>
      </c>
      <c r="P209" s="53">
        <f t="shared" si="3"/>
        <v>8036.1</v>
      </c>
    </row>
    <row r="210" spans="1:16" x14ac:dyDescent="0.3">
      <c r="A210" s="46" t="s">
        <v>89</v>
      </c>
      <c r="B210" s="47" t="s">
        <v>44</v>
      </c>
      <c r="C210" s="46" t="s">
        <v>17</v>
      </c>
      <c r="P210" s="49">
        <f t="shared" si="3"/>
        <v>0</v>
      </c>
    </row>
    <row r="211" spans="1:16" x14ac:dyDescent="0.3">
      <c r="A211" s="46" t="s">
        <v>89</v>
      </c>
      <c r="B211" s="47" t="s">
        <v>45</v>
      </c>
      <c r="C211" s="46" t="s">
        <v>17</v>
      </c>
      <c r="P211" s="53">
        <f t="shared" si="3"/>
        <v>0</v>
      </c>
    </row>
    <row r="212" spans="1:16" x14ac:dyDescent="0.3">
      <c r="A212" s="46" t="s">
        <v>89</v>
      </c>
      <c r="B212" s="47" t="s">
        <v>47</v>
      </c>
      <c r="C212" s="46" t="s">
        <v>17</v>
      </c>
      <c r="H212" s="53">
        <v>0</v>
      </c>
      <c r="K212" s="53">
        <v>0</v>
      </c>
      <c r="O212" s="53">
        <v>2.2737367544323211E-13</v>
      </c>
      <c r="P212" s="53">
        <f t="shared" si="3"/>
        <v>2.2737367544323211E-13</v>
      </c>
    </row>
    <row r="213" spans="1:16" x14ac:dyDescent="0.3">
      <c r="A213" s="46" t="s">
        <v>89</v>
      </c>
      <c r="B213" s="47" t="s">
        <v>28</v>
      </c>
      <c r="C213" s="46" t="s">
        <v>18</v>
      </c>
      <c r="P213" s="48">
        <f t="shared" si="3"/>
        <v>0</v>
      </c>
    </row>
    <row r="214" spans="1:16" x14ac:dyDescent="0.3">
      <c r="A214" s="46" t="s">
        <v>89</v>
      </c>
      <c r="B214" s="47" t="s">
        <v>30</v>
      </c>
      <c r="C214" s="46" t="s">
        <v>18</v>
      </c>
      <c r="P214" s="48">
        <f t="shared" si="3"/>
        <v>0</v>
      </c>
    </row>
    <row r="215" spans="1:16" x14ac:dyDescent="0.3">
      <c r="A215" s="46" t="s">
        <v>89</v>
      </c>
      <c r="B215" s="47" t="s">
        <v>31</v>
      </c>
      <c r="C215" s="46" t="s">
        <v>18</v>
      </c>
      <c r="P215" s="49">
        <f t="shared" si="3"/>
        <v>0</v>
      </c>
    </row>
    <row r="216" spans="1:16" x14ac:dyDescent="0.3">
      <c r="A216" s="46" t="s">
        <v>89</v>
      </c>
      <c r="B216" s="47" t="s">
        <v>33</v>
      </c>
      <c r="C216" s="46" t="s">
        <v>18</v>
      </c>
      <c r="P216" s="50">
        <f t="shared" si="3"/>
        <v>0</v>
      </c>
    </row>
    <row r="217" spans="1:16" x14ac:dyDescent="0.3">
      <c r="A217" s="46" t="s">
        <v>89</v>
      </c>
      <c r="B217" s="51" t="s">
        <v>35</v>
      </c>
      <c r="C217" s="46" t="s">
        <v>18</v>
      </c>
      <c r="H217" s="52">
        <v>1100.3</v>
      </c>
      <c r="K217" s="52">
        <v>6140</v>
      </c>
      <c r="O217" s="52">
        <v>4078.4</v>
      </c>
      <c r="P217" s="53">
        <f t="shared" si="3"/>
        <v>11318.7</v>
      </c>
    </row>
    <row r="218" spans="1:16" x14ac:dyDescent="0.3">
      <c r="A218" s="46" t="s">
        <v>89</v>
      </c>
      <c r="B218" s="51" t="s">
        <v>37</v>
      </c>
      <c r="C218" s="46" t="s">
        <v>18</v>
      </c>
      <c r="H218" s="52">
        <v>1.5</v>
      </c>
      <c r="K218" s="52">
        <v>6</v>
      </c>
      <c r="O218" s="52">
        <v>10.8</v>
      </c>
      <c r="P218" s="53">
        <f t="shared" si="3"/>
        <v>18.3</v>
      </c>
    </row>
    <row r="219" spans="1:16" x14ac:dyDescent="0.3">
      <c r="A219" s="46" t="s">
        <v>89</v>
      </c>
      <c r="B219" s="51" t="s">
        <v>38</v>
      </c>
      <c r="C219" s="46" t="s">
        <v>18</v>
      </c>
      <c r="H219" s="52">
        <v>7761.8</v>
      </c>
      <c r="K219" s="52">
        <v>7761.8</v>
      </c>
      <c r="O219" s="52">
        <v>7761.8</v>
      </c>
      <c r="P219" s="53">
        <f t="shared" si="3"/>
        <v>23285.4</v>
      </c>
    </row>
    <row r="220" spans="1:16" x14ac:dyDescent="0.3">
      <c r="A220" s="46" t="s">
        <v>89</v>
      </c>
      <c r="B220" s="51" t="s">
        <v>39</v>
      </c>
      <c r="C220" s="46" t="s">
        <v>18</v>
      </c>
      <c r="H220" s="52">
        <v>16.28</v>
      </c>
      <c r="K220" s="52">
        <v>17.033333333333331</v>
      </c>
      <c r="O220" s="52">
        <v>10.275</v>
      </c>
      <c r="P220" s="53">
        <f t="shared" si="3"/>
        <v>43.588333333333331</v>
      </c>
    </row>
    <row r="221" spans="1:16" x14ac:dyDescent="0.3">
      <c r="A221" s="46" t="s">
        <v>89</v>
      </c>
      <c r="B221" s="51" t="s">
        <v>40</v>
      </c>
      <c r="C221" s="46" t="s">
        <v>18</v>
      </c>
      <c r="H221" s="52">
        <v>0</v>
      </c>
      <c r="K221" s="52">
        <v>0</v>
      </c>
      <c r="O221" s="52">
        <v>0</v>
      </c>
      <c r="P221" s="53">
        <f t="shared" si="3"/>
        <v>0</v>
      </c>
    </row>
    <row r="222" spans="1:16" x14ac:dyDescent="0.3">
      <c r="A222" s="46" t="s">
        <v>89</v>
      </c>
      <c r="B222" s="51" t="s">
        <v>41</v>
      </c>
      <c r="C222" s="46" t="s">
        <v>18</v>
      </c>
      <c r="H222" s="52">
        <v>2364.42</v>
      </c>
      <c r="K222" s="52">
        <v>9420.7999999999993</v>
      </c>
      <c r="O222" s="52">
        <v>9601.5</v>
      </c>
      <c r="P222" s="53">
        <f t="shared" si="3"/>
        <v>21386.720000000001</v>
      </c>
    </row>
    <row r="223" spans="1:16" x14ac:dyDescent="0.3">
      <c r="A223" s="46" t="s">
        <v>89</v>
      </c>
      <c r="B223" s="51" t="s">
        <v>42</v>
      </c>
      <c r="C223" s="46" t="s">
        <v>18</v>
      </c>
      <c r="H223" s="52">
        <v>342.9</v>
      </c>
      <c r="K223" s="52">
        <v>391.56666666666661</v>
      </c>
      <c r="O223" s="52">
        <v>411.22500000000008</v>
      </c>
      <c r="P223" s="53">
        <f t="shared" si="3"/>
        <v>1145.6916666666666</v>
      </c>
    </row>
    <row r="224" spans="1:16" x14ac:dyDescent="0.3">
      <c r="A224" s="46" t="s">
        <v>89</v>
      </c>
      <c r="B224" s="51" t="s">
        <v>43</v>
      </c>
      <c r="C224" s="46" t="s">
        <v>18</v>
      </c>
      <c r="H224" s="52">
        <v>6140</v>
      </c>
      <c r="K224" s="52">
        <v>4078.4</v>
      </c>
      <c r="O224" s="52">
        <v>1828</v>
      </c>
      <c r="P224" s="53">
        <f t="shared" si="3"/>
        <v>12046.4</v>
      </c>
    </row>
    <row r="225" spans="1:16" x14ac:dyDescent="0.3">
      <c r="A225" s="46" t="s">
        <v>89</v>
      </c>
      <c r="B225" s="47" t="s">
        <v>44</v>
      </c>
      <c r="C225" s="46" t="s">
        <v>18</v>
      </c>
      <c r="P225" s="49">
        <f t="shared" si="3"/>
        <v>0</v>
      </c>
    </row>
    <row r="226" spans="1:16" x14ac:dyDescent="0.3">
      <c r="A226" s="46" t="s">
        <v>89</v>
      </c>
      <c r="B226" s="47" t="s">
        <v>45</v>
      </c>
      <c r="C226" s="46" t="s">
        <v>18</v>
      </c>
      <c r="P226" s="53">
        <f t="shared" si="3"/>
        <v>0</v>
      </c>
    </row>
    <row r="227" spans="1:16" x14ac:dyDescent="0.3">
      <c r="A227" s="46" t="s">
        <v>89</v>
      </c>
      <c r="B227" s="47" t="s">
        <v>47</v>
      </c>
      <c r="C227" s="46" t="s">
        <v>18</v>
      </c>
      <c r="H227" s="53">
        <v>0</v>
      </c>
      <c r="K227" s="53">
        <v>4.5474735088646412E-13</v>
      </c>
      <c r="O227" s="53">
        <v>2.2737367544323211E-13</v>
      </c>
      <c r="P227" s="53">
        <f t="shared" si="3"/>
        <v>6.8212102632969618E-13</v>
      </c>
    </row>
    <row r="228" spans="1:16" x14ac:dyDescent="0.3">
      <c r="A228" s="46" t="s">
        <v>89</v>
      </c>
      <c r="B228" s="47" t="s">
        <v>28</v>
      </c>
      <c r="C228" s="46" t="s">
        <v>19</v>
      </c>
      <c r="P228" s="48">
        <f t="shared" si="3"/>
        <v>0</v>
      </c>
    </row>
    <row r="229" spans="1:16" x14ac:dyDescent="0.3">
      <c r="A229" s="46" t="s">
        <v>89</v>
      </c>
      <c r="B229" s="47" t="s">
        <v>30</v>
      </c>
      <c r="C229" s="46" t="s">
        <v>19</v>
      </c>
      <c r="P229" s="48">
        <f t="shared" si="3"/>
        <v>0</v>
      </c>
    </row>
    <row r="230" spans="1:16" x14ac:dyDescent="0.3">
      <c r="A230" s="46" t="s">
        <v>89</v>
      </c>
      <c r="B230" s="47" t="s">
        <v>31</v>
      </c>
      <c r="C230" s="46" t="s">
        <v>19</v>
      </c>
      <c r="P230" s="49">
        <f t="shared" si="3"/>
        <v>0</v>
      </c>
    </row>
    <row r="231" spans="1:16" x14ac:dyDescent="0.3">
      <c r="A231" s="46" t="s">
        <v>89</v>
      </c>
      <c r="B231" s="47" t="s">
        <v>33</v>
      </c>
      <c r="C231" s="46" t="s">
        <v>19</v>
      </c>
      <c r="P231" s="50">
        <f t="shared" si="3"/>
        <v>0</v>
      </c>
    </row>
    <row r="232" spans="1:16" x14ac:dyDescent="0.3">
      <c r="A232" s="46" t="s">
        <v>89</v>
      </c>
      <c r="B232" s="51" t="s">
        <v>35</v>
      </c>
      <c r="C232" s="46" t="s">
        <v>19</v>
      </c>
      <c r="H232" s="52">
        <v>1828</v>
      </c>
      <c r="K232" s="52">
        <v>4781.3</v>
      </c>
      <c r="O232" s="52">
        <v>3363.7</v>
      </c>
      <c r="P232" s="53">
        <f t="shared" si="3"/>
        <v>9973</v>
      </c>
    </row>
    <row r="233" spans="1:16" x14ac:dyDescent="0.3">
      <c r="A233" s="46" t="s">
        <v>89</v>
      </c>
      <c r="B233" s="51" t="s">
        <v>37</v>
      </c>
      <c r="C233" s="46" t="s">
        <v>19</v>
      </c>
      <c r="H233" s="52">
        <v>0.6</v>
      </c>
      <c r="K233" s="52">
        <v>3.4</v>
      </c>
      <c r="O233" s="52">
        <v>7.3</v>
      </c>
      <c r="P233" s="53">
        <f t="shared" si="3"/>
        <v>11.3</v>
      </c>
    </row>
    <row r="234" spans="1:16" x14ac:dyDescent="0.3">
      <c r="A234" s="46" t="s">
        <v>89</v>
      </c>
      <c r="B234" s="51" t="s">
        <v>38</v>
      </c>
      <c r="C234" s="46" t="s">
        <v>19</v>
      </c>
      <c r="H234" s="52">
        <v>4962.2</v>
      </c>
      <c r="K234" s="52">
        <v>4962.2</v>
      </c>
      <c r="O234" s="52">
        <v>4962.2</v>
      </c>
      <c r="P234" s="53">
        <f t="shared" si="3"/>
        <v>14886.599999999999</v>
      </c>
    </row>
    <row r="235" spans="1:16" x14ac:dyDescent="0.3">
      <c r="A235" s="46" t="s">
        <v>89</v>
      </c>
      <c r="B235" s="51" t="s">
        <v>39</v>
      </c>
      <c r="C235" s="46" t="s">
        <v>19</v>
      </c>
      <c r="H235" s="52">
        <v>16.68</v>
      </c>
      <c r="K235" s="52">
        <v>16.86666666666666</v>
      </c>
      <c r="O235" s="52">
        <v>16.824999999999999</v>
      </c>
      <c r="P235" s="53">
        <f t="shared" si="3"/>
        <v>50.371666666666655</v>
      </c>
    </row>
    <row r="236" spans="1:16" x14ac:dyDescent="0.3">
      <c r="A236" s="46" t="s">
        <v>89</v>
      </c>
      <c r="B236" s="51" t="s">
        <v>40</v>
      </c>
      <c r="C236" s="46" t="s">
        <v>19</v>
      </c>
      <c r="H236" s="52">
        <v>0</v>
      </c>
      <c r="K236" s="52">
        <v>0</v>
      </c>
      <c r="O236" s="52">
        <v>0</v>
      </c>
      <c r="P236" s="53">
        <f t="shared" si="3"/>
        <v>0</v>
      </c>
    </row>
    <row r="237" spans="1:16" x14ac:dyDescent="0.3">
      <c r="A237" s="46" t="s">
        <v>89</v>
      </c>
      <c r="B237" s="51" t="s">
        <v>41</v>
      </c>
      <c r="C237" s="46" t="s">
        <v>19</v>
      </c>
      <c r="H237" s="52">
        <v>1649.82</v>
      </c>
      <c r="K237" s="52">
        <v>5957.9666666666662</v>
      </c>
      <c r="O237" s="52">
        <v>6489.7499999999982</v>
      </c>
      <c r="P237" s="53">
        <f t="shared" si="3"/>
        <v>14097.536666666663</v>
      </c>
    </row>
    <row r="238" spans="1:16" x14ac:dyDescent="0.3">
      <c r="A238" s="46" t="s">
        <v>89</v>
      </c>
      <c r="B238" s="51" t="s">
        <v>42</v>
      </c>
      <c r="C238" s="46" t="s">
        <v>19</v>
      </c>
      <c r="H238" s="52">
        <v>343</v>
      </c>
      <c r="K238" s="52">
        <v>408.36666666666662</v>
      </c>
      <c r="O238" s="52">
        <v>350.52499999999998</v>
      </c>
      <c r="P238" s="53">
        <f t="shared" si="3"/>
        <v>1101.8916666666664</v>
      </c>
    </row>
    <row r="239" spans="1:16" x14ac:dyDescent="0.3">
      <c r="A239" s="46" t="s">
        <v>89</v>
      </c>
      <c r="B239" s="51" t="s">
        <v>43</v>
      </c>
      <c r="C239" s="46" t="s">
        <v>19</v>
      </c>
      <c r="H239" s="52">
        <v>4781.3</v>
      </c>
      <c r="K239" s="52">
        <v>3363.7</v>
      </c>
      <c r="O239" s="52">
        <v>1476.1</v>
      </c>
      <c r="P239" s="53">
        <f t="shared" si="3"/>
        <v>9621.1</v>
      </c>
    </row>
    <row r="240" spans="1:16" x14ac:dyDescent="0.3">
      <c r="A240" s="46" t="s">
        <v>89</v>
      </c>
      <c r="B240" s="47" t="s">
        <v>44</v>
      </c>
      <c r="C240" s="46" t="s">
        <v>19</v>
      </c>
      <c r="P240" s="49">
        <f t="shared" si="3"/>
        <v>0</v>
      </c>
    </row>
    <row r="241" spans="1:16" x14ac:dyDescent="0.3">
      <c r="A241" s="46" t="s">
        <v>89</v>
      </c>
      <c r="B241" s="47" t="s">
        <v>45</v>
      </c>
      <c r="C241" s="46" t="s">
        <v>19</v>
      </c>
      <c r="P241" s="53">
        <f t="shared" si="3"/>
        <v>0</v>
      </c>
    </row>
    <row r="242" spans="1:16" x14ac:dyDescent="0.3">
      <c r="A242" s="46" t="s">
        <v>89</v>
      </c>
      <c r="B242" s="47" t="s">
        <v>47</v>
      </c>
      <c r="C242" s="46" t="s">
        <v>19</v>
      </c>
      <c r="H242" s="53">
        <v>0</v>
      </c>
      <c r="K242" s="53">
        <v>0</v>
      </c>
      <c r="O242" s="53">
        <v>0</v>
      </c>
      <c r="P242" s="53">
        <f t="shared" si="3"/>
        <v>0</v>
      </c>
    </row>
    <row r="243" spans="1:16" x14ac:dyDescent="0.3">
      <c r="A243" s="46" t="s">
        <v>89</v>
      </c>
      <c r="B243" s="47" t="s">
        <v>28</v>
      </c>
      <c r="C243" s="46" t="s">
        <v>20</v>
      </c>
      <c r="P243" s="48">
        <f t="shared" si="3"/>
        <v>0</v>
      </c>
    </row>
    <row r="244" spans="1:16" x14ac:dyDescent="0.3">
      <c r="A244" s="46" t="s">
        <v>89</v>
      </c>
      <c r="B244" s="47" t="s">
        <v>30</v>
      </c>
      <c r="C244" s="46" t="s">
        <v>20</v>
      </c>
      <c r="P244" s="48">
        <f t="shared" si="3"/>
        <v>0</v>
      </c>
    </row>
    <row r="245" spans="1:16" x14ac:dyDescent="0.3">
      <c r="A245" s="46" t="s">
        <v>89</v>
      </c>
      <c r="B245" s="47" t="s">
        <v>31</v>
      </c>
      <c r="C245" s="46" t="s">
        <v>20</v>
      </c>
      <c r="P245" s="49">
        <f t="shared" si="3"/>
        <v>0</v>
      </c>
    </row>
    <row r="246" spans="1:16" x14ac:dyDescent="0.3">
      <c r="A246" s="46" t="s">
        <v>89</v>
      </c>
      <c r="B246" s="47" t="s">
        <v>33</v>
      </c>
      <c r="C246" s="46" t="s">
        <v>20</v>
      </c>
      <c r="P246" s="50">
        <f t="shared" si="3"/>
        <v>0</v>
      </c>
    </row>
    <row r="247" spans="1:16" x14ac:dyDescent="0.3">
      <c r="A247" s="46" t="s">
        <v>89</v>
      </c>
      <c r="B247" s="51" t="s">
        <v>35</v>
      </c>
      <c r="C247" s="46" t="s">
        <v>20</v>
      </c>
      <c r="H247" s="52">
        <v>1476.1</v>
      </c>
      <c r="K247" s="52">
        <v>5518.4</v>
      </c>
      <c r="O247" s="52">
        <v>4158.3</v>
      </c>
      <c r="P247" s="53">
        <f t="shared" si="3"/>
        <v>11152.8</v>
      </c>
    </row>
    <row r="248" spans="1:16" x14ac:dyDescent="0.3">
      <c r="A248" s="46" t="s">
        <v>89</v>
      </c>
      <c r="B248" s="51" t="s">
        <v>37</v>
      </c>
      <c r="C248" s="46" t="s">
        <v>20</v>
      </c>
      <c r="H248" s="52">
        <v>6.8</v>
      </c>
      <c r="K248" s="52">
        <v>10.9</v>
      </c>
      <c r="O248" s="52">
        <v>23.8</v>
      </c>
      <c r="P248" s="53">
        <f t="shared" si="3"/>
        <v>41.5</v>
      </c>
    </row>
    <row r="249" spans="1:16" x14ac:dyDescent="0.3">
      <c r="A249" s="46" t="s">
        <v>89</v>
      </c>
      <c r="B249" s="51" t="s">
        <v>38</v>
      </c>
      <c r="C249" s="46" t="s">
        <v>20</v>
      </c>
      <c r="H249" s="52">
        <v>5784.8</v>
      </c>
      <c r="K249" s="52">
        <v>5784.8</v>
      </c>
      <c r="O249" s="52">
        <v>5784.8</v>
      </c>
      <c r="P249" s="53">
        <f t="shared" si="3"/>
        <v>17354.400000000001</v>
      </c>
    </row>
    <row r="250" spans="1:16" x14ac:dyDescent="0.3">
      <c r="A250" s="46" t="s">
        <v>89</v>
      </c>
      <c r="B250" s="51" t="s">
        <v>39</v>
      </c>
      <c r="C250" s="46" t="s">
        <v>20</v>
      </c>
      <c r="H250" s="52">
        <v>16.899999999999999</v>
      </c>
      <c r="K250" s="52">
        <v>17.233333333333331</v>
      </c>
      <c r="O250" s="52">
        <v>16.975000000000001</v>
      </c>
      <c r="P250" s="53">
        <f t="shared" si="3"/>
        <v>51.108333333333327</v>
      </c>
    </row>
    <row r="251" spans="1:16" x14ac:dyDescent="0.3">
      <c r="A251" s="46" t="s">
        <v>89</v>
      </c>
      <c r="B251" s="51" t="s">
        <v>40</v>
      </c>
      <c r="C251" s="46" t="s">
        <v>20</v>
      </c>
      <c r="H251" s="52">
        <v>0</v>
      </c>
      <c r="K251" s="52">
        <v>0</v>
      </c>
      <c r="O251" s="52">
        <v>0</v>
      </c>
      <c r="P251" s="53">
        <f t="shared" si="3"/>
        <v>0</v>
      </c>
    </row>
    <row r="252" spans="1:16" x14ac:dyDescent="0.3">
      <c r="A252" s="46" t="s">
        <v>89</v>
      </c>
      <c r="B252" s="51" t="s">
        <v>41</v>
      </c>
      <c r="C252" s="46" t="s">
        <v>20</v>
      </c>
      <c r="H252" s="52">
        <v>1419.12</v>
      </c>
      <c r="K252" s="52">
        <v>6805.166666666667</v>
      </c>
      <c r="O252" s="52">
        <v>7627.95</v>
      </c>
      <c r="P252" s="53">
        <f t="shared" si="3"/>
        <v>15852.236666666668</v>
      </c>
    </row>
    <row r="253" spans="1:16" x14ac:dyDescent="0.3">
      <c r="A253" s="46" t="s">
        <v>89</v>
      </c>
      <c r="B253" s="51" t="s">
        <v>42</v>
      </c>
      <c r="C253" s="46" t="s">
        <v>20</v>
      </c>
      <c r="H253" s="52">
        <v>313.27999999999997</v>
      </c>
      <c r="K253" s="52">
        <v>333.39999999999992</v>
      </c>
      <c r="O253" s="52">
        <v>489.67500000000013</v>
      </c>
      <c r="P253" s="53">
        <f t="shared" si="3"/>
        <v>1136.355</v>
      </c>
    </row>
    <row r="254" spans="1:16" x14ac:dyDescent="0.3">
      <c r="A254" s="46" t="s">
        <v>89</v>
      </c>
      <c r="B254" s="51" t="s">
        <v>43</v>
      </c>
      <c r="C254" s="46" t="s">
        <v>20</v>
      </c>
      <c r="H254" s="52">
        <v>5518.4</v>
      </c>
      <c r="K254" s="52">
        <v>4158.3</v>
      </c>
      <c r="O254" s="52">
        <v>1832.3</v>
      </c>
      <c r="P254" s="53">
        <f t="shared" si="3"/>
        <v>11509</v>
      </c>
    </row>
    <row r="255" spans="1:16" x14ac:dyDescent="0.3">
      <c r="A255" s="46" t="s">
        <v>89</v>
      </c>
      <c r="B255" s="47" t="s">
        <v>44</v>
      </c>
      <c r="C255" s="46" t="s">
        <v>20</v>
      </c>
      <c r="P255" s="49">
        <f t="shared" si="3"/>
        <v>0</v>
      </c>
    </row>
    <row r="256" spans="1:16" x14ac:dyDescent="0.3">
      <c r="A256" s="46" t="s">
        <v>89</v>
      </c>
      <c r="B256" s="47" t="s">
        <v>45</v>
      </c>
      <c r="C256" s="46" t="s">
        <v>20</v>
      </c>
      <c r="P256" s="53">
        <f t="shared" si="3"/>
        <v>0</v>
      </c>
    </row>
    <row r="257" spans="1:16" x14ac:dyDescent="0.3">
      <c r="A257" s="46" t="s">
        <v>89</v>
      </c>
      <c r="B257" s="47" t="s">
        <v>47</v>
      </c>
      <c r="C257" s="46" t="s">
        <v>20</v>
      </c>
      <c r="H257" s="53">
        <v>9.0949470177292824E-13</v>
      </c>
      <c r="K257" s="53">
        <v>0</v>
      </c>
      <c r="O257" s="53">
        <v>-6.8212102632969618E-13</v>
      </c>
      <c r="P257" s="53">
        <f t="shared" si="3"/>
        <v>2.2737367544323206E-13</v>
      </c>
    </row>
    <row r="258" spans="1:16" x14ac:dyDescent="0.3">
      <c r="A258" s="46" t="s">
        <v>89</v>
      </c>
      <c r="B258" s="47" t="s">
        <v>28</v>
      </c>
      <c r="C258" s="46" t="s">
        <v>21</v>
      </c>
      <c r="P258" s="48">
        <f t="shared" si="3"/>
        <v>0</v>
      </c>
    </row>
    <row r="259" spans="1:16" x14ac:dyDescent="0.3">
      <c r="A259" s="46" t="s">
        <v>89</v>
      </c>
      <c r="B259" s="47" t="s">
        <v>30</v>
      </c>
      <c r="C259" s="46" t="s">
        <v>21</v>
      </c>
      <c r="P259" s="48">
        <f t="shared" ref="P259:P322" si="4">SUM(D259:O259)</f>
        <v>0</v>
      </c>
    </row>
    <row r="260" spans="1:16" x14ac:dyDescent="0.3">
      <c r="A260" s="46" t="s">
        <v>89</v>
      </c>
      <c r="B260" s="47" t="s">
        <v>31</v>
      </c>
      <c r="C260" s="46" t="s">
        <v>21</v>
      </c>
      <c r="P260" s="49">
        <f t="shared" si="4"/>
        <v>0</v>
      </c>
    </row>
    <row r="261" spans="1:16" x14ac:dyDescent="0.3">
      <c r="A261" s="46" t="s">
        <v>89</v>
      </c>
      <c r="B261" s="47" t="s">
        <v>33</v>
      </c>
      <c r="C261" s="46" t="s">
        <v>21</v>
      </c>
      <c r="P261" s="50">
        <f t="shared" si="4"/>
        <v>0</v>
      </c>
    </row>
    <row r="262" spans="1:16" x14ac:dyDescent="0.3">
      <c r="A262" s="46" t="s">
        <v>89</v>
      </c>
      <c r="B262" s="51" t="s">
        <v>35</v>
      </c>
      <c r="C262" s="46" t="s">
        <v>21</v>
      </c>
      <c r="H262" s="52">
        <v>1832.3</v>
      </c>
      <c r="K262" s="52">
        <v>4661.2</v>
      </c>
      <c r="O262" s="52">
        <v>3305</v>
      </c>
      <c r="P262" s="53">
        <f t="shared" si="4"/>
        <v>9798.5</v>
      </c>
    </row>
    <row r="263" spans="1:16" x14ac:dyDescent="0.3">
      <c r="A263" s="46" t="s">
        <v>89</v>
      </c>
      <c r="B263" s="51" t="s">
        <v>37</v>
      </c>
      <c r="C263" s="46" t="s">
        <v>21</v>
      </c>
      <c r="H263" s="52">
        <v>55.2</v>
      </c>
      <c r="K263" s="52">
        <v>84.8</v>
      </c>
      <c r="O263" s="52">
        <v>96.5</v>
      </c>
      <c r="P263" s="53">
        <f t="shared" si="4"/>
        <v>236.5</v>
      </c>
    </row>
    <row r="264" spans="1:16" x14ac:dyDescent="0.3">
      <c r="A264" s="46" t="s">
        <v>89</v>
      </c>
      <c r="B264" s="51" t="s">
        <v>38</v>
      </c>
      <c r="C264" s="46" t="s">
        <v>21</v>
      </c>
      <c r="H264" s="52">
        <v>5017</v>
      </c>
      <c r="K264" s="52">
        <v>5017</v>
      </c>
      <c r="O264" s="52">
        <v>5017</v>
      </c>
      <c r="P264" s="53">
        <f t="shared" si="4"/>
        <v>15051</v>
      </c>
    </row>
    <row r="265" spans="1:16" x14ac:dyDescent="0.3">
      <c r="A265" s="46" t="s">
        <v>89</v>
      </c>
      <c r="B265" s="51" t="s">
        <v>39</v>
      </c>
      <c r="C265" s="46" t="s">
        <v>21</v>
      </c>
      <c r="H265" s="52">
        <v>17.3</v>
      </c>
      <c r="K265" s="52">
        <v>18.666666666666671</v>
      </c>
      <c r="O265" s="52">
        <v>18.2</v>
      </c>
      <c r="P265" s="53">
        <f t="shared" si="4"/>
        <v>54.166666666666671</v>
      </c>
    </row>
    <row r="266" spans="1:16" x14ac:dyDescent="0.3">
      <c r="A266" s="46" t="s">
        <v>89</v>
      </c>
      <c r="B266" s="51" t="s">
        <v>40</v>
      </c>
      <c r="C266" s="46" t="s">
        <v>21</v>
      </c>
      <c r="H266" s="52">
        <v>0</v>
      </c>
      <c r="K266" s="52">
        <v>0</v>
      </c>
      <c r="O266" s="52">
        <v>0</v>
      </c>
      <c r="P266" s="53">
        <f t="shared" si="4"/>
        <v>0</v>
      </c>
    </row>
    <row r="267" spans="1:16" x14ac:dyDescent="0.3">
      <c r="A267" s="46" t="s">
        <v>89</v>
      </c>
      <c r="B267" s="51" t="s">
        <v>41</v>
      </c>
      <c r="C267" s="46" t="s">
        <v>21</v>
      </c>
      <c r="H267" s="52">
        <v>1848.8200000000011</v>
      </c>
      <c r="K267" s="52">
        <v>6035.3333333333339</v>
      </c>
      <c r="O267" s="52">
        <v>7121.125</v>
      </c>
      <c r="P267" s="53">
        <f t="shared" si="4"/>
        <v>15005.278333333335</v>
      </c>
    </row>
    <row r="268" spans="1:16" x14ac:dyDescent="0.3">
      <c r="A268" s="46" t="s">
        <v>89</v>
      </c>
      <c r="B268" s="51" t="s">
        <v>42</v>
      </c>
      <c r="C268" s="46" t="s">
        <v>21</v>
      </c>
      <c r="H268" s="52">
        <v>377.18</v>
      </c>
      <c r="K268" s="52">
        <v>404</v>
      </c>
      <c r="O268" s="52">
        <v>542.57499999999993</v>
      </c>
      <c r="P268" s="53">
        <f t="shared" si="4"/>
        <v>1323.7550000000001</v>
      </c>
    </row>
    <row r="269" spans="1:16" x14ac:dyDescent="0.3">
      <c r="A269" s="46" t="s">
        <v>89</v>
      </c>
      <c r="B269" s="51" t="s">
        <v>43</v>
      </c>
      <c r="C269" s="46" t="s">
        <v>21</v>
      </c>
      <c r="H269" s="52">
        <v>4661.2</v>
      </c>
      <c r="K269" s="52">
        <v>3305</v>
      </c>
      <c r="O269" s="52">
        <v>736.6</v>
      </c>
      <c r="P269" s="53">
        <f t="shared" si="4"/>
        <v>8702.7999999999993</v>
      </c>
    </row>
    <row r="270" spans="1:16" x14ac:dyDescent="0.3">
      <c r="A270" s="46" t="s">
        <v>89</v>
      </c>
      <c r="B270" s="47" t="s">
        <v>44</v>
      </c>
      <c r="C270" s="46" t="s">
        <v>21</v>
      </c>
      <c r="P270" s="49">
        <f t="shared" si="4"/>
        <v>0</v>
      </c>
    </row>
    <row r="271" spans="1:16" x14ac:dyDescent="0.3">
      <c r="A271" s="46" t="s">
        <v>89</v>
      </c>
      <c r="B271" s="47" t="s">
        <v>45</v>
      </c>
      <c r="C271" s="46" t="s">
        <v>21</v>
      </c>
      <c r="P271" s="53">
        <f t="shared" si="4"/>
        <v>0</v>
      </c>
    </row>
    <row r="272" spans="1:16" x14ac:dyDescent="0.3">
      <c r="A272" s="46" t="s">
        <v>89</v>
      </c>
      <c r="B272" s="47" t="s">
        <v>47</v>
      </c>
      <c r="C272" s="46" t="s">
        <v>21</v>
      </c>
      <c r="H272" s="53">
        <v>-9.0949470177292824E-13</v>
      </c>
      <c r="K272" s="53">
        <v>0</v>
      </c>
      <c r="O272" s="53">
        <v>-6.8212102632969618E-13</v>
      </c>
      <c r="P272" s="53">
        <f t="shared" si="4"/>
        <v>-1.5916157281026244E-12</v>
      </c>
    </row>
    <row r="273" spans="1:16" x14ac:dyDescent="0.3">
      <c r="A273" s="46" t="s">
        <v>89</v>
      </c>
      <c r="B273" s="47" t="s">
        <v>28</v>
      </c>
      <c r="C273" s="46" t="s">
        <v>22</v>
      </c>
      <c r="P273" s="48">
        <f t="shared" si="4"/>
        <v>0</v>
      </c>
    </row>
    <row r="274" spans="1:16" x14ac:dyDescent="0.3">
      <c r="A274" s="46" t="s">
        <v>89</v>
      </c>
      <c r="B274" s="47" t="s">
        <v>30</v>
      </c>
      <c r="C274" s="46" t="s">
        <v>22</v>
      </c>
      <c r="P274" s="48">
        <f t="shared" si="4"/>
        <v>0</v>
      </c>
    </row>
    <row r="275" spans="1:16" x14ac:dyDescent="0.3">
      <c r="A275" s="46" t="s">
        <v>89</v>
      </c>
      <c r="B275" s="47" t="s">
        <v>31</v>
      </c>
      <c r="C275" s="46" t="s">
        <v>22</v>
      </c>
      <c r="P275" s="49">
        <f t="shared" si="4"/>
        <v>0</v>
      </c>
    </row>
    <row r="276" spans="1:16" x14ac:dyDescent="0.3">
      <c r="A276" s="46" t="s">
        <v>89</v>
      </c>
      <c r="B276" s="47" t="s">
        <v>33</v>
      </c>
      <c r="C276" s="46" t="s">
        <v>22</v>
      </c>
      <c r="P276" s="50">
        <f t="shared" si="4"/>
        <v>0</v>
      </c>
    </row>
    <row r="277" spans="1:16" x14ac:dyDescent="0.3">
      <c r="A277" s="46" t="s">
        <v>89</v>
      </c>
      <c r="B277" s="51" t="s">
        <v>35</v>
      </c>
      <c r="C277" s="46" t="s">
        <v>22</v>
      </c>
      <c r="H277" s="52">
        <v>736.6</v>
      </c>
      <c r="K277" s="52">
        <v>4861.2</v>
      </c>
      <c r="O277" s="52">
        <v>2948.7</v>
      </c>
      <c r="P277" s="53">
        <f t="shared" si="4"/>
        <v>8546.5</v>
      </c>
    </row>
    <row r="278" spans="1:16" x14ac:dyDescent="0.3">
      <c r="A278" s="46" t="s">
        <v>89</v>
      </c>
      <c r="B278" s="51" t="s">
        <v>37</v>
      </c>
      <c r="C278" s="46" t="s">
        <v>22</v>
      </c>
      <c r="H278" s="52">
        <v>8.6999999999999993</v>
      </c>
      <c r="K278" s="52">
        <v>10.8</v>
      </c>
      <c r="O278" s="52">
        <v>13.1</v>
      </c>
      <c r="P278" s="53">
        <f t="shared" si="4"/>
        <v>32.6</v>
      </c>
    </row>
    <row r="279" spans="1:16" x14ac:dyDescent="0.3">
      <c r="A279" s="46" t="s">
        <v>89</v>
      </c>
      <c r="B279" s="51" t="s">
        <v>38</v>
      </c>
      <c r="C279" s="46" t="s">
        <v>22</v>
      </c>
      <c r="H279" s="52">
        <v>6571.2</v>
      </c>
      <c r="K279" s="52">
        <v>6571.2</v>
      </c>
      <c r="O279" s="52">
        <v>6571.2</v>
      </c>
      <c r="P279" s="53">
        <f t="shared" si="4"/>
        <v>19713.599999999999</v>
      </c>
    </row>
    <row r="280" spans="1:16" x14ac:dyDescent="0.3">
      <c r="A280" s="46" t="s">
        <v>89</v>
      </c>
      <c r="B280" s="51" t="s">
        <v>39</v>
      </c>
      <c r="C280" s="46" t="s">
        <v>22</v>
      </c>
      <c r="H280" s="52">
        <v>17.420000000000002</v>
      </c>
      <c r="K280" s="52">
        <v>17.5</v>
      </c>
      <c r="O280" s="52">
        <v>14.675000000000001</v>
      </c>
      <c r="P280" s="53">
        <f t="shared" si="4"/>
        <v>49.594999999999999</v>
      </c>
    </row>
    <row r="281" spans="1:16" x14ac:dyDescent="0.3">
      <c r="A281" s="46" t="s">
        <v>89</v>
      </c>
      <c r="B281" s="51" t="s">
        <v>40</v>
      </c>
      <c r="C281" s="46" t="s">
        <v>22</v>
      </c>
      <c r="H281" s="52">
        <v>0</v>
      </c>
      <c r="K281" s="52">
        <v>0</v>
      </c>
      <c r="O281" s="52">
        <v>0</v>
      </c>
      <c r="P281" s="53">
        <f t="shared" si="4"/>
        <v>0</v>
      </c>
    </row>
    <row r="282" spans="1:16" x14ac:dyDescent="0.3">
      <c r="A282" s="46" t="s">
        <v>89</v>
      </c>
      <c r="B282" s="51" t="s">
        <v>41</v>
      </c>
      <c r="C282" s="46" t="s">
        <v>22</v>
      </c>
      <c r="H282" s="52">
        <v>1980.72</v>
      </c>
      <c r="K282" s="52">
        <v>7933.7333333333327</v>
      </c>
      <c r="O282" s="52">
        <v>8242.85</v>
      </c>
      <c r="P282" s="53">
        <f t="shared" si="4"/>
        <v>18157.303333333333</v>
      </c>
    </row>
    <row r="283" spans="1:16" x14ac:dyDescent="0.3">
      <c r="A283" s="46" t="s">
        <v>89</v>
      </c>
      <c r="B283" s="51" t="s">
        <v>42</v>
      </c>
      <c r="C283" s="46" t="s">
        <v>22</v>
      </c>
      <c r="H283" s="52">
        <v>457.16</v>
      </c>
      <c r="K283" s="52">
        <v>543.26666666666654</v>
      </c>
      <c r="O283" s="52">
        <v>462.47500000000002</v>
      </c>
      <c r="P283" s="53">
        <f t="shared" si="4"/>
        <v>1462.9016666666666</v>
      </c>
    </row>
    <row r="284" spans="1:16" x14ac:dyDescent="0.3">
      <c r="A284" s="46" t="s">
        <v>89</v>
      </c>
      <c r="B284" s="51" t="s">
        <v>43</v>
      </c>
      <c r="C284" s="46" t="s">
        <v>22</v>
      </c>
      <c r="H284" s="52">
        <v>4861.2</v>
      </c>
      <c r="K284" s="52">
        <v>2948.7</v>
      </c>
      <c r="O284" s="52">
        <v>813</v>
      </c>
      <c r="P284" s="53">
        <f t="shared" si="4"/>
        <v>8622.9</v>
      </c>
    </row>
    <row r="285" spans="1:16" x14ac:dyDescent="0.3">
      <c r="A285" s="46" t="s">
        <v>89</v>
      </c>
      <c r="B285" s="47" t="s">
        <v>44</v>
      </c>
      <c r="C285" s="46" t="s">
        <v>22</v>
      </c>
      <c r="P285" s="49">
        <f t="shared" si="4"/>
        <v>0</v>
      </c>
    </row>
    <row r="286" spans="1:16" x14ac:dyDescent="0.3">
      <c r="A286" s="46" t="s">
        <v>89</v>
      </c>
      <c r="B286" s="47" t="s">
        <v>45</v>
      </c>
      <c r="C286" s="46" t="s">
        <v>22</v>
      </c>
      <c r="P286" s="53">
        <f t="shared" si="4"/>
        <v>0</v>
      </c>
    </row>
    <row r="287" spans="1:16" x14ac:dyDescent="0.3">
      <c r="A287" s="46" t="s">
        <v>89</v>
      </c>
      <c r="B287" s="47" t="s">
        <v>47</v>
      </c>
      <c r="C287" s="46" t="s">
        <v>22</v>
      </c>
      <c r="H287" s="53">
        <v>0</v>
      </c>
      <c r="K287" s="53">
        <v>0</v>
      </c>
      <c r="O287" s="53">
        <v>3.4106051316484809E-13</v>
      </c>
      <c r="P287" s="53">
        <f t="shared" si="4"/>
        <v>3.4106051316484809E-13</v>
      </c>
    </row>
    <row r="288" spans="1:16" x14ac:dyDescent="0.3">
      <c r="A288" s="46" t="s">
        <v>89</v>
      </c>
      <c r="B288" s="47" t="s">
        <v>28</v>
      </c>
      <c r="C288" s="46" t="s">
        <v>23</v>
      </c>
      <c r="P288" s="48">
        <f t="shared" si="4"/>
        <v>0</v>
      </c>
    </row>
    <row r="289" spans="1:16" x14ac:dyDescent="0.3">
      <c r="A289" s="46" t="s">
        <v>89</v>
      </c>
      <c r="B289" s="47" t="s">
        <v>30</v>
      </c>
      <c r="C289" s="46" t="s">
        <v>23</v>
      </c>
      <c r="P289" s="48">
        <f t="shared" si="4"/>
        <v>0</v>
      </c>
    </row>
    <row r="290" spans="1:16" x14ac:dyDescent="0.3">
      <c r="A290" s="46" t="s">
        <v>89</v>
      </c>
      <c r="B290" s="47" t="s">
        <v>31</v>
      </c>
      <c r="C290" s="46" t="s">
        <v>23</v>
      </c>
      <c r="P290" s="49">
        <f t="shared" si="4"/>
        <v>0</v>
      </c>
    </row>
    <row r="291" spans="1:16" x14ac:dyDescent="0.3">
      <c r="A291" s="46" t="s">
        <v>89</v>
      </c>
      <c r="B291" s="47" t="s">
        <v>33</v>
      </c>
      <c r="C291" s="46" t="s">
        <v>23</v>
      </c>
      <c r="P291" s="50">
        <f t="shared" si="4"/>
        <v>0</v>
      </c>
    </row>
    <row r="292" spans="1:16" x14ac:dyDescent="0.3">
      <c r="A292" s="46" t="s">
        <v>89</v>
      </c>
      <c r="B292" s="51" t="s">
        <v>35</v>
      </c>
      <c r="C292" s="46" t="s">
        <v>23</v>
      </c>
      <c r="H292" s="52">
        <v>813</v>
      </c>
      <c r="K292" s="52">
        <v>2532.6999999999998</v>
      </c>
      <c r="O292" s="52">
        <v>1904.4</v>
      </c>
      <c r="P292" s="53">
        <f t="shared" si="4"/>
        <v>5250.1</v>
      </c>
    </row>
    <row r="293" spans="1:16" x14ac:dyDescent="0.3">
      <c r="A293" s="46" t="s">
        <v>89</v>
      </c>
      <c r="B293" s="51" t="s">
        <v>37</v>
      </c>
      <c r="C293" s="46" t="s">
        <v>23</v>
      </c>
      <c r="H293" s="52">
        <v>6.8</v>
      </c>
      <c r="K293" s="52">
        <v>7.4</v>
      </c>
      <c r="O293" s="52">
        <v>7.9</v>
      </c>
      <c r="P293" s="53">
        <f t="shared" si="4"/>
        <v>22.1</v>
      </c>
    </row>
    <row r="294" spans="1:16" x14ac:dyDescent="0.3">
      <c r="A294" s="46" t="s">
        <v>89</v>
      </c>
      <c r="B294" s="51" t="s">
        <v>38</v>
      </c>
      <c r="C294" s="46" t="s">
        <v>23</v>
      </c>
      <c r="H294" s="52">
        <v>3032.5</v>
      </c>
      <c r="K294" s="52">
        <v>3032.5</v>
      </c>
      <c r="O294" s="52">
        <v>3032.5</v>
      </c>
      <c r="P294" s="53">
        <f t="shared" si="4"/>
        <v>9097.5</v>
      </c>
    </row>
    <row r="295" spans="1:16" x14ac:dyDescent="0.3">
      <c r="A295" s="46" t="s">
        <v>89</v>
      </c>
      <c r="B295" s="51" t="s">
        <v>39</v>
      </c>
      <c r="C295" s="46" t="s">
        <v>23</v>
      </c>
      <c r="H295" s="52">
        <v>17.260000000000002</v>
      </c>
      <c r="K295" s="52">
        <v>18.100000000000001</v>
      </c>
      <c r="O295" s="52">
        <v>17.375</v>
      </c>
      <c r="P295" s="53">
        <f t="shared" si="4"/>
        <v>52.734999999999999</v>
      </c>
    </row>
    <row r="296" spans="1:16" x14ac:dyDescent="0.3">
      <c r="A296" s="46" t="s">
        <v>89</v>
      </c>
      <c r="B296" s="51" t="s">
        <v>40</v>
      </c>
      <c r="C296" s="46" t="s">
        <v>23</v>
      </c>
      <c r="H296" s="52">
        <v>0</v>
      </c>
      <c r="K296" s="52">
        <v>0</v>
      </c>
      <c r="O296" s="52">
        <v>0</v>
      </c>
      <c r="P296" s="53">
        <f t="shared" si="4"/>
        <v>0</v>
      </c>
    </row>
    <row r="297" spans="1:16" x14ac:dyDescent="0.3">
      <c r="A297" s="46" t="s">
        <v>89</v>
      </c>
      <c r="B297" s="51" t="s">
        <v>41</v>
      </c>
      <c r="C297" s="46" t="s">
        <v>23</v>
      </c>
      <c r="H297" s="52">
        <v>1056.8399999999999</v>
      </c>
      <c r="K297" s="52">
        <v>3489.599999999999</v>
      </c>
      <c r="O297" s="52">
        <v>4089.2750000000001</v>
      </c>
      <c r="P297" s="53">
        <f t="shared" si="4"/>
        <v>8635.7149999999983</v>
      </c>
    </row>
    <row r="298" spans="1:16" x14ac:dyDescent="0.3">
      <c r="A298" s="46" t="s">
        <v>89</v>
      </c>
      <c r="B298" s="51" t="s">
        <v>42</v>
      </c>
      <c r="C298" s="46" t="s">
        <v>23</v>
      </c>
      <c r="H298" s="52">
        <v>245.5</v>
      </c>
      <c r="K298" s="52">
        <v>160.5</v>
      </c>
      <c r="O298" s="52">
        <v>251.65</v>
      </c>
      <c r="P298" s="53">
        <f t="shared" si="4"/>
        <v>657.65</v>
      </c>
    </row>
    <row r="299" spans="1:16" x14ac:dyDescent="0.3">
      <c r="A299" s="46" t="s">
        <v>89</v>
      </c>
      <c r="B299" s="51" t="s">
        <v>43</v>
      </c>
      <c r="C299" s="46" t="s">
        <v>23</v>
      </c>
      <c r="H299" s="52">
        <v>2532.6999999999998</v>
      </c>
      <c r="K299" s="52">
        <v>1904.4</v>
      </c>
      <c r="O299" s="52">
        <v>586.5</v>
      </c>
      <c r="P299" s="53">
        <f t="shared" si="4"/>
        <v>5023.6000000000004</v>
      </c>
    </row>
    <row r="300" spans="1:16" x14ac:dyDescent="0.3">
      <c r="A300" s="46" t="s">
        <v>89</v>
      </c>
      <c r="B300" s="47" t="s">
        <v>44</v>
      </c>
      <c r="C300" s="46" t="s">
        <v>23</v>
      </c>
      <c r="P300" s="49">
        <f t="shared" si="4"/>
        <v>0</v>
      </c>
    </row>
    <row r="301" spans="1:16" x14ac:dyDescent="0.3">
      <c r="A301" s="46" t="s">
        <v>89</v>
      </c>
      <c r="B301" s="47" t="s">
        <v>45</v>
      </c>
      <c r="C301" s="46" t="s">
        <v>23</v>
      </c>
      <c r="P301" s="53">
        <f t="shared" si="4"/>
        <v>0</v>
      </c>
    </row>
    <row r="302" spans="1:16" x14ac:dyDescent="0.3">
      <c r="A302" s="46" t="s">
        <v>89</v>
      </c>
      <c r="B302" s="47" t="s">
        <v>47</v>
      </c>
      <c r="C302" s="46" t="s">
        <v>23</v>
      </c>
      <c r="H302" s="53">
        <v>0</v>
      </c>
      <c r="K302" s="53">
        <v>0</v>
      </c>
      <c r="O302" s="53">
        <v>-3.4106051316484809E-13</v>
      </c>
      <c r="P302" s="53">
        <f t="shared" si="4"/>
        <v>-3.4106051316484809E-13</v>
      </c>
    </row>
    <row r="303" spans="1:16" x14ac:dyDescent="0.3">
      <c r="A303" s="46" t="s">
        <v>89</v>
      </c>
      <c r="B303" s="47" t="s">
        <v>28</v>
      </c>
      <c r="C303" s="46" t="s">
        <v>24</v>
      </c>
      <c r="P303" s="48">
        <f t="shared" si="4"/>
        <v>0</v>
      </c>
    </row>
    <row r="304" spans="1:16" x14ac:dyDescent="0.3">
      <c r="A304" s="46" t="s">
        <v>89</v>
      </c>
      <c r="B304" s="47" t="s">
        <v>30</v>
      </c>
      <c r="C304" s="46" t="s">
        <v>24</v>
      </c>
      <c r="P304" s="48">
        <f t="shared" si="4"/>
        <v>0</v>
      </c>
    </row>
    <row r="305" spans="1:16" x14ac:dyDescent="0.3">
      <c r="A305" s="46" t="s">
        <v>89</v>
      </c>
      <c r="B305" s="47" t="s">
        <v>31</v>
      </c>
      <c r="C305" s="46" t="s">
        <v>24</v>
      </c>
      <c r="P305" s="49">
        <f t="shared" si="4"/>
        <v>0</v>
      </c>
    </row>
    <row r="306" spans="1:16" x14ac:dyDescent="0.3">
      <c r="A306" s="46" t="s">
        <v>89</v>
      </c>
      <c r="B306" s="47" t="s">
        <v>33</v>
      </c>
      <c r="C306" s="46" t="s">
        <v>24</v>
      </c>
      <c r="P306" s="50">
        <f t="shared" si="4"/>
        <v>0</v>
      </c>
    </row>
    <row r="307" spans="1:16" x14ac:dyDescent="0.3">
      <c r="A307" s="46" t="s">
        <v>89</v>
      </c>
      <c r="B307" s="51" t="s">
        <v>35</v>
      </c>
      <c r="C307" s="46" t="s">
        <v>24</v>
      </c>
      <c r="H307" s="52">
        <v>586.5</v>
      </c>
      <c r="K307" s="52">
        <v>4129.1000000000004</v>
      </c>
      <c r="O307" s="52">
        <v>2269.6999999999998</v>
      </c>
      <c r="P307" s="53">
        <f t="shared" si="4"/>
        <v>6985.3</v>
      </c>
    </row>
    <row r="308" spans="1:16" x14ac:dyDescent="0.3">
      <c r="A308" s="46" t="s">
        <v>89</v>
      </c>
      <c r="B308" s="51" t="s">
        <v>37</v>
      </c>
      <c r="C308" s="46" t="s">
        <v>24</v>
      </c>
      <c r="H308" s="52">
        <v>0.5</v>
      </c>
      <c r="K308" s="52">
        <v>0.6</v>
      </c>
      <c r="O308" s="52">
        <v>1.5</v>
      </c>
      <c r="P308" s="53">
        <f t="shared" si="4"/>
        <v>2.6</v>
      </c>
    </row>
    <row r="309" spans="1:16" x14ac:dyDescent="0.3">
      <c r="A309" s="46" t="s">
        <v>89</v>
      </c>
      <c r="B309" s="51" t="s">
        <v>38</v>
      </c>
      <c r="C309" s="46" t="s">
        <v>24</v>
      </c>
      <c r="H309" s="52">
        <v>5790.4</v>
      </c>
      <c r="K309" s="52">
        <v>5790.4</v>
      </c>
      <c r="O309" s="52">
        <v>5790.4</v>
      </c>
      <c r="P309" s="53">
        <f t="shared" si="4"/>
        <v>17371.199999999997</v>
      </c>
    </row>
    <row r="310" spans="1:16" x14ac:dyDescent="0.3">
      <c r="A310" s="46" t="s">
        <v>89</v>
      </c>
      <c r="B310" s="51" t="s">
        <v>39</v>
      </c>
      <c r="C310" s="46" t="s">
        <v>24</v>
      </c>
      <c r="H310" s="52">
        <v>15.38</v>
      </c>
      <c r="K310" s="52">
        <v>18.666666666666671</v>
      </c>
      <c r="O310" s="52">
        <v>15.324999999999999</v>
      </c>
      <c r="P310" s="53">
        <f t="shared" si="4"/>
        <v>49.37166666666667</v>
      </c>
    </row>
    <row r="311" spans="1:16" x14ac:dyDescent="0.3">
      <c r="A311" s="46" t="s">
        <v>89</v>
      </c>
      <c r="B311" s="51" t="s">
        <v>40</v>
      </c>
      <c r="C311" s="46" t="s">
        <v>24</v>
      </c>
      <c r="H311" s="52">
        <v>0</v>
      </c>
      <c r="K311" s="52">
        <v>0</v>
      </c>
      <c r="O311" s="52">
        <v>0</v>
      </c>
      <c r="P311" s="53">
        <f t="shared" si="4"/>
        <v>0</v>
      </c>
    </row>
    <row r="312" spans="1:16" x14ac:dyDescent="0.3">
      <c r="A312" s="46" t="s">
        <v>89</v>
      </c>
      <c r="B312" s="51" t="s">
        <v>41</v>
      </c>
      <c r="C312" s="46" t="s">
        <v>24</v>
      </c>
      <c r="H312" s="52">
        <v>1845.1599999999989</v>
      </c>
      <c r="K312" s="52">
        <v>7055.6000000000013</v>
      </c>
      <c r="O312" s="52">
        <v>7122.875</v>
      </c>
      <c r="P312" s="53">
        <f t="shared" si="4"/>
        <v>16023.635</v>
      </c>
    </row>
    <row r="313" spans="1:16" x14ac:dyDescent="0.3">
      <c r="A313" s="46" t="s">
        <v>89</v>
      </c>
      <c r="B313" s="51" t="s">
        <v>42</v>
      </c>
      <c r="C313" s="46" t="s">
        <v>24</v>
      </c>
      <c r="H313" s="52">
        <v>387.76</v>
      </c>
      <c r="K313" s="52">
        <v>576.13333333333333</v>
      </c>
      <c r="O313" s="52">
        <v>351.2</v>
      </c>
      <c r="P313" s="53">
        <f t="shared" si="4"/>
        <v>1315.0933333333332</v>
      </c>
    </row>
    <row r="314" spans="1:16" x14ac:dyDescent="0.3">
      <c r="A314" s="46" t="s">
        <v>89</v>
      </c>
      <c r="B314" s="51" t="s">
        <v>43</v>
      </c>
      <c r="C314" s="46" t="s">
        <v>24</v>
      </c>
      <c r="H314" s="52">
        <v>4129.1000000000004</v>
      </c>
      <c r="K314" s="52">
        <v>2269.6999999999998</v>
      </c>
      <c r="O314" s="52">
        <v>572.20000000000005</v>
      </c>
      <c r="P314" s="53">
        <f t="shared" si="4"/>
        <v>6971</v>
      </c>
    </row>
    <row r="315" spans="1:16" x14ac:dyDescent="0.3">
      <c r="A315" s="46" t="s">
        <v>89</v>
      </c>
      <c r="B315" s="47" t="s">
        <v>44</v>
      </c>
      <c r="C315" s="46" t="s">
        <v>24</v>
      </c>
      <c r="P315" s="49">
        <f t="shared" si="4"/>
        <v>0</v>
      </c>
    </row>
    <row r="316" spans="1:16" x14ac:dyDescent="0.3">
      <c r="A316" s="46" t="s">
        <v>89</v>
      </c>
      <c r="B316" s="47" t="s">
        <v>45</v>
      </c>
      <c r="C316" s="46" t="s">
        <v>24</v>
      </c>
      <c r="P316" s="53">
        <f t="shared" si="4"/>
        <v>0</v>
      </c>
    </row>
    <row r="317" spans="1:16" x14ac:dyDescent="0.3">
      <c r="A317" s="46" t="s">
        <v>89</v>
      </c>
      <c r="B317" s="47" t="s">
        <v>47</v>
      </c>
      <c r="C317" s="46" t="s">
        <v>24</v>
      </c>
      <c r="H317" s="53">
        <v>0</v>
      </c>
      <c r="K317" s="53">
        <v>0</v>
      </c>
      <c r="O317" s="53">
        <v>-4.5474735088646412E-13</v>
      </c>
      <c r="P317" s="53">
        <f t="shared" si="4"/>
        <v>-4.5474735088646412E-13</v>
      </c>
    </row>
    <row r="318" spans="1:16" x14ac:dyDescent="0.3">
      <c r="A318" s="46" t="s">
        <v>89</v>
      </c>
      <c r="B318" s="47" t="s">
        <v>28</v>
      </c>
      <c r="C318" s="46" t="s">
        <v>25</v>
      </c>
      <c r="P318" s="48">
        <f t="shared" si="4"/>
        <v>0</v>
      </c>
    </row>
    <row r="319" spans="1:16" x14ac:dyDescent="0.3">
      <c r="A319" s="46" t="s">
        <v>89</v>
      </c>
      <c r="B319" s="47" t="s">
        <v>30</v>
      </c>
      <c r="C319" s="46" t="s">
        <v>25</v>
      </c>
      <c r="P319" s="48">
        <f t="shared" si="4"/>
        <v>0</v>
      </c>
    </row>
    <row r="320" spans="1:16" x14ac:dyDescent="0.3">
      <c r="A320" s="46" t="s">
        <v>89</v>
      </c>
      <c r="B320" s="47" t="s">
        <v>31</v>
      </c>
      <c r="C320" s="46" t="s">
        <v>25</v>
      </c>
      <c r="P320" s="49">
        <f t="shared" si="4"/>
        <v>0</v>
      </c>
    </row>
    <row r="321" spans="1:16" x14ac:dyDescent="0.3">
      <c r="A321" s="46" t="s">
        <v>89</v>
      </c>
      <c r="B321" s="47" t="s">
        <v>33</v>
      </c>
      <c r="C321" s="46" t="s">
        <v>25</v>
      </c>
      <c r="P321" s="50">
        <f t="shared" si="4"/>
        <v>0</v>
      </c>
    </row>
    <row r="322" spans="1:16" x14ac:dyDescent="0.3">
      <c r="A322" s="46" t="s">
        <v>89</v>
      </c>
      <c r="B322" s="51" t="s">
        <v>35</v>
      </c>
      <c r="C322" s="46" t="s">
        <v>25</v>
      </c>
      <c r="H322" s="52">
        <v>572.20000000000005</v>
      </c>
      <c r="K322" s="52">
        <v>3353.5</v>
      </c>
      <c r="O322" s="52">
        <v>2123.1</v>
      </c>
      <c r="P322" s="53">
        <f t="shared" si="4"/>
        <v>6048.7999999999993</v>
      </c>
    </row>
    <row r="323" spans="1:16" x14ac:dyDescent="0.3">
      <c r="A323" s="46" t="s">
        <v>89</v>
      </c>
      <c r="B323" s="51" t="s">
        <v>37</v>
      </c>
      <c r="C323" s="46" t="s">
        <v>25</v>
      </c>
      <c r="H323" s="52">
        <v>2.7</v>
      </c>
      <c r="K323" s="52">
        <v>2.9</v>
      </c>
      <c r="O323" s="52">
        <v>4.7</v>
      </c>
      <c r="P323" s="53">
        <f t="shared" ref="P323:P386" si="5">SUM(D323:O323)</f>
        <v>10.3</v>
      </c>
    </row>
    <row r="324" spans="1:16" x14ac:dyDescent="0.3">
      <c r="A324" s="46" t="s">
        <v>89</v>
      </c>
      <c r="B324" s="51" t="s">
        <v>38</v>
      </c>
      <c r="C324" s="46" t="s">
        <v>25</v>
      </c>
      <c r="H324" s="52">
        <v>4246.8999999999996</v>
      </c>
      <c r="K324" s="52">
        <v>4246.8999999999996</v>
      </c>
      <c r="O324" s="52">
        <v>4246.8999999999996</v>
      </c>
      <c r="P324" s="53">
        <f t="shared" si="5"/>
        <v>12740.699999999999</v>
      </c>
    </row>
    <row r="325" spans="1:16" x14ac:dyDescent="0.3">
      <c r="A325" s="46" t="s">
        <v>89</v>
      </c>
      <c r="B325" s="51" t="s">
        <v>39</v>
      </c>
      <c r="C325" s="46" t="s">
        <v>25</v>
      </c>
      <c r="H325" s="52">
        <v>15.86</v>
      </c>
      <c r="K325" s="52">
        <v>16.93333333333333</v>
      </c>
      <c r="O325" s="52">
        <v>15.25</v>
      </c>
      <c r="P325" s="53">
        <f t="shared" si="5"/>
        <v>48.043333333333329</v>
      </c>
    </row>
    <row r="326" spans="1:16" x14ac:dyDescent="0.3">
      <c r="A326" s="46" t="s">
        <v>89</v>
      </c>
      <c r="B326" s="51" t="s">
        <v>40</v>
      </c>
      <c r="C326" s="46" t="s">
        <v>25</v>
      </c>
      <c r="H326" s="52">
        <v>0</v>
      </c>
      <c r="K326" s="52">
        <v>0</v>
      </c>
      <c r="O326" s="52">
        <v>0</v>
      </c>
      <c r="P326" s="53">
        <f t="shared" si="5"/>
        <v>0</v>
      </c>
    </row>
    <row r="327" spans="1:16" x14ac:dyDescent="0.3">
      <c r="A327" s="46" t="s">
        <v>89</v>
      </c>
      <c r="B327" s="51" t="s">
        <v>41</v>
      </c>
      <c r="C327" s="46" t="s">
        <v>25</v>
      </c>
      <c r="H327" s="52">
        <v>1194.839999999999</v>
      </c>
      <c r="K327" s="52">
        <v>5093.1333333333332</v>
      </c>
      <c r="O327" s="52">
        <v>5402.8249999999998</v>
      </c>
      <c r="P327" s="53">
        <f t="shared" si="5"/>
        <v>11690.798333333332</v>
      </c>
    </row>
    <row r="328" spans="1:16" x14ac:dyDescent="0.3">
      <c r="A328" s="46" t="s">
        <v>89</v>
      </c>
      <c r="B328" s="51" t="s">
        <v>42</v>
      </c>
      <c r="C328" s="46" t="s">
        <v>25</v>
      </c>
      <c r="H328" s="52">
        <v>257.60000000000002</v>
      </c>
      <c r="K328" s="52">
        <v>370.13333333333338</v>
      </c>
      <c r="O328" s="52">
        <v>287.72500000000002</v>
      </c>
      <c r="P328" s="53">
        <f t="shared" si="5"/>
        <v>915.45833333333337</v>
      </c>
    </row>
    <row r="329" spans="1:16" x14ac:dyDescent="0.3">
      <c r="A329" s="46" t="s">
        <v>89</v>
      </c>
      <c r="B329" s="51" t="s">
        <v>43</v>
      </c>
      <c r="C329" s="46" t="s">
        <v>25</v>
      </c>
      <c r="H329" s="52">
        <v>3353.5</v>
      </c>
      <c r="K329" s="52">
        <v>2123.1</v>
      </c>
      <c r="O329" s="52">
        <v>668.9</v>
      </c>
      <c r="P329" s="53">
        <f t="shared" si="5"/>
        <v>6145.5</v>
      </c>
    </row>
    <row r="330" spans="1:16" x14ac:dyDescent="0.3">
      <c r="A330" s="46" t="s">
        <v>89</v>
      </c>
      <c r="B330" s="47" t="s">
        <v>44</v>
      </c>
      <c r="C330" s="46" t="s">
        <v>25</v>
      </c>
      <c r="P330" s="49">
        <f t="shared" si="5"/>
        <v>0</v>
      </c>
    </row>
    <row r="331" spans="1:16" x14ac:dyDescent="0.3">
      <c r="A331" s="46" t="s">
        <v>89</v>
      </c>
      <c r="B331" s="47" t="s">
        <v>45</v>
      </c>
      <c r="C331" s="46" t="s">
        <v>25</v>
      </c>
      <c r="P331" s="53">
        <f t="shared" si="5"/>
        <v>0</v>
      </c>
    </row>
    <row r="332" spans="1:16" x14ac:dyDescent="0.3">
      <c r="A332" s="46" t="s">
        <v>89</v>
      </c>
      <c r="B332" s="47" t="s">
        <v>47</v>
      </c>
      <c r="C332" s="46" t="s">
        <v>25</v>
      </c>
      <c r="H332" s="53">
        <v>4.5474735088646412E-13</v>
      </c>
      <c r="K332" s="53">
        <v>-4.5474735088646412E-13</v>
      </c>
      <c r="O332" s="53">
        <v>0</v>
      </c>
      <c r="P332" s="53">
        <f t="shared" si="5"/>
        <v>0</v>
      </c>
    </row>
    <row r="333" spans="1:16" x14ac:dyDescent="0.3">
      <c r="A333" s="46" t="s">
        <v>89</v>
      </c>
      <c r="B333" s="47" t="s">
        <v>28</v>
      </c>
      <c r="C333" s="46" t="s">
        <v>26</v>
      </c>
      <c r="P333" s="48">
        <f t="shared" si="5"/>
        <v>0</v>
      </c>
    </row>
    <row r="334" spans="1:16" x14ac:dyDescent="0.3">
      <c r="A334" s="46" t="s">
        <v>89</v>
      </c>
      <c r="B334" s="47" t="s">
        <v>30</v>
      </c>
      <c r="C334" s="46" t="s">
        <v>26</v>
      </c>
      <c r="P334" s="48">
        <f t="shared" si="5"/>
        <v>0</v>
      </c>
    </row>
    <row r="335" spans="1:16" x14ac:dyDescent="0.3">
      <c r="A335" s="46" t="s">
        <v>89</v>
      </c>
      <c r="B335" s="47" t="s">
        <v>31</v>
      </c>
      <c r="C335" s="46" t="s">
        <v>26</v>
      </c>
      <c r="P335" s="49">
        <f t="shared" si="5"/>
        <v>0</v>
      </c>
    </row>
    <row r="336" spans="1:16" x14ac:dyDescent="0.3">
      <c r="A336" s="46" t="s">
        <v>89</v>
      </c>
      <c r="B336" s="47" t="s">
        <v>33</v>
      </c>
      <c r="C336" s="46" t="s">
        <v>26</v>
      </c>
      <c r="P336" s="50">
        <f t="shared" si="5"/>
        <v>0</v>
      </c>
    </row>
    <row r="337" spans="1:16" x14ac:dyDescent="0.3">
      <c r="A337" s="46" t="s">
        <v>89</v>
      </c>
      <c r="B337" s="51" t="s">
        <v>35</v>
      </c>
      <c r="C337" s="46" t="s">
        <v>26</v>
      </c>
      <c r="H337" s="52">
        <v>668.9</v>
      </c>
      <c r="K337" s="52">
        <v>4515.3</v>
      </c>
      <c r="O337" s="52">
        <v>2869.2</v>
      </c>
      <c r="P337" s="53">
        <f t="shared" si="5"/>
        <v>8053.4</v>
      </c>
    </row>
    <row r="338" spans="1:16" x14ac:dyDescent="0.3">
      <c r="A338" s="46" t="s">
        <v>89</v>
      </c>
      <c r="B338" s="51" t="s">
        <v>37</v>
      </c>
      <c r="C338" s="46" t="s">
        <v>26</v>
      </c>
      <c r="H338" s="52">
        <v>0.5</v>
      </c>
      <c r="K338" s="52">
        <v>1.5</v>
      </c>
      <c r="O338" s="52">
        <v>5.0999999999999996</v>
      </c>
      <c r="P338" s="53">
        <f t="shared" si="5"/>
        <v>7.1</v>
      </c>
    </row>
    <row r="339" spans="1:16" x14ac:dyDescent="0.3">
      <c r="A339" s="46" t="s">
        <v>89</v>
      </c>
      <c r="B339" s="51" t="s">
        <v>38</v>
      </c>
      <c r="C339" s="46" t="s">
        <v>26</v>
      </c>
      <c r="H339" s="52">
        <v>6380.3</v>
      </c>
      <c r="K339" s="52">
        <v>6380.3</v>
      </c>
      <c r="O339" s="52">
        <v>6380.3</v>
      </c>
      <c r="P339" s="53">
        <f t="shared" si="5"/>
        <v>19140.900000000001</v>
      </c>
    </row>
    <row r="340" spans="1:16" x14ac:dyDescent="0.3">
      <c r="A340" s="46" t="s">
        <v>89</v>
      </c>
      <c r="B340" s="51" t="s">
        <v>39</v>
      </c>
      <c r="C340" s="46" t="s">
        <v>26</v>
      </c>
      <c r="H340" s="52">
        <v>16.940000000000001</v>
      </c>
      <c r="K340" s="52">
        <v>26.533333333333331</v>
      </c>
      <c r="O340" s="52">
        <v>7.1499999999999986</v>
      </c>
      <c r="P340" s="53">
        <f t="shared" si="5"/>
        <v>50.623333333333328</v>
      </c>
    </row>
    <row r="341" spans="1:16" x14ac:dyDescent="0.3">
      <c r="A341" s="46" t="s">
        <v>89</v>
      </c>
      <c r="B341" s="51" t="s">
        <v>40</v>
      </c>
      <c r="C341" s="46" t="s">
        <v>26</v>
      </c>
      <c r="H341" s="52">
        <v>0</v>
      </c>
      <c r="K341" s="52">
        <v>0</v>
      </c>
      <c r="O341" s="52">
        <v>0</v>
      </c>
      <c r="P341" s="53">
        <f t="shared" si="5"/>
        <v>0</v>
      </c>
    </row>
    <row r="342" spans="1:16" x14ac:dyDescent="0.3">
      <c r="A342" s="46" t="s">
        <v>89</v>
      </c>
      <c r="B342" s="51" t="s">
        <v>41</v>
      </c>
      <c r="C342" s="46" t="s">
        <v>26</v>
      </c>
      <c r="H342" s="52">
        <v>2069.42</v>
      </c>
      <c r="K342" s="52">
        <v>7499.8666666666677</v>
      </c>
      <c r="O342" s="52">
        <v>8216.2250000000004</v>
      </c>
      <c r="P342" s="53">
        <f t="shared" si="5"/>
        <v>17785.511666666665</v>
      </c>
    </row>
    <row r="343" spans="1:16" x14ac:dyDescent="0.3">
      <c r="A343" s="46" t="s">
        <v>89</v>
      </c>
      <c r="B343" s="51" t="s">
        <v>42</v>
      </c>
      <c r="C343" s="46" t="s">
        <v>26</v>
      </c>
      <c r="H343" s="52">
        <v>448.04</v>
      </c>
      <c r="K343" s="52">
        <v>501.5</v>
      </c>
      <c r="O343" s="52">
        <v>519.32500000000005</v>
      </c>
      <c r="P343" s="53">
        <f t="shared" si="5"/>
        <v>1468.865</v>
      </c>
    </row>
    <row r="344" spans="1:16" x14ac:dyDescent="0.3">
      <c r="A344" s="46" t="s">
        <v>89</v>
      </c>
      <c r="B344" s="51" t="s">
        <v>43</v>
      </c>
      <c r="C344" s="46" t="s">
        <v>26</v>
      </c>
      <c r="H344" s="52">
        <v>4515.3</v>
      </c>
      <c r="K344" s="52">
        <v>2869.2</v>
      </c>
      <c r="O344" s="52">
        <v>511.9</v>
      </c>
      <c r="P344" s="53">
        <f t="shared" si="5"/>
        <v>7896.4</v>
      </c>
    </row>
    <row r="345" spans="1:16" x14ac:dyDescent="0.3">
      <c r="A345" s="46" t="s">
        <v>89</v>
      </c>
      <c r="B345" s="47" t="s">
        <v>44</v>
      </c>
      <c r="C345" s="46" t="s">
        <v>26</v>
      </c>
      <c r="P345" s="49">
        <f t="shared" si="5"/>
        <v>0</v>
      </c>
    </row>
    <row r="346" spans="1:16" x14ac:dyDescent="0.3">
      <c r="A346" s="46" t="s">
        <v>89</v>
      </c>
      <c r="B346" s="47" t="s">
        <v>45</v>
      </c>
      <c r="C346" s="46" t="s">
        <v>26</v>
      </c>
      <c r="P346" s="53">
        <f t="shared" si="5"/>
        <v>0</v>
      </c>
    </row>
    <row r="347" spans="1:16" x14ac:dyDescent="0.3">
      <c r="A347" s="46" t="s">
        <v>89</v>
      </c>
      <c r="B347" s="47" t="s">
        <v>47</v>
      </c>
      <c r="C347" s="46" t="s">
        <v>26</v>
      </c>
      <c r="H347" s="53">
        <v>0</v>
      </c>
      <c r="K347" s="53">
        <v>0</v>
      </c>
      <c r="O347" s="53">
        <v>3.4106051316484809E-13</v>
      </c>
      <c r="P347" s="53">
        <f t="shared" si="5"/>
        <v>3.4106051316484809E-13</v>
      </c>
    </row>
    <row r="348" spans="1:16" x14ac:dyDescent="0.3">
      <c r="A348" s="46" t="s">
        <v>89</v>
      </c>
      <c r="B348" s="54" t="s">
        <v>47</v>
      </c>
      <c r="C348" s="55" t="s">
        <v>36</v>
      </c>
      <c r="D348" s="52">
        <v>0</v>
      </c>
      <c r="E348" s="52">
        <v>0</v>
      </c>
      <c r="F348" s="52">
        <v>0</v>
      </c>
      <c r="G348" s="52">
        <v>0</v>
      </c>
      <c r="H348" s="52">
        <v>0</v>
      </c>
      <c r="I348" s="52">
        <v>0</v>
      </c>
      <c r="J348" s="52">
        <v>0</v>
      </c>
      <c r="K348" s="52">
        <v>0</v>
      </c>
      <c r="L348" s="52">
        <v>0</v>
      </c>
      <c r="M348" s="52">
        <v>0</v>
      </c>
      <c r="N348" s="52">
        <v>0</v>
      </c>
      <c r="O348" s="52">
        <v>0</v>
      </c>
      <c r="P348" s="56">
        <v>0</v>
      </c>
    </row>
  </sheetData>
  <mergeCells count="1">
    <mergeCell ref="A1:C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4258B9-A74C-44DC-9630-1E7ADFCA1746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Wheat_Mo</vt:lpstr>
      <vt:lpstr>Wheat_Yr</vt:lpstr>
      <vt:lpstr>Durum_Yr</vt:lpstr>
      <vt:lpstr>Canola_Yr</vt:lpstr>
      <vt:lpstr>Barley_Yr</vt:lpstr>
      <vt:lpstr>Oats_Yr</vt:lpstr>
      <vt:lpstr>Soybeans_Mo</vt:lpstr>
      <vt:lpstr>Soybeans_Yr</vt:lpstr>
      <vt:lpstr>Dry peas_Yr</vt:lpstr>
      <vt:lpstr>Lentils_Yr</vt:lpstr>
      <vt:lpstr>Canola_Mo</vt:lpstr>
      <vt:lpstr>Barley_Mo</vt:lpstr>
      <vt:lpstr>Oats_Mo</vt:lpstr>
      <vt:lpstr>Dry peas_Mo</vt:lpstr>
      <vt:lpstr>Lentils_Mo</vt:lpstr>
      <vt:lpstr>Durum_Mo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Ahmed Chilmeran</cp:lastModifiedBy>
  <dcterms:created xsi:type="dcterms:W3CDTF">2026-09-18T23:40:09Z</dcterms:created>
  <dcterms:modified xsi:type="dcterms:W3CDTF">2026-09-23T20:28:35Z</dcterms:modified>
</cp:coreProperties>
</file>