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3f9ef4c865e93/Desktop/Python/FOB_Price_Analysis/"/>
    </mc:Choice>
  </mc:AlternateContent>
  <xr:revisionPtr revIDLastSave="122" documentId="8_{20760CCF-2D8B-48B6-A581-0428EDA82D89}" xr6:coauthVersionLast="47" xr6:coauthVersionMax="47" xr10:uidLastSave="{D0B56FDB-2522-4CB4-BBEB-2DF60C467EDF}"/>
  <bookViews>
    <workbookView xWindow="-120" yWindow="-120" windowWidth="29040" windowHeight="15720" activeTab="5" xr2:uid="{041F2727-0B06-413F-8A4F-72B30B07563D}"/>
  </bookViews>
  <sheets>
    <sheet name="CGC_PrimaryElevation" sheetId="1" r:id="rId1"/>
    <sheet name="CGC_ElevationSTL" sheetId="2" r:id="rId2"/>
    <sheet name="CGC_ElevationVC" sheetId="3" r:id="rId3"/>
    <sheet name="OtherFees" sheetId="6" r:id="rId4"/>
    <sheet name="PDQ_Rail" sheetId="4" r:id="rId5"/>
    <sheet name="Margi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</calcChain>
</file>

<file path=xl/sharedStrings.xml><?xml version="1.0" encoding="utf-8"?>
<sst xmlns="http://schemas.openxmlformats.org/spreadsheetml/2006/main" count="84" uniqueCount="33">
  <si>
    <t>Commodity</t>
  </si>
  <si>
    <t>Canola</t>
  </si>
  <si>
    <t>Barley</t>
  </si>
  <si>
    <t>Oats</t>
  </si>
  <si>
    <t>Rye</t>
  </si>
  <si>
    <t>Flaxseed</t>
  </si>
  <si>
    <t>Corn</t>
  </si>
  <si>
    <t>Peas</t>
  </si>
  <si>
    <t>Soybeans</t>
  </si>
  <si>
    <t>Durum</t>
  </si>
  <si>
    <t>Viterra</t>
  </si>
  <si>
    <t>Wheat</t>
  </si>
  <si>
    <t>ZONE</t>
  </si>
  <si>
    <t>PEACE</t>
  </si>
  <si>
    <t>N ALTA</t>
  </si>
  <si>
    <t>S ALTA</t>
  </si>
  <si>
    <t>NW SASK</t>
  </si>
  <si>
    <t>SW SASK</t>
  </si>
  <si>
    <t>NE SASK</t>
  </si>
  <si>
    <t>SE SASK</t>
  </si>
  <si>
    <t>W MAN</t>
  </si>
  <si>
    <t>E MAN</t>
  </si>
  <si>
    <t>Freight_VC</t>
  </si>
  <si>
    <t>Freight_STL</t>
  </si>
  <si>
    <t>Freight_TBAY</t>
  </si>
  <si>
    <t>-</t>
  </si>
  <si>
    <t>G3 Canada</t>
  </si>
  <si>
    <t xml:space="preserve">Richardson </t>
  </si>
  <si>
    <t xml:space="preserve"> Average</t>
  </si>
  <si>
    <t>Richardson</t>
  </si>
  <si>
    <t>Avgerage</t>
  </si>
  <si>
    <t>Average</t>
  </si>
  <si>
    <t>Margin ($CAD/MT)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</si>
</sst>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center" wrapText="1" readingOrder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BB81-D529-4FBF-8C83-947A5E3FED08}">
  <dimension ref="A1:G19"/>
  <sheetViews>
    <sheetView workbookViewId="0">
      <selection activeCell="F14" sqref="F14"/>
    </sheetView>
  </sheetViews>
  <sheetFormatPr defaultRowHeight="18" customHeight="1" x14ac:dyDescent="0.25"/>
  <cols>
    <col min="1" max="5" width="15" style="4" customWidth="1"/>
  </cols>
  <sheetData>
    <row r="1" spans="1:5" ht="18" customHeight="1" thickBot="1" x14ac:dyDescent="0.3">
      <c r="A1" s="3" t="s">
        <v>0</v>
      </c>
      <c r="B1" s="3" t="s">
        <v>26</v>
      </c>
      <c r="C1" s="3" t="s">
        <v>27</v>
      </c>
      <c r="D1" s="3" t="s">
        <v>10</v>
      </c>
      <c r="E1" s="3" t="s">
        <v>28</v>
      </c>
    </row>
    <row r="2" spans="1:5" ht="18" customHeight="1" thickBot="1" x14ac:dyDescent="0.3">
      <c r="A2" s="3" t="s">
        <v>11</v>
      </c>
      <c r="B2" s="5">
        <v>15</v>
      </c>
      <c r="C2" s="5">
        <v>16.5</v>
      </c>
      <c r="D2" s="5">
        <v>16.399999999999999</v>
      </c>
      <c r="E2" s="5">
        <v>15.97</v>
      </c>
    </row>
    <row r="3" spans="1:5" ht="18" customHeight="1" thickBot="1" x14ac:dyDescent="0.3">
      <c r="A3" s="3" t="s">
        <v>9</v>
      </c>
      <c r="B3" s="5">
        <v>15</v>
      </c>
      <c r="C3" s="5">
        <v>16.5</v>
      </c>
      <c r="D3" s="5">
        <v>16.399999999999999</v>
      </c>
      <c r="E3" s="5">
        <v>15.97</v>
      </c>
    </row>
    <row r="4" spans="1:5" ht="18" customHeight="1" thickBot="1" x14ac:dyDescent="0.3">
      <c r="A4" s="3" t="s">
        <v>1</v>
      </c>
      <c r="B4" s="5">
        <v>15</v>
      </c>
      <c r="C4" s="5">
        <v>15</v>
      </c>
      <c r="D4" s="5">
        <v>15</v>
      </c>
      <c r="E4" s="5">
        <v>15</v>
      </c>
    </row>
    <row r="5" spans="1:5" ht="18" customHeight="1" thickBot="1" x14ac:dyDescent="0.3">
      <c r="A5" s="3" t="s">
        <v>2</v>
      </c>
      <c r="B5" s="5">
        <v>15</v>
      </c>
      <c r="C5" s="5">
        <v>15.95</v>
      </c>
      <c r="D5" s="5">
        <v>20.7</v>
      </c>
      <c r="E5" s="5">
        <v>17.22</v>
      </c>
    </row>
    <row r="6" spans="1:5" ht="18" customHeight="1" thickBot="1" x14ac:dyDescent="0.3">
      <c r="A6" s="3" t="s">
        <v>3</v>
      </c>
      <c r="B6" s="5">
        <v>15</v>
      </c>
      <c r="C6" s="5">
        <v>15</v>
      </c>
      <c r="D6" s="5">
        <v>15</v>
      </c>
      <c r="E6" s="5">
        <v>15</v>
      </c>
    </row>
    <row r="7" spans="1:5" ht="18" customHeight="1" thickBot="1" x14ac:dyDescent="0.3">
      <c r="A7" s="3" t="s">
        <v>4</v>
      </c>
      <c r="B7" s="5">
        <v>15</v>
      </c>
      <c r="C7" s="5">
        <v>10.029999999999999</v>
      </c>
      <c r="D7" s="5">
        <v>12.5</v>
      </c>
      <c r="E7" s="5">
        <v>12.51</v>
      </c>
    </row>
    <row r="8" spans="1:5" ht="18" customHeight="1" thickBot="1" x14ac:dyDescent="0.3">
      <c r="A8" s="3" t="s">
        <v>5</v>
      </c>
      <c r="B8" s="5">
        <v>15</v>
      </c>
      <c r="C8" s="5">
        <v>12.25</v>
      </c>
      <c r="D8" s="5">
        <v>15</v>
      </c>
      <c r="E8" s="5">
        <v>14.08</v>
      </c>
    </row>
    <row r="9" spans="1:5" ht="18" customHeight="1" thickBot="1" x14ac:dyDescent="0.3">
      <c r="A9" s="3" t="s">
        <v>6</v>
      </c>
      <c r="B9" s="5">
        <v>15</v>
      </c>
      <c r="C9" s="5">
        <v>12.25</v>
      </c>
      <c r="D9" s="5">
        <v>12.5</v>
      </c>
      <c r="E9" s="5">
        <v>13.25</v>
      </c>
    </row>
    <row r="10" spans="1:5" ht="18" customHeight="1" thickBot="1" x14ac:dyDescent="0.3">
      <c r="A10" s="3" t="s">
        <v>8</v>
      </c>
      <c r="B10" s="5">
        <v>15</v>
      </c>
      <c r="C10" s="5">
        <v>14.48</v>
      </c>
      <c r="D10" s="5">
        <v>15</v>
      </c>
      <c r="E10" s="5">
        <v>14.83</v>
      </c>
    </row>
    <row r="11" spans="1:5" ht="18" customHeight="1" thickBot="1" x14ac:dyDescent="0.3">
      <c r="A11" s="3" t="s">
        <v>7</v>
      </c>
      <c r="B11" s="5">
        <v>15</v>
      </c>
      <c r="C11" s="5">
        <v>14.48</v>
      </c>
      <c r="D11" s="5">
        <v>15</v>
      </c>
      <c r="E11" s="5">
        <v>14.83</v>
      </c>
    </row>
    <row r="19" spans="7:7" ht="18" customHeight="1" x14ac:dyDescent="0.25">
      <c r="G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5DFF-F8F0-44B1-BB8B-A66ACA9173A7}">
  <dimension ref="A1:G19"/>
  <sheetViews>
    <sheetView workbookViewId="0">
      <selection activeCell="E16" sqref="E16"/>
    </sheetView>
  </sheetViews>
  <sheetFormatPr defaultRowHeight="15" x14ac:dyDescent="0.25"/>
  <cols>
    <col min="1" max="1" width="21.140625" style="2" bestFit="1" customWidth="1"/>
    <col min="2" max="2" width="11.28515625" style="2" bestFit="1" customWidth="1"/>
    <col min="3" max="3" width="16" style="2" bestFit="1" customWidth="1"/>
    <col min="4" max="4" width="15.42578125" style="2" bestFit="1" customWidth="1"/>
    <col min="5" max="5" width="18.5703125" style="2" bestFit="1" customWidth="1"/>
    <col min="6" max="6" width="13.7109375" bestFit="1" customWidth="1"/>
    <col min="7" max="7" width="20.7109375" bestFit="1" customWidth="1"/>
    <col min="8" max="8" width="16.85546875" bestFit="1" customWidth="1"/>
    <col min="9" max="9" width="16.5703125" bestFit="1" customWidth="1"/>
  </cols>
  <sheetData>
    <row r="1" spans="1:5" x14ac:dyDescent="0.25">
      <c r="A1" s="6" t="s">
        <v>0</v>
      </c>
      <c r="B1" s="6" t="s">
        <v>26</v>
      </c>
      <c r="C1" s="6" t="s">
        <v>29</v>
      </c>
      <c r="D1" s="6" t="s">
        <v>10</v>
      </c>
      <c r="E1" s="6" t="s">
        <v>30</v>
      </c>
    </row>
    <row r="2" spans="1:5" x14ac:dyDescent="0.25">
      <c r="A2" s="6" t="s">
        <v>11</v>
      </c>
      <c r="B2" s="6">
        <v>10.11</v>
      </c>
      <c r="C2" s="6">
        <v>6.09</v>
      </c>
      <c r="D2" s="6">
        <v>6.09</v>
      </c>
      <c r="E2" s="6">
        <v>7.43</v>
      </c>
    </row>
    <row r="3" spans="1:5" x14ac:dyDescent="0.25">
      <c r="A3" s="6" t="s">
        <v>9</v>
      </c>
      <c r="B3" s="6">
        <v>10.11</v>
      </c>
      <c r="C3" s="6">
        <v>6.09</v>
      </c>
      <c r="D3" s="6">
        <v>6.09</v>
      </c>
      <c r="E3" s="6">
        <v>7.43</v>
      </c>
    </row>
    <row r="4" spans="1:5" x14ac:dyDescent="0.25">
      <c r="A4" s="6" t="s">
        <v>3</v>
      </c>
      <c r="B4" s="6">
        <v>15.53</v>
      </c>
      <c r="C4" s="6">
        <v>9.98</v>
      </c>
      <c r="D4" s="6">
        <v>9.98</v>
      </c>
      <c r="E4" s="6">
        <v>11.83</v>
      </c>
    </row>
    <row r="5" spans="1:5" x14ac:dyDescent="0.25">
      <c r="A5" s="6" t="s">
        <v>2</v>
      </c>
      <c r="B5" s="6">
        <v>11.54</v>
      </c>
      <c r="C5" s="6">
        <v>7.62</v>
      </c>
      <c r="D5" s="6">
        <v>7.62</v>
      </c>
      <c r="E5" s="6">
        <v>8.93</v>
      </c>
    </row>
    <row r="6" spans="1:5" x14ac:dyDescent="0.25">
      <c r="A6" s="6" t="s">
        <v>4</v>
      </c>
      <c r="B6" s="6">
        <v>10.62</v>
      </c>
      <c r="C6" s="6"/>
      <c r="D6" s="6"/>
      <c r="E6" s="6">
        <v>10.62</v>
      </c>
    </row>
    <row r="7" spans="1:5" x14ac:dyDescent="0.25">
      <c r="A7" s="6" t="s">
        <v>5</v>
      </c>
      <c r="B7" s="6">
        <v>12.34</v>
      </c>
      <c r="C7" s="6">
        <v>9.7200000000000006</v>
      </c>
      <c r="D7" s="6">
        <v>9.7200000000000006</v>
      </c>
      <c r="E7" s="6">
        <v>10.59</v>
      </c>
    </row>
    <row r="8" spans="1:5" x14ac:dyDescent="0.25">
      <c r="A8" s="6" t="s">
        <v>1</v>
      </c>
      <c r="B8" s="6">
        <v>12.4</v>
      </c>
      <c r="C8" s="6">
        <v>9.98</v>
      </c>
      <c r="D8" s="6">
        <v>9.98</v>
      </c>
      <c r="E8" s="6">
        <v>10.79</v>
      </c>
    </row>
    <row r="9" spans="1:5" x14ac:dyDescent="0.25">
      <c r="A9" s="6" t="s">
        <v>6</v>
      </c>
      <c r="B9" s="6">
        <v>10.79</v>
      </c>
      <c r="C9" s="6">
        <v>7.35</v>
      </c>
      <c r="D9" s="6">
        <v>7.35</v>
      </c>
      <c r="E9" s="6">
        <v>8.5</v>
      </c>
    </row>
    <row r="10" spans="1:5" x14ac:dyDescent="0.25">
      <c r="A10" s="6" t="s">
        <v>8</v>
      </c>
      <c r="B10" s="6">
        <v>10.58</v>
      </c>
      <c r="C10" s="6">
        <v>8.14</v>
      </c>
      <c r="D10" s="6">
        <v>8.14</v>
      </c>
      <c r="E10" s="6">
        <v>8.9499999999999993</v>
      </c>
    </row>
    <row r="11" spans="1:5" x14ac:dyDescent="0.25">
      <c r="A11" s="6" t="s">
        <v>7</v>
      </c>
      <c r="B11" s="6">
        <v>10.58</v>
      </c>
      <c r="C11" s="6">
        <v>8.14</v>
      </c>
      <c r="D11" s="6">
        <v>8.14</v>
      </c>
      <c r="E11" s="6">
        <v>8.9499999999999993</v>
      </c>
    </row>
    <row r="19" spans="7:7" x14ac:dyDescent="0.25"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3B1-5CF7-470B-96D9-3538F7F99A1F}">
  <dimension ref="A1:G19"/>
  <sheetViews>
    <sheetView workbookViewId="0">
      <selection sqref="A1:A11"/>
    </sheetView>
  </sheetViews>
  <sheetFormatPr defaultRowHeight="15" x14ac:dyDescent="0.25"/>
  <cols>
    <col min="1" max="1" width="10.28515625" style="2" bestFit="1" customWidth="1"/>
    <col min="2" max="2" width="13.7109375" style="2" bestFit="1" customWidth="1"/>
    <col min="3" max="3" width="20.7109375" style="2" bestFit="1" customWidth="1"/>
    <col min="4" max="4" width="16.85546875" style="2" bestFit="1" customWidth="1"/>
    <col min="5" max="5" width="16.5703125" style="2" bestFit="1" customWidth="1"/>
  </cols>
  <sheetData>
    <row r="1" spans="1:5" x14ac:dyDescent="0.25">
      <c r="A1" s="6" t="s">
        <v>0</v>
      </c>
      <c r="B1" s="6" t="s">
        <v>10</v>
      </c>
      <c r="C1" s="6" t="s">
        <v>26</v>
      </c>
      <c r="D1" s="6" t="s">
        <v>29</v>
      </c>
      <c r="E1" s="6" t="s">
        <v>31</v>
      </c>
    </row>
    <row r="2" spans="1:5" x14ac:dyDescent="0.25">
      <c r="A2" s="6" t="s">
        <v>11</v>
      </c>
      <c r="B2" s="6">
        <v>10.66</v>
      </c>
      <c r="C2" s="6">
        <v>30</v>
      </c>
      <c r="D2" s="6">
        <v>10.43</v>
      </c>
      <c r="E2" s="6">
        <f>AVERAGE(B2:D2)</f>
        <v>17.029999999999998</v>
      </c>
    </row>
    <row r="3" spans="1:5" x14ac:dyDescent="0.25">
      <c r="A3" s="6" t="s">
        <v>9</v>
      </c>
      <c r="B3" s="6">
        <v>10.66</v>
      </c>
      <c r="C3" s="6">
        <v>30</v>
      </c>
      <c r="D3" s="6">
        <v>10.43</v>
      </c>
      <c r="E3" s="6">
        <f t="shared" ref="E3:E11" si="0">AVERAGE(B3:D3)</f>
        <v>17.029999999999998</v>
      </c>
    </row>
    <row r="4" spans="1:5" x14ac:dyDescent="0.25">
      <c r="A4" s="6" t="s">
        <v>3</v>
      </c>
      <c r="B4" s="6">
        <v>10.75</v>
      </c>
      <c r="C4" s="6">
        <v>30</v>
      </c>
      <c r="D4" s="6">
        <v>16.579999999999998</v>
      </c>
      <c r="E4" s="6">
        <f t="shared" si="0"/>
        <v>19.11</v>
      </c>
    </row>
    <row r="5" spans="1:5" x14ac:dyDescent="0.25">
      <c r="A5" s="6" t="s">
        <v>2</v>
      </c>
      <c r="B5" s="6">
        <v>11.29</v>
      </c>
      <c r="C5" s="6">
        <v>30</v>
      </c>
      <c r="D5" s="6">
        <v>11.87</v>
      </c>
      <c r="E5" s="6">
        <f t="shared" si="0"/>
        <v>17.72</v>
      </c>
    </row>
    <row r="6" spans="1:5" x14ac:dyDescent="0.25">
      <c r="A6" s="6" t="s">
        <v>4</v>
      </c>
      <c r="B6" s="6" t="s">
        <v>25</v>
      </c>
      <c r="C6" s="6">
        <v>30</v>
      </c>
      <c r="D6" s="6">
        <v>15.22</v>
      </c>
      <c r="E6" s="6">
        <f t="shared" si="0"/>
        <v>22.61</v>
      </c>
    </row>
    <row r="7" spans="1:5" x14ac:dyDescent="0.25">
      <c r="A7" s="6" t="s">
        <v>5</v>
      </c>
      <c r="B7" s="6">
        <v>17.48</v>
      </c>
      <c r="C7" s="6">
        <v>30</v>
      </c>
      <c r="D7" s="6">
        <v>16.690000000000001</v>
      </c>
      <c r="E7" s="6">
        <f t="shared" si="0"/>
        <v>21.39</v>
      </c>
    </row>
    <row r="8" spans="1:5" x14ac:dyDescent="0.25">
      <c r="A8" s="6" t="s">
        <v>1</v>
      </c>
      <c r="B8" s="6">
        <v>16.39</v>
      </c>
      <c r="C8" s="6">
        <v>30</v>
      </c>
      <c r="D8" s="6">
        <v>16.989999999999998</v>
      </c>
      <c r="E8" s="6">
        <f t="shared" si="0"/>
        <v>21.126666666666665</v>
      </c>
    </row>
    <row r="9" spans="1:5" x14ac:dyDescent="0.25">
      <c r="A9" s="6" t="s">
        <v>6</v>
      </c>
      <c r="B9" s="6">
        <v>12</v>
      </c>
      <c r="C9" s="6">
        <v>30</v>
      </c>
      <c r="D9" s="6" t="s">
        <v>25</v>
      </c>
      <c r="E9" s="6">
        <f t="shared" si="0"/>
        <v>21</v>
      </c>
    </row>
    <row r="10" spans="1:5" x14ac:dyDescent="0.25">
      <c r="A10" s="6" t="s">
        <v>8</v>
      </c>
      <c r="B10" s="6">
        <v>16.39</v>
      </c>
      <c r="C10" s="6">
        <v>30</v>
      </c>
      <c r="D10" s="6">
        <v>15.44</v>
      </c>
      <c r="E10" s="6">
        <f t="shared" si="0"/>
        <v>20.61</v>
      </c>
    </row>
    <row r="11" spans="1:5" x14ac:dyDescent="0.25">
      <c r="A11" s="6" t="s">
        <v>7</v>
      </c>
      <c r="B11" s="6">
        <v>16.39</v>
      </c>
      <c r="C11" s="6">
        <v>30</v>
      </c>
      <c r="D11" s="6">
        <v>15.44</v>
      </c>
      <c r="E11" s="6">
        <f t="shared" si="0"/>
        <v>20.61</v>
      </c>
    </row>
    <row r="19" spans="7:7" x14ac:dyDescent="0.25"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D4A2-49C3-4396-AD8C-821D02CBCEC7}">
  <dimension ref="A1:B11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s="6" t="s">
        <v>0</v>
      </c>
      <c r="B1" s="7" t="s">
        <v>32</v>
      </c>
    </row>
    <row r="2" spans="1:2" x14ac:dyDescent="0.25">
      <c r="A2" s="6" t="s">
        <v>11</v>
      </c>
      <c r="B2" s="7">
        <v>3</v>
      </c>
    </row>
    <row r="3" spans="1:2" x14ac:dyDescent="0.25">
      <c r="A3" s="6" t="s">
        <v>9</v>
      </c>
      <c r="B3" s="7">
        <v>3</v>
      </c>
    </row>
    <row r="4" spans="1:2" x14ac:dyDescent="0.25">
      <c r="A4" s="6" t="s">
        <v>3</v>
      </c>
      <c r="B4" s="7">
        <v>3</v>
      </c>
    </row>
    <row r="5" spans="1:2" x14ac:dyDescent="0.25">
      <c r="A5" s="6" t="s">
        <v>2</v>
      </c>
      <c r="B5" s="7">
        <v>3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3</v>
      </c>
    </row>
    <row r="8" spans="1:2" x14ac:dyDescent="0.25">
      <c r="A8" s="6" t="s">
        <v>1</v>
      </c>
      <c r="B8" s="7">
        <v>3</v>
      </c>
    </row>
    <row r="9" spans="1:2" x14ac:dyDescent="0.25">
      <c r="A9" s="6" t="s">
        <v>6</v>
      </c>
      <c r="B9" s="7">
        <v>3</v>
      </c>
    </row>
    <row r="10" spans="1:2" x14ac:dyDescent="0.25">
      <c r="A10" s="6" t="s">
        <v>8</v>
      </c>
      <c r="B10" s="7">
        <v>3</v>
      </c>
    </row>
    <row r="11" spans="1:2" x14ac:dyDescent="0.25">
      <c r="A11" s="6" t="s">
        <v>7</v>
      </c>
      <c r="B11" s="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3CC2-08D6-4960-BB6A-092E517E7D9C}">
  <dimension ref="A1:G19"/>
  <sheetViews>
    <sheetView workbookViewId="0">
      <selection activeCell="F14" sqref="F14"/>
    </sheetView>
  </sheetViews>
  <sheetFormatPr defaultRowHeight="15" x14ac:dyDescent="0.25"/>
  <cols>
    <col min="2" max="2" width="9.85546875" bestFit="1" customWidth="1"/>
    <col min="3" max="3" width="10.28515625" bestFit="1" customWidth="1"/>
  </cols>
  <sheetData>
    <row r="1" spans="1:4" x14ac:dyDescent="0.25">
      <c r="A1" s="7" t="s">
        <v>12</v>
      </c>
      <c r="B1" s="7" t="s">
        <v>22</v>
      </c>
      <c r="C1" s="7" t="s">
        <v>23</v>
      </c>
      <c r="D1" s="7" t="s">
        <v>24</v>
      </c>
    </row>
    <row r="2" spans="1:4" x14ac:dyDescent="0.25">
      <c r="A2" s="7" t="s">
        <v>13</v>
      </c>
      <c r="B2" s="7">
        <v>36</v>
      </c>
      <c r="C2" s="7"/>
      <c r="D2" s="7"/>
    </row>
    <row r="3" spans="1:4" x14ac:dyDescent="0.25">
      <c r="A3" s="7" t="s">
        <v>14</v>
      </c>
      <c r="B3" s="7">
        <v>30</v>
      </c>
      <c r="C3" s="7"/>
      <c r="D3" s="7"/>
    </row>
    <row r="4" spans="1:4" x14ac:dyDescent="0.25">
      <c r="A4" s="7" t="s">
        <v>15</v>
      </c>
      <c r="B4" s="7">
        <v>28</v>
      </c>
      <c r="C4" s="7"/>
      <c r="D4" s="7"/>
    </row>
    <row r="5" spans="1:4" x14ac:dyDescent="0.25">
      <c r="A5" s="7" t="s">
        <v>16</v>
      </c>
      <c r="B5" s="7">
        <v>36</v>
      </c>
      <c r="C5" s="7"/>
      <c r="D5" s="7"/>
    </row>
    <row r="6" spans="1:4" x14ac:dyDescent="0.25">
      <c r="A6" s="7" t="s">
        <v>17</v>
      </c>
      <c r="B6" s="7">
        <v>44</v>
      </c>
      <c r="C6" s="7"/>
      <c r="D6" s="7"/>
    </row>
    <row r="7" spans="1:4" x14ac:dyDescent="0.25">
      <c r="A7" s="7" t="s">
        <v>18</v>
      </c>
      <c r="B7" s="7">
        <v>45</v>
      </c>
      <c r="C7" s="7"/>
      <c r="D7" s="7"/>
    </row>
    <row r="8" spans="1:4" x14ac:dyDescent="0.25">
      <c r="A8" s="7" t="s">
        <v>19</v>
      </c>
      <c r="B8" s="7">
        <v>50</v>
      </c>
      <c r="C8" s="7"/>
      <c r="D8" s="7"/>
    </row>
    <row r="9" spans="1:4" x14ac:dyDescent="0.25">
      <c r="A9" s="7" t="s">
        <v>20</v>
      </c>
      <c r="B9" s="7">
        <v>55</v>
      </c>
      <c r="C9" s="7">
        <v>45</v>
      </c>
      <c r="D9" s="7"/>
    </row>
    <row r="10" spans="1:4" x14ac:dyDescent="0.25">
      <c r="A10" s="7" t="s">
        <v>21</v>
      </c>
      <c r="B10" s="7">
        <v>60</v>
      </c>
      <c r="C10" s="7">
        <v>36</v>
      </c>
      <c r="D10" s="7"/>
    </row>
    <row r="19" spans="7:7" x14ac:dyDescent="0.25">
      <c r="G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0647-1252-4F40-9540-A916B6E56F45}">
  <dimension ref="A1:B11"/>
  <sheetViews>
    <sheetView tabSelected="1" workbookViewId="0">
      <selection activeCell="B6" sqref="B6"/>
    </sheetView>
  </sheetViews>
  <sheetFormatPr defaultRowHeight="17.25" customHeight="1" x14ac:dyDescent="0.25"/>
  <cols>
    <col min="1" max="1" width="16.85546875" customWidth="1"/>
    <col min="2" max="2" width="17.140625" customWidth="1"/>
  </cols>
  <sheetData>
    <row r="1" spans="1:2" ht="17.25" customHeight="1" x14ac:dyDescent="0.25">
      <c r="A1" s="8" t="s">
        <v>0</v>
      </c>
      <c r="B1" s="7" t="s">
        <v>32</v>
      </c>
    </row>
    <row r="2" spans="1:2" ht="17.25" customHeight="1" x14ac:dyDescent="0.25">
      <c r="A2" s="8" t="s">
        <v>11</v>
      </c>
      <c r="B2" s="7">
        <v>20</v>
      </c>
    </row>
    <row r="3" spans="1:2" ht="17.25" customHeight="1" x14ac:dyDescent="0.25">
      <c r="A3" s="8" t="s">
        <v>9</v>
      </c>
      <c r="B3" s="7">
        <v>25</v>
      </c>
    </row>
    <row r="4" spans="1:2" ht="17.25" customHeight="1" x14ac:dyDescent="0.25">
      <c r="A4" s="8" t="s">
        <v>1</v>
      </c>
      <c r="B4" s="7">
        <v>30</v>
      </c>
    </row>
    <row r="5" spans="1:2" ht="17.25" customHeight="1" x14ac:dyDescent="0.25">
      <c r="A5" s="8" t="s">
        <v>2</v>
      </c>
      <c r="B5" s="7">
        <v>15</v>
      </c>
    </row>
    <row r="6" spans="1:2" ht="17.25" customHeight="1" x14ac:dyDescent="0.25">
      <c r="A6" s="8" t="s">
        <v>3</v>
      </c>
      <c r="B6" s="7">
        <v>20</v>
      </c>
    </row>
    <row r="7" spans="1:2" ht="17.25" customHeight="1" x14ac:dyDescent="0.25">
      <c r="A7" s="8" t="s">
        <v>4</v>
      </c>
      <c r="B7" s="7">
        <v>20</v>
      </c>
    </row>
    <row r="8" spans="1:2" ht="17.25" customHeight="1" x14ac:dyDescent="0.25">
      <c r="A8" s="8" t="s">
        <v>5</v>
      </c>
      <c r="B8" s="7">
        <v>25</v>
      </c>
    </row>
    <row r="9" spans="1:2" ht="17.25" customHeight="1" x14ac:dyDescent="0.25">
      <c r="A9" s="8" t="s">
        <v>6</v>
      </c>
      <c r="B9" s="7">
        <v>15</v>
      </c>
    </row>
    <row r="10" spans="1:2" ht="17.25" customHeight="1" x14ac:dyDescent="0.25">
      <c r="A10" s="8" t="s">
        <v>8</v>
      </c>
      <c r="B10" s="7">
        <v>25</v>
      </c>
    </row>
    <row r="11" spans="1:2" ht="17.25" customHeight="1" x14ac:dyDescent="0.25">
      <c r="A11" s="8" t="s">
        <v>7</v>
      </c>
      <c r="B11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CGC_PrimaryElevation</vt:lpstr>
      <vt:lpstr>CGC_ElevationSTL</vt:lpstr>
      <vt:lpstr>CGC_ElevationVC</vt:lpstr>
      <vt:lpstr>OtherFees</vt:lpstr>
      <vt:lpstr>PDQ_Rail</vt:lpstr>
      <vt:lpstr>Margins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Chilmeran</dc:creator>
  <cp:lastModifiedBy>Ahmed Chilmeran</cp:lastModifiedBy>
  <dcterms:created xsi:type="dcterms:W3CDTF">2026-06-04T19:12:13Z</dcterms:created>
  <dcterms:modified xsi:type="dcterms:W3CDTF">2026-06-12T15:59:52Z</dcterms:modified>
</cp:coreProperties>
</file>