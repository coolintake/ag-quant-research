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_CanadaSD\"/>
    </mc:Choice>
  </mc:AlternateContent>
  <xr:revisionPtr revIDLastSave="0" documentId="13_ncr:1_{DDD09E21-D591-4C7D-B0A3-7CF1487E8C43}" xr6:coauthVersionLast="47" xr6:coauthVersionMax="47" xr10:uidLastSave="{00000000-0000-0000-0000-000000000000}"/>
  <bookViews>
    <workbookView xWindow="-120" yWindow="-120" windowWidth="29040" windowHeight="15720" activeTab="3" xr2:uid="{2D39F344-2E9B-444C-8B62-E56FB26FE9E1}"/>
  </bookViews>
  <sheets>
    <sheet name="VO_Biofeedstock_Wights" sheetId="2" r:id="rId1"/>
    <sheet name="Template" sheetId="3" r:id="rId2"/>
    <sheet name="Calendar" sheetId="4" r:id="rId3"/>
    <sheet name="Mapping_Dictionary" sheetId="5" r:id="rId4"/>
    <sheet name="Commodity_List" sheetId="6" r:id="rId5"/>
    <sheet name="Commodity_Dictionary" sheetId="1" r:id="rId6"/>
  </sheets>
  <externalReferences>
    <externalReference r:id="rId7"/>
  </externalReferences>
  <definedNames>
    <definedName name="_xlnm._FilterDatabase" localSheetId="3" hidden="1">Mapping_Dictionary!$A$1:$G$105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9" i="2" l="1"/>
  <c r="O39" i="2"/>
  <c r="N39" i="2"/>
  <c r="M39" i="2"/>
  <c r="L39" i="2"/>
  <c r="K39" i="2"/>
  <c r="J39" i="2"/>
  <c r="I39" i="2"/>
  <c r="H39" i="2"/>
  <c r="G39" i="2"/>
  <c r="F39" i="2"/>
  <c r="E39" i="2"/>
  <c r="D39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P9" i="2"/>
  <c r="O9" i="2"/>
  <c r="N9" i="2"/>
  <c r="M9" i="2"/>
  <c r="L9" i="2"/>
  <c r="K9" i="2"/>
  <c r="J9" i="2"/>
  <c r="I9" i="2"/>
  <c r="H9" i="2"/>
  <c r="G9" i="2"/>
  <c r="F9" i="2"/>
  <c r="E9" i="2"/>
  <c r="D9" i="2"/>
  <c r="P8" i="2"/>
  <c r="O8" i="2"/>
  <c r="N8" i="2"/>
  <c r="M8" i="2"/>
  <c r="L8" i="2"/>
  <c r="K8" i="2"/>
  <c r="J8" i="2"/>
  <c r="I8" i="2"/>
  <c r="H8" i="2"/>
  <c r="G8" i="2"/>
  <c r="F8" i="2"/>
  <c r="E8" i="2"/>
  <c r="D8" i="2"/>
  <c r="P7" i="2"/>
  <c r="O7" i="2"/>
  <c r="N7" i="2"/>
  <c r="M7" i="2"/>
  <c r="L7" i="2"/>
  <c r="K7" i="2"/>
  <c r="J7" i="2"/>
  <c r="I7" i="2"/>
  <c r="H7" i="2"/>
  <c r="G7" i="2"/>
  <c r="F7" i="2"/>
  <c r="E7" i="2"/>
  <c r="D7" i="2"/>
  <c r="P6" i="2"/>
  <c r="O6" i="2"/>
  <c r="N6" i="2"/>
  <c r="M6" i="2"/>
  <c r="L6" i="2"/>
  <c r="K6" i="2"/>
  <c r="J6" i="2"/>
  <c r="I6" i="2"/>
  <c r="H6" i="2"/>
  <c r="G6" i="2"/>
  <c r="F6" i="2"/>
  <c r="E6" i="2"/>
  <c r="D6" i="2"/>
  <c r="P5" i="2"/>
  <c r="O5" i="2"/>
  <c r="N5" i="2"/>
  <c r="M5" i="2"/>
  <c r="L5" i="2"/>
  <c r="K5" i="2"/>
  <c r="J5" i="2"/>
  <c r="I5" i="2"/>
  <c r="H5" i="2"/>
  <c r="G5" i="2"/>
  <c r="F5" i="2"/>
  <c r="E5" i="2"/>
  <c r="D5" i="2"/>
  <c r="P4" i="2"/>
  <c r="O4" i="2"/>
  <c r="N4" i="2"/>
  <c r="M4" i="2"/>
  <c r="L4" i="2"/>
  <c r="K4" i="2"/>
  <c r="J4" i="2"/>
  <c r="I4" i="2"/>
  <c r="H4" i="2"/>
  <c r="G4" i="2"/>
  <c r="F4" i="2"/>
  <c r="E4" i="2"/>
  <c r="D4" i="2"/>
  <c r="P3" i="2"/>
  <c r="O3" i="2"/>
  <c r="N3" i="2"/>
  <c r="M3" i="2"/>
  <c r="L3" i="2"/>
  <c r="K3" i="2"/>
  <c r="J3" i="2"/>
  <c r="I3" i="2"/>
  <c r="H3" i="2"/>
  <c r="G3" i="2"/>
  <c r="F3" i="2"/>
  <c r="E3" i="2"/>
  <c r="D3" i="2"/>
  <c r="P2" i="2"/>
  <c r="O2" i="2"/>
  <c r="N2" i="2"/>
  <c r="M2" i="2"/>
  <c r="L2" i="2"/>
  <c r="K2" i="2"/>
  <c r="J2" i="2"/>
  <c r="I2" i="2"/>
  <c r="H2" i="2"/>
  <c r="G2" i="2"/>
  <c r="F2" i="2"/>
  <c r="E2" i="2"/>
  <c r="D2" i="2"/>
</calcChain>
</file>

<file path=xl/sharedStrings.xml><?xml version="1.0" encoding="utf-8"?>
<sst xmlns="http://schemas.openxmlformats.org/spreadsheetml/2006/main" count="2480" uniqueCount="549">
  <si>
    <t>Commodity</t>
  </si>
  <si>
    <t>Metric</t>
  </si>
  <si>
    <t>Crop Year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</si>
  <si>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</si>
  <si>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</si>
  <si>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</si>
  <si>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</si>
  <si>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</si>
  <si>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</si>
  <si>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</si>
  <si>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</si>
  <si>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</si>
  <si>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</si>
  <si>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</si>
  <si>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</si>
  <si>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AUG/JUL</t>
  </si>
  <si>
    <t>Canola oil</t>
  </si>
  <si>
    <t>Ratio_Ddisp.</t>
  </si>
  <si>
    <t>95-96</t>
  </si>
  <si>
    <t>96-97</t>
  </si>
  <si>
    <t>97-98</t>
  </si>
  <si>
    <t>98-99</t>
  </si>
  <si>
    <t>99-00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</si>
  <si>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</si>
  <si>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</si>
  <si>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</si>
  <si>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</si>
  <si>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</si>
  <si>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</si>
  <si>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</si>
  <si>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</si>
  <si>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</si>
  <si>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</si>
  <si>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</si>
  <si>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</si>
  <si>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</si>
  <si>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</si>
  <si>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</si>
  <si>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</si>
  <si>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</si>
  <si>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</si>
  <si>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</si>
  <si>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</si>
  <si>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</si>
  <si>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</si>
  <si>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</si>
  <si>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</si>
  <si>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</si>
  <si>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</si>
  <si>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</si>
  <si>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</si>
  <si>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</si>
  <si>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</si>
  <si>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</si>
  <si>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</si>
  <si>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</si>
  <si>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Template</t>
  </si>
  <si>
    <t>CEREAL</t>
  </si>
  <si>
    <t>CANADA "COMMODITY"  S&amp;D - (KMT)</t>
  </si>
  <si>
    <t>LOCAL MARKETING YEAR: AUG/JUL</t>
  </si>
  <si>
    <t>PLANTED AC (MLN)</t>
  </si>
  <si>
    <t>HARVESTED AC (MLN)</t>
  </si>
  <si>
    <t>% HARVESTED</t>
  </si>
  <si>
    <t>YIELD</t>
  </si>
  <si>
    <t>BEGIGING STOCKS</t>
  </si>
  <si>
    <t>PRODUCTION</t>
  </si>
  <si>
    <t>IMPORTS</t>
  </si>
  <si>
    <t>TOTAL SUPPLY</t>
  </si>
  <si>
    <t>FOOD &amp; INDUSTRIAL</t>
  </si>
  <si>
    <t>FSR</t>
  </si>
  <si>
    <t>EXPORTS</t>
  </si>
  <si>
    <t>TOTAL DISPOSITION</t>
  </si>
  <si>
    <t>ENDING STOCKS</t>
  </si>
  <si>
    <t>STOCKS-TO-USE</t>
  </si>
  <si>
    <t>STU DAYS</t>
  </si>
  <si>
    <t>CHECK</t>
  </si>
  <si>
    <t>OILSEED</t>
  </si>
  <si>
    <t>CRUSH</t>
  </si>
  <si>
    <t>VEGETABLE OIL</t>
  </si>
  <si>
    <t>LOCAL MARKETING YEAR: "XXX/YYY"</t>
  </si>
  <si>
    <t>DOMESTIC DISPOSITION</t>
  </si>
  <si>
    <t>INDUSTRIAL</t>
  </si>
  <si>
    <t>FOOD</t>
  </si>
  <si>
    <t>PROTIEN MEAL</t>
  </si>
  <si>
    <t>FEED &amp; RESIDUAL</t>
  </si>
  <si>
    <t>Date</t>
  </si>
  <si>
    <t>Month_Name</t>
  </si>
  <si>
    <t>Aug_Jul_CropYear</t>
  </si>
  <si>
    <t>Jun_May_CropYear</t>
  </si>
  <si>
    <t>1996-08-01</t>
  </si>
  <si>
    <t>August</t>
  </si>
  <si>
    <t>1996-09-01</t>
  </si>
  <si>
    <t>September</t>
  </si>
  <si>
    <t>1996-10-01</t>
  </si>
  <si>
    <t>October</t>
  </si>
  <si>
    <t>1996-11-01</t>
  </si>
  <si>
    <t>November</t>
  </si>
  <si>
    <t>1996-12-01</t>
  </si>
  <si>
    <t>December</t>
  </si>
  <si>
    <t>1997-01-01</t>
  </si>
  <si>
    <t>January</t>
  </si>
  <si>
    <t>1997-02-01</t>
  </si>
  <si>
    <t>February</t>
  </si>
  <si>
    <t>1997-03-01</t>
  </si>
  <si>
    <t>March</t>
  </si>
  <si>
    <t>1997-04-01</t>
  </si>
  <si>
    <t>April</t>
  </si>
  <si>
    <t>1997-05-01</t>
  </si>
  <si>
    <t>May</t>
  </si>
  <si>
    <t>1997-06-01</t>
  </si>
  <si>
    <t>June</t>
  </si>
  <si>
    <t>1997-07-01</t>
  </si>
  <si>
    <t>July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</si>
  <si>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</si>
  <si>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</si>
  <si>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</si>
  <si>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</si>
  <si>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</si>
  <si>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</si>
  <si>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</si>
  <si>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</si>
  <si>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</si>
  <si>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</si>
  <si>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</si>
  <si>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</si>
  <si>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</si>
  <si>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</si>
  <si>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</si>
  <si>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</si>
  <si>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</si>
  <si>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</si>
  <si>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</si>
  <si>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</si>
  <si>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</si>
  <si>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</si>
  <si>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</si>
  <si>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</si>
  <si>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</si>
  <si>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</si>
  <si>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</si>
  <si>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</si>
  <si>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</si>
  <si>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</si>
  <si>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</si>
  <si>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</si>
  <si>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</si>
  <si>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</si>
  <si>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</si>
  <si>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</si>
  <si>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</si>
  <si>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</si>
  <si>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</si>
  <si>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</si>
  <si>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</si>
  <si>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</si>
  <si>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</si>
  <si>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</si>
  <si>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</si>
  <si>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</si>
  <si>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</si>
  <si>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</si>
  <si>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</si>
  <si>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</si>
  <si>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</si>
  <si>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</si>
  <si>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</si>
  <si>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</si>
  <si>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</si>
  <si>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</si>
  <si>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</si>
  <si>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</si>
  <si>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</si>
  <si>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</si>
  <si>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</si>
  <si>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</si>
  <si>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</si>
  <si>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</si>
  <si>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</si>
  <si>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</si>
  <si>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</si>
  <si>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</si>
  <si>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</si>
  <si>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</si>
  <si>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</si>
  <si>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</si>
  <si>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</si>
  <si>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</si>
  <si>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</si>
  <si>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</si>
  <si>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</si>
  <si>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</si>
  <si>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</si>
  <si>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</si>
  <si>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</si>
  <si>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</si>
  <si>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</si>
  <si>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</si>
  <si>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</si>
  <si>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</si>
  <si>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</si>
  <si>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</si>
  <si>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</si>
  <si>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</si>
  <si>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</si>
  <si>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</si>
  <si>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</si>
  <si>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</si>
  <si>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</si>
  <si>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</si>
  <si>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</si>
  <si>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</si>
  <si>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</si>
  <si>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</si>
  <si>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</si>
  <si>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</si>
  <si>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</si>
  <si>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</si>
  <si>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</si>
  <si>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</si>
  <si>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</si>
  <si>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</si>
  <si>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</si>
  <si>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</si>
  <si>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</si>
  <si>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</si>
  <si>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</si>
  <si>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</si>
  <si>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</si>
  <si>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</si>
  <si>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</si>
  <si>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</si>
  <si>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</si>
  <si>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</si>
  <si>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</si>
  <si>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</si>
  <si>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</si>
  <si>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</si>
  <si>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</si>
  <si>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</si>
  <si>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</si>
  <si>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</si>
  <si>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</si>
  <si>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</si>
  <si>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</si>
  <si>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</si>
  <si>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</si>
  <si>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</si>
  <si>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</si>
  <si>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</si>
  <si>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</si>
  <si>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</si>
  <si>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</si>
  <si>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</si>
  <si>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</si>
  <si>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</si>
  <si>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</si>
  <si>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</si>
  <si>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</si>
  <si>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</si>
  <si>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</si>
  <si>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</si>
  <si>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</si>
  <si>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</si>
  <si>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</si>
  <si>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</si>
  <si>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</si>
  <si>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</si>
  <si>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</si>
  <si>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</si>
  <si>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</si>
  <si>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</si>
  <si>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</si>
  <si>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</si>
  <si>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</si>
  <si>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</si>
  <si>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</si>
  <si>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</si>
  <si>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</si>
  <si>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</si>
  <si>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</si>
  <si>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</si>
  <si>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</si>
  <si>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</si>
  <si>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</si>
  <si>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</si>
  <si>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</si>
  <si>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</si>
  <si>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</si>
  <si>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</si>
  <si>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</si>
  <si>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</si>
  <si>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</si>
  <si>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</si>
  <si>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</si>
  <si>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</si>
  <si>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</si>
  <si>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</si>
  <si>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</si>
  <si>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</si>
  <si>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</si>
  <si>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</si>
  <si>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</si>
  <si>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</si>
  <si>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</si>
  <si>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</si>
  <si>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</si>
  <si>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</si>
  <si>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</si>
  <si>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</si>
  <si>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</si>
  <si>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</si>
  <si>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</si>
  <si>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</si>
  <si>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</si>
  <si>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</si>
  <si>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</si>
  <si>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</si>
  <si>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</si>
  <si>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</si>
  <si>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</si>
  <si>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</si>
  <si>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</si>
  <si>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</si>
  <si>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</si>
  <si>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</si>
  <si>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</si>
  <si>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</si>
  <si>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</si>
  <si>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</si>
  <si>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</si>
  <si>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</si>
  <si>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</si>
  <si>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</si>
  <si>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</si>
  <si>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</si>
  <si>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</si>
  <si>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</si>
  <si>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</si>
  <si>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</si>
  <si>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</si>
  <si>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</si>
  <si>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</si>
  <si>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</si>
  <si>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</si>
  <si>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</si>
  <si>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</si>
  <si>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</si>
  <si>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</si>
  <si>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</si>
  <si>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</si>
  <si>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</si>
  <si>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</si>
  <si>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</si>
  <si>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</si>
  <si>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</si>
  <si>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</si>
  <si>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</si>
  <si>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</si>
  <si>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</si>
  <si>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</si>
  <si>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</si>
  <si>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</si>
  <si>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</si>
  <si>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</si>
  <si>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</si>
  <si>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</si>
  <si>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</si>
  <si>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</si>
  <si>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</si>
  <si>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</si>
  <si>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</si>
  <si>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</si>
  <si>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</si>
  <si>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</si>
  <si>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</si>
  <si>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</si>
  <si>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</si>
  <si>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</si>
  <si>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</si>
  <si>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</si>
  <si>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</si>
  <si>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</si>
  <si>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</si>
  <si>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</si>
  <si>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</si>
  <si>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</si>
  <si>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</si>
  <si>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</si>
  <si>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</si>
  <si>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</si>
  <si>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</si>
  <si>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</si>
  <si>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</si>
  <si>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</si>
  <si>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</si>
  <si>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</si>
  <si>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</si>
  <si>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</si>
  <si>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</si>
  <si>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</si>
  <si>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</si>
  <si>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</si>
  <si>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</si>
  <si>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</si>
  <si>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</si>
  <si>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</si>
  <si>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</si>
  <si>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</si>
  <si>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</si>
  <si>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</si>
  <si>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</si>
  <si>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</si>
  <si>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</si>
  <si>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</si>
  <si>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</si>
  <si>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</si>
  <si>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</si>
  <si>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</si>
  <si>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</si>
  <si>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</si>
  <si>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</si>
  <si>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</si>
  <si>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</si>
  <si>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</si>
  <si>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</si>
  <si>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</si>
  <si>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</si>
  <si>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</si>
  <si>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</si>
  <si>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</si>
  <si>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</si>
  <si>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</si>
  <si>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</si>
  <si>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</si>
  <si>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</si>
  <si>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</si>
  <si>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</si>
  <si>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</si>
  <si>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</si>
  <si>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</si>
  <si>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</si>
  <si>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</si>
  <si>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</si>
  <si>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</si>
  <si>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</si>
  <si>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</si>
  <si>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</si>
  <si>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</si>
  <si>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</si>
  <si>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</si>
  <si>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</si>
  <si>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</si>
  <si>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</si>
  <si>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</si>
  <si>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</si>
  <si>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</si>
  <si>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</si>
  <si>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</si>
  <si>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</si>
  <si>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</si>
  <si>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</si>
  <si>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Source Commodity</t>
  </si>
  <si>
    <t>Commodity_Group</t>
  </si>
  <si>
    <t>StatCan_Raw_Metric</t>
  </si>
  <si>
    <t>Tier1_Commodity_Metric</t>
  </si>
  <si>
    <t>Tier2_National_Metric</t>
  </si>
  <si>
    <t>Calculation_Notes</t>
  </si>
  <si>
    <t>Wheat, excluding durum</t>
  </si>
  <si>
    <t>Cereal</t>
  </si>
  <si>
    <t>Total beginning stocks</t>
  </si>
  <si>
    <t>Beginning Stocks</t>
  </si>
  <si>
    <t>Imports</t>
  </si>
  <si>
    <t>Production</t>
  </si>
  <si>
    <t>Human food</t>
  </si>
  <si>
    <t>Food</t>
  </si>
  <si>
    <t>Food &amp; Processing</t>
  </si>
  <si>
    <t>Industrial use</t>
  </si>
  <si>
    <t>Industrial</t>
  </si>
  <si>
    <t>Seed requirements</t>
  </si>
  <si>
    <t>Loss in handling</t>
  </si>
  <si>
    <t>Animal feed, waste and dockage</t>
  </si>
  <si>
    <t>Total exports</t>
  </si>
  <si>
    <t>Exports</t>
  </si>
  <si>
    <t>Total ending stocks</t>
  </si>
  <si>
    <t>Ending Stocks</t>
  </si>
  <si>
    <t>Durum wheat</t>
  </si>
  <si>
    <t>Durum</t>
  </si>
  <si>
    <t>Oats</t>
  </si>
  <si>
    <t>Barley</t>
  </si>
  <si>
    <t>Canola</t>
  </si>
  <si>
    <t>Oilseed</t>
  </si>
  <si>
    <t>Crush</t>
  </si>
  <si>
    <t>Soybeans</t>
  </si>
  <si>
    <t>Other domestic disappearance</t>
  </si>
  <si>
    <t>Vegetable Oil</t>
  </si>
  <si>
    <t>Canola Crush (MT) * Oil Extraction Yield (~41.5%)</t>
  </si>
  <si>
    <t>HS Code 1514 (1514.11, 1514.19, 1514.91, 1514.99)</t>
  </si>
  <si>
    <t>Biofuel Feedstock: Biodiesel (BD) &amp; Renewable Diesel (RD) domestic consumption</t>
  </si>
  <si>
    <t>HS Code 1514 (Crude &amp; Refined Canola Oil)</t>
  </si>
  <si>
    <t>Beginning Stocks + Production + Imports - Industrial - Food - Exports</t>
  </si>
  <si>
    <t>Protein Meal</t>
  </si>
  <si>
    <t>Prior month Ending Stocks (or plant level estimates)</t>
  </si>
  <si>
    <t>Canola Crush (MT) * Meal Yield (~58.0%)</t>
  </si>
  <si>
    <t>HS Code 2306.41 &amp; 2306.49</t>
  </si>
  <si>
    <t>Feed &amp; Residual</t>
  </si>
  <si>
    <t>Estimated target operational carryout (or derived from residual model)</t>
  </si>
  <si>
    <t>Dry peas</t>
  </si>
  <si>
    <t>Pulse</t>
  </si>
  <si>
    <t>Lentils</t>
  </si>
  <si>
    <t>StatCan_Labels</t>
  </si>
  <si>
    <t>All wheat</t>
  </si>
  <si>
    <t>Rye</t>
  </si>
  <si>
    <t>Flaxseed</t>
  </si>
  <si>
    <t>Mustard seed</t>
  </si>
  <si>
    <t>Canary seed</t>
  </si>
  <si>
    <t>Sunflower seed</t>
  </si>
  <si>
    <t>Chickpeas</t>
  </si>
  <si>
    <t>Oil  produced</t>
  </si>
  <si>
    <t>Oil produced (stocks)</t>
  </si>
  <si>
    <t>Meal produced</t>
  </si>
  <si>
    <t>Meal produced (stocks)</t>
  </si>
  <si>
    <t>Canola (rapeseed)</t>
  </si>
  <si>
    <t>Crop_Year</t>
  </si>
  <si>
    <t>Aug-Jul</t>
  </si>
  <si>
    <t>Sep-Aug</t>
  </si>
  <si>
    <t>Prior month Ending Stocks (or COPA-StatCan crush survey stock reports)</t>
  </si>
  <si>
    <t>N-A</t>
  </si>
  <si>
    <t>Domestic edible consumption (margarine, salad-cooking oils)</t>
  </si>
  <si>
    <t>Balancing component: Total Supply - Exports - Target-Estimated Ending Stocks</t>
  </si>
  <si>
    <t>Oct-Sep</t>
  </si>
  <si>
    <t>Target System Name</t>
  </si>
  <si>
    <t>CANSIM 32100352 (Crush)</t>
  </si>
  <si>
    <t>CANSIM 32100013 (Supply &amp; Disposition)</t>
  </si>
  <si>
    <t>CANSIM 32100359 (Crop Area &amp; Production)</t>
  </si>
  <si>
    <t>CANSIM 25100082 (Renewable Fuel Feedstock)</t>
  </si>
  <si>
    <t>Wheat (Excl. Durum)</t>
  </si>
  <si>
    <t>N/A</t>
  </si>
  <si>
    <t>Wheat, all excluding durum wheat</t>
  </si>
  <si>
    <t>Wheat, durum</t>
  </si>
  <si>
    <t>Wheat, All</t>
  </si>
  <si>
    <t>Wheat, all</t>
  </si>
  <si>
    <t>Rye, all</t>
  </si>
  <si>
    <t>Dry Peas</t>
  </si>
  <si>
    <t>Peas, dry</t>
  </si>
  <si>
    <t>Mustard Seed</t>
  </si>
  <si>
    <t>Canary Seed</t>
  </si>
  <si>
    <t>Sunflower Seed</t>
  </si>
  <si>
    <t>Chick peas</t>
  </si>
  <si>
    <t>Soybean  Crush (MT) * Oil Extraction Yield (~41.5%)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</si>
</sst>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1F1F1F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9" fontId="1" fillId="0" borderId="0"/>
    <xf numFmtId="43" fontId="8" fillId="0" borderId="0"/>
  </cellStyleXfs>
  <cellXfs count="4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41" fontId="3" fillId="0" borderId="0" xfId="0" applyNumberFormat="1" applyFont="1" applyAlignment="1">
      <alignment horizontal="right"/>
    </xf>
    <xf numFmtId="0" fontId="4" fillId="0" borderId="0" xfId="0" applyFont="1"/>
    <xf numFmtId="9" fontId="4" fillId="0" borderId="0" xfId="1" applyFont="1"/>
    <xf numFmtId="9" fontId="0" fillId="0" borderId="0" xfId="1" applyFont="1"/>
    <xf numFmtId="9" fontId="0" fillId="0" borderId="0" xfId="0" applyNumberFormat="1"/>
    <xf numFmtId="0" fontId="5" fillId="0" borderId="0" xfId="0" applyFont="1"/>
    <xf numFmtId="0" fontId="5" fillId="0" borderId="2" xfId="0" applyFont="1" applyBorder="1"/>
    <xf numFmtId="0" fontId="6" fillId="0" borderId="0" xfId="0" applyFont="1"/>
    <xf numFmtId="1" fontId="7" fillId="2" borderId="0" xfId="0" applyNumberFormat="1" applyFont="1" applyFill="1"/>
    <xf numFmtId="9" fontId="7" fillId="2" borderId="0" xfId="1" applyFont="1" applyFill="1"/>
    <xf numFmtId="1" fontId="7" fillId="2" borderId="3" xfId="0" applyNumberFormat="1" applyFont="1" applyFill="1" applyBorder="1"/>
    <xf numFmtId="164" fontId="7" fillId="2" borderId="0" xfId="2" applyNumberFormat="1" applyFont="1" applyFill="1"/>
    <xf numFmtId="1" fontId="7" fillId="2" borderId="0" xfId="0" applyNumberFormat="1" applyFont="1" applyFill="1" applyAlignment="1">
      <alignment horizontal="left" indent="1"/>
    </xf>
    <xf numFmtId="1" fontId="7" fillId="2" borderId="3" xfId="0" applyNumberFormat="1" applyFont="1" applyFill="1" applyBorder="1" applyAlignment="1">
      <alignment horizontal="left"/>
    </xf>
    <xf numFmtId="1" fontId="7" fillId="2" borderId="2" xfId="0" applyNumberFormat="1" applyFont="1" applyFill="1" applyBorder="1"/>
    <xf numFmtId="1" fontId="7" fillId="2" borderId="0" xfId="0" applyNumberFormat="1" applyFont="1" applyFill="1" applyAlignment="1">
      <alignment horizontal="left"/>
    </xf>
    <xf numFmtId="14" fontId="9" fillId="0" borderId="4" xfId="0" applyNumberFormat="1" applyFont="1" applyBorder="1"/>
    <xf numFmtId="0" fontId="9" fillId="0" borderId="4" xfId="0" applyFont="1" applyBorder="1"/>
    <xf numFmtId="0" fontId="9" fillId="0" borderId="5" xfId="0" applyFont="1" applyBorder="1"/>
    <xf numFmtId="14" fontId="10" fillId="0" borderId="6" xfId="0" applyNumberFormat="1" applyFont="1" applyBorder="1"/>
    <xf numFmtId="0" fontId="10" fillId="0" borderId="6" xfId="0" applyFont="1" applyBorder="1"/>
    <xf numFmtId="0" fontId="10" fillId="0" borderId="7" xfId="0" applyFont="1" applyBorder="1"/>
    <xf numFmtId="14" fontId="10" fillId="0" borderId="4" xfId="0" applyNumberFormat="1" applyFont="1" applyBorder="1"/>
    <xf numFmtId="0" fontId="10" fillId="0" borderId="4" xfId="0" applyFont="1" applyBorder="1"/>
    <xf numFmtId="0" fontId="10" fillId="0" borderId="5" xfId="0" applyFont="1" applyBorder="1"/>
    <xf numFmtId="14" fontId="10" fillId="0" borderId="8" xfId="0" applyNumberFormat="1" applyFont="1" applyBorder="1"/>
    <xf numFmtId="0" fontId="10" fillId="0" borderId="8" xfId="0" applyFont="1" applyBorder="1"/>
    <xf numFmtId="0" fontId="10" fillId="0" borderId="9" xfId="0" applyFont="1" applyBorder="1"/>
    <xf numFmtId="14" fontId="0" fillId="0" borderId="0" xfId="0" applyNumberFormat="1"/>
    <xf numFmtId="0" fontId="11" fillId="0" borderId="10" xfId="0" applyFont="1" applyBorder="1"/>
    <xf numFmtId="0" fontId="12" fillId="0" borderId="10" xfId="0" applyFont="1" applyBorder="1" applyAlignment="1">
      <alignment horizontal="left" vertical="center" readingOrder="1"/>
    </xf>
    <xf numFmtId="0" fontId="12" fillId="0" borderId="0" xfId="0" applyFont="1" applyAlignment="1">
      <alignment horizontal="left" vertical="center" readingOrder="1"/>
    </xf>
    <xf numFmtId="0" fontId="6" fillId="3" borderId="0" xfId="0" applyFont="1" applyFill="1"/>
    <xf numFmtId="0" fontId="13" fillId="3" borderId="0" xfId="0" applyFont="1" applyFill="1" applyAlignment="1">
      <alignment horizontal="left" vertical="center" readingOrder="1"/>
    </xf>
    <xf numFmtId="0" fontId="13" fillId="0" borderId="0" xfId="0" applyFont="1" applyAlignment="1">
      <alignment horizontal="left" vertical="center" readingOrder="1"/>
    </xf>
    <xf numFmtId="0" fontId="14" fillId="0" borderId="0" xfId="0" applyFont="1"/>
  </cellXfs>
  <cellStyles count="3">
    <cellStyle name="Comma 4" xfId="2" xr:uid="{B44813F1-56C4-4623-A8DD-9E39C11BD1F3}"/>
    <cellStyle name="Normal" xfId="0" builtinId="0"/>
    <cellStyle name="Percent 2" xfId="1" xr:uid="{D549AA2C-0F24-4DC6-BB1B-4B31A83B0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a23f9ef4c865e93/Desktop/Ahmed's%20Folder/OneKBCapital/Data/olderfiles/CanadaSD_v01.xlsx" TargetMode="External"/><Relationship Id="rId1" Type="http://schemas.openxmlformats.org/officeDocument/2006/relationships/externalLinkPath" Target="https://d.docs.live.net/7a23f9ef4c865e93/Desktop/Ahmed's%20Folder/OneKBCapital/Data/olderfiles/CanadaSD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_Biofeedstock_Wights"/>
      <sheetName val="Template"/>
      <sheetName val="Calendar"/>
      <sheetName val="Mapping_Dictionary"/>
      <sheetName val="Commodity_List"/>
      <sheetName val="Wheat Yr"/>
      <sheetName val="Wheat Mo"/>
      <sheetName val="Durum Yr"/>
      <sheetName val="Durum Mo"/>
      <sheetName val="Canola Yr_Original"/>
      <sheetName val="Canola Mo_Original"/>
      <sheetName val="Canola Mo_OLD"/>
      <sheetName val="RS_CAN Yr"/>
      <sheetName val="RS_CAN Mo"/>
      <sheetName val="Soy Yr"/>
      <sheetName val="Blank"/>
      <sheetName val="Soy Mo"/>
      <sheetName val="Crush_COPA"/>
      <sheetName val="Barley Yr"/>
      <sheetName val="Barley Mo"/>
      <sheetName val="Wheat_Yr"/>
      <sheetName val="Durum_Yr"/>
      <sheetName val="Barley_Yr"/>
      <sheetName val="Oats_Yr"/>
      <sheetName val="DryPeas_Yr"/>
      <sheetName val="Lentils_Yr"/>
      <sheetName val="Canola_Yr"/>
      <sheetName val="CanolaOil_Yr"/>
      <sheetName val="CanolaMeal_Yr"/>
      <sheetName val="Soybean_Yr"/>
      <sheetName val="Soyoil_Yr"/>
      <sheetName val="Soymeal_Yr"/>
      <sheetName val="All_Oilseeds_Yr"/>
      <sheetName val="All_Cereals_Yr"/>
      <sheetName val="All_Canada_Y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58">
          <cell r="D458">
            <v>76.138900000000007</v>
          </cell>
          <cell r="E458">
            <v>72.632099999999994</v>
          </cell>
          <cell r="F458">
            <v>76.599299999999999</v>
          </cell>
          <cell r="G458">
            <v>93.310100000000006</v>
          </cell>
          <cell r="H458">
            <v>69.320499999999996</v>
          </cell>
          <cell r="I458">
            <v>73.727500000000006</v>
          </cell>
          <cell r="J458">
            <v>75.600399999999993</v>
          </cell>
          <cell r="K458">
            <v>61.1845</v>
          </cell>
          <cell r="L458">
            <v>82.245000000000005</v>
          </cell>
          <cell r="M458">
            <v>90.100200000000001</v>
          </cell>
          <cell r="N458">
            <v>79.413499999999999</v>
          </cell>
          <cell r="O458">
            <v>90.304000000000002</v>
          </cell>
          <cell r="W458"/>
        </row>
        <row r="459">
          <cell r="D459">
            <v>11.595499999999994</v>
          </cell>
          <cell r="E459">
            <v>3.927199999999992</v>
          </cell>
          <cell r="F459">
            <v>15.579599999999999</v>
          </cell>
          <cell r="G459">
            <v>-14.223500000000023</v>
          </cell>
          <cell r="H459">
            <v>13.911999999999992</v>
          </cell>
          <cell r="I459">
            <v>9.669499999999978</v>
          </cell>
          <cell r="J459">
            <v>16.602500000000006</v>
          </cell>
          <cell r="K459">
            <v>5.0555000000000163</v>
          </cell>
          <cell r="L459">
            <v>-8.1936999999999998</v>
          </cell>
          <cell r="M459">
            <v>4.5056000000000154</v>
          </cell>
          <cell r="N459">
            <v>-6.2260000000000062</v>
          </cell>
          <cell r="O459">
            <v>48.339100000000009</v>
          </cell>
          <cell r="W459">
            <v>228.14769999999999</v>
          </cell>
        </row>
        <row r="460">
          <cell r="D460">
            <v>32.930499999999995</v>
          </cell>
          <cell r="E460">
            <v>32.448199999999993</v>
          </cell>
          <cell r="F460">
            <v>47.071400000000004</v>
          </cell>
          <cell r="G460">
            <v>32.435299999999991</v>
          </cell>
          <cell r="H460">
            <v>38.617199999999997</v>
          </cell>
          <cell r="I460">
            <v>29.173799999999993</v>
          </cell>
          <cell r="J460">
            <v>34.031099999999988</v>
          </cell>
          <cell r="K460">
            <v>22.408899999999981</v>
          </cell>
          <cell r="L460">
            <v>34.202000000000019</v>
          </cell>
          <cell r="M460">
            <v>13.117900000000013</v>
          </cell>
          <cell r="N460">
            <v>18.603699999999996</v>
          </cell>
          <cell r="O460">
            <v>29.543300000000009</v>
          </cell>
          <cell r="W460">
            <v>358.54939999999999</v>
          </cell>
        </row>
        <row r="461">
          <cell r="D461">
            <v>58.58880000000002</v>
          </cell>
          <cell r="E461">
            <v>16.04999999999999</v>
          </cell>
          <cell r="F461">
            <v>23.855200000000025</v>
          </cell>
          <cell r="G461">
            <v>20.410699999999999</v>
          </cell>
          <cell r="H461">
            <v>5.3870999999999967</v>
          </cell>
          <cell r="I461">
            <v>18.177099999999989</v>
          </cell>
          <cell r="J461">
            <v>6.4153999999999982</v>
          </cell>
          <cell r="K461">
            <v>-13.354399999999984</v>
          </cell>
          <cell r="L461">
            <v>20.674599999999998</v>
          </cell>
          <cell r="M461">
            <v>27.917399999999994</v>
          </cell>
          <cell r="N461">
            <v>15.913500000000013</v>
          </cell>
          <cell r="O461">
            <v>45.863700000000001</v>
          </cell>
          <cell r="W461">
            <v>232.26890000000003</v>
          </cell>
        </row>
        <row r="462">
          <cell r="D462">
            <v>45.334000000000017</v>
          </cell>
          <cell r="E462">
            <v>34.198900000000009</v>
          </cell>
          <cell r="F462">
            <v>60.00190000000002</v>
          </cell>
          <cell r="G462">
            <v>62.640199999999979</v>
          </cell>
          <cell r="H462">
            <v>30.60629999999999</v>
          </cell>
          <cell r="I462">
            <v>63.693499999999993</v>
          </cell>
          <cell r="J462">
            <v>34.302900000000001</v>
          </cell>
          <cell r="K462">
            <v>71.006699999999981</v>
          </cell>
          <cell r="L462">
            <v>49.689500000000017</v>
          </cell>
          <cell r="M462">
            <v>8.6943000000000197</v>
          </cell>
          <cell r="N462">
            <v>61.061900000000023</v>
          </cell>
          <cell r="O462">
            <v>70.29819999999998</v>
          </cell>
          <cell r="W462">
            <v>521.94539999999995</v>
          </cell>
        </row>
        <row r="463">
          <cell r="D463">
            <v>52.787399999999991</v>
          </cell>
          <cell r="E463">
            <v>75.088900000000024</v>
          </cell>
          <cell r="F463">
            <v>69.587299999999999</v>
          </cell>
          <cell r="G463">
            <v>64.50200000000001</v>
          </cell>
          <cell r="H463">
            <v>47.556099999999979</v>
          </cell>
          <cell r="I463">
            <v>46.629100000000008</v>
          </cell>
          <cell r="J463">
            <v>27.222399999999965</v>
          </cell>
          <cell r="K463">
            <v>6.4898000000000025</v>
          </cell>
          <cell r="L463">
            <v>37.411000000000001</v>
          </cell>
          <cell r="M463">
            <v>49.391899999999964</v>
          </cell>
          <cell r="N463">
            <v>36.611100000000015</v>
          </cell>
          <cell r="O463">
            <v>41.892699999999991</v>
          </cell>
          <cell r="W463">
            <v>608.02599999999984</v>
          </cell>
        </row>
        <row r="464">
          <cell r="D464">
            <v>37.426899999999975</v>
          </cell>
          <cell r="E464">
            <v>63.192600000000006</v>
          </cell>
          <cell r="F464">
            <v>75.775099999999995</v>
          </cell>
          <cell r="G464">
            <v>80.594000000000023</v>
          </cell>
          <cell r="H464">
            <v>54.569000000000003</v>
          </cell>
          <cell r="I464">
            <v>61.260000000000012</v>
          </cell>
          <cell r="J464">
            <v>64.587000000000003</v>
          </cell>
          <cell r="K464">
            <v>58.707999999999998</v>
          </cell>
          <cell r="L464">
            <v>49.713999999999999</v>
          </cell>
          <cell r="M464">
            <v>51.618000000000002</v>
          </cell>
          <cell r="N464">
            <v>63.656000000000006</v>
          </cell>
          <cell r="O464">
            <v>65.331999999999994</v>
          </cell>
          <cell r="W464">
            <v>675.94840000000022</v>
          </cell>
        </row>
        <row r="465">
          <cell r="D465">
            <v>37.083999999999996</v>
          </cell>
          <cell r="E465">
            <v>23.874000000000009</v>
          </cell>
          <cell r="F465">
            <v>20.438999999999993</v>
          </cell>
          <cell r="G465">
            <v>33.646000000000001</v>
          </cell>
          <cell r="H465">
            <v>25.667000000000002</v>
          </cell>
          <cell r="I465">
            <v>48.455999999999996</v>
          </cell>
          <cell r="J465">
            <v>16.231000000000002</v>
          </cell>
          <cell r="K465">
            <v>54.792000000000002</v>
          </cell>
          <cell r="L465">
            <v>56.757999999999996</v>
          </cell>
          <cell r="M465">
            <v>59.172999999999988</v>
          </cell>
          <cell r="N465">
            <v>58.843999999999994</v>
          </cell>
          <cell r="O465">
            <v>87.51</v>
          </cell>
          <cell r="W465">
            <v>505.10799999999995</v>
          </cell>
        </row>
        <row r="466">
          <cell r="D466">
            <v>79.232000000000014</v>
          </cell>
          <cell r="E466">
            <v>95.395999999999987</v>
          </cell>
          <cell r="F466">
            <v>87.644000000000005</v>
          </cell>
          <cell r="G466">
            <v>40.891000000000012</v>
          </cell>
          <cell r="H466">
            <v>49.993000000000002</v>
          </cell>
          <cell r="I466">
            <v>65.413000000000011</v>
          </cell>
          <cell r="J466">
            <v>27.855000000000011</v>
          </cell>
          <cell r="K466">
            <v>-0.30799999999997851</v>
          </cell>
          <cell r="L466">
            <v>30.728999999999999</v>
          </cell>
          <cell r="M466">
            <v>46.808000000000007</v>
          </cell>
          <cell r="N466">
            <v>-24.662999999999986</v>
          </cell>
          <cell r="O466">
            <v>57.604000000000013</v>
          </cell>
          <cell r="W466">
            <v>670.00700000000006</v>
          </cell>
        </row>
        <row r="467">
          <cell r="D467">
            <v>39.788000000000011</v>
          </cell>
          <cell r="E467">
            <v>52.560999999999993</v>
          </cell>
          <cell r="F467">
            <v>21.698000000000008</v>
          </cell>
          <cell r="G467">
            <v>88.442999999999998</v>
          </cell>
          <cell r="H467">
            <v>59.134999999999998</v>
          </cell>
          <cell r="I467">
            <v>42.941999999999993</v>
          </cell>
          <cell r="J467">
            <v>59.416000000000011</v>
          </cell>
          <cell r="K467">
            <v>71.313999999999993</v>
          </cell>
          <cell r="L467">
            <v>30.247</v>
          </cell>
          <cell r="M467">
            <v>49.16399999999998</v>
          </cell>
          <cell r="N467">
            <v>9.3349999999999937</v>
          </cell>
          <cell r="O467">
            <v>11.41299999999999</v>
          </cell>
          <cell r="W467">
            <v>547.649</v>
          </cell>
        </row>
        <row r="468">
          <cell r="D468">
            <v>29.657999999999994</v>
          </cell>
          <cell r="E468">
            <v>16.336999999999989</v>
          </cell>
          <cell r="F468">
            <v>24.005000000000003</v>
          </cell>
          <cell r="G468">
            <v>17.111000000000011</v>
          </cell>
          <cell r="H468">
            <v>3.4369999999999834</v>
          </cell>
          <cell r="I468">
            <v>13.022000000000006</v>
          </cell>
          <cell r="J468">
            <v>-8.4860000000000184</v>
          </cell>
          <cell r="K468">
            <v>-14.411999999999985</v>
          </cell>
          <cell r="L468">
            <v>38.366999999999976</v>
          </cell>
          <cell r="M468">
            <v>36.808999999999997</v>
          </cell>
          <cell r="N468">
            <v>43.615000000000016</v>
          </cell>
          <cell r="O468">
            <v>40.449999999999989</v>
          </cell>
          <cell r="W468">
            <v>176.59599999999995</v>
          </cell>
        </row>
        <row r="469">
          <cell r="D469">
            <v>45.936999999999991</v>
          </cell>
          <cell r="E469">
            <v>62.834000000000003</v>
          </cell>
          <cell r="F469">
            <v>66.726000000000013</v>
          </cell>
          <cell r="G469">
            <v>48.788999999999987</v>
          </cell>
          <cell r="H469">
            <v>37.701000000000008</v>
          </cell>
          <cell r="I469">
            <v>64.724999999999994</v>
          </cell>
          <cell r="J469">
            <v>59.785000000000011</v>
          </cell>
          <cell r="K469">
            <v>62.539000000000001</v>
          </cell>
          <cell r="L469">
            <v>11.735999999999976</v>
          </cell>
          <cell r="M469">
            <v>37.467000000000013</v>
          </cell>
          <cell r="N469">
            <v>76.188000000000017</v>
          </cell>
          <cell r="O469">
            <v>60.038999999999987</v>
          </cell>
          <cell r="W469">
            <v>582.30400000000009</v>
          </cell>
        </row>
        <row r="470">
          <cell r="D470">
            <v>44.091000000000001</v>
          </cell>
          <cell r="E470">
            <v>71.846000000000004</v>
          </cell>
          <cell r="F470">
            <v>76.940000000000026</v>
          </cell>
          <cell r="G470">
            <v>23.802999999999997</v>
          </cell>
          <cell r="H470">
            <v>64.708000000000013</v>
          </cell>
          <cell r="I470">
            <v>38.755999999999986</v>
          </cell>
          <cell r="J470">
            <v>26.075999999999993</v>
          </cell>
          <cell r="K470">
            <v>21.936000000000014</v>
          </cell>
          <cell r="L470">
            <v>64.055000000000035</v>
          </cell>
          <cell r="M470">
            <v>20.198999999999998</v>
          </cell>
          <cell r="N470">
            <v>-3.5309999999999917</v>
          </cell>
          <cell r="O470">
            <v>65.609000000000009</v>
          </cell>
          <cell r="W470">
            <v>588.63700000000017</v>
          </cell>
        </row>
        <row r="471">
          <cell r="D471">
            <v>54.675999999999995</v>
          </cell>
          <cell r="E471">
            <v>-5.3019999999999854</v>
          </cell>
          <cell r="F471">
            <v>107.01099999999998</v>
          </cell>
          <cell r="G471">
            <v>46.917999999999985</v>
          </cell>
          <cell r="H471">
            <v>48.692999999999984</v>
          </cell>
          <cell r="I471">
            <v>19.161000000000001</v>
          </cell>
          <cell r="J471">
            <v>10.468000000000004</v>
          </cell>
          <cell r="K471">
            <v>35.057000000000016</v>
          </cell>
          <cell r="L471">
            <v>38.646999999999984</v>
          </cell>
          <cell r="M471">
            <v>61.780999999999999</v>
          </cell>
          <cell r="N471">
            <v>65.16</v>
          </cell>
          <cell r="O471">
            <v>54.915000000000006</v>
          </cell>
          <cell r="W471">
            <v>479.18799999999999</v>
          </cell>
        </row>
        <row r="472">
          <cell r="D472">
            <v>18.920000000000005</v>
          </cell>
          <cell r="E472">
            <v>57.701999999999998</v>
          </cell>
          <cell r="F472">
            <v>69.451000000000008</v>
          </cell>
          <cell r="G472">
            <v>60.448000000000015</v>
          </cell>
          <cell r="H472">
            <v>68.027999999999992</v>
          </cell>
          <cell r="I472">
            <v>57.410999999999966</v>
          </cell>
          <cell r="J472">
            <v>19.239999999999995</v>
          </cell>
          <cell r="K472">
            <v>72.019999999999982</v>
          </cell>
          <cell r="L472">
            <v>15.467000000000006</v>
          </cell>
          <cell r="M472">
            <v>-0.86200000000002319</v>
          </cell>
          <cell r="N472">
            <v>-7.1409999999999911</v>
          </cell>
          <cell r="O472">
            <v>14.590999999999994</v>
          </cell>
          <cell r="W472">
            <v>557.89999999999986</v>
          </cell>
        </row>
        <row r="473">
          <cell r="D473">
            <v>6.9330000000000069</v>
          </cell>
          <cell r="E473">
            <v>-10.258999999999972</v>
          </cell>
          <cell r="F473">
            <v>-19.058999999999997</v>
          </cell>
          <cell r="G473">
            <v>-4.2590000000000146</v>
          </cell>
          <cell r="H473">
            <v>25.185000000000002</v>
          </cell>
          <cell r="I473">
            <v>-14.35299999999998</v>
          </cell>
          <cell r="J473">
            <v>-8.6540000000000248</v>
          </cell>
          <cell r="K473">
            <v>11.375999999999976</v>
          </cell>
          <cell r="L473">
            <v>16.420000000000002</v>
          </cell>
          <cell r="M473">
            <v>41.601000000000013</v>
          </cell>
          <cell r="N473">
            <v>1.5929999999999964</v>
          </cell>
          <cell r="O473">
            <v>83.411999999999964</v>
          </cell>
          <cell r="W473">
            <v>52.381000000000014</v>
          </cell>
        </row>
        <row r="474">
          <cell r="D474">
            <v>40.016999999999982</v>
          </cell>
          <cell r="E474">
            <v>90.70799999999997</v>
          </cell>
          <cell r="F474">
            <v>38.956000000000031</v>
          </cell>
          <cell r="G474">
            <v>63.864999999999966</v>
          </cell>
          <cell r="H474">
            <v>58.833999999999989</v>
          </cell>
          <cell r="I474">
            <v>55.676000000000002</v>
          </cell>
          <cell r="J474">
            <v>-24.314000000000007</v>
          </cell>
          <cell r="K474">
            <v>50.618999999999971</v>
          </cell>
          <cell r="L474">
            <v>32.518000000000001</v>
          </cell>
          <cell r="M474">
            <v>62.909000000000013</v>
          </cell>
          <cell r="N474">
            <v>35.125999999999998</v>
          </cell>
          <cell r="O474">
            <v>43.518999999999963</v>
          </cell>
          <cell r="W474">
            <v>554.79299999999989</v>
          </cell>
        </row>
        <row r="475">
          <cell r="D475">
            <v>88.543999999999983</v>
          </cell>
          <cell r="E475">
            <v>72.049999999999983</v>
          </cell>
          <cell r="F475">
            <v>42.097999999999985</v>
          </cell>
          <cell r="G475">
            <v>79.558999999999983</v>
          </cell>
          <cell r="H475">
            <v>31.424999999999997</v>
          </cell>
          <cell r="I475">
            <v>81.476000000000013</v>
          </cell>
          <cell r="J475">
            <v>69.343999999999966</v>
          </cell>
          <cell r="K475">
            <v>30.665999999999983</v>
          </cell>
          <cell r="L475">
            <v>70.54200000000003</v>
          </cell>
          <cell r="M475">
            <v>23.991</v>
          </cell>
          <cell r="N475">
            <v>26.834999999999994</v>
          </cell>
          <cell r="O475">
            <v>80.88000000000001</v>
          </cell>
          <cell r="W475">
            <v>668.33999999999992</v>
          </cell>
        </row>
        <row r="476">
          <cell r="D476">
            <v>70.575000000000031</v>
          </cell>
          <cell r="E476">
            <v>72.747999999999962</v>
          </cell>
          <cell r="F476">
            <v>87.579000000000022</v>
          </cell>
          <cell r="G476">
            <v>54.897000000000034</v>
          </cell>
          <cell r="H476">
            <v>26.821999999999989</v>
          </cell>
          <cell r="I476">
            <v>74.254000000000019</v>
          </cell>
          <cell r="J476">
            <v>80.103000000000009</v>
          </cell>
          <cell r="K476">
            <v>77.55</v>
          </cell>
          <cell r="L476">
            <v>44.770999999999987</v>
          </cell>
          <cell r="M476">
            <v>106.13300000000002</v>
          </cell>
          <cell r="N476">
            <v>57.32200000000001</v>
          </cell>
          <cell r="O476">
            <v>175.21600000000001</v>
          </cell>
          <cell r="W476">
            <v>803.14700000000005</v>
          </cell>
        </row>
        <row r="477">
          <cell r="D477">
            <v>30.234000000000002</v>
          </cell>
          <cell r="E477">
            <v>87.639999999999986</v>
          </cell>
          <cell r="F477">
            <v>136.74399999999997</v>
          </cell>
          <cell r="G477">
            <v>92.672999999999973</v>
          </cell>
          <cell r="H477">
            <v>65.969000000000023</v>
          </cell>
          <cell r="I477">
            <v>57.604000000000028</v>
          </cell>
          <cell r="J477">
            <v>39.708999999999989</v>
          </cell>
          <cell r="K477">
            <v>29.154999999999987</v>
          </cell>
          <cell r="L477">
            <v>55.486000000000004</v>
          </cell>
          <cell r="M477">
            <v>53.425000000000011</v>
          </cell>
          <cell r="N477">
            <v>54.319000000000031</v>
          </cell>
          <cell r="O477">
            <v>29.974999999999966</v>
          </cell>
          <cell r="W477">
            <v>881.17700000000013</v>
          </cell>
        </row>
        <row r="478">
          <cell r="D478">
            <v>73.861999999999966</v>
          </cell>
          <cell r="E478">
            <v>-5.3399999999999892</v>
          </cell>
          <cell r="F478">
            <v>62.531000000000034</v>
          </cell>
          <cell r="G478">
            <v>106.50400000000003</v>
          </cell>
          <cell r="H478">
            <v>30.713000000000022</v>
          </cell>
          <cell r="I478">
            <v>126.27999999999997</v>
          </cell>
          <cell r="J478">
            <v>51.154999999999973</v>
          </cell>
          <cell r="K478">
            <v>71.643000000000001</v>
          </cell>
          <cell r="L478">
            <v>88.259999999999991</v>
          </cell>
          <cell r="M478">
            <v>104.19899999999997</v>
          </cell>
          <cell r="N478">
            <v>104.24699999999999</v>
          </cell>
          <cell r="O478">
            <v>127.65900000000001</v>
          </cell>
          <cell r="W478">
            <v>794.10099999999989</v>
          </cell>
        </row>
        <row r="479">
          <cell r="D479">
            <v>96.666000000000025</v>
          </cell>
          <cell r="E479">
            <v>129.744</v>
          </cell>
          <cell r="F479">
            <v>112.14000000000006</v>
          </cell>
          <cell r="G479">
            <v>102.50200000000002</v>
          </cell>
          <cell r="H479">
            <v>41.967999999999975</v>
          </cell>
          <cell r="I479">
            <v>64.507000000000005</v>
          </cell>
          <cell r="J479">
            <v>50.34999999999998</v>
          </cell>
          <cell r="K479">
            <v>17.280000000000044</v>
          </cell>
          <cell r="L479">
            <v>87.538999999999987</v>
          </cell>
          <cell r="M479">
            <v>87.712999999999994</v>
          </cell>
          <cell r="N479">
            <v>69.470999999999975</v>
          </cell>
          <cell r="O479">
            <v>108.41300000000003</v>
          </cell>
          <cell r="W479">
            <v>1022.3150000000001</v>
          </cell>
        </row>
        <row r="480">
          <cell r="D480">
            <v>80.672000000000025</v>
          </cell>
          <cell r="E480">
            <v>80.285000000000039</v>
          </cell>
          <cell r="F480">
            <v>99.168999999999997</v>
          </cell>
          <cell r="G480">
            <v>80.807000000000002</v>
          </cell>
          <cell r="H480">
            <v>14.456999999999994</v>
          </cell>
          <cell r="I480">
            <v>104.792</v>
          </cell>
          <cell r="J480">
            <v>62.097000000000008</v>
          </cell>
          <cell r="K480">
            <v>88.806000000000012</v>
          </cell>
          <cell r="L480">
            <v>34.29800000000003</v>
          </cell>
          <cell r="M480">
            <v>95.362000000000037</v>
          </cell>
          <cell r="N480">
            <v>65.965000000000032</v>
          </cell>
          <cell r="O480">
            <v>25.946000000000041</v>
          </cell>
          <cell r="W480">
            <v>918.62900000000013</v>
          </cell>
        </row>
        <row r="481">
          <cell r="D481">
            <v>78.79800000000003</v>
          </cell>
          <cell r="E481">
            <v>26.475000000000009</v>
          </cell>
          <cell r="F481">
            <v>127.06500000000001</v>
          </cell>
          <cell r="G481">
            <v>113.99000000000001</v>
          </cell>
          <cell r="H481">
            <v>63.654000000000011</v>
          </cell>
          <cell r="I481">
            <v>6.73599999999999</v>
          </cell>
          <cell r="J481">
            <v>45.187999999999974</v>
          </cell>
          <cell r="K481">
            <v>78.545999999999992</v>
          </cell>
          <cell r="L481">
            <v>80.284999999999997</v>
          </cell>
          <cell r="M481">
            <v>134.19999999999999</v>
          </cell>
          <cell r="N481">
            <v>88.070000000000007</v>
          </cell>
          <cell r="O481">
            <v>101.20100000000002</v>
          </cell>
          <cell r="W481">
            <v>846.84799999999996</v>
          </cell>
        </row>
        <row r="482">
          <cell r="D482">
            <v>86.781999999999996</v>
          </cell>
          <cell r="E482">
            <v>110.04199999999999</v>
          </cell>
          <cell r="F482">
            <v>119.60499999999996</v>
          </cell>
          <cell r="G482">
            <v>92.026000000000025</v>
          </cell>
          <cell r="H482">
            <v>132.47999999999996</v>
          </cell>
          <cell r="I482">
            <v>113.26700000000004</v>
          </cell>
          <cell r="J482">
            <v>117.96399999999997</v>
          </cell>
          <cell r="K482">
            <v>40.039999999999992</v>
          </cell>
          <cell r="L482">
            <v>111.14700000000001</v>
          </cell>
          <cell r="M482">
            <v>105.35200000000003</v>
          </cell>
          <cell r="N482">
            <v>76.781999999999996</v>
          </cell>
          <cell r="O482">
            <v>132.83600000000001</v>
          </cell>
          <cell r="W482">
            <v>1217.9759999999999</v>
          </cell>
        </row>
        <row r="483">
          <cell r="D483">
            <v>92.16</v>
          </cell>
          <cell r="E483">
            <v>102.48700000000001</v>
          </cell>
          <cell r="F483">
            <v>63.545000000000016</v>
          </cell>
          <cell r="G483">
            <v>68.364000000000004</v>
          </cell>
          <cell r="H483">
            <v>66.004000000000048</v>
          </cell>
          <cell r="I483">
            <v>47.164999999999978</v>
          </cell>
          <cell r="J483">
            <v>86.317999999999969</v>
          </cell>
          <cell r="K483">
            <v>83.689000000000007</v>
          </cell>
          <cell r="L483">
            <v>94.286999999999992</v>
          </cell>
          <cell r="M483">
            <v>43.316000000000031</v>
          </cell>
          <cell r="N483">
            <v>67.807000000000031</v>
          </cell>
          <cell r="O483">
            <v>95.371000000000024</v>
          </cell>
          <cell r="W483">
            <v>956.95299999999997</v>
          </cell>
        </row>
        <row r="484">
          <cell r="D484">
            <v>120.26</v>
          </cell>
          <cell r="E484">
            <v>153.93899999999996</v>
          </cell>
          <cell r="F484">
            <v>81.481999999999999</v>
          </cell>
          <cell r="G484">
            <v>119.89899999999999</v>
          </cell>
          <cell r="H484">
            <v>72.240000000000052</v>
          </cell>
          <cell r="I484">
            <v>87.737000000000023</v>
          </cell>
          <cell r="J484">
            <v>58.662999999999997</v>
          </cell>
          <cell r="K484">
            <v>29.371000000000009</v>
          </cell>
          <cell r="L484">
            <v>126.47700000000002</v>
          </cell>
          <cell r="M484">
            <v>147.95500000000001</v>
          </cell>
          <cell r="N484">
            <v>86.443000000000026</v>
          </cell>
          <cell r="O484">
            <v>181.72499999999997</v>
          </cell>
          <cell r="W484">
            <v>1161.201</v>
          </cell>
        </row>
        <row r="485">
          <cell r="D485">
            <v>94.886000000000038</v>
          </cell>
          <cell r="E485">
            <v>178.82599999999999</v>
          </cell>
          <cell r="F485">
            <v>127.89999999999998</v>
          </cell>
          <cell r="G485">
            <v>113.154</v>
          </cell>
          <cell r="H485">
            <v>104.54799999999997</v>
          </cell>
          <cell r="I485">
            <v>50.994000000000014</v>
          </cell>
          <cell r="J485">
            <v>111.52799999999998</v>
          </cell>
          <cell r="K485">
            <v>62.530000000000015</v>
          </cell>
          <cell r="L485">
            <v>96.348999999999961</v>
          </cell>
          <cell r="M485">
            <v>131.58000000000004</v>
          </cell>
          <cell r="N485">
            <v>90.348999999999975</v>
          </cell>
          <cell r="O485">
            <v>106.86699999999999</v>
          </cell>
          <cell r="W485">
            <v>1340.4630000000002</v>
          </cell>
        </row>
        <row r="486">
          <cell r="D486">
            <v>132.35900000000004</v>
          </cell>
          <cell r="E486">
            <v>135.988</v>
          </cell>
          <cell r="F486">
            <v>159.77199999999999</v>
          </cell>
          <cell r="G486">
            <v>137.68700000000001</v>
          </cell>
          <cell r="H486">
            <v>139.70199999999994</v>
          </cell>
          <cell r="I486">
            <v>45.989999999999981</v>
          </cell>
          <cell r="J486">
            <v>131.08600000000001</v>
          </cell>
          <cell r="K486">
            <v>87.780999999999963</v>
          </cell>
          <cell r="L486">
            <v>131.92199999999997</v>
          </cell>
          <cell r="M486">
            <v>97.086000000000027</v>
          </cell>
          <cell r="N486">
            <v>60.140000000000015</v>
          </cell>
          <cell r="O486">
            <v>113.02600000000002</v>
          </cell>
          <cell r="W486">
            <v>1396.5889999999999</v>
          </cell>
        </row>
        <row r="487">
          <cell r="D487">
            <v>138.00099999999998</v>
          </cell>
          <cell r="E487">
            <v>81.568999999999974</v>
          </cell>
          <cell r="F487">
            <v>60.510999999999953</v>
          </cell>
          <cell r="G487">
            <v>92.168000000000021</v>
          </cell>
          <cell r="H487">
            <v>74.997000000000028</v>
          </cell>
          <cell r="I487">
            <v>133.15800000000002</v>
          </cell>
          <cell r="J487">
            <v>89.656000000000034</v>
          </cell>
          <cell r="K487">
            <v>44.837000000000032</v>
          </cell>
          <cell r="L487">
            <v>119.16599999999998</v>
          </cell>
          <cell r="M487">
            <v>216.21900000000005</v>
          </cell>
          <cell r="N487">
            <v>84.214999999999947</v>
          </cell>
          <cell r="O487">
            <v>162.215</v>
          </cell>
          <cell r="W487">
            <v>1223.4480000000003</v>
          </cell>
        </row>
        <row r="488">
          <cell r="D488">
            <v>147.34400000000005</v>
          </cell>
          <cell r="E488">
            <v>150.10599999999997</v>
          </cell>
          <cell r="F488">
            <v>149.21200000000005</v>
          </cell>
          <cell r="G488">
            <v>231.08899999999994</v>
          </cell>
          <cell r="H488">
            <v>157.05399999999997</v>
          </cell>
          <cell r="I488">
            <v>264.18899999999996</v>
          </cell>
          <cell r="J488">
            <v>236.03399999999996</v>
          </cell>
          <cell r="K488">
            <v>213.60899999999998</v>
          </cell>
          <cell r="L488">
            <v>290.98099999999999</v>
          </cell>
          <cell r="M488">
            <v>342.00299999999999</v>
          </cell>
          <cell r="N488">
            <v>78.234666666666641</v>
          </cell>
          <cell r="O488">
            <v>127.36933333333336</v>
          </cell>
          <cell r="W488">
            <v>2428.0509999999995</v>
          </cell>
        </row>
        <row r="489">
          <cell r="D489">
            <v>139.2346666666667</v>
          </cell>
          <cell r="E489">
            <v>122.5543333333333</v>
          </cell>
          <cell r="F489">
            <v>123.16500000000001</v>
          </cell>
          <cell r="G489">
            <v>153.648</v>
          </cell>
          <cell r="H489">
            <v>123.91766666666665</v>
          </cell>
          <cell r="I489">
            <v>147.779</v>
          </cell>
          <cell r="J489">
            <v>152.25866666666667</v>
          </cell>
          <cell r="K489">
            <v>115.40899999999999</v>
          </cell>
          <cell r="L489">
            <v>180.68966666666665</v>
          </cell>
          <cell r="M489">
            <v>218.43600000000001</v>
          </cell>
          <cell r="N489">
            <v>74.196555555555534</v>
          </cell>
          <cell r="O489">
            <v>134.20344444444447</v>
          </cell>
          <cell r="W489">
            <v>1682.6959999999999</v>
          </cell>
        </row>
        <row r="490">
          <cell r="D490">
            <v>141.52655555555557</v>
          </cell>
          <cell r="E490">
            <v>118.07644444444442</v>
          </cell>
          <cell r="F490">
            <v>110.96266666666668</v>
          </cell>
          <cell r="G490">
            <v>158.96833333333333</v>
          </cell>
          <cell r="H490">
            <v>118.65622222222221</v>
          </cell>
          <cell r="I490">
            <v>181.70866666666666</v>
          </cell>
          <cell r="J490">
            <v>159.31622222222222</v>
          </cell>
          <cell r="K490">
            <v>124.61833333333334</v>
          </cell>
          <cell r="L490">
            <v>196.94555555555553</v>
          </cell>
          <cell r="M490">
            <v>258.88600000000002</v>
          </cell>
          <cell r="N490">
            <v>78.88207407407404</v>
          </cell>
          <cell r="O490">
            <v>141.2625925925926</v>
          </cell>
          <cell r="W490">
            <v>1778.0650000000001</v>
          </cell>
        </row>
        <row r="491"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W491"/>
        </row>
        <row r="495"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W495"/>
        </row>
      </sheetData>
      <sheetData sheetId="14"/>
      <sheetData sheetId="15"/>
      <sheetData sheetId="16">
        <row r="533">
          <cell r="D533">
            <v>-2.3819999999999997</v>
          </cell>
          <cell r="E533">
            <v>-0.48399999999999999</v>
          </cell>
          <cell r="F533">
            <v>-5.4779999999999998</v>
          </cell>
          <cell r="G533">
            <v>0.33799999999999919</v>
          </cell>
          <cell r="H533">
            <v>0.88199999999999967</v>
          </cell>
          <cell r="I533">
            <v>0.35000000000000142</v>
          </cell>
          <cell r="J533">
            <v>0.96199999999999974</v>
          </cell>
          <cell r="K533">
            <v>0.93599999999999994</v>
          </cell>
          <cell r="L533">
            <v>1.21</v>
          </cell>
          <cell r="M533">
            <v>-1.4650000000000007</v>
          </cell>
          <cell r="N533">
            <v>0.17900000000000027</v>
          </cell>
          <cell r="O533">
            <v>4.21</v>
          </cell>
          <cell r="W533">
            <v>-5.8610000000000007</v>
          </cell>
        </row>
        <row r="534">
          <cell r="D534">
            <v>0.78699999999999992</v>
          </cell>
          <cell r="E534">
            <v>-1.1769999999999996</v>
          </cell>
          <cell r="F534">
            <v>-4.1929999999999996</v>
          </cell>
          <cell r="G534">
            <v>9.7999999999998977E-2</v>
          </cell>
          <cell r="H534">
            <v>0.86900000000000066</v>
          </cell>
          <cell r="I534">
            <v>-2.5000000000000009</v>
          </cell>
          <cell r="J534">
            <v>-1.0609999999999999</v>
          </cell>
          <cell r="K534">
            <v>-0.65399999999999991</v>
          </cell>
          <cell r="L534">
            <v>-0.21799999999999997</v>
          </cell>
          <cell r="M534">
            <v>-1.3859999999999992</v>
          </cell>
          <cell r="N534">
            <v>6.7969999999999997</v>
          </cell>
          <cell r="O534">
            <v>3.2959999999999998</v>
          </cell>
          <cell r="W534">
            <v>-5.0459999999999994</v>
          </cell>
        </row>
        <row r="535">
          <cell r="D535">
            <v>-0.16699999999999982</v>
          </cell>
          <cell r="E535">
            <v>-3.5690000000000004</v>
          </cell>
          <cell r="F535">
            <v>-9.7999999999999865E-2</v>
          </cell>
          <cell r="G535">
            <v>1.0979999999999999</v>
          </cell>
          <cell r="H535">
            <v>2.1980000000000004</v>
          </cell>
          <cell r="I535">
            <v>-1.7930000000000001</v>
          </cell>
          <cell r="J535">
            <v>0.21499999999999986</v>
          </cell>
          <cell r="K535">
            <v>0.4350000000000005</v>
          </cell>
          <cell r="L535">
            <v>-0.41100000000000048</v>
          </cell>
          <cell r="M535">
            <v>-2.1209999999999996</v>
          </cell>
          <cell r="N535">
            <v>3.1029999999999998</v>
          </cell>
          <cell r="O535">
            <v>-1.2569999999999997</v>
          </cell>
          <cell r="W535">
            <v>5.8799999999999981</v>
          </cell>
        </row>
        <row r="536">
          <cell r="D536">
            <v>-0.35599999999999987</v>
          </cell>
          <cell r="E536">
            <v>1.234</v>
          </cell>
          <cell r="F536">
            <v>-4.2380000000000004</v>
          </cell>
          <cell r="G536">
            <v>2.2999999999999687E-2</v>
          </cell>
          <cell r="H536">
            <v>-2.9770000000000003</v>
          </cell>
          <cell r="I536">
            <v>1.0990000000000002</v>
          </cell>
          <cell r="J536">
            <v>-1.968</v>
          </cell>
          <cell r="K536">
            <v>2.6500000000000004</v>
          </cell>
          <cell r="L536">
            <v>1.9990000000000006</v>
          </cell>
          <cell r="M536">
            <v>-9.5000000000000639E-2</v>
          </cell>
          <cell r="N536">
            <v>-1.8740000000000006</v>
          </cell>
          <cell r="O536">
            <v>-1.9109999999999996</v>
          </cell>
          <cell r="W536">
            <v>-0.78300000000000036</v>
          </cell>
        </row>
        <row r="537">
          <cell r="D537">
            <v>3.0660000000000007</v>
          </cell>
          <cell r="E537">
            <v>5.5999999999999162E-2</v>
          </cell>
          <cell r="F537">
            <v>-1.9450000000000003</v>
          </cell>
          <cell r="G537">
            <v>0.23200000000000109</v>
          </cell>
          <cell r="H537">
            <v>-4.2330000000000005</v>
          </cell>
          <cell r="I537">
            <v>3.8879999999999999</v>
          </cell>
          <cell r="J537">
            <v>-1.8940000000000001</v>
          </cell>
          <cell r="K537">
            <v>0.42999999999999972</v>
          </cell>
          <cell r="L537">
            <v>2.5470000000000006</v>
          </cell>
          <cell r="M537">
            <v>2.8380000000000001</v>
          </cell>
          <cell r="N537">
            <v>-1.5019999999999998</v>
          </cell>
          <cell r="O537">
            <v>22.509999999999998</v>
          </cell>
          <cell r="W537">
            <v>1.2000000000000002</v>
          </cell>
        </row>
        <row r="538">
          <cell r="D538">
            <v>24.927</v>
          </cell>
          <cell r="E538">
            <v>25.884999999999998</v>
          </cell>
          <cell r="F538">
            <v>18.463000000000001</v>
          </cell>
          <cell r="G538">
            <v>24.504000000000001</v>
          </cell>
          <cell r="H538">
            <v>21.048999999999999</v>
          </cell>
          <cell r="I538">
            <v>27.068000000000001</v>
          </cell>
          <cell r="J538">
            <v>27.166</v>
          </cell>
          <cell r="K538">
            <v>25.533999999999999</v>
          </cell>
          <cell r="L538">
            <v>25.065000000000001</v>
          </cell>
          <cell r="M538">
            <v>23.75</v>
          </cell>
          <cell r="N538">
            <v>23.821999999999999</v>
          </cell>
          <cell r="O538">
            <v>23.608000000000001</v>
          </cell>
          <cell r="W538">
            <v>264.41899999999998</v>
          </cell>
        </row>
        <row r="539">
          <cell r="D539">
            <v>32.334600000000002</v>
          </cell>
          <cell r="E539">
            <v>30.967299999999998</v>
          </cell>
          <cell r="F539">
            <v>28.994</v>
          </cell>
          <cell r="G539">
            <v>37.082000000000001</v>
          </cell>
          <cell r="H539">
            <v>25.611000000000001</v>
          </cell>
          <cell r="I539">
            <v>23.582999999999998</v>
          </cell>
          <cell r="J539">
            <v>32.295000000000002</v>
          </cell>
          <cell r="K539">
            <v>34.392000000000003</v>
          </cell>
          <cell r="L539">
            <v>32.975000000000001</v>
          </cell>
          <cell r="M539">
            <v>30.999000000000002</v>
          </cell>
          <cell r="N539">
            <v>32.745999999999995</v>
          </cell>
          <cell r="O539">
            <v>33.994999999999997</v>
          </cell>
          <cell r="W539">
            <v>356.66290000000004</v>
          </cell>
        </row>
        <row r="540">
          <cell r="D540">
            <v>40.703000000000003</v>
          </cell>
          <cell r="E540">
            <v>38.207999999999998</v>
          </cell>
          <cell r="F540">
            <v>35.227999999999994</v>
          </cell>
          <cell r="G540">
            <v>33.653999999999996</v>
          </cell>
          <cell r="H540">
            <v>34.227000000000004</v>
          </cell>
          <cell r="I540">
            <v>37.304000000000002</v>
          </cell>
          <cell r="J540">
            <v>34.164000000000001</v>
          </cell>
          <cell r="K540">
            <v>35.594999999999999</v>
          </cell>
          <cell r="L540">
            <v>38.442</v>
          </cell>
          <cell r="M540">
            <v>33.701999999999998</v>
          </cell>
          <cell r="N540">
            <v>29.564</v>
          </cell>
          <cell r="O540">
            <v>35.644000000000005</v>
          </cell>
          <cell r="W540">
            <v>427.96799999999996</v>
          </cell>
        </row>
        <row r="541">
          <cell r="D541">
            <v>38.143999999999998</v>
          </cell>
          <cell r="E541">
            <v>33.871000000000002</v>
          </cell>
          <cell r="F541">
            <v>27.978999999999999</v>
          </cell>
          <cell r="G541">
            <v>31.933</v>
          </cell>
          <cell r="H541">
            <v>26.189</v>
          </cell>
          <cell r="I541">
            <v>31.465</v>
          </cell>
          <cell r="J541">
            <v>24.621000000000002</v>
          </cell>
          <cell r="K541">
            <v>24.579000000000001</v>
          </cell>
          <cell r="L541">
            <v>27.648</v>
          </cell>
          <cell r="M541">
            <v>23.811</v>
          </cell>
          <cell r="N541">
            <v>22.187999999999999</v>
          </cell>
          <cell r="O541">
            <v>28.687000000000001</v>
          </cell>
          <cell r="W541">
            <v>355.44799999999998</v>
          </cell>
        </row>
        <row r="542">
          <cell r="D542">
            <v>29.380000000000003</v>
          </cell>
          <cell r="E542">
            <v>32.647999999999996</v>
          </cell>
          <cell r="F542">
            <v>27.785</v>
          </cell>
          <cell r="G542">
            <v>28.925000000000001</v>
          </cell>
          <cell r="H542">
            <v>29.428000000000001</v>
          </cell>
          <cell r="I542">
            <v>31.916</v>
          </cell>
          <cell r="J542">
            <v>28.393000000000001</v>
          </cell>
          <cell r="K542">
            <v>31.558</v>
          </cell>
          <cell r="L542">
            <v>28.975000000000001</v>
          </cell>
          <cell r="M542">
            <v>24.022000000000002</v>
          </cell>
          <cell r="N542">
            <v>28.741</v>
          </cell>
          <cell r="O542">
            <v>31.274999999999999</v>
          </cell>
          <cell r="W542">
            <v>343.90500000000003</v>
          </cell>
        </row>
        <row r="543">
          <cell r="D543">
            <v>31.318000000000001</v>
          </cell>
          <cell r="E543">
            <v>32.134</v>
          </cell>
          <cell r="F543">
            <v>22.524999999999999</v>
          </cell>
          <cell r="G543">
            <v>26.934000000000001</v>
          </cell>
          <cell r="H543">
            <v>24.425999999999998</v>
          </cell>
          <cell r="I543">
            <v>30.303000000000001</v>
          </cell>
          <cell r="J543">
            <v>25.327000000000002</v>
          </cell>
          <cell r="K543">
            <v>38.941000000000003</v>
          </cell>
          <cell r="L543">
            <v>28.818999999999999</v>
          </cell>
          <cell r="M543">
            <v>21.387999999999998</v>
          </cell>
          <cell r="N543">
            <v>32.018999999999998</v>
          </cell>
          <cell r="O543">
            <v>28.720000000000002</v>
          </cell>
          <cell r="W543">
            <v>342.13099999999997</v>
          </cell>
        </row>
        <row r="544">
          <cell r="D544">
            <v>32.994999999999997</v>
          </cell>
          <cell r="E544">
            <v>31.454999999999998</v>
          </cell>
          <cell r="F544">
            <v>27.509</v>
          </cell>
          <cell r="G544">
            <v>29.084</v>
          </cell>
          <cell r="H544">
            <v>25.82</v>
          </cell>
          <cell r="I544">
            <v>26.044</v>
          </cell>
          <cell r="J544">
            <v>22.731999999999999</v>
          </cell>
          <cell r="K544">
            <v>29.047999999999998</v>
          </cell>
          <cell r="L544">
            <v>24.460999999999999</v>
          </cell>
          <cell r="M544">
            <v>21.951000000000001</v>
          </cell>
          <cell r="N544">
            <v>28.442</v>
          </cell>
          <cell r="O544">
            <v>26.163</v>
          </cell>
          <cell r="W544">
            <v>331.83800000000008</v>
          </cell>
        </row>
        <row r="545">
          <cell r="D545">
            <v>29.530999999999999</v>
          </cell>
          <cell r="E545">
            <v>27.206</v>
          </cell>
          <cell r="F545">
            <v>28.786999999999999</v>
          </cell>
          <cell r="G545">
            <v>21.99</v>
          </cell>
          <cell r="H545">
            <v>27.949000000000002</v>
          </cell>
          <cell r="I545">
            <v>15.027999999999999</v>
          </cell>
          <cell r="J545">
            <v>19.309000000000001</v>
          </cell>
          <cell r="K545">
            <v>28.658000000000001</v>
          </cell>
          <cell r="L545">
            <v>26.765000000000001</v>
          </cell>
          <cell r="M545">
            <v>19.329999999999998</v>
          </cell>
          <cell r="N545">
            <v>19.561999999999998</v>
          </cell>
          <cell r="O545">
            <v>21.65</v>
          </cell>
          <cell r="W545">
            <v>299.15799999999996</v>
          </cell>
        </row>
        <row r="546">
          <cell r="D546">
            <v>24.294</v>
          </cell>
          <cell r="E546">
            <v>20.768000000000001</v>
          </cell>
          <cell r="F546">
            <v>21.099</v>
          </cell>
          <cell r="G546">
            <v>22.786000000000001</v>
          </cell>
          <cell r="H546">
            <v>18.622</v>
          </cell>
          <cell r="I546">
            <v>18.020000000000003</v>
          </cell>
          <cell r="J546">
            <v>20.117999999999999</v>
          </cell>
          <cell r="K546">
            <v>22.178000000000001</v>
          </cell>
          <cell r="L546">
            <v>14.705</v>
          </cell>
          <cell r="M546">
            <v>18.856999999999999</v>
          </cell>
          <cell r="N546">
            <v>19.816000000000003</v>
          </cell>
          <cell r="O546">
            <v>16.29</v>
          </cell>
          <cell r="W546">
            <v>242.65900000000002</v>
          </cell>
        </row>
        <row r="547">
          <cell r="D547">
            <v>17.905000000000001</v>
          </cell>
          <cell r="E547">
            <v>22.315999999999999</v>
          </cell>
          <cell r="F547">
            <v>21.292999999999999</v>
          </cell>
          <cell r="G547">
            <v>18.867000000000001</v>
          </cell>
          <cell r="H547">
            <v>17.670000000000002</v>
          </cell>
          <cell r="I547">
            <v>21.321000000000002</v>
          </cell>
          <cell r="J547">
            <v>15.054000000000002</v>
          </cell>
          <cell r="K547">
            <v>22.785999999999998</v>
          </cell>
          <cell r="L547">
            <v>15.587</v>
          </cell>
          <cell r="M547">
            <v>20.155000000000001</v>
          </cell>
          <cell r="N547">
            <v>18.611000000000001</v>
          </cell>
          <cell r="O547">
            <v>19.777000000000001</v>
          </cell>
          <cell r="W547">
            <v>229.06</v>
          </cell>
        </row>
        <row r="548">
          <cell r="D548">
            <v>23.780999999999999</v>
          </cell>
          <cell r="E548">
            <v>20.039000000000001</v>
          </cell>
          <cell r="F548">
            <v>20.644000000000002</v>
          </cell>
          <cell r="G548">
            <v>18.977999999999998</v>
          </cell>
          <cell r="H548">
            <v>16.425999999999998</v>
          </cell>
          <cell r="I548">
            <v>20.270000000000003</v>
          </cell>
          <cell r="J548">
            <v>21.396999999999998</v>
          </cell>
          <cell r="K548">
            <v>19.862000000000002</v>
          </cell>
          <cell r="L548">
            <v>19.015000000000001</v>
          </cell>
          <cell r="M548">
            <v>11.701000000000001</v>
          </cell>
          <cell r="N548">
            <v>20.954000000000001</v>
          </cell>
          <cell r="O548">
            <v>17.716999999999999</v>
          </cell>
          <cell r="W548">
            <v>230.501</v>
          </cell>
        </row>
        <row r="549">
          <cell r="D549">
            <v>19.369</v>
          </cell>
          <cell r="E549">
            <v>20.779</v>
          </cell>
          <cell r="F549">
            <v>16.173000000000002</v>
          </cell>
          <cell r="G549">
            <v>15.222000000000001</v>
          </cell>
          <cell r="H549">
            <v>16.618000000000002</v>
          </cell>
          <cell r="I549">
            <v>17.466999999999999</v>
          </cell>
          <cell r="J549">
            <v>17.191000000000003</v>
          </cell>
          <cell r="K549">
            <v>14.262</v>
          </cell>
          <cell r="L549">
            <v>14.346</v>
          </cell>
          <cell r="M549">
            <v>21.978000000000002</v>
          </cell>
          <cell r="N549">
            <v>16.704000000000001</v>
          </cell>
          <cell r="O549">
            <v>17.236000000000001</v>
          </cell>
          <cell r="W549">
            <v>212.07599999999999</v>
          </cell>
        </row>
        <row r="550">
          <cell r="D550">
            <v>23.494999999999997</v>
          </cell>
          <cell r="E550">
            <v>20.505000000000003</v>
          </cell>
          <cell r="F550">
            <v>18.39</v>
          </cell>
          <cell r="G550">
            <v>11.566999999999997</v>
          </cell>
          <cell r="H550">
            <v>18.646999999999998</v>
          </cell>
          <cell r="I550">
            <v>19.986000000000001</v>
          </cell>
          <cell r="J550">
            <v>19.743000000000002</v>
          </cell>
          <cell r="K550">
            <v>9.9529999999999994</v>
          </cell>
          <cell r="L550">
            <v>16.181999999999999</v>
          </cell>
          <cell r="M550">
            <v>23.231999999999999</v>
          </cell>
          <cell r="N550">
            <v>15.712999999999999</v>
          </cell>
          <cell r="O550">
            <v>15.759</v>
          </cell>
          <cell r="W550">
            <v>215.63999999999996</v>
          </cell>
        </row>
        <row r="551">
          <cell r="D551">
            <v>20.892000000000003</v>
          </cell>
          <cell r="E551">
            <v>26.458999999999996</v>
          </cell>
          <cell r="F551">
            <v>17.850000000000001</v>
          </cell>
          <cell r="G551">
            <v>16.747</v>
          </cell>
          <cell r="H551">
            <v>18.073999999999998</v>
          </cell>
          <cell r="I551">
            <v>25.059000000000001</v>
          </cell>
          <cell r="J551">
            <v>11.236000000000002</v>
          </cell>
          <cell r="K551">
            <v>15.402000000000001</v>
          </cell>
          <cell r="L551">
            <v>11.816999999999998</v>
          </cell>
          <cell r="M551">
            <v>16.318999999999999</v>
          </cell>
          <cell r="N551">
            <v>17.515000000000001</v>
          </cell>
          <cell r="O551">
            <v>14.561999999999999</v>
          </cell>
          <cell r="W551">
            <v>211.32699999999997</v>
          </cell>
        </row>
        <row r="552">
          <cell r="D552">
            <v>16.974</v>
          </cell>
          <cell r="E552">
            <v>29.459000000000003</v>
          </cell>
          <cell r="F552">
            <v>25.647999999999996</v>
          </cell>
          <cell r="G552">
            <v>8.2359999999999971</v>
          </cell>
          <cell r="H552">
            <v>14.984</v>
          </cell>
          <cell r="I552">
            <v>23.664999999999999</v>
          </cell>
          <cell r="J552">
            <v>17.759999999999998</v>
          </cell>
          <cell r="K552">
            <v>29.298000000000002</v>
          </cell>
          <cell r="L552">
            <v>-3.4800000000000004</v>
          </cell>
          <cell r="M552">
            <v>27.111000000000001</v>
          </cell>
          <cell r="N552">
            <v>7.9890000000000008</v>
          </cell>
          <cell r="O552">
            <v>30.341000000000001</v>
          </cell>
          <cell r="W552">
            <v>221.732</v>
          </cell>
        </row>
        <row r="553">
          <cell r="D553">
            <v>8.3930000000000042</v>
          </cell>
          <cell r="E553">
            <v>-2.6769999999999996</v>
          </cell>
          <cell r="F553">
            <v>42.215000000000003</v>
          </cell>
          <cell r="G553">
            <v>26.853999999999999</v>
          </cell>
          <cell r="H553">
            <v>18.901</v>
          </cell>
          <cell r="I553">
            <v>17.411000000000001</v>
          </cell>
          <cell r="J553">
            <v>14.763</v>
          </cell>
          <cell r="K553">
            <v>14.026000000000002</v>
          </cell>
          <cell r="L553">
            <v>12.007</v>
          </cell>
          <cell r="M553">
            <v>20.843</v>
          </cell>
          <cell r="N553">
            <v>19.574999999999999</v>
          </cell>
          <cell r="O553">
            <v>12.94</v>
          </cell>
          <cell r="W553">
            <v>211.066</v>
          </cell>
        </row>
        <row r="554">
          <cell r="D554">
            <v>21.476999999999997</v>
          </cell>
          <cell r="E554">
            <v>19.823</v>
          </cell>
          <cell r="F554">
            <v>4.7490000000000023</v>
          </cell>
          <cell r="G554">
            <v>20.751999999999999</v>
          </cell>
          <cell r="H554">
            <v>19.084</v>
          </cell>
          <cell r="I554">
            <v>16.47</v>
          </cell>
          <cell r="J554">
            <v>18.396999999999998</v>
          </cell>
          <cell r="K554">
            <v>19.010999999999999</v>
          </cell>
          <cell r="L554">
            <v>17.500999999999998</v>
          </cell>
          <cell r="M554">
            <v>16.115000000000002</v>
          </cell>
          <cell r="N554">
            <v>18.341999999999999</v>
          </cell>
          <cell r="O554">
            <v>17.933999999999997</v>
          </cell>
          <cell r="W554">
            <v>205.89400000000001</v>
          </cell>
        </row>
        <row r="555">
          <cell r="D555">
            <v>22.841999999999999</v>
          </cell>
          <cell r="E555">
            <v>17.312999999999999</v>
          </cell>
          <cell r="F555">
            <v>16.57</v>
          </cell>
          <cell r="G555">
            <v>26.091000000000001</v>
          </cell>
          <cell r="H555">
            <v>7.5410000000000004</v>
          </cell>
          <cell r="I555">
            <v>20.483000000000001</v>
          </cell>
          <cell r="J555">
            <v>22.448999999999998</v>
          </cell>
          <cell r="K555">
            <v>18.091999999999999</v>
          </cell>
          <cell r="L555">
            <v>18.109000000000002</v>
          </cell>
          <cell r="M555">
            <v>13.820000000000002</v>
          </cell>
          <cell r="N555">
            <v>22.814999999999998</v>
          </cell>
          <cell r="O555">
            <v>21.414999999999999</v>
          </cell>
          <cell r="W555">
            <v>219.58599999999998</v>
          </cell>
        </row>
        <row r="556">
          <cell r="D556">
            <v>23.836999999999996</v>
          </cell>
          <cell r="E556">
            <v>29.667999999999999</v>
          </cell>
          <cell r="F556">
            <v>11.276000000000003</v>
          </cell>
          <cell r="G556">
            <v>25.321999999999999</v>
          </cell>
          <cell r="H556">
            <v>22.708000000000002</v>
          </cell>
          <cell r="I556">
            <v>19.529</v>
          </cell>
          <cell r="J556">
            <v>19.776000000000003</v>
          </cell>
          <cell r="K556">
            <v>20.075999999999997</v>
          </cell>
          <cell r="L556">
            <v>11.601999999999997</v>
          </cell>
          <cell r="M556">
            <v>21.316000000000003</v>
          </cell>
          <cell r="N556">
            <v>19.251000000000001</v>
          </cell>
          <cell r="O556">
            <v>13.436</v>
          </cell>
          <cell r="W556">
            <v>249.34</v>
          </cell>
        </row>
        <row r="557">
          <cell r="D557">
            <v>15.006</v>
          </cell>
          <cell r="E557">
            <v>15.190999999999999</v>
          </cell>
          <cell r="F557">
            <v>15.518000000000001</v>
          </cell>
          <cell r="G557">
            <v>17.582999999999998</v>
          </cell>
          <cell r="H557">
            <v>18.794</v>
          </cell>
          <cell r="I557">
            <v>19.437999999999999</v>
          </cell>
          <cell r="J557">
            <v>21.841000000000001</v>
          </cell>
          <cell r="K557">
            <v>16.818999999999999</v>
          </cell>
          <cell r="L557">
            <v>15.704000000000001</v>
          </cell>
          <cell r="M557">
            <v>14.888999999999999</v>
          </cell>
          <cell r="N557">
            <v>21.460999999999999</v>
          </cell>
          <cell r="O557">
            <v>23.584</v>
          </cell>
          <cell r="W557">
            <v>203.47</v>
          </cell>
        </row>
        <row r="558">
          <cell r="D558">
            <v>28.381</v>
          </cell>
          <cell r="E558">
            <v>21.716999999999999</v>
          </cell>
          <cell r="F558">
            <v>17.187000000000001</v>
          </cell>
          <cell r="G558">
            <v>24.07</v>
          </cell>
          <cell r="H558">
            <v>17.432000000000002</v>
          </cell>
          <cell r="I558">
            <v>18.940000000000001</v>
          </cell>
          <cell r="J558">
            <v>20.073</v>
          </cell>
          <cell r="K558">
            <v>15.59</v>
          </cell>
          <cell r="L558">
            <v>14.509</v>
          </cell>
          <cell r="M558">
            <v>13.077999999999999</v>
          </cell>
          <cell r="N558">
            <v>9.3739999999999988</v>
          </cell>
          <cell r="O558">
            <v>11.564</v>
          </cell>
          <cell r="W558">
            <v>236.02200000000002</v>
          </cell>
        </row>
        <row r="559">
          <cell r="D559">
            <v>15.775000000000002</v>
          </cell>
          <cell r="E559">
            <v>16.394000000000002</v>
          </cell>
          <cell r="F559">
            <v>20.720000000000002</v>
          </cell>
          <cell r="G559">
            <v>27.548000000000002</v>
          </cell>
          <cell r="H559">
            <v>27.09</v>
          </cell>
          <cell r="I559">
            <v>30.591000000000001</v>
          </cell>
          <cell r="J559">
            <v>25.998000000000001</v>
          </cell>
          <cell r="K559">
            <v>24.431999999999999</v>
          </cell>
          <cell r="L559">
            <v>19.065000000000001</v>
          </cell>
          <cell r="M559">
            <v>26.954000000000001</v>
          </cell>
          <cell r="N559">
            <v>47.864000000000004</v>
          </cell>
          <cell r="O559">
            <v>23.036000000000001</v>
          </cell>
          <cell r="W559">
            <v>255.505</v>
          </cell>
        </row>
        <row r="560">
          <cell r="D560">
            <v>26.208000000000002</v>
          </cell>
          <cell r="E560">
            <v>26.119</v>
          </cell>
          <cell r="F560">
            <v>21.664999999999999</v>
          </cell>
          <cell r="G560">
            <v>44.781999999999996</v>
          </cell>
          <cell r="H560">
            <v>15.801000000000002</v>
          </cell>
          <cell r="I560">
            <v>19.959</v>
          </cell>
          <cell r="J560">
            <v>47.728999999999999</v>
          </cell>
          <cell r="K560">
            <v>20.447000000000003</v>
          </cell>
          <cell r="L560">
            <v>31.442</v>
          </cell>
          <cell r="M560">
            <v>17.905999999999999</v>
          </cell>
          <cell r="N560">
            <v>35.220999999999997</v>
          </cell>
          <cell r="O560">
            <v>58.281999999999996</v>
          </cell>
          <cell r="W560">
            <v>342.95799999999997</v>
          </cell>
        </row>
        <row r="561">
          <cell r="D561">
            <v>33.602000000000004</v>
          </cell>
          <cell r="E561">
            <v>39.335999999999999</v>
          </cell>
          <cell r="F561">
            <v>51.207000000000001</v>
          </cell>
          <cell r="G561">
            <v>42.454999999999998</v>
          </cell>
          <cell r="H561">
            <v>44.92</v>
          </cell>
          <cell r="I561">
            <v>81.888000000000005</v>
          </cell>
          <cell r="J561">
            <v>51.996000000000002</v>
          </cell>
          <cell r="K561">
            <v>62.150000000000006</v>
          </cell>
          <cell r="L561">
            <v>130.84299999999999</v>
          </cell>
          <cell r="M561">
            <v>109.605</v>
          </cell>
          <cell r="N561">
            <v>133.96199999999999</v>
          </cell>
          <cell r="O561">
            <v>108.621</v>
          </cell>
          <cell r="W561">
            <v>741.50499999999988</v>
          </cell>
        </row>
        <row r="562">
          <cell r="D562">
            <v>71.298000000000002</v>
          </cell>
          <cell r="E562">
            <v>76.683999999999997</v>
          </cell>
          <cell r="F562">
            <v>138.62100000000001</v>
          </cell>
          <cell r="G562">
            <v>20.395999999999997</v>
          </cell>
          <cell r="H562">
            <v>19.570999999999998</v>
          </cell>
          <cell r="I562">
            <v>20.942</v>
          </cell>
          <cell r="J562">
            <v>18.384</v>
          </cell>
          <cell r="K562">
            <v>19.954000000000001</v>
          </cell>
          <cell r="L562">
            <v>14.022000000000002</v>
          </cell>
          <cell r="M562">
            <v>50</v>
          </cell>
          <cell r="N562">
            <v>25</v>
          </cell>
          <cell r="O562">
            <v>25</v>
          </cell>
          <cell r="W562">
            <v>692.45499999999993</v>
          </cell>
        </row>
        <row r="563">
          <cell r="D563">
            <v>30</v>
          </cell>
          <cell r="E563">
            <v>20</v>
          </cell>
          <cell r="F563">
            <v>20</v>
          </cell>
          <cell r="G563">
            <v>20</v>
          </cell>
          <cell r="H563">
            <v>20</v>
          </cell>
          <cell r="I563">
            <v>20</v>
          </cell>
          <cell r="J563">
            <v>20</v>
          </cell>
          <cell r="K563">
            <v>20</v>
          </cell>
          <cell r="L563">
            <v>20</v>
          </cell>
          <cell r="M563">
            <v>20</v>
          </cell>
          <cell r="N563">
            <v>20</v>
          </cell>
          <cell r="O563">
            <v>20</v>
          </cell>
          <cell r="W563">
            <v>260</v>
          </cell>
        </row>
        <row r="564">
          <cell r="D564">
            <v>21</v>
          </cell>
          <cell r="E564">
            <v>30</v>
          </cell>
          <cell r="F564">
            <v>30</v>
          </cell>
          <cell r="G564">
            <v>30</v>
          </cell>
          <cell r="H564">
            <v>30</v>
          </cell>
          <cell r="I564">
            <v>30</v>
          </cell>
          <cell r="J564">
            <v>30</v>
          </cell>
          <cell r="K564">
            <v>30</v>
          </cell>
          <cell r="L564">
            <v>30</v>
          </cell>
          <cell r="M564">
            <v>30</v>
          </cell>
          <cell r="N564">
            <v>30</v>
          </cell>
          <cell r="O564">
            <v>30</v>
          </cell>
          <cell r="W564">
            <v>331</v>
          </cell>
        </row>
        <row r="565">
          <cell r="D565">
            <v>31</v>
          </cell>
          <cell r="E565">
            <v>31</v>
          </cell>
          <cell r="F565">
            <v>31</v>
          </cell>
          <cell r="G565">
            <v>31</v>
          </cell>
          <cell r="H565">
            <v>31</v>
          </cell>
          <cell r="I565">
            <v>31</v>
          </cell>
          <cell r="J565">
            <v>31</v>
          </cell>
          <cell r="K565">
            <v>31</v>
          </cell>
          <cell r="L565">
            <v>31</v>
          </cell>
          <cell r="M565">
            <v>31</v>
          </cell>
          <cell r="N565">
            <v>31</v>
          </cell>
          <cell r="O565">
            <v>31</v>
          </cell>
          <cell r="W565">
            <v>370</v>
          </cell>
        </row>
        <row r="566">
          <cell r="D566"/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/>
          <cell r="W566">
            <v>62</v>
          </cell>
        </row>
        <row r="567">
          <cell r="D567"/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/>
          <cell r="W567">
            <v>0</v>
          </cell>
        </row>
        <row r="568">
          <cell r="D568"/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/>
          <cell r="W568">
            <v>0</v>
          </cell>
        </row>
        <row r="569">
          <cell r="D569"/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/>
          <cell r="W569">
            <v>0</v>
          </cell>
        </row>
        <row r="570">
          <cell r="D570"/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/>
          <cell r="W570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A9BC-88D7-4319-947C-A2B40B8F5742}">
  <dimension ref="A1:Q39"/>
  <sheetViews>
    <sheetView zoomScale="85" zoomScaleNormal="85" workbookViewId="0">
      <selection activeCell="H32" sqref="H32"/>
    </sheetView>
  </sheetViews>
  <sheetFormatPr defaultRowHeight="15" x14ac:dyDescent="0.25"/>
  <cols>
    <col min="1" max="1" width="14.5703125" style="5" customWidth="1"/>
    <col min="2" max="2" width="14.85546875" style="5" customWidth="1"/>
    <col min="3" max="15" width="8.85546875" style="5" customWidth="1"/>
  </cols>
  <sheetData>
    <row r="1" spans="1:17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7" x14ac:dyDescent="0.25">
      <c r="A2" s="5" t="s">
        <v>16</v>
      </c>
      <c r="B2" s="5" t="s">
        <v>17</v>
      </c>
      <c r="C2" s="5" t="s">
        <v>18</v>
      </c>
      <c r="D2" s="6">
        <f>'[1]RS_CAN Mo'!D458/('[1]RS_CAN Mo'!D458+'[1]Soy Mo'!D533)</f>
        <v>1.0322952835599111</v>
      </c>
      <c r="E2" s="6">
        <f>'[1]RS_CAN Mo'!E458/('[1]RS_CAN Mo'!E458+'[1]Soy Mo'!E533)</f>
        <v>1.0067084233680443</v>
      </c>
      <c r="F2" s="6">
        <f>'[1]RS_CAN Mo'!F458/('[1]RS_CAN Mo'!F458+'[1]Soy Mo'!F533)</f>
        <v>1.0770233389997088</v>
      </c>
      <c r="G2" s="6">
        <f>'[1]RS_CAN Mo'!G458/('[1]RS_CAN Mo'!G458+'[1]Soy Mo'!G533)</f>
        <v>0.99639074364562663</v>
      </c>
      <c r="H2" s="6">
        <f>'[1]RS_CAN Mo'!H458/('[1]RS_CAN Mo'!H458+'[1]Soy Mo'!H533)</f>
        <v>0.98743634485951348</v>
      </c>
      <c r="I2" s="6">
        <f>'[1]RS_CAN Mo'!I458/('[1]RS_CAN Mo'!I458+'[1]Soy Mo'!I533)</f>
        <v>0.99527521852114331</v>
      </c>
      <c r="J2" s="6">
        <f>'[1]RS_CAN Mo'!J458/('[1]RS_CAN Mo'!J458+'[1]Soy Mo'!J533)</f>
        <v>0.98743508562949955</v>
      </c>
      <c r="K2" s="6">
        <f>'[1]RS_CAN Mo'!K458/('[1]RS_CAN Mo'!K458+'[1]Soy Mo'!K533)</f>
        <v>0.98493251020194617</v>
      </c>
      <c r="L2" s="6">
        <f>'[1]RS_CAN Mo'!L458/('[1]RS_CAN Mo'!L458+'[1]Soy Mo'!L533)</f>
        <v>0.98550116829429046</v>
      </c>
      <c r="M2" s="6">
        <f>'[1]RS_CAN Mo'!M458/('[1]RS_CAN Mo'!M458+'[1]Soy Mo'!M533)</f>
        <v>1.0165284221167212</v>
      </c>
      <c r="N2" s="6">
        <f>'[1]RS_CAN Mo'!N458/('[1]RS_CAN Mo'!N458+'[1]Soy Mo'!N533)</f>
        <v>0.99775104438232243</v>
      </c>
      <c r="O2" s="6">
        <f>'[1]RS_CAN Mo'!O458/('[1]RS_CAN Mo'!O458+'[1]Soy Mo'!O533)</f>
        <v>0.95545633451128942</v>
      </c>
      <c r="P2" s="7">
        <f>'[1]RS_CAN Mo'!W458/('[1]RS_CAN Mo'!W458+'[1]Soy Mo'!W533)</f>
        <v>0</v>
      </c>
      <c r="Q2" s="8"/>
    </row>
    <row r="3" spans="1:17" x14ac:dyDescent="0.25">
      <c r="A3" s="5" t="s">
        <v>16</v>
      </c>
      <c r="B3" s="5" t="s">
        <v>17</v>
      </c>
      <c r="C3" s="5" t="s">
        <v>19</v>
      </c>
      <c r="D3" s="6">
        <f>'[1]RS_CAN Mo'!D459/('[1]RS_CAN Mo'!D459+'[1]Soy Mo'!D534)</f>
        <v>0.93644256006460735</v>
      </c>
      <c r="E3" s="6">
        <f>'[1]RS_CAN Mo'!E459/('[1]RS_CAN Mo'!E459+'[1]Soy Mo'!E534)</f>
        <v>1.4279688749909107</v>
      </c>
      <c r="F3" s="6">
        <f>'[1]RS_CAN Mo'!F459/('[1]RS_CAN Mo'!F459+'[1]Soy Mo'!F534)</f>
        <v>1.3682398608891153</v>
      </c>
      <c r="G3" s="6">
        <f>'[1]RS_CAN Mo'!G459/('[1]RS_CAN Mo'!G459+'[1]Soy Mo'!G534)</f>
        <v>1.0069378075112385</v>
      </c>
      <c r="H3" s="6">
        <f>'[1]RS_CAN Mo'!H459/('[1]RS_CAN Mo'!H459+'[1]Soy Mo'!H534)</f>
        <v>0.94120830796292532</v>
      </c>
      <c r="I3" s="6">
        <f>'[1]RS_CAN Mo'!I459/('[1]RS_CAN Mo'!I459+'[1]Soy Mo'!I534)</f>
        <v>1.3486993514192076</v>
      </c>
      <c r="J3" s="6">
        <f>'[1]RS_CAN Mo'!J459/('[1]RS_CAN Mo'!J459+'[1]Soy Mo'!J534)</f>
        <v>1.068268828620146</v>
      </c>
      <c r="K3" s="6">
        <f>'[1]RS_CAN Mo'!K459/('[1]RS_CAN Mo'!K459+'[1]Soy Mo'!K534)</f>
        <v>1.1485857094172436</v>
      </c>
      <c r="L3" s="6">
        <f>'[1]RS_CAN Mo'!L459/('[1]RS_CAN Mo'!L459+'[1]Soy Mo'!L534)</f>
        <v>0.97408371672789096</v>
      </c>
      <c r="M3" s="6">
        <f>'[1]RS_CAN Mo'!M459/('[1]RS_CAN Mo'!M459+'[1]Soy Mo'!M534)</f>
        <v>1.4442877291960483</v>
      </c>
      <c r="N3" s="6">
        <f>'[1]RS_CAN Mo'!N459/('[1]RS_CAN Mo'!N459+'[1]Soy Mo'!N534)</f>
        <v>-10.903677758318874</v>
      </c>
      <c r="O3" s="6">
        <f>'[1]RS_CAN Mo'!O459/('[1]RS_CAN Mo'!O459+'[1]Soy Mo'!O534)</f>
        <v>0.9361674519851807</v>
      </c>
      <c r="P3" s="7">
        <f>'[1]RS_CAN Mo'!W459/('[1]RS_CAN Mo'!W459+'[1]Soy Mo'!W534)</f>
        <v>1.0226174878990164</v>
      </c>
      <c r="Q3" s="8"/>
    </row>
    <row r="4" spans="1:17" x14ac:dyDescent="0.25">
      <c r="A4" s="5" t="s">
        <v>16</v>
      </c>
      <c r="B4" s="5" t="s">
        <v>17</v>
      </c>
      <c r="C4" s="5" t="s">
        <v>20</v>
      </c>
      <c r="D4" s="6">
        <f>'[1]RS_CAN Mo'!D460/('[1]RS_CAN Mo'!D460+'[1]Soy Mo'!D535)</f>
        <v>1.0050971355319183</v>
      </c>
      <c r="E4" s="6">
        <f>'[1]RS_CAN Mo'!E460/('[1]RS_CAN Mo'!E460+'[1]Soy Mo'!E535)</f>
        <v>1.1235837557827086</v>
      </c>
      <c r="F4" s="6">
        <f>'[1]RS_CAN Mo'!F460/('[1]RS_CAN Mo'!F460+'[1]Soy Mo'!F535)</f>
        <v>1.0020862871327176</v>
      </c>
      <c r="G4" s="6">
        <f>'[1]RS_CAN Mo'!G460/('[1]RS_CAN Mo'!G460+'[1]Soy Mo'!G535)</f>
        <v>0.96725642868432282</v>
      </c>
      <c r="H4" s="6">
        <f>'[1]RS_CAN Mo'!H460/('[1]RS_CAN Mo'!H460+'[1]Soy Mo'!H535)</f>
        <v>0.94614751367137728</v>
      </c>
      <c r="I4" s="6">
        <f>'[1]RS_CAN Mo'!I460/('[1]RS_CAN Mo'!I460+'[1]Soy Mo'!I535)</f>
        <v>1.0654838426926898</v>
      </c>
      <c r="J4" s="6">
        <f>'[1]RS_CAN Mo'!J460/('[1]RS_CAN Mo'!J460+'[1]Soy Mo'!J535)</f>
        <v>0.99372191286015066</v>
      </c>
      <c r="K4" s="6">
        <f>'[1]RS_CAN Mo'!K460/('[1]RS_CAN Mo'!K460+'[1]Soy Mo'!K535)</f>
        <v>0.98095771737750548</v>
      </c>
      <c r="L4" s="6">
        <f>'[1]RS_CAN Mo'!L460/('[1]RS_CAN Mo'!L460+'[1]Soy Mo'!L535)</f>
        <v>1.0121630019827765</v>
      </c>
      <c r="M4" s="6">
        <f>'[1]RS_CAN Mo'!M460/('[1]RS_CAN Mo'!M460+'[1]Soy Mo'!M535)</f>
        <v>1.1928725368058268</v>
      </c>
      <c r="N4" s="6">
        <f>'[1]RS_CAN Mo'!N460/('[1]RS_CAN Mo'!N460+'[1]Soy Mo'!N535)</f>
        <v>0.85704874531826569</v>
      </c>
      <c r="O4" s="6">
        <f>'[1]RS_CAN Mo'!O460/('[1]RS_CAN Mo'!O460+'[1]Soy Mo'!O535)</f>
        <v>1.0444384737487757</v>
      </c>
      <c r="P4" s="7">
        <f>'[1]RS_CAN Mo'!W460/('[1]RS_CAN Mo'!W460+'[1]Soy Mo'!W535)</f>
        <v>0.98386518760561037</v>
      </c>
      <c r="Q4" s="8"/>
    </row>
    <row r="5" spans="1:17" x14ac:dyDescent="0.25">
      <c r="A5" s="5" t="s">
        <v>16</v>
      </c>
      <c r="B5" s="5" t="s">
        <v>17</v>
      </c>
      <c r="C5" s="5" t="s">
        <v>21</v>
      </c>
      <c r="D5" s="6">
        <f>'[1]RS_CAN Mo'!D461/('[1]RS_CAN Mo'!D461+'[1]Soy Mo'!D536)</f>
        <v>1.0061133931392618</v>
      </c>
      <c r="E5" s="6">
        <f>'[1]RS_CAN Mo'!E461/('[1]RS_CAN Mo'!E461+'[1]Soy Mo'!E536)</f>
        <v>0.92860448970145781</v>
      </c>
      <c r="F5" s="6">
        <f>'[1]RS_CAN Mo'!F461/('[1]RS_CAN Mo'!F461+'[1]Soy Mo'!F536)</f>
        <v>1.2160349081418345</v>
      </c>
      <c r="G5" s="6">
        <f>'[1]RS_CAN Mo'!G461/('[1]RS_CAN Mo'!G461+'[1]Soy Mo'!G536)</f>
        <v>0.99887440845270314</v>
      </c>
      <c r="H5" s="6">
        <f>'[1]RS_CAN Mo'!H461/('[1]RS_CAN Mo'!H461+'[1]Soy Mo'!H536)</f>
        <v>2.2352184556657422</v>
      </c>
      <c r="I5" s="6">
        <f>'[1]RS_CAN Mo'!I461/('[1]RS_CAN Mo'!I461+'[1]Soy Mo'!I536)</f>
        <v>0.9429863924756563</v>
      </c>
      <c r="J5" s="6">
        <f>'[1]RS_CAN Mo'!J461/('[1]RS_CAN Mo'!J461+'[1]Soy Mo'!J536)</f>
        <v>1.4425057336870983</v>
      </c>
      <c r="K5" s="6">
        <f>'[1]RS_CAN Mo'!K461/('[1]RS_CAN Mo'!K461+'[1]Soy Mo'!K536)</f>
        <v>1.2475617503082848</v>
      </c>
      <c r="L5" s="6">
        <f>'[1]RS_CAN Mo'!L461/('[1]RS_CAN Mo'!L461+'[1]Soy Mo'!L536)</f>
        <v>0.91183579140498194</v>
      </c>
      <c r="M5" s="6">
        <f>'[1]RS_CAN Mo'!M461/('[1]RS_CAN Mo'!M461+'[1]Soy Mo'!M536)</f>
        <v>1.0034145149232272</v>
      </c>
      <c r="N5" s="6">
        <f>'[1]RS_CAN Mo'!N461/('[1]RS_CAN Mo'!N461+'[1]Soy Mo'!N536)</f>
        <v>1.1334805370561629</v>
      </c>
      <c r="O5" s="6">
        <f>'[1]RS_CAN Mo'!O461/('[1]RS_CAN Mo'!O461+'[1]Soy Mo'!O536)</f>
        <v>1.0434785576312717</v>
      </c>
      <c r="P5" s="7">
        <f>'[1]RS_CAN Mo'!W461/('[1]RS_CAN Mo'!W461+'[1]Soy Mo'!W536)</f>
        <v>1.0033824954349271</v>
      </c>
      <c r="Q5" s="8"/>
    </row>
    <row r="6" spans="1:17" x14ac:dyDescent="0.25">
      <c r="A6" s="5" t="s">
        <v>16</v>
      </c>
      <c r="B6" s="5" t="s">
        <v>17</v>
      </c>
      <c r="C6" s="5" t="s">
        <v>22</v>
      </c>
      <c r="D6" s="6">
        <f>'[1]RS_CAN Mo'!D462/('[1]RS_CAN Mo'!D462+'[1]Soy Mo'!D537)</f>
        <v>0.93665289256198347</v>
      </c>
      <c r="E6" s="6">
        <f>'[1]RS_CAN Mo'!E462/('[1]RS_CAN Mo'!E462+'[1]Soy Mo'!E537)</f>
        <v>0.99836519738781904</v>
      </c>
      <c r="F6" s="6">
        <f>'[1]RS_CAN Mo'!F462/('[1]RS_CAN Mo'!F462+'[1]Soy Mo'!F537)</f>
        <v>1.0335016165175888</v>
      </c>
      <c r="G6" s="6">
        <f>'[1]RS_CAN Mo'!G462/('[1]RS_CAN Mo'!G462+'[1]Soy Mo'!G537)</f>
        <v>0.99630997483784567</v>
      </c>
      <c r="H6" s="6">
        <f>'[1]RS_CAN Mo'!H462/('[1]RS_CAN Mo'!H462+'[1]Soy Mo'!H537)</f>
        <v>1.1605032362275485</v>
      </c>
      <c r="I6" s="6">
        <f>'[1]RS_CAN Mo'!I462/('[1]RS_CAN Mo'!I462+'[1]Soy Mo'!I537)</f>
        <v>0.94246946279677135</v>
      </c>
      <c r="J6" s="6">
        <f>'[1]RS_CAN Mo'!J462/('[1]RS_CAN Mo'!J462+'[1]Soy Mo'!J537)</f>
        <v>1.0584407369580577</v>
      </c>
      <c r="K6" s="6">
        <f>'[1]RS_CAN Mo'!K462/('[1]RS_CAN Mo'!K462+'[1]Soy Mo'!K537)</f>
        <v>0.99398068499804737</v>
      </c>
      <c r="L6" s="6">
        <f>'[1]RS_CAN Mo'!L462/('[1]RS_CAN Mo'!L462+'[1]Soy Mo'!L537)</f>
        <v>0.95124099049515176</v>
      </c>
      <c r="M6" s="6">
        <f>'[1]RS_CAN Mo'!M462/('[1]RS_CAN Mo'!M462+'[1]Soy Mo'!M537)</f>
        <v>0.75390858718555742</v>
      </c>
      <c r="N6" s="6">
        <f>'[1]RS_CAN Mo'!N462/('[1]RS_CAN Mo'!N462+'[1]Soy Mo'!N537)</f>
        <v>1.0252183096345024</v>
      </c>
      <c r="O6" s="6">
        <f>'[1]RS_CAN Mo'!O462/('[1]RS_CAN Mo'!O462+'[1]Soy Mo'!O537)</f>
        <v>0.75745677644863274</v>
      </c>
      <c r="P6" s="7">
        <f>'[1]RS_CAN Mo'!W462/('[1]RS_CAN Mo'!W462+'[1]Soy Mo'!W537)</f>
        <v>0.9977061826406195</v>
      </c>
      <c r="Q6" s="8"/>
    </row>
    <row r="7" spans="1:17" x14ac:dyDescent="0.25">
      <c r="A7" s="5" t="s">
        <v>16</v>
      </c>
      <c r="B7" s="5" t="s">
        <v>17</v>
      </c>
      <c r="C7" s="5" t="s">
        <v>23</v>
      </c>
      <c r="D7" s="6">
        <f>'[1]RS_CAN Mo'!D463/('[1]RS_CAN Mo'!D463+'[1]Soy Mo'!D538)</f>
        <v>0.67924863345789199</v>
      </c>
      <c r="E7" s="6">
        <f>'[1]RS_CAN Mo'!E463/('[1]RS_CAN Mo'!E463+'[1]Soy Mo'!E538)</f>
        <v>0.74364662551411809</v>
      </c>
      <c r="F7" s="6">
        <f>'[1]RS_CAN Mo'!F463/('[1]RS_CAN Mo'!F463+'[1]Soy Mo'!F538)</f>
        <v>0.790313036979999</v>
      </c>
      <c r="G7" s="6">
        <f>'[1]RS_CAN Mo'!G463/('[1]RS_CAN Mo'!G463+'[1]Soy Mo'!G538)</f>
        <v>0.72469271734489804</v>
      </c>
      <c r="H7" s="6">
        <f>'[1]RS_CAN Mo'!H463/('[1]RS_CAN Mo'!H463+'[1]Soy Mo'!H538)</f>
        <v>0.69318607508771202</v>
      </c>
      <c r="I7" s="6">
        <f>'[1]RS_CAN Mo'!I463/('[1]RS_CAN Mo'!I463+'[1]Soy Mo'!I538)</f>
        <v>0.63271282045019417</v>
      </c>
      <c r="J7" s="6">
        <f>'[1]RS_CAN Mo'!J463/('[1]RS_CAN Mo'!J463+'[1]Soy Mo'!J538)</f>
        <v>0.50051849291392991</v>
      </c>
      <c r="K7" s="6">
        <f>'[1]RS_CAN Mo'!K463/('[1]RS_CAN Mo'!K463+'[1]Soy Mo'!K538)</f>
        <v>0.20265552495331604</v>
      </c>
      <c r="L7" s="6">
        <f>'[1]RS_CAN Mo'!L463/('[1]RS_CAN Mo'!L463+'[1]Soy Mo'!L538)</f>
        <v>0.59880594148152899</v>
      </c>
      <c r="M7" s="6">
        <f>'[1]RS_CAN Mo'!M463/('[1]RS_CAN Mo'!M463+'[1]Soy Mo'!M538)</f>
        <v>0.67528871959847891</v>
      </c>
      <c r="N7" s="6">
        <f>'[1]RS_CAN Mo'!N463/('[1]RS_CAN Mo'!N463+'[1]Soy Mo'!N538)</f>
        <v>0.60581204670950206</v>
      </c>
      <c r="O7" s="6">
        <f>'[1]RS_CAN Mo'!O463/('[1]RS_CAN Mo'!O463+'[1]Soy Mo'!O538)</f>
        <v>0.63957637093954711</v>
      </c>
      <c r="P7" s="7">
        <f>'[1]RS_CAN Mo'!W463/('[1]RS_CAN Mo'!W463+'[1]Soy Mo'!W538)</f>
        <v>0.69692186900033803</v>
      </c>
      <c r="Q7" s="8"/>
    </row>
    <row r="8" spans="1:17" x14ac:dyDescent="0.25">
      <c r="A8" s="5" t="s">
        <v>16</v>
      </c>
      <c r="B8" s="5" t="s">
        <v>17</v>
      </c>
      <c r="C8" s="5" t="s">
        <v>24</v>
      </c>
      <c r="D8" s="6">
        <f>'[1]RS_CAN Mo'!D464/('[1]RS_CAN Mo'!D464+'[1]Soy Mo'!D539)</f>
        <v>0.5364979250732852</v>
      </c>
      <c r="E8" s="6">
        <f>'[1]RS_CAN Mo'!E464/('[1]RS_CAN Mo'!E464+'[1]Soy Mo'!E539)</f>
        <v>0.67112008402727696</v>
      </c>
      <c r="F8" s="6">
        <f>'[1]RS_CAN Mo'!F464/('[1]RS_CAN Mo'!F464+'[1]Soy Mo'!F539)</f>
        <v>0.72325809804608421</v>
      </c>
      <c r="G8" s="6">
        <f>'[1]RS_CAN Mo'!G464/('[1]RS_CAN Mo'!G464+'[1]Soy Mo'!G539)</f>
        <v>0.6848805193922296</v>
      </c>
      <c r="H8" s="6">
        <f>'[1]RS_CAN Mo'!H464/('[1]RS_CAN Mo'!H464+'[1]Soy Mo'!H539)</f>
        <v>0.68058119231728609</v>
      </c>
      <c r="I8" s="6">
        <f>'[1]RS_CAN Mo'!I464/('[1]RS_CAN Mo'!I464+'[1]Soy Mo'!I539)</f>
        <v>0.72203953184116543</v>
      </c>
      <c r="J8" s="6">
        <f>'[1]RS_CAN Mo'!J464/('[1]RS_CAN Mo'!J464+'[1]Soy Mo'!J539)</f>
        <v>0.66665634483185732</v>
      </c>
      <c r="K8" s="6">
        <f>'[1]RS_CAN Mo'!K464/('[1]RS_CAN Mo'!K464+'[1]Soy Mo'!K539)</f>
        <v>0.6305907626208378</v>
      </c>
      <c r="L8" s="6">
        <f>'[1]RS_CAN Mo'!L464/('[1]RS_CAN Mo'!L464+'[1]Soy Mo'!L539)</f>
        <v>0.60121660680380706</v>
      </c>
      <c r="M8" s="6">
        <f>'[1]RS_CAN Mo'!M464/('[1]RS_CAN Mo'!M464+'[1]Soy Mo'!M539)</f>
        <v>0.62478666618250478</v>
      </c>
      <c r="N8" s="6">
        <f>'[1]RS_CAN Mo'!N464/('[1]RS_CAN Mo'!N464+'[1]Soy Mo'!N539)</f>
        <v>0.66031825065870009</v>
      </c>
      <c r="O8" s="6">
        <f>'[1]RS_CAN Mo'!O464/('[1]RS_CAN Mo'!O464+'[1]Soy Mo'!O539)</f>
        <v>0.65774663485255769</v>
      </c>
      <c r="P8" s="7">
        <f>'[1]RS_CAN Mo'!W464/('[1]RS_CAN Mo'!W464+'[1]Soy Mo'!W539)</f>
        <v>0.65460101007997884</v>
      </c>
      <c r="Q8" s="8"/>
    </row>
    <row r="9" spans="1:17" x14ac:dyDescent="0.25">
      <c r="A9" s="5" t="s">
        <v>16</v>
      </c>
      <c r="B9" s="5" t="s">
        <v>17</v>
      </c>
      <c r="C9" s="5" t="s">
        <v>25</v>
      </c>
      <c r="D9" s="6">
        <f>'[1]RS_CAN Mo'!D465/('[1]RS_CAN Mo'!D465+'[1]Soy Mo'!D540)</f>
        <v>0.47673775823723752</v>
      </c>
      <c r="E9" s="6">
        <f>'[1]RS_CAN Mo'!E465/('[1]RS_CAN Mo'!E465+'[1]Soy Mo'!E540)</f>
        <v>0.38455590992558242</v>
      </c>
      <c r="F9" s="6">
        <f>'[1]RS_CAN Mo'!F465/('[1]RS_CAN Mo'!F465+'[1]Soy Mo'!F540)</f>
        <v>0.3671654660750534</v>
      </c>
      <c r="G9" s="6">
        <f>'[1]RS_CAN Mo'!G465/('[1]RS_CAN Mo'!G465+'[1]Soy Mo'!G540)</f>
        <v>0.49994056463595843</v>
      </c>
      <c r="H9" s="6">
        <f>'[1]RS_CAN Mo'!H465/('[1]RS_CAN Mo'!H465+'[1]Soy Mo'!H540)</f>
        <v>0.42854042141115972</v>
      </c>
      <c r="I9" s="6">
        <f>'[1]RS_CAN Mo'!I465/('[1]RS_CAN Mo'!I465+'[1]Soy Mo'!I540)</f>
        <v>0.56501865671641793</v>
      </c>
      <c r="J9" s="6">
        <f>'[1]RS_CAN Mo'!J465/('[1]RS_CAN Mo'!J465+'[1]Soy Mo'!J540)</f>
        <v>0.32207560273836694</v>
      </c>
      <c r="K9" s="6">
        <f>'[1]RS_CAN Mo'!K465/('[1]RS_CAN Mo'!K465+'[1]Soy Mo'!K540)</f>
        <v>0.60619336851538386</v>
      </c>
      <c r="L9" s="6">
        <f>'[1]RS_CAN Mo'!L465/('[1]RS_CAN Mo'!L465+'[1]Soy Mo'!L540)</f>
        <v>0.5961974789915967</v>
      </c>
      <c r="M9" s="6">
        <f>'[1]RS_CAN Mo'!M465/('[1]RS_CAN Mo'!M465+'[1]Soy Mo'!M540)</f>
        <v>0.63712516823687748</v>
      </c>
      <c r="N9" s="6">
        <f>'[1]RS_CAN Mo'!N465/('[1]RS_CAN Mo'!N465+'[1]Soy Mo'!N540)</f>
        <v>0.66559587367659034</v>
      </c>
      <c r="O9" s="6">
        <f>'[1]RS_CAN Mo'!O465/('[1]RS_CAN Mo'!O465+'[1]Soy Mo'!O540)</f>
        <v>0.71057375318706661</v>
      </c>
      <c r="P9" s="7">
        <f>'[1]RS_CAN Mo'!W465/('[1]RS_CAN Mo'!W465+'[1]Soy Mo'!W540)</f>
        <v>0.54133639703518255</v>
      </c>
      <c r="Q9" s="8"/>
    </row>
    <row r="10" spans="1:17" x14ac:dyDescent="0.25">
      <c r="A10" s="5" t="s">
        <v>16</v>
      </c>
      <c r="B10" s="5" t="s">
        <v>17</v>
      </c>
      <c r="C10" s="5" t="s">
        <v>26</v>
      </c>
      <c r="D10" s="6">
        <f>'[1]RS_CAN Mo'!D466/('[1]RS_CAN Mo'!D466+'[1]Soy Mo'!D541)</f>
        <v>0.67502726281352243</v>
      </c>
      <c r="E10" s="6">
        <f>'[1]RS_CAN Mo'!E466/('[1]RS_CAN Mo'!E466+'[1]Soy Mo'!E541)</f>
        <v>0.73797643636813715</v>
      </c>
      <c r="F10" s="6">
        <f>'[1]RS_CAN Mo'!F466/('[1]RS_CAN Mo'!F466+'[1]Soy Mo'!F541)</f>
        <v>0.75801527377770861</v>
      </c>
      <c r="G10" s="6">
        <f>'[1]RS_CAN Mo'!G466/('[1]RS_CAN Mo'!G466+'[1]Soy Mo'!G541)</f>
        <v>0.56150444908272001</v>
      </c>
      <c r="H10" s="6">
        <f>'[1]RS_CAN Mo'!H466/('[1]RS_CAN Mo'!H466+'[1]Soy Mo'!H541)</f>
        <v>0.65623113071329187</v>
      </c>
      <c r="I10" s="6">
        <f>'[1]RS_CAN Mo'!I466/('[1]RS_CAN Mo'!I466+'[1]Soy Mo'!I541)</f>
        <v>0.67521005801110678</v>
      </c>
      <c r="J10" s="6">
        <f>'[1]RS_CAN Mo'!J466/('[1]RS_CAN Mo'!J466+'[1]Soy Mo'!J541)</f>
        <v>0.53081408643951533</v>
      </c>
      <c r="K10" s="6">
        <f>'[1]RS_CAN Mo'!K466/('[1]RS_CAN Mo'!K466+'[1]Soy Mo'!K541)</f>
        <v>-1.269004161344725E-2</v>
      </c>
      <c r="L10" s="6">
        <f>'[1]RS_CAN Mo'!L466/('[1]RS_CAN Mo'!L466+'[1]Soy Mo'!L541)</f>
        <v>0.52638881751374689</v>
      </c>
      <c r="M10" s="6">
        <f>'[1]RS_CAN Mo'!M466/('[1]RS_CAN Mo'!M466+'[1]Soy Mo'!M541)</f>
        <v>0.66282445234285403</v>
      </c>
      <c r="N10" s="6">
        <f>'[1]RS_CAN Mo'!N466/('[1]RS_CAN Mo'!N466+'[1]Soy Mo'!N541)</f>
        <v>9.964848484848531</v>
      </c>
      <c r="O10" s="6">
        <f>'[1]RS_CAN Mo'!O466/('[1]RS_CAN Mo'!O466+'[1]Soy Mo'!O541)</f>
        <v>0.66755513321203841</v>
      </c>
      <c r="P10" s="7">
        <f>'[1]RS_CAN Mo'!W466/('[1]RS_CAN Mo'!W466+'[1]Soy Mo'!W541)</f>
        <v>0.65337533095065126</v>
      </c>
      <c r="Q10" s="8"/>
    </row>
    <row r="11" spans="1:17" x14ac:dyDescent="0.25">
      <c r="A11" s="5" t="s">
        <v>16</v>
      </c>
      <c r="B11" s="5" t="s">
        <v>17</v>
      </c>
      <c r="C11" s="5" t="s">
        <v>27</v>
      </c>
      <c r="D11" s="6">
        <f>'[1]RS_CAN Mo'!D467/('[1]RS_CAN Mo'!D467+'[1]Soy Mo'!D542)</f>
        <v>0.57523710386305815</v>
      </c>
      <c r="E11" s="6">
        <f>'[1]RS_CAN Mo'!E467/('[1]RS_CAN Mo'!E467+'[1]Soy Mo'!E542)</f>
        <v>0.61684798554143339</v>
      </c>
      <c r="F11" s="6">
        <f>'[1]RS_CAN Mo'!F467/('[1]RS_CAN Mo'!F467+'[1]Soy Mo'!F542)</f>
        <v>0.43849402825212713</v>
      </c>
      <c r="G11" s="6">
        <f>'[1]RS_CAN Mo'!G467/('[1]RS_CAN Mo'!G467+'[1]Soy Mo'!G542)</f>
        <v>0.75355292754413472</v>
      </c>
      <c r="H11" s="6">
        <f>'[1]RS_CAN Mo'!H467/('[1]RS_CAN Mo'!H467+'[1]Soy Mo'!H542)</f>
        <v>0.66771676659553081</v>
      </c>
      <c r="I11" s="6">
        <f>'[1]RS_CAN Mo'!I467/('[1]RS_CAN Mo'!I467+'[1]Soy Mo'!I542)</f>
        <v>0.57364610328889365</v>
      </c>
      <c r="J11" s="6">
        <f>'[1]RS_CAN Mo'!J467/('[1]RS_CAN Mo'!J467+'[1]Soy Mo'!J542)</f>
        <v>0.6766504572424239</v>
      </c>
      <c r="K11" s="6">
        <f>'[1]RS_CAN Mo'!K467/('[1]RS_CAN Mo'!K467+'[1]Soy Mo'!K542)</f>
        <v>0.69323042227233844</v>
      </c>
      <c r="L11" s="6">
        <f>'[1]RS_CAN Mo'!L467/('[1]RS_CAN Mo'!L467+'[1]Soy Mo'!L542)</f>
        <v>0.5107392523048867</v>
      </c>
      <c r="M11" s="6">
        <f>'[1]RS_CAN Mo'!M467/('[1]RS_CAN Mo'!M467+'[1]Soy Mo'!M542)</f>
        <v>0.67176782444729854</v>
      </c>
      <c r="N11" s="6">
        <f>'[1]RS_CAN Mo'!N467/('[1]RS_CAN Mo'!N467+'[1]Soy Mo'!N542)</f>
        <v>0.24516755961760678</v>
      </c>
      <c r="O11" s="6">
        <f>'[1]RS_CAN Mo'!O467/('[1]RS_CAN Mo'!O467+'[1]Soy Mo'!O542)</f>
        <v>0.26735850824587687</v>
      </c>
      <c r="P11" s="7">
        <f>'[1]RS_CAN Mo'!W467/('[1]RS_CAN Mo'!W467+'[1]Soy Mo'!W542)</f>
        <v>0.61426340973177163</v>
      </c>
      <c r="Q11" s="8"/>
    </row>
    <row r="12" spans="1:17" x14ac:dyDescent="0.25">
      <c r="A12" s="5" t="s">
        <v>16</v>
      </c>
      <c r="B12" s="5" t="s">
        <v>17</v>
      </c>
      <c r="C12" s="5" t="s">
        <v>28</v>
      </c>
      <c r="D12" s="6">
        <f>'[1]RS_CAN Mo'!D468/('[1]RS_CAN Mo'!D468+'[1]Soy Mo'!D543)</f>
        <v>0.48638808711624237</v>
      </c>
      <c r="E12" s="6">
        <f>'[1]RS_CAN Mo'!E468/('[1]RS_CAN Mo'!E468+'[1]Soy Mo'!E543)</f>
        <v>0.33704689401910404</v>
      </c>
      <c r="F12" s="6">
        <f>'[1]RS_CAN Mo'!F468/('[1]RS_CAN Mo'!F468+'[1]Soy Mo'!F543)</f>
        <v>0.51590371803137769</v>
      </c>
      <c r="G12" s="6">
        <f>'[1]RS_CAN Mo'!G468/('[1]RS_CAN Mo'!G468+'[1]Soy Mo'!G543)</f>
        <v>0.38848904529458522</v>
      </c>
      <c r="H12" s="6">
        <f>'[1]RS_CAN Mo'!H468/('[1]RS_CAN Mo'!H468+'[1]Soy Mo'!H543)</f>
        <v>0.12335355130459698</v>
      </c>
      <c r="I12" s="6">
        <f>'[1]RS_CAN Mo'!I468/('[1]RS_CAN Mo'!I468+'[1]Soy Mo'!I543)</f>
        <v>0.30056549336410859</v>
      </c>
      <c r="J12" s="6">
        <f>'[1]RS_CAN Mo'!J468/('[1]RS_CAN Mo'!J468+'[1]Soy Mo'!J543)</f>
        <v>-0.50388931773647805</v>
      </c>
      <c r="K12" s="6">
        <f>'[1]RS_CAN Mo'!K468/('[1]RS_CAN Mo'!K468+'[1]Soy Mo'!K543)</f>
        <v>-0.58754943128541626</v>
      </c>
      <c r="L12" s="6">
        <f>'[1]RS_CAN Mo'!L468/('[1]RS_CAN Mo'!L468+'[1]Soy Mo'!L543)</f>
        <v>0.57105647009793692</v>
      </c>
      <c r="M12" s="6">
        <f>'[1]RS_CAN Mo'!M468/('[1]RS_CAN Mo'!M468+'[1]Soy Mo'!M543)</f>
        <v>0.6324896472326752</v>
      </c>
      <c r="N12" s="6">
        <f>'[1]RS_CAN Mo'!N468/('[1]RS_CAN Mo'!N468+'[1]Soy Mo'!N543)</f>
        <v>0.57665864558267454</v>
      </c>
      <c r="O12" s="6">
        <f>'[1]RS_CAN Mo'!O468/('[1]RS_CAN Mo'!O468+'[1]Soy Mo'!O543)</f>
        <v>0.58479109440508881</v>
      </c>
      <c r="P12" s="7">
        <f>'[1]RS_CAN Mo'!W468/('[1]RS_CAN Mo'!W468+'[1]Soy Mo'!W543)</f>
        <v>0.34044111835319929</v>
      </c>
      <c r="Q12" s="8"/>
    </row>
    <row r="13" spans="1:17" x14ac:dyDescent="0.25">
      <c r="A13" s="5" t="s">
        <v>16</v>
      </c>
      <c r="B13" s="5" t="s">
        <v>17</v>
      </c>
      <c r="C13" s="5" t="s">
        <v>29</v>
      </c>
      <c r="D13" s="6">
        <f>'[1]RS_CAN Mo'!D469/('[1]RS_CAN Mo'!D469+'[1]Soy Mo'!D544)</f>
        <v>0.5819819591547154</v>
      </c>
      <c r="E13" s="6">
        <f>'[1]RS_CAN Mo'!E469/('[1]RS_CAN Mo'!E469+'[1]Soy Mo'!E544)</f>
        <v>0.66639798916098381</v>
      </c>
      <c r="F13" s="6">
        <f>'[1]RS_CAN Mo'!F469/('[1]RS_CAN Mo'!F469+'[1]Soy Mo'!F544)</f>
        <v>0.70808086167559825</v>
      </c>
      <c r="G13" s="6">
        <f>'[1]RS_CAN Mo'!G469/('[1]RS_CAN Mo'!G469+'[1]Soy Mo'!G544)</f>
        <v>0.62652010324502705</v>
      </c>
      <c r="H13" s="6">
        <f>'[1]RS_CAN Mo'!H469/('[1]RS_CAN Mo'!H469+'[1]Soy Mo'!H544)</f>
        <v>0.59352025314462942</v>
      </c>
      <c r="I13" s="6">
        <f>'[1]RS_CAN Mo'!I469/('[1]RS_CAN Mo'!I469+'[1]Soy Mo'!I544)</f>
        <v>0.71307384679791563</v>
      </c>
      <c r="J13" s="6">
        <f>'[1]RS_CAN Mo'!J469/('[1]RS_CAN Mo'!J469+'[1]Soy Mo'!J544)</f>
        <v>0.72451737217785428</v>
      </c>
      <c r="K13" s="6">
        <f>'[1]RS_CAN Mo'!K469/('[1]RS_CAN Mo'!K469+'[1]Soy Mo'!K544)</f>
        <v>0.68283708386561415</v>
      </c>
      <c r="L13" s="6">
        <f>'[1]RS_CAN Mo'!L469/('[1]RS_CAN Mo'!L469+'[1]Soy Mo'!L544)</f>
        <v>0.32422576456612384</v>
      </c>
      <c r="M13" s="6">
        <f>'[1]RS_CAN Mo'!M469/('[1]RS_CAN Mo'!M469+'[1]Soy Mo'!M544)</f>
        <v>0.63056649500151474</v>
      </c>
      <c r="N13" s="6">
        <f>'[1]RS_CAN Mo'!N469/('[1]RS_CAN Mo'!N469+'[1]Soy Mo'!N544)</f>
        <v>0.72816591799675046</v>
      </c>
      <c r="O13" s="6">
        <f>'[1]RS_CAN Mo'!O469/('[1]RS_CAN Mo'!O469+'[1]Soy Mo'!O544)</f>
        <v>0.69649196074337016</v>
      </c>
      <c r="P13" s="7">
        <f>'[1]RS_CAN Mo'!W469/('[1]RS_CAN Mo'!W469+'[1]Soy Mo'!W544)</f>
        <v>0.63699512767163091</v>
      </c>
      <c r="Q13" s="8"/>
    </row>
    <row r="14" spans="1:17" x14ac:dyDescent="0.25">
      <c r="A14" s="5" t="s">
        <v>16</v>
      </c>
      <c r="B14" s="5" t="s">
        <v>17</v>
      </c>
      <c r="C14" s="5" t="s">
        <v>30</v>
      </c>
      <c r="D14" s="6">
        <f>'[1]RS_CAN Mo'!D470/('[1]RS_CAN Mo'!D470+'[1]Soy Mo'!D545)</f>
        <v>0.59888348591453644</v>
      </c>
      <c r="E14" s="6">
        <f>'[1]RS_CAN Mo'!E470/('[1]RS_CAN Mo'!E470+'[1]Soy Mo'!E545)</f>
        <v>0.72533618705326497</v>
      </c>
      <c r="F14" s="6">
        <f>'[1]RS_CAN Mo'!F470/('[1]RS_CAN Mo'!F470+'[1]Soy Mo'!F545)</f>
        <v>0.7277232873343612</v>
      </c>
      <c r="G14" s="6">
        <f>'[1]RS_CAN Mo'!G470/('[1]RS_CAN Mo'!G470+'[1]Soy Mo'!G545)</f>
        <v>0.51979560194789598</v>
      </c>
      <c r="H14" s="6">
        <f>'[1]RS_CAN Mo'!H470/('[1]RS_CAN Mo'!H470+'[1]Soy Mo'!H545)</f>
        <v>0.69836062035248292</v>
      </c>
      <c r="I14" s="6">
        <f>'[1]RS_CAN Mo'!I470/('[1]RS_CAN Mo'!I470+'[1]Soy Mo'!I545)</f>
        <v>0.7205860478952848</v>
      </c>
      <c r="J14" s="6">
        <f>'[1]RS_CAN Mo'!J470/('[1]RS_CAN Mo'!J470+'[1]Soy Mo'!J545)</f>
        <v>0.57455106312658366</v>
      </c>
      <c r="K14" s="6">
        <f>'[1]RS_CAN Mo'!K470/('[1]RS_CAN Mo'!K470+'[1]Soy Mo'!K545)</f>
        <v>0.43356919792860826</v>
      </c>
      <c r="L14" s="6">
        <f>'[1]RS_CAN Mo'!L470/('[1]RS_CAN Mo'!L470+'[1]Soy Mo'!L545)</f>
        <v>0.70529619026646129</v>
      </c>
      <c r="M14" s="6">
        <f>'[1]RS_CAN Mo'!M470/('[1]RS_CAN Mo'!M470+'[1]Soy Mo'!M545)</f>
        <v>0.51099192997546106</v>
      </c>
      <c r="N14" s="6">
        <f>'[1]RS_CAN Mo'!N470/('[1]RS_CAN Mo'!N470+'[1]Soy Mo'!N545)</f>
        <v>-0.22026074480693597</v>
      </c>
      <c r="O14" s="6">
        <f>'[1]RS_CAN Mo'!O470/('[1]RS_CAN Mo'!O470+'[1]Soy Mo'!O545)</f>
        <v>0.75188805739236064</v>
      </c>
      <c r="P14" s="7">
        <f>'[1]RS_CAN Mo'!W470/('[1]RS_CAN Mo'!W470+'[1]Soy Mo'!W545)</f>
        <v>0.6630325694557867</v>
      </c>
      <c r="Q14" s="8"/>
    </row>
    <row r="15" spans="1:17" x14ac:dyDescent="0.25">
      <c r="A15" s="5" t="s">
        <v>16</v>
      </c>
      <c r="B15" s="5" t="s">
        <v>17</v>
      </c>
      <c r="C15" s="5" t="s">
        <v>31</v>
      </c>
      <c r="D15" s="6">
        <f>'[1]RS_CAN Mo'!D471/('[1]RS_CAN Mo'!D471+'[1]Soy Mo'!D546)</f>
        <v>0.69236418893250595</v>
      </c>
      <c r="E15" s="6">
        <f>'[1]RS_CAN Mo'!E471/('[1]RS_CAN Mo'!E471+'[1]Soy Mo'!E546)</f>
        <v>-0.34281650071123626</v>
      </c>
      <c r="F15" s="6">
        <f>'[1]RS_CAN Mo'!F471/('[1]RS_CAN Mo'!F471+'[1]Soy Mo'!F546)</f>
        <v>0.83530559675279048</v>
      </c>
      <c r="G15" s="6">
        <f>'[1]RS_CAN Mo'!G471/('[1]RS_CAN Mo'!G471+'[1]Soy Mo'!G546)</f>
        <v>0.67310340869964425</v>
      </c>
      <c r="H15" s="6">
        <f>'[1]RS_CAN Mo'!H471/('[1]RS_CAN Mo'!H471+'[1]Soy Mo'!H546)</f>
        <v>0.72336032087944735</v>
      </c>
      <c r="I15" s="6">
        <f>'[1]RS_CAN Mo'!I471/('[1]RS_CAN Mo'!I471+'[1]Soy Mo'!I546)</f>
        <v>0.51534385842231245</v>
      </c>
      <c r="J15" s="6">
        <f>'[1]RS_CAN Mo'!J471/('[1]RS_CAN Mo'!J471+'[1]Soy Mo'!J546)</f>
        <v>0.34224808736023027</v>
      </c>
      <c r="K15" s="6">
        <f>'[1]RS_CAN Mo'!K471/('[1]RS_CAN Mo'!K471+'[1]Soy Mo'!K546)</f>
        <v>0.6125098279025073</v>
      </c>
      <c r="L15" s="6">
        <f>'[1]RS_CAN Mo'!L471/('[1]RS_CAN Mo'!L471+'[1]Soy Mo'!L546)</f>
        <v>0.72437771779877036</v>
      </c>
      <c r="M15" s="6">
        <f>'[1]RS_CAN Mo'!M471/('[1]RS_CAN Mo'!M471+'[1]Soy Mo'!M546)</f>
        <v>0.76615243433616897</v>
      </c>
      <c r="N15" s="6">
        <f>'[1]RS_CAN Mo'!N471/('[1]RS_CAN Mo'!N471+'[1]Soy Mo'!N546)</f>
        <v>0.76680474486913952</v>
      </c>
      <c r="O15" s="6">
        <f>'[1]RS_CAN Mo'!O471/('[1]RS_CAN Mo'!O471+'[1]Soy Mo'!O546)</f>
        <v>0.77122393090372865</v>
      </c>
      <c r="P15" s="7">
        <f>'[1]RS_CAN Mo'!W471/('[1]RS_CAN Mo'!W471+'[1]Soy Mo'!W546)</f>
        <v>0.66383596523917121</v>
      </c>
      <c r="Q15" s="8"/>
    </row>
    <row r="16" spans="1:17" x14ac:dyDescent="0.25">
      <c r="A16" s="5" t="s">
        <v>16</v>
      </c>
      <c r="B16" s="5" t="s">
        <v>17</v>
      </c>
      <c r="C16" s="5" t="s">
        <v>32</v>
      </c>
      <c r="D16" s="6">
        <f>'[1]RS_CAN Mo'!D472/('[1]RS_CAN Mo'!D472+'[1]Soy Mo'!D547)</f>
        <v>0.51378139850644955</v>
      </c>
      <c r="E16" s="6">
        <f>'[1]RS_CAN Mo'!E472/('[1]RS_CAN Mo'!E472+'[1]Soy Mo'!E547)</f>
        <v>0.72111274963133287</v>
      </c>
      <c r="F16" s="6">
        <f>'[1]RS_CAN Mo'!F472/('[1]RS_CAN Mo'!F472+'[1]Soy Mo'!F547)</f>
        <v>0.76535087719298256</v>
      </c>
      <c r="G16" s="6">
        <f>'[1]RS_CAN Mo'!G472/('[1]RS_CAN Mo'!G472+'[1]Soy Mo'!G547)</f>
        <v>0.76212570131753143</v>
      </c>
      <c r="H16" s="6">
        <f>'[1]RS_CAN Mo'!H472/('[1]RS_CAN Mo'!H472+'[1]Soy Mo'!H547)</f>
        <v>0.79381082405657066</v>
      </c>
      <c r="I16" s="6">
        <f>'[1]RS_CAN Mo'!I472/('[1]RS_CAN Mo'!I472+'[1]Soy Mo'!I547)</f>
        <v>0.7291952446273432</v>
      </c>
      <c r="J16" s="6">
        <f>'[1]RS_CAN Mo'!J472/('[1]RS_CAN Mo'!J472+'[1]Soy Mo'!J547)</f>
        <v>0.56103108415466252</v>
      </c>
      <c r="K16" s="6">
        <f>'[1]RS_CAN Mo'!K472/('[1]RS_CAN Mo'!K472+'[1]Soy Mo'!K547)</f>
        <v>0.75965656182098173</v>
      </c>
      <c r="L16" s="6">
        <f>'[1]RS_CAN Mo'!L472/('[1]RS_CAN Mo'!L472+'[1]Soy Mo'!L547)</f>
        <v>0.49806788175436345</v>
      </c>
      <c r="M16" s="6">
        <f>'[1]RS_CAN Mo'!M472/('[1]RS_CAN Mo'!M472+'[1]Soy Mo'!M547)</f>
        <v>-4.4679417405277776E-2</v>
      </c>
      <c r="N16" s="6">
        <f>'[1]RS_CAN Mo'!N472/('[1]RS_CAN Mo'!N472+'[1]Soy Mo'!N547)</f>
        <v>-0.62258064516128908</v>
      </c>
      <c r="O16" s="6">
        <f>'[1]RS_CAN Mo'!O472/('[1]RS_CAN Mo'!O472+'[1]Soy Mo'!O547)</f>
        <v>0.42455190875232762</v>
      </c>
      <c r="P16" s="7">
        <f>'[1]RS_CAN Mo'!W472/('[1]RS_CAN Mo'!W472+'[1]Soy Mo'!W547)</f>
        <v>0.70893056826268175</v>
      </c>
      <c r="Q16" s="8"/>
    </row>
    <row r="17" spans="1:17" x14ac:dyDescent="0.25">
      <c r="A17" s="5" t="s">
        <v>16</v>
      </c>
      <c r="B17" s="5" t="s">
        <v>17</v>
      </c>
      <c r="C17" s="5" t="s">
        <v>33</v>
      </c>
      <c r="D17" s="6">
        <f>'[1]RS_CAN Mo'!D473/('[1]RS_CAN Mo'!D473+'[1]Soy Mo'!D548)</f>
        <v>0.22572768118773215</v>
      </c>
      <c r="E17" s="6">
        <f>'[1]RS_CAN Mo'!E473/('[1]RS_CAN Mo'!E473+'[1]Soy Mo'!E548)</f>
        <v>-1.0489775051124683</v>
      </c>
      <c r="F17" s="6">
        <f>'[1]RS_CAN Mo'!F473/('[1]RS_CAN Mo'!F473+'[1]Soy Mo'!F548)</f>
        <v>-12.024605678233403</v>
      </c>
      <c r="G17" s="6">
        <f>'[1]RS_CAN Mo'!G473/('[1]RS_CAN Mo'!G473+'[1]Soy Mo'!G548)</f>
        <v>-0.28935389632447989</v>
      </c>
      <c r="H17" s="6">
        <f>'[1]RS_CAN Mo'!H473/('[1]RS_CAN Mo'!H473+'[1]Soy Mo'!H548)</f>
        <v>0.60524861214582681</v>
      </c>
      <c r="I17" s="6">
        <f>'[1]RS_CAN Mo'!I473/('[1]RS_CAN Mo'!I473+'[1]Soy Mo'!I548)</f>
        <v>-2.425722494507339</v>
      </c>
      <c r="J17" s="6">
        <f>'[1]RS_CAN Mo'!J473/('[1]RS_CAN Mo'!J473+'[1]Soy Mo'!J548)</f>
        <v>-0.6791179471082196</v>
      </c>
      <c r="K17" s="6">
        <f>'[1]RS_CAN Mo'!K473/('[1]RS_CAN Mo'!K473+'[1]Soy Mo'!K548)</f>
        <v>0.36417184198732261</v>
      </c>
      <c r="L17" s="6">
        <f>'[1]RS_CAN Mo'!L473/('[1]RS_CAN Mo'!L473+'[1]Soy Mo'!L548)</f>
        <v>0.46338366022294342</v>
      </c>
      <c r="M17" s="6">
        <f>'[1]RS_CAN Mo'!M473/('[1]RS_CAN Mo'!M473+'[1]Soy Mo'!M548)</f>
        <v>0.78047728040223641</v>
      </c>
      <c r="N17" s="6">
        <f>'[1]RS_CAN Mo'!N473/('[1]RS_CAN Mo'!N473+'[1]Soy Mo'!N548)</f>
        <v>7.065241495542629E-2</v>
      </c>
      <c r="O17" s="6">
        <f>'[1]RS_CAN Mo'!O473/('[1]RS_CAN Mo'!O473+'[1]Soy Mo'!O548)</f>
        <v>0.82480791859901703</v>
      </c>
      <c r="P17" s="7">
        <f>'[1]RS_CAN Mo'!W473/('[1]RS_CAN Mo'!W473+'[1]Soy Mo'!W548)</f>
        <v>0.18516908110095381</v>
      </c>
      <c r="Q17" s="8"/>
    </row>
    <row r="18" spans="1:17" x14ac:dyDescent="0.25">
      <c r="A18" s="5" t="s">
        <v>16</v>
      </c>
      <c r="B18" s="5" t="s">
        <v>17</v>
      </c>
      <c r="C18" s="5" t="s">
        <v>34</v>
      </c>
      <c r="D18" s="6">
        <f>'[1]RS_CAN Mo'!D474/('[1]RS_CAN Mo'!D474+'[1]Soy Mo'!D549)</f>
        <v>0.67384568753578278</v>
      </c>
      <c r="E18" s="6">
        <f>'[1]RS_CAN Mo'!E474/('[1]RS_CAN Mo'!E474+'[1]Soy Mo'!E549)</f>
        <v>0.81361952514642966</v>
      </c>
      <c r="F18" s="6">
        <f>'[1]RS_CAN Mo'!F474/('[1]RS_CAN Mo'!F474+'[1]Soy Mo'!F549)</f>
        <v>0.70663353226069781</v>
      </c>
      <c r="G18" s="6">
        <f>'[1]RS_CAN Mo'!G474/('[1]RS_CAN Mo'!G474+'[1]Soy Mo'!G549)</f>
        <v>0.80752841807123799</v>
      </c>
      <c r="H18" s="6">
        <f>'[1]RS_CAN Mo'!H474/('[1]RS_CAN Mo'!H474+'[1]Soy Mo'!H549)</f>
        <v>0.7797540157981232</v>
      </c>
      <c r="I18" s="6">
        <f>'[1]RS_CAN Mo'!I474/('[1]RS_CAN Mo'!I474+'[1]Soy Mo'!I549)</f>
        <v>0.76119382579330896</v>
      </c>
      <c r="J18" s="6">
        <f>'[1]RS_CAN Mo'!J474/('[1]RS_CAN Mo'!J474+'[1]Soy Mo'!J549)</f>
        <v>3.4134493893022593</v>
      </c>
      <c r="K18" s="6">
        <f>'[1]RS_CAN Mo'!K474/('[1]RS_CAN Mo'!K474+'[1]Soy Mo'!K549)</f>
        <v>0.78018217968280379</v>
      </c>
      <c r="L18" s="6">
        <f>'[1]RS_CAN Mo'!L474/('[1]RS_CAN Mo'!L474+'[1]Soy Mo'!L549)</f>
        <v>0.69388016387845675</v>
      </c>
      <c r="M18" s="6">
        <f>'[1]RS_CAN Mo'!M474/('[1]RS_CAN Mo'!M474+'[1]Soy Mo'!M549)</f>
        <v>0.7410910975767786</v>
      </c>
      <c r="N18" s="6">
        <f>'[1]RS_CAN Mo'!N474/('[1]RS_CAN Mo'!N474+'[1]Soy Mo'!N549)</f>
        <v>0.67771560872081804</v>
      </c>
      <c r="O18" s="6">
        <f>'[1]RS_CAN Mo'!O474/('[1]RS_CAN Mo'!O474+'[1]Soy Mo'!O549)</f>
        <v>0.71630318492305134</v>
      </c>
      <c r="P18" s="7">
        <f>'[1]RS_CAN Mo'!W474/('[1]RS_CAN Mo'!W474+'[1]Soy Mo'!W549)</f>
        <v>0.72345211502877282</v>
      </c>
      <c r="Q18" s="8"/>
    </row>
    <row r="19" spans="1:17" x14ac:dyDescent="0.25">
      <c r="A19" s="5" t="s">
        <v>16</v>
      </c>
      <c r="B19" s="5" t="s">
        <v>17</v>
      </c>
      <c r="C19" s="5" t="s">
        <v>35</v>
      </c>
      <c r="D19" s="6">
        <f>'[1]RS_CAN Mo'!D475/('[1]RS_CAN Mo'!D475+'[1]Soy Mo'!D550)</f>
        <v>0.79029623613206113</v>
      </c>
      <c r="E19" s="6">
        <f>'[1]RS_CAN Mo'!E475/('[1]RS_CAN Mo'!E475+'[1]Soy Mo'!E550)</f>
        <v>0.77845605315758193</v>
      </c>
      <c r="F19" s="6">
        <f>'[1]RS_CAN Mo'!F475/('[1]RS_CAN Mo'!F475+'[1]Soy Mo'!F550)</f>
        <v>0.69597275492659694</v>
      </c>
      <c r="G19" s="6">
        <f>'[1]RS_CAN Mo'!G475/('[1]RS_CAN Mo'!G475+'[1]Soy Mo'!G550)</f>
        <v>0.8730658648464763</v>
      </c>
      <c r="H19" s="6">
        <f>'[1]RS_CAN Mo'!H475/('[1]RS_CAN Mo'!H475+'[1]Soy Mo'!H550)</f>
        <v>0.62759626138360758</v>
      </c>
      <c r="I19" s="6">
        <f>'[1]RS_CAN Mo'!I475/('[1]RS_CAN Mo'!I475+'[1]Soy Mo'!I550)</f>
        <v>0.80301984979598273</v>
      </c>
      <c r="J19" s="6">
        <f>'[1]RS_CAN Mo'!J475/('[1]RS_CAN Mo'!J475+'[1]Soy Mo'!J550)</f>
        <v>0.77838517404335084</v>
      </c>
      <c r="K19" s="6">
        <f>'[1]RS_CAN Mo'!K475/('[1]RS_CAN Mo'!K475+'[1]Soy Mo'!K550)</f>
        <v>0.7549668874172184</v>
      </c>
      <c r="L19" s="6">
        <f>'[1]RS_CAN Mo'!L475/('[1]RS_CAN Mo'!L475+'[1]Soy Mo'!L550)</f>
        <v>0.8134080531340806</v>
      </c>
      <c r="M19" s="6">
        <f>'[1]RS_CAN Mo'!M475/('[1]RS_CAN Mo'!M475+'[1]Soy Mo'!M550)</f>
        <v>0.50803633822501748</v>
      </c>
      <c r="N19" s="6">
        <f>'[1]RS_CAN Mo'!N475/('[1]RS_CAN Mo'!N475+'[1]Soy Mo'!N550)</f>
        <v>0.63069944533233047</v>
      </c>
      <c r="O19" s="6">
        <f>'[1]RS_CAN Mo'!O475/('[1]RS_CAN Mo'!O475+'[1]Soy Mo'!O550)</f>
        <v>0.83692919007853972</v>
      </c>
      <c r="P19" s="7">
        <f>'[1]RS_CAN Mo'!W475/('[1]RS_CAN Mo'!W475+'[1]Soy Mo'!W550)</f>
        <v>0.7560578293626552</v>
      </c>
      <c r="Q19" s="8"/>
    </row>
    <row r="20" spans="1:17" x14ac:dyDescent="0.25">
      <c r="A20" s="5" t="s">
        <v>16</v>
      </c>
      <c r="B20" s="5" t="s">
        <v>17</v>
      </c>
      <c r="C20" s="5" t="s">
        <v>36</v>
      </c>
      <c r="D20" s="6">
        <f>'[1]RS_CAN Mo'!D476/('[1]RS_CAN Mo'!D476+'[1]Soy Mo'!D551)</f>
        <v>0.77158975368165572</v>
      </c>
      <c r="E20" s="6">
        <f>'[1]RS_CAN Mo'!E476/('[1]RS_CAN Mo'!E476+'[1]Soy Mo'!E551)</f>
        <v>0.7332950295846058</v>
      </c>
      <c r="F20" s="6">
        <f>'[1]RS_CAN Mo'!F476/('[1]RS_CAN Mo'!F476+'[1]Soy Mo'!F551)</f>
        <v>0.83069174515550748</v>
      </c>
      <c r="G20" s="6">
        <f>'[1]RS_CAN Mo'!G476/('[1]RS_CAN Mo'!G476+'[1]Soy Mo'!G551)</f>
        <v>0.76624699905086269</v>
      </c>
      <c r="H20" s="6">
        <f>'[1]RS_CAN Mo'!H476/('[1]RS_CAN Mo'!H476+'[1]Soy Mo'!H551)</f>
        <v>0.59742516037063431</v>
      </c>
      <c r="I20" s="6">
        <f>'[1]RS_CAN Mo'!I476/('[1]RS_CAN Mo'!I476+'[1]Soy Mo'!I551)</f>
        <v>0.74767653781478771</v>
      </c>
      <c r="J20" s="6">
        <f>'[1]RS_CAN Mo'!J476/('[1]RS_CAN Mo'!J476+'[1]Soy Mo'!J551)</f>
        <v>0.87698573446173045</v>
      </c>
      <c r="K20" s="6">
        <f>'[1]RS_CAN Mo'!K476/('[1]RS_CAN Mo'!K476+'[1]Soy Mo'!K551)</f>
        <v>0.83430157500645497</v>
      </c>
      <c r="L20" s="6">
        <f>'[1]RS_CAN Mo'!L476/('[1]RS_CAN Mo'!L476+'[1]Soy Mo'!L551)</f>
        <v>0.7911748073796564</v>
      </c>
      <c r="M20" s="6">
        <f>'[1]RS_CAN Mo'!M476/('[1]RS_CAN Mo'!M476+'[1]Soy Mo'!M551)</f>
        <v>0.86673145395746909</v>
      </c>
      <c r="N20" s="6">
        <f>'[1]RS_CAN Mo'!N476/('[1]RS_CAN Mo'!N476+'[1]Soy Mo'!N551)</f>
        <v>0.76595801542017983</v>
      </c>
      <c r="O20" s="6">
        <f>'[1]RS_CAN Mo'!O476/('[1]RS_CAN Mo'!O476+'[1]Soy Mo'!O551)</f>
        <v>0.9232682397327403</v>
      </c>
      <c r="P20" s="7">
        <f>'[1]RS_CAN Mo'!W476/('[1]RS_CAN Mo'!W476+'[1]Soy Mo'!W551)</f>
        <v>0.79168810634870879</v>
      </c>
      <c r="Q20" s="8"/>
    </row>
    <row r="21" spans="1:17" x14ac:dyDescent="0.25">
      <c r="A21" s="5" t="s">
        <v>16</v>
      </c>
      <c r="B21" s="5" t="s">
        <v>17</v>
      </c>
      <c r="C21" s="5" t="s">
        <v>37</v>
      </c>
      <c r="D21" s="6">
        <f>'[1]RS_CAN Mo'!D477/('[1]RS_CAN Mo'!D477+'[1]Soy Mo'!D552)</f>
        <v>0.64044229791560758</v>
      </c>
      <c r="E21" s="6">
        <f>'[1]RS_CAN Mo'!E477/('[1]RS_CAN Mo'!E477+'[1]Soy Mo'!E552)</f>
        <v>0.74842654506016271</v>
      </c>
      <c r="F21" s="6">
        <f>'[1]RS_CAN Mo'!F477/('[1]RS_CAN Mo'!F477+'[1]Soy Mo'!F552)</f>
        <v>0.84206118528006302</v>
      </c>
      <c r="G21" s="6">
        <f>'[1]RS_CAN Mo'!G477/('[1]RS_CAN Mo'!G477+'[1]Soy Mo'!G552)</f>
        <v>0.91838190845216983</v>
      </c>
      <c r="H21" s="6">
        <f>'[1]RS_CAN Mo'!H477/('[1]RS_CAN Mo'!H477+'[1]Soy Mo'!H552)</f>
        <v>0.81490494484453957</v>
      </c>
      <c r="I21" s="6">
        <f>'[1]RS_CAN Mo'!I477/('[1]RS_CAN Mo'!I477+'[1]Soy Mo'!I552)</f>
        <v>0.70880655600536491</v>
      </c>
      <c r="J21" s="6">
        <f>'[1]RS_CAN Mo'!J477/('[1]RS_CAN Mo'!J477+'[1]Soy Mo'!J552)</f>
        <v>0.6909638239746646</v>
      </c>
      <c r="K21" s="6">
        <f>'[1]RS_CAN Mo'!K477/('[1]RS_CAN Mo'!K477+'[1]Soy Mo'!K552)</f>
        <v>0.49877679503190586</v>
      </c>
      <c r="L21" s="6">
        <f>'[1]RS_CAN Mo'!L477/('[1]RS_CAN Mo'!L477+'[1]Soy Mo'!L552)</f>
        <v>1.0669153559204707</v>
      </c>
      <c r="M21" s="6">
        <f>'[1]RS_CAN Mo'!M477/('[1]RS_CAN Mo'!M477+'[1]Soy Mo'!M552)</f>
        <v>0.66336793483659484</v>
      </c>
      <c r="N21" s="6">
        <f>'[1]RS_CAN Mo'!N477/('[1]RS_CAN Mo'!N477+'[1]Soy Mo'!N552)</f>
        <v>0.87178211465622391</v>
      </c>
      <c r="O21" s="6">
        <f>'[1]RS_CAN Mo'!O477/('[1]RS_CAN Mo'!O477+'[1]Soy Mo'!O552)</f>
        <v>0.49696597917633767</v>
      </c>
      <c r="P21" s="7">
        <f>'[1]RS_CAN Mo'!W477/('[1]RS_CAN Mo'!W477+'[1]Soy Mo'!W552)</f>
        <v>0.79895712157576015</v>
      </c>
      <c r="Q21" s="8"/>
    </row>
    <row r="22" spans="1:17" x14ac:dyDescent="0.25">
      <c r="A22" s="5" t="s">
        <v>16</v>
      </c>
      <c r="B22" s="5" t="s">
        <v>17</v>
      </c>
      <c r="C22" s="5" t="s">
        <v>38</v>
      </c>
      <c r="D22" s="6">
        <f>'[1]RS_CAN Mo'!D478/('[1]RS_CAN Mo'!D478+'[1]Soy Mo'!D553)</f>
        <v>0.89796364962616249</v>
      </c>
      <c r="E22" s="6">
        <f>'[1]RS_CAN Mo'!E478/('[1]RS_CAN Mo'!E478+'[1]Soy Mo'!E553)</f>
        <v>0.66608457028813728</v>
      </c>
      <c r="F22" s="6">
        <f>'[1]RS_CAN Mo'!F478/('[1]RS_CAN Mo'!F478+'[1]Soy Mo'!F553)</f>
        <v>0.59697745021289605</v>
      </c>
      <c r="G22" s="6">
        <f>'[1]RS_CAN Mo'!G478/('[1]RS_CAN Mo'!G478+'[1]Soy Mo'!G553)</f>
        <v>0.79863225303318897</v>
      </c>
      <c r="H22" s="6">
        <f>'[1]RS_CAN Mo'!H478/('[1]RS_CAN Mo'!H478+'[1]Soy Mo'!H553)</f>
        <v>0.61903898093280141</v>
      </c>
      <c r="I22" s="6">
        <f>'[1]RS_CAN Mo'!I478/('[1]RS_CAN Mo'!I478+'[1]Soy Mo'!I553)</f>
        <v>0.8788302677272759</v>
      </c>
      <c r="J22" s="6">
        <f>'[1]RS_CAN Mo'!J478/('[1]RS_CAN Mo'!J478+'[1]Soy Mo'!J553)</f>
        <v>0.77603992839588565</v>
      </c>
      <c r="K22" s="6">
        <f>'[1]RS_CAN Mo'!K478/('[1]RS_CAN Mo'!K478+'[1]Soy Mo'!K553)</f>
        <v>0.83627683292672961</v>
      </c>
      <c r="L22" s="6">
        <f>'[1]RS_CAN Mo'!L478/('[1]RS_CAN Mo'!L478+'[1]Soy Mo'!L553)</f>
        <v>0.88024973321232303</v>
      </c>
      <c r="M22" s="6">
        <f>'[1]RS_CAN Mo'!M478/('[1]RS_CAN Mo'!M478+'[1]Soy Mo'!M553)</f>
        <v>0.83331200716559228</v>
      </c>
      <c r="N22" s="6">
        <f>'[1]RS_CAN Mo'!N478/('[1]RS_CAN Mo'!N478+'[1]Soy Mo'!N553)</f>
        <v>0.84191016136066288</v>
      </c>
      <c r="O22" s="6">
        <f>'[1]RS_CAN Mo'!O478/('[1]RS_CAN Mo'!O478+'[1]Soy Mo'!O553)</f>
        <v>0.9079652060114225</v>
      </c>
      <c r="P22" s="7">
        <f>'[1]RS_CAN Mo'!W478/('[1]RS_CAN Mo'!W478+'[1]Soy Mo'!W553)</f>
        <v>0.79001897197182158</v>
      </c>
      <c r="Q22" s="8"/>
    </row>
    <row r="23" spans="1:17" x14ac:dyDescent="0.25">
      <c r="A23" s="5" t="s">
        <v>16</v>
      </c>
      <c r="B23" s="5" t="s">
        <v>17</v>
      </c>
      <c r="C23" s="5" t="s">
        <v>39</v>
      </c>
      <c r="D23" s="6">
        <f>'[1]RS_CAN Mo'!D479/('[1]RS_CAN Mo'!D479+'[1]Soy Mo'!D554)</f>
        <v>0.81821182803890202</v>
      </c>
      <c r="E23" s="6">
        <f>'[1]RS_CAN Mo'!E479/('[1]RS_CAN Mo'!E479+'[1]Soy Mo'!E554)</f>
        <v>0.8674640796432368</v>
      </c>
      <c r="F23" s="6">
        <f>'[1]RS_CAN Mo'!F479/('[1]RS_CAN Mo'!F479+'[1]Soy Mo'!F554)</f>
        <v>0.95937171162384816</v>
      </c>
      <c r="G23" s="6">
        <f>'[1]RS_CAN Mo'!G479/('[1]RS_CAN Mo'!G479+'[1]Soy Mo'!G554)</f>
        <v>0.83163223911597195</v>
      </c>
      <c r="H23" s="6">
        <f>'[1]RS_CAN Mo'!H479/('[1]RS_CAN Mo'!H479+'[1]Soy Mo'!H554)</f>
        <v>0.68741400773111427</v>
      </c>
      <c r="I23" s="6">
        <f>'[1]RS_CAN Mo'!I479/('[1]RS_CAN Mo'!I479+'[1]Soy Mo'!I554)</f>
        <v>0.79660891364214537</v>
      </c>
      <c r="J23" s="6">
        <f>'[1]RS_CAN Mo'!J479/('[1]RS_CAN Mo'!J479+'[1]Soy Mo'!J554)</f>
        <v>0.73239559544416466</v>
      </c>
      <c r="K23" s="6">
        <f>'[1]RS_CAN Mo'!K479/('[1]RS_CAN Mo'!K479+'[1]Soy Mo'!K554)</f>
        <v>0.47615111184591291</v>
      </c>
      <c r="L23" s="6">
        <f>'[1]RS_CAN Mo'!L479/('[1]RS_CAN Mo'!L479+'[1]Soy Mo'!L554)</f>
        <v>0.83338728103579585</v>
      </c>
      <c r="M23" s="6">
        <f>'[1]RS_CAN Mo'!M479/('[1]RS_CAN Mo'!M479+'[1]Soy Mo'!M554)</f>
        <v>0.84479138575336121</v>
      </c>
      <c r="N23" s="6">
        <f>'[1]RS_CAN Mo'!N479/('[1]RS_CAN Mo'!N479+'[1]Soy Mo'!N554)</f>
        <v>0.79112432100030738</v>
      </c>
      <c r="O23" s="6">
        <f>'[1]RS_CAN Mo'!O479/('[1]RS_CAN Mo'!O479+'[1]Soy Mo'!O554)</f>
        <v>0.8580575716083485</v>
      </c>
      <c r="P23" s="7">
        <f>'[1]RS_CAN Mo'!W479/('[1]RS_CAN Mo'!W479+'[1]Soy Mo'!W554)</f>
        <v>0.83236240737529199</v>
      </c>
      <c r="Q23" s="8"/>
    </row>
    <row r="24" spans="1:17" x14ac:dyDescent="0.25">
      <c r="A24" s="5" t="s">
        <v>16</v>
      </c>
      <c r="B24" s="5" t="s">
        <v>17</v>
      </c>
      <c r="C24" s="5" t="s">
        <v>40</v>
      </c>
      <c r="D24" s="6">
        <f>'[1]RS_CAN Mo'!D480/('[1]RS_CAN Mo'!D480+'[1]Soy Mo'!D555)</f>
        <v>0.77933419634059165</v>
      </c>
      <c r="E24" s="6">
        <f>'[1]RS_CAN Mo'!E480/('[1]RS_CAN Mo'!E480+'[1]Soy Mo'!E555)</f>
        <v>0.82260906985798898</v>
      </c>
      <c r="F24" s="6">
        <f>'[1]RS_CAN Mo'!F480/('[1]RS_CAN Mo'!F480+'[1]Soy Mo'!F555)</f>
        <v>0.85683304676902339</v>
      </c>
      <c r="G24" s="6">
        <f>'[1]RS_CAN Mo'!G480/('[1]RS_CAN Mo'!G480+'[1]Soy Mo'!G555)</f>
        <v>0.75592621003199312</v>
      </c>
      <c r="H24" s="6">
        <f>'[1]RS_CAN Mo'!H480/('[1]RS_CAN Mo'!H480+'[1]Soy Mo'!H555)</f>
        <v>0.65719610873715784</v>
      </c>
      <c r="I24" s="6">
        <f>'[1]RS_CAN Mo'!I480/('[1]RS_CAN Mo'!I480+'[1]Soy Mo'!I555)</f>
        <v>0.83649570943923368</v>
      </c>
      <c r="J24" s="6">
        <f>'[1]RS_CAN Mo'!J480/('[1]RS_CAN Mo'!J480+'[1]Soy Mo'!J555)</f>
        <v>0.7344759066070542</v>
      </c>
      <c r="K24" s="6">
        <f>'[1]RS_CAN Mo'!K480/('[1]RS_CAN Mo'!K480+'[1]Soy Mo'!K555)</f>
        <v>0.83075455106737262</v>
      </c>
      <c r="L24" s="6">
        <f>'[1]RS_CAN Mo'!L480/('[1]RS_CAN Mo'!L480+'[1]Soy Mo'!L555)</f>
        <v>0.65445455759726767</v>
      </c>
      <c r="M24" s="6">
        <f>'[1]RS_CAN Mo'!M480/('[1]RS_CAN Mo'!M480+'[1]Soy Mo'!M555)</f>
        <v>0.87342235899690424</v>
      </c>
      <c r="N24" s="6">
        <f>'[1]RS_CAN Mo'!N480/('[1]RS_CAN Mo'!N480+'[1]Soy Mo'!N555)</f>
        <v>0.74301644514530307</v>
      </c>
      <c r="O24" s="6">
        <f>'[1]RS_CAN Mo'!O480/('[1]RS_CAN Mo'!O480+'[1]Soy Mo'!O555)</f>
        <v>0.54783471632778069</v>
      </c>
      <c r="P24" s="7">
        <f>'[1]RS_CAN Mo'!W480/('[1]RS_CAN Mo'!W480+'[1]Soy Mo'!W555)</f>
        <v>0.80707862750007686</v>
      </c>
      <c r="Q24" s="8"/>
    </row>
    <row r="25" spans="1:17" x14ac:dyDescent="0.25">
      <c r="A25" s="5" t="s">
        <v>16</v>
      </c>
      <c r="B25" s="5" t="s">
        <v>17</v>
      </c>
      <c r="C25" s="5" t="s">
        <v>41</v>
      </c>
      <c r="D25" s="6">
        <f>'[1]RS_CAN Mo'!D481/('[1]RS_CAN Mo'!D481+'[1]Soy Mo'!D556)</f>
        <v>0.76774979295561963</v>
      </c>
      <c r="E25" s="6">
        <f>'[1]RS_CAN Mo'!E481/('[1]RS_CAN Mo'!E481+'[1]Soy Mo'!E556)</f>
        <v>0.47156368558858636</v>
      </c>
      <c r="F25" s="6">
        <f>'[1]RS_CAN Mo'!F481/('[1]RS_CAN Mo'!F481+'[1]Soy Mo'!F556)</f>
        <v>0.91849126433956674</v>
      </c>
      <c r="G25" s="6">
        <f>'[1]RS_CAN Mo'!G481/('[1]RS_CAN Mo'!G481+'[1]Soy Mo'!G556)</f>
        <v>0.8182353278970943</v>
      </c>
      <c r="H25" s="6">
        <f>'[1]RS_CAN Mo'!H481/('[1]RS_CAN Mo'!H481+'[1]Soy Mo'!H556)</f>
        <v>0.73706028114216904</v>
      </c>
      <c r="I25" s="6">
        <f>'[1]RS_CAN Mo'!I481/('[1]RS_CAN Mo'!I481+'[1]Soy Mo'!I556)</f>
        <v>0.25646297353892983</v>
      </c>
      <c r="J25" s="6">
        <f>'[1]RS_CAN Mo'!J481/('[1]RS_CAN Mo'!J481+'[1]Soy Mo'!J556)</f>
        <v>0.69558524721384141</v>
      </c>
      <c r="K25" s="6">
        <f>'[1]RS_CAN Mo'!K481/('[1]RS_CAN Mo'!K481+'[1]Soy Mo'!K556)</f>
        <v>0.79643487254365153</v>
      </c>
      <c r="L25" s="6">
        <f>'[1]RS_CAN Mo'!L481/('[1]RS_CAN Mo'!L481+'[1]Soy Mo'!L556)</f>
        <v>0.87373621948697855</v>
      </c>
      <c r="M25" s="6">
        <f>'[1]RS_CAN Mo'!M481/('[1]RS_CAN Mo'!M481+'[1]Soy Mo'!M556)</f>
        <v>0.86293371743100389</v>
      </c>
      <c r="N25" s="6">
        <f>'[1]RS_CAN Mo'!N481/('[1]RS_CAN Mo'!N481+'[1]Soy Mo'!N556)</f>
        <v>0.82062224541329276</v>
      </c>
      <c r="O25" s="6">
        <f>'[1]RS_CAN Mo'!O481/('[1]RS_CAN Mo'!O481+'[1]Soy Mo'!O556)</f>
        <v>0.88279525807549042</v>
      </c>
      <c r="P25" s="7">
        <f>'[1]RS_CAN Mo'!W481/('[1]RS_CAN Mo'!W481+'[1]Soy Mo'!W556)</f>
        <v>0.77253901702992556</v>
      </c>
      <c r="Q25" s="8"/>
    </row>
    <row r="26" spans="1:17" x14ac:dyDescent="0.25">
      <c r="A26" s="5" t="s">
        <v>16</v>
      </c>
      <c r="B26" s="5" t="s">
        <v>17</v>
      </c>
      <c r="C26" s="5" t="s">
        <v>42</v>
      </c>
      <c r="D26" s="6">
        <f>'[1]RS_CAN Mo'!D482/('[1]RS_CAN Mo'!D482+'[1]Soy Mo'!D557)</f>
        <v>0.85257594215428145</v>
      </c>
      <c r="E26" s="6">
        <f>'[1]RS_CAN Mo'!E482/('[1]RS_CAN Mo'!E482+'[1]Soy Mo'!E557)</f>
        <v>0.87869810672905702</v>
      </c>
      <c r="F26" s="6">
        <f>'[1]RS_CAN Mo'!F482/('[1]RS_CAN Mo'!F482+'[1]Soy Mo'!F557)</f>
        <v>0.88515648705253724</v>
      </c>
      <c r="G26" s="6">
        <f>'[1]RS_CAN Mo'!G482/('[1]RS_CAN Mo'!G482+'[1]Soy Mo'!G557)</f>
        <v>0.83958434070194976</v>
      </c>
      <c r="H26" s="6">
        <f>'[1]RS_CAN Mo'!H482/('[1]RS_CAN Mo'!H482+'[1]Soy Mo'!H557)</f>
        <v>0.87576186258048305</v>
      </c>
      <c r="I26" s="6">
        <f>'[1]RS_CAN Mo'!I482/('[1]RS_CAN Mo'!I482+'[1]Soy Mo'!I557)</f>
        <v>0.85352473531517281</v>
      </c>
      <c r="J26" s="6">
        <f>'[1]RS_CAN Mo'!J482/('[1]RS_CAN Mo'!J482+'[1]Soy Mo'!J557)</f>
        <v>0.8437752583956224</v>
      </c>
      <c r="K26" s="6">
        <f>'[1]RS_CAN Mo'!K482/('[1]RS_CAN Mo'!K482+'[1]Soy Mo'!K557)</f>
        <v>0.70419810408202743</v>
      </c>
      <c r="L26" s="6">
        <f>'[1]RS_CAN Mo'!L482/('[1]RS_CAN Mo'!L482+'[1]Soy Mo'!L557)</f>
        <v>0.87620121244609828</v>
      </c>
      <c r="M26" s="6">
        <f>'[1]RS_CAN Mo'!M482/('[1]RS_CAN Mo'!M482+'[1]Soy Mo'!M557)</f>
        <v>0.87617368451692856</v>
      </c>
      <c r="N26" s="6">
        <f>'[1]RS_CAN Mo'!N482/('[1]RS_CAN Mo'!N482+'[1]Soy Mo'!N557)</f>
        <v>0.78155186629072815</v>
      </c>
      <c r="O26" s="6">
        <f>'[1]RS_CAN Mo'!O482/('[1]RS_CAN Mo'!O482+'[1]Soy Mo'!O557)</f>
        <v>0.84922644163150496</v>
      </c>
      <c r="P26" s="7">
        <f>'[1]RS_CAN Mo'!W482/('[1]RS_CAN Mo'!W482+'[1]Soy Mo'!W557)</f>
        <v>0.85685703150172432</v>
      </c>
      <c r="Q26" s="8"/>
    </row>
    <row r="27" spans="1:17" x14ac:dyDescent="0.25">
      <c r="A27" s="5" t="s">
        <v>16</v>
      </c>
      <c r="B27" s="5" t="s">
        <v>17</v>
      </c>
      <c r="C27" s="5" t="s">
        <v>43</v>
      </c>
      <c r="D27" s="6">
        <f>'[1]RS_CAN Mo'!D483/('[1]RS_CAN Mo'!D483+'[1]Soy Mo'!D558)</f>
        <v>0.76455313959565629</v>
      </c>
      <c r="E27" s="6">
        <f>'[1]RS_CAN Mo'!E483/('[1]RS_CAN Mo'!E483+'[1]Soy Mo'!E558)</f>
        <v>0.82515055875817211</v>
      </c>
      <c r="F27" s="6">
        <f>'[1]RS_CAN Mo'!F483/('[1]RS_CAN Mo'!F483+'[1]Soy Mo'!F558)</f>
        <v>0.78711043947876935</v>
      </c>
      <c r="G27" s="6">
        <f>'[1]RS_CAN Mo'!G483/('[1]RS_CAN Mo'!G483+'[1]Soy Mo'!G558)</f>
        <v>0.73959798342601213</v>
      </c>
      <c r="H27" s="6">
        <f>'[1]RS_CAN Mo'!H483/('[1]RS_CAN Mo'!H483+'[1]Soy Mo'!H558)</f>
        <v>0.79107339757418871</v>
      </c>
      <c r="I27" s="6">
        <f>'[1]RS_CAN Mo'!I483/('[1]RS_CAN Mo'!I483+'[1]Soy Mo'!I558)</f>
        <v>0.71348612056576655</v>
      </c>
      <c r="J27" s="6">
        <f>'[1]RS_CAN Mo'!J483/('[1]RS_CAN Mo'!J483+'[1]Soy Mo'!J558)</f>
        <v>0.8113280258668496</v>
      </c>
      <c r="K27" s="6">
        <f>'[1]RS_CAN Mo'!K483/('[1]RS_CAN Mo'!K483+'[1]Soy Mo'!K558)</f>
        <v>0.8429677978222988</v>
      </c>
      <c r="L27" s="6">
        <f>'[1]RS_CAN Mo'!L483/('[1]RS_CAN Mo'!L483+'[1]Soy Mo'!L558)</f>
        <v>0.86664031765873739</v>
      </c>
      <c r="M27" s="6">
        <f>'[1]RS_CAN Mo'!M483/('[1]RS_CAN Mo'!M483+'[1]Soy Mo'!M558)</f>
        <v>0.76809589672660217</v>
      </c>
      <c r="N27" s="6">
        <f>'[1]RS_CAN Mo'!N483/('[1]RS_CAN Mo'!N483+'[1]Soy Mo'!N558)</f>
        <v>0.87854523781759775</v>
      </c>
      <c r="O27" s="6">
        <f>'[1]RS_CAN Mo'!O483/('[1]RS_CAN Mo'!O483+'[1]Soy Mo'!O558)</f>
        <v>0.89185954084256791</v>
      </c>
      <c r="P27" s="7">
        <f>'[1]RS_CAN Mo'!W483/('[1]RS_CAN Mo'!W483+'[1]Soy Mo'!W558)</f>
        <v>0.80215679289172037</v>
      </c>
      <c r="Q27" s="8"/>
    </row>
    <row r="28" spans="1:17" x14ac:dyDescent="0.25">
      <c r="A28" s="5" t="s">
        <v>16</v>
      </c>
      <c r="B28" s="5" t="s">
        <v>17</v>
      </c>
      <c r="C28" s="5" t="s">
        <v>44</v>
      </c>
      <c r="D28" s="6">
        <f>'[1]RS_CAN Mo'!D484/('[1]RS_CAN Mo'!D484+'[1]Soy Mo'!D559)</f>
        <v>0.88403719630977329</v>
      </c>
      <c r="E28" s="6">
        <f>'[1]RS_CAN Mo'!E484/('[1]RS_CAN Mo'!E484+'[1]Soy Mo'!E559)</f>
        <v>0.9037532363077031</v>
      </c>
      <c r="F28" s="6">
        <f>'[1]RS_CAN Mo'!F484/('[1]RS_CAN Mo'!F484+'[1]Soy Mo'!F559)</f>
        <v>0.79726424140427776</v>
      </c>
      <c r="G28" s="6">
        <f>'[1]RS_CAN Mo'!G484/('[1]RS_CAN Mo'!G484+'[1]Soy Mo'!G559)</f>
        <v>0.81316676500708718</v>
      </c>
      <c r="H28" s="6">
        <f>'[1]RS_CAN Mo'!H484/('[1]RS_CAN Mo'!H484+'[1]Soy Mo'!H559)</f>
        <v>0.7272727272727274</v>
      </c>
      <c r="I28" s="6">
        <f>'[1]RS_CAN Mo'!I484/('[1]RS_CAN Mo'!I484+'[1]Soy Mo'!I559)</f>
        <v>0.74147285511459671</v>
      </c>
      <c r="J28" s="6">
        <f>'[1]RS_CAN Mo'!J484/('[1]RS_CAN Mo'!J484+'[1]Soy Mo'!J559)</f>
        <v>0.69291645503832933</v>
      </c>
      <c r="K28" s="6">
        <f>'[1]RS_CAN Mo'!K484/('[1]RS_CAN Mo'!K484+'[1]Soy Mo'!K559)</f>
        <v>0.54589892756909475</v>
      </c>
      <c r="L28" s="6">
        <f>'[1]RS_CAN Mo'!L484/('[1]RS_CAN Mo'!L484+'[1]Soy Mo'!L559)</f>
        <v>0.86900688461062781</v>
      </c>
      <c r="M28" s="6">
        <f>'[1]RS_CAN Mo'!M484/('[1]RS_CAN Mo'!M484+'[1]Soy Mo'!M559)</f>
        <v>0.84589700930197986</v>
      </c>
      <c r="N28" s="6">
        <f>'[1]RS_CAN Mo'!N484/('[1]RS_CAN Mo'!N484+'[1]Soy Mo'!N559)</f>
        <v>0.643622447080197</v>
      </c>
      <c r="O28" s="6">
        <f>'[1]RS_CAN Mo'!O484/('[1]RS_CAN Mo'!O484+'[1]Soy Mo'!O559)</f>
        <v>0.88749810754977754</v>
      </c>
      <c r="P28" s="7">
        <f>'[1]RS_CAN Mo'!W484/('[1]RS_CAN Mo'!W484+'[1]Soy Mo'!W559)</f>
        <v>0.81964853681709537</v>
      </c>
      <c r="Q28" s="8"/>
    </row>
    <row r="29" spans="1:17" x14ac:dyDescent="0.25">
      <c r="A29" s="5" t="s">
        <v>16</v>
      </c>
      <c r="B29" s="5" t="s">
        <v>17</v>
      </c>
      <c r="C29" s="5" t="s">
        <v>45</v>
      </c>
      <c r="D29" s="6">
        <f>'[1]RS_CAN Mo'!D485/('[1]RS_CAN Mo'!D485+'[1]Soy Mo'!D560)</f>
        <v>0.78357309197813274</v>
      </c>
      <c r="E29" s="6">
        <f>'[1]RS_CAN Mo'!E485/('[1]RS_CAN Mo'!E485+'[1]Soy Mo'!E560)</f>
        <v>0.87255605162360628</v>
      </c>
      <c r="F29" s="6">
        <f>'[1]RS_CAN Mo'!F485/('[1]RS_CAN Mo'!F485+'[1]Soy Mo'!F560)</f>
        <v>0.85514659178283692</v>
      </c>
      <c r="G29" s="6">
        <f>'[1]RS_CAN Mo'!G485/('[1]RS_CAN Mo'!G485+'[1]Soy Mo'!G560)</f>
        <v>0.71645476648769124</v>
      </c>
      <c r="H29" s="6">
        <f>'[1]RS_CAN Mo'!H485/('[1]RS_CAN Mo'!H485+'[1]Soy Mo'!H560)</f>
        <v>0.86870684426127343</v>
      </c>
      <c r="I29" s="6">
        <f>'[1]RS_CAN Mo'!I485/('[1]RS_CAN Mo'!I485+'[1]Soy Mo'!I560)</f>
        <v>0.71870111200372078</v>
      </c>
      <c r="J29" s="6">
        <f>'[1]RS_CAN Mo'!J485/('[1]RS_CAN Mo'!J485+'[1]Soy Mo'!J560)</f>
        <v>0.70030202754039061</v>
      </c>
      <c r="K29" s="6">
        <f>'[1]RS_CAN Mo'!K485/('[1]RS_CAN Mo'!K485+'[1]Soy Mo'!K560)</f>
        <v>0.7535823179917327</v>
      </c>
      <c r="L29" s="6">
        <f>'[1]RS_CAN Mo'!L485/('[1]RS_CAN Mo'!L485+'[1]Soy Mo'!L560)</f>
        <v>0.75395763394918258</v>
      </c>
      <c r="M29" s="6">
        <f>'[1]RS_CAN Mo'!M485/('[1]RS_CAN Mo'!M485+'[1]Soy Mo'!M560)</f>
        <v>0.88021620753782959</v>
      </c>
      <c r="N29" s="6">
        <f>'[1]RS_CAN Mo'!N485/('[1]RS_CAN Mo'!N485+'[1]Soy Mo'!N560)</f>
        <v>0.71951102970454728</v>
      </c>
      <c r="O29" s="6">
        <f>'[1]RS_CAN Mo'!O485/('[1]RS_CAN Mo'!O485+'[1]Soy Mo'!O560)</f>
        <v>0.64709444198874944</v>
      </c>
      <c r="P29" s="7">
        <f>'[1]RS_CAN Mo'!W485/('[1]RS_CAN Mo'!W485+'[1]Soy Mo'!W560)</f>
        <v>0.79627318418862536</v>
      </c>
      <c r="Q29" s="8"/>
    </row>
    <row r="30" spans="1:17" x14ac:dyDescent="0.25">
      <c r="A30" s="5" t="s">
        <v>16</v>
      </c>
      <c r="B30" s="5" t="s">
        <v>17</v>
      </c>
      <c r="C30" s="5" t="s">
        <v>46</v>
      </c>
      <c r="D30" s="6">
        <f>'[1]RS_CAN Mo'!D486/('[1]RS_CAN Mo'!D486+'[1]Soy Mo'!D561)</f>
        <v>0.79753074517507128</v>
      </c>
      <c r="E30" s="6">
        <f>'[1]RS_CAN Mo'!E486/('[1]RS_CAN Mo'!E486+'[1]Soy Mo'!E561)</f>
        <v>0.77563824690287686</v>
      </c>
      <c r="F30" s="6">
        <f>'[1]RS_CAN Mo'!F486/('[1]RS_CAN Mo'!F486+'[1]Soy Mo'!F561)</f>
        <v>0.75728864010162145</v>
      </c>
      <c r="G30" s="6">
        <f>'[1]RS_CAN Mo'!G486/('[1]RS_CAN Mo'!G486+'[1]Soy Mo'!G561)</f>
        <v>0.76432481042732958</v>
      </c>
      <c r="H30" s="6">
        <f>'[1]RS_CAN Mo'!H486/('[1]RS_CAN Mo'!H486+'[1]Soy Mo'!H561)</f>
        <v>0.75669205186814126</v>
      </c>
      <c r="I30" s="6">
        <f>'[1]RS_CAN Mo'!I486/('[1]RS_CAN Mo'!I486+'[1]Soy Mo'!I561)</f>
        <v>0.35963965654764685</v>
      </c>
      <c r="J30" s="6">
        <f>'[1]RS_CAN Mo'!J486/('[1]RS_CAN Mo'!J486+'[1]Soy Mo'!J561)</f>
        <v>0.71599611103221505</v>
      </c>
      <c r="K30" s="6">
        <f>'[1]RS_CAN Mo'!K486/('[1]RS_CAN Mo'!K486+'[1]Soy Mo'!K561)</f>
        <v>0.58547598562005176</v>
      </c>
      <c r="L30" s="6">
        <f>'[1]RS_CAN Mo'!L486/('[1]RS_CAN Mo'!L486+'[1]Soy Mo'!L561)</f>
        <v>0.50205316537590616</v>
      </c>
      <c r="M30" s="6">
        <f>'[1]RS_CAN Mo'!M486/('[1]RS_CAN Mo'!M486+'[1]Soy Mo'!M561)</f>
        <v>0.46971566251070446</v>
      </c>
      <c r="N30" s="6">
        <f>'[1]RS_CAN Mo'!N486/('[1]RS_CAN Mo'!N486+'[1]Soy Mo'!N561)</f>
        <v>0.3098370959598562</v>
      </c>
      <c r="O30" s="6">
        <f>'[1]RS_CAN Mo'!O486/('[1]RS_CAN Mo'!O486+'[1]Soy Mo'!O561)</f>
        <v>0.509936971851638</v>
      </c>
      <c r="P30" s="7">
        <f>'[1]RS_CAN Mo'!W486/('[1]RS_CAN Mo'!W486+'[1]Soy Mo'!W561)</f>
        <v>0.65319345173785615</v>
      </c>
      <c r="Q30" s="8"/>
    </row>
    <row r="31" spans="1:17" x14ac:dyDescent="0.25">
      <c r="A31" s="5" t="s">
        <v>16</v>
      </c>
      <c r="B31" s="5" t="s">
        <v>17</v>
      </c>
      <c r="C31" s="5" t="s">
        <v>47</v>
      </c>
      <c r="D31" s="6">
        <f>'[1]RS_CAN Mo'!D487/('[1]RS_CAN Mo'!D487+'[1]Soy Mo'!D562)</f>
        <v>0.65934858742755575</v>
      </c>
      <c r="E31" s="6">
        <f>'[1]RS_CAN Mo'!E487/('[1]RS_CAN Mo'!E487+'[1]Soy Mo'!E562)</f>
        <v>0.5154341465880582</v>
      </c>
      <c r="F31" s="6">
        <f>'[1]RS_CAN Mo'!F487/('[1]RS_CAN Mo'!F487+'[1]Soy Mo'!F562)</f>
        <v>0.30387381234557964</v>
      </c>
      <c r="G31" s="6">
        <f>'[1]RS_CAN Mo'!G487/('[1]RS_CAN Mo'!G487+'[1]Soy Mo'!G562)</f>
        <v>0.81880530187271239</v>
      </c>
      <c r="H31" s="6">
        <f>'[1]RS_CAN Mo'!H487/('[1]RS_CAN Mo'!H487+'[1]Soy Mo'!H562)</f>
        <v>0.79304838846121317</v>
      </c>
      <c r="I31" s="6">
        <f>'[1]RS_CAN Mo'!I487/('[1]RS_CAN Mo'!I487+'[1]Soy Mo'!I562)</f>
        <v>0.8641012329656067</v>
      </c>
      <c r="J31" s="6">
        <f>'[1]RS_CAN Mo'!J487/('[1]RS_CAN Mo'!J487+'[1]Soy Mo'!J562)</f>
        <v>0.82984079970381341</v>
      </c>
      <c r="K31" s="6">
        <f>'[1]RS_CAN Mo'!K487/('[1]RS_CAN Mo'!K487+'[1]Soy Mo'!K562)</f>
        <v>0.69202512694664409</v>
      </c>
      <c r="L31" s="6">
        <f>'[1]RS_CAN Mo'!L487/('[1]RS_CAN Mo'!L487+'[1]Soy Mo'!L562)</f>
        <v>0.89472024506712311</v>
      </c>
      <c r="M31" s="6">
        <f>'[1]RS_CAN Mo'!M487/('[1]RS_CAN Mo'!M487+'[1]Soy Mo'!M562)</f>
        <v>0.81218470507364238</v>
      </c>
      <c r="N31" s="6">
        <f>'[1]RS_CAN Mo'!N487/('[1]RS_CAN Mo'!N487+'[1]Soy Mo'!N562)</f>
        <v>0.77109371423339279</v>
      </c>
      <c r="O31" s="6">
        <f>'[1]RS_CAN Mo'!O487/('[1]RS_CAN Mo'!O487+'[1]Soy Mo'!O562)</f>
        <v>0.86646369147771274</v>
      </c>
      <c r="P31" s="7">
        <f>'[1]RS_CAN Mo'!W487/('[1]RS_CAN Mo'!W487+'[1]Soy Mo'!W562)</f>
        <v>0.63857512619375834</v>
      </c>
      <c r="Q31" s="8"/>
    </row>
    <row r="32" spans="1:17" x14ac:dyDescent="0.25">
      <c r="A32" s="5" t="s">
        <v>16</v>
      </c>
      <c r="B32" s="5" t="s">
        <v>17</v>
      </c>
      <c r="C32" s="5" t="s">
        <v>48</v>
      </c>
      <c r="D32" s="6">
        <f>'[1]RS_CAN Mo'!D488/('[1]RS_CAN Mo'!D488+'[1]Soy Mo'!D563)</f>
        <v>0.83083724287260918</v>
      </c>
      <c r="E32" s="6">
        <f>'[1]RS_CAN Mo'!E488/('[1]RS_CAN Mo'!E488+'[1]Soy Mo'!E563)</f>
        <v>0.88242625186648327</v>
      </c>
      <c r="F32" s="6">
        <f>'[1]RS_CAN Mo'!F488/('[1]RS_CAN Mo'!F488+'[1]Soy Mo'!F563)</f>
        <v>0.88180507292627008</v>
      </c>
      <c r="G32" s="6">
        <f>'[1]RS_CAN Mo'!G488/('[1]RS_CAN Mo'!G488+'[1]Soy Mo'!G563)</f>
        <v>0.92034696860475762</v>
      </c>
      <c r="H32" s="6">
        <f>'[1]RS_CAN Mo'!H488/('[1]RS_CAN Mo'!H488+'[1]Soy Mo'!H563)</f>
        <v>0.88704011205620881</v>
      </c>
      <c r="I32" s="6">
        <f>'[1]RS_CAN Mo'!I488/('[1]RS_CAN Mo'!I488+'[1]Soy Mo'!I563)</f>
        <v>0.92962429932193014</v>
      </c>
      <c r="J32" s="6">
        <f>'[1]RS_CAN Mo'!J488/('[1]RS_CAN Mo'!J488+'[1]Soy Mo'!J563)</f>
        <v>0.92188537459868602</v>
      </c>
      <c r="K32" s="6">
        <f>'[1]RS_CAN Mo'!K488/('[1]RS_CAN Mo'!K488+'[1]Soy Mo'!K563)</f>
        <v>0.91438686009528747</v>
      </c>
      <c r="L32" s="6">
        <f>'[1]RS_CAN Mo'!L488/('[1]RS_CAN Mo'!L488+'[1]Soy Mo'!L563)</f>
        <v>0.93568738926172335</v>
      </c>
      <c r="M32" s="6">
        <f>'[1]RS_CAN Mo'!M488/('[1]RS_CAN Mo'!M488+'[1]Soy Mo'!M563)</f>
        <v>0.94475183907315685</v>
      </c>
      <c r="N32" s="6">
        <f>'[1]RS_CAN Mo'!N488/('[1]RS_CAN Mo'!N488+'[1]Soy Mo'!N563)</f>
        <v>0.79640588522721101</v>
      </c>
      <c r="O32" s="6">
        <f>'[1]RS_CAN Mo'!O488/('[1]RS_CAN Mo'!O488+'[1]Soy Mo'!O563)</f>
        <v>0.86428655441656788</v>
      </c>
      <c r="P32" s="7">
        <f>'[1]RS_CAN Mo'!W488/('[1]RS_CAN Mo'!W488+'[1]Soy Mo'!W563)</f>
        <v>0.9032756446957293</v>
      </c>
      <c r="Q32" s="8"/>
    </row>
    <row r="33" spans="1:17" x14ac:dyDescent="0.25">
      <c r="A33" s="5" t="s">
        <v>16</v>
      </c>
      <c r="B33" s="5" t="s">
        <v>17</v>
      </c>
      <c r="C33" s="5" t="s">
        <v>49</v>
      </c>
      <c r="D33" s="6">
        <f>'[1]RS_CAN Mo'!D489/('[1]RS_CAN Mo'!D489+'[1]Soy Mo'!D564)</f>
        <v>0.86894221808014915</v>
      </c>
      <c r="E33" s="6">
        <f>'[1]RS_CAN Mo'!E489/('[1]RS_CAN Mo'!E489+'[1]Soy Mo'!E564)</f>
        <v>0.80334875224783286</v>
      </c>
      <c r="F33" s="6">
        <f>'[1]RS_CAN Mo'!F489/('[1]RS_CAN Mo'!F489+'[1]Soy Mo'!F564)</f>
        <v>0.80413279796298098</v>
      </c>
      <c r="G33" s="6">
        <f>'[1]RS_CAN Mo'!G489/('[1]RS_CAN Mo'!G489+'[1]Soy Mo'!G564)</f>
        <v>0.83664401463669624</v>
      </c>
      <c r="H33" s="6">
        <f>'[1]RS_CAN Mo'!H489/('[1]RS_CAN Mo'!H489+'[1]Soy Mo'!H564)</f>
        <v>0.80509060038592051</v>
      </c>
      <c r="I33" s="6">
        <f>'[1]RS_CAN Mo'!I489/('[1]RS_CAN Mo'!I489+'[1]Soy Mo'!I564)</f>
        <v>0.83125116014827394</v>
      </c>
      <c r="J33" s="6">
        <f>'[1]RS_CAN Mo'!J489/('[1]RS_CAN Mo'!J489+'[1]Soy Mo'!J564)</f>
        <v>0.83539877390375583</v>
      </c>
      <c r="K33" s="6">
        <f>'[1]RS_CAN Mo'!K489/('[1]RS_CAN Mo'!K489+'[1]Soy Mo'!K564)</f>
        <v>0.79368539774016733</v>
      </c>
      <c r="L33" s="6">
        <f>'[1]RS_CAN Mo'!L489/('[1]RS_CAN Mo'!L489+'[1]Soy Mo'!L564)</f>
        <v>0.85761048239986459</v>
      </c>
      <c r="M33" s="6">
        <f>'[1]RS_CAN Mo'!M489/('[1]RS_CAN Mo'!M489+'[1]Soy Mo'!M564)</f>
        <v>0.87924455392938217</v>
      </c>
      <c r="N33" s="6">
        <f>'[1]RS_CAN Mo'!N489/('[1]RS_CAN Mo'!N489+'[1]Soy Mo'!N564)</f>
        <v>0.7120826130955491</v>
      </c>
      <c r="O33" s="6">
        <f>'[1]RS_CAN Mo'!O489/('[1]RS_CAN Mo'!O489+'[1]Soy Mo'!O564)</f>
        <v>0.81729981303680865</v>
      </c>
      <c r="P33" s="7">
        <f>'[1]RS_CAN Mo'!W489/('[1]RS_CAN Mo'!W489+'[1]Soy Mo'!W564)</f>
        <v>0.83562563564708869</v>
      </c>
      <c r="Q33" s="8"/>
    </row>
    <row r="34" spans="1:17" x14ac:dyDescent="0.25">
      <c r="A34" s="5" t="s">
        <v>16</v>
      </c>
      <c r="B34" s="5" t="s">
        <v>17</v>
      </c>
      <c r="C34" s="5" t="s">
        <v>50</v>
      </c>
      <c r="D34" s="6">
        <f>'[1]RS_CAN Mo'!D490/('[1]RS_CAN Mo'!D490+'[1]Soy Mo'!D565)</f>
        <v>0.82031751633725958</v>
      </c>
      <c r="E34" s="6">
        <f>'[1]RS_CAN Mo'!E490/('[1]RS_CAN Mo'!E490+'[1]Soy Mo'!E565)</f>
        <v>0.79205299592751821</v>
      </c>
      <c r="F34" s="6">
        <f>'[1]RS_CAN Mo'!F490/('[1]RS_CAN Mo'!F490+'[1]Soy Mo'!F565)</f>
        <v>0.78163272973176046</v>
      </c>
      <c r="G34" s="6">
        <f>'[1]RS_CAN Mo'!G490/('[1]RS_CAN Mo'!G490+'[1]Soy Mo'!G565)</f>
        <v>0.83681490774778255</v>
      </c>
      <c r="H34" s="6">
        <f>'[1]RS_CAN Mo'!H490/('[1]RS_CAN Mo'!H490+'[1]Soy Mo'!H565)</f>
        <v>0.79285859592280383</v>
      </c>
      <c r="I34" s="6">
        <f>'[1]RS_CAN Mo'!I490/('[1]RS_CAN Mo'!I490+'[1]Soy Mo'!I565)</f>
        <v>0.85426075727991024</v>
      </c>
      <c r="J34" s="6">
        <f>'[1]RS_CAN Mo'!J490/('[1]RS_CAN Mo'!J490+'[1]Soy Mo'!J565)</f>
        <v>0.83711320223767927</v>
      </c>
      <c r="K34" s="6">
        <f>'[1]RS_CAN Mo'!K490/('[1]RS_CAN Mo'!K490+'[1]Soy Mo'!K565)</f>
        <v>0.80079467929014359</v>
      </c>
      <c r="L34" s="6">
        <f>'[1]RS_CAN Mo'!L490/('[1]RS_CAN Mo'!L490+'[1]Soy Mo'!L565)</f>
        <v>0.86400261270966261</v>
      </c>
      <c r="M34" s="6">
        <f>'[1]RS_CAN Mo'!M490/('[1]RS_CAN Mo'!M490+'[1]Soy Mo'!M565)</f>
        <v>0.89306141034751596</v>
      </c>
      <c r="N34" s="6">
        <f>'[1]RS_CAN Mo'!N490/('[1]RS_CAN Mo'!N490+'[1]Soy Mo'!N565)</f>
        <v>0.71787936966768406</v>
      </c>
      <c r="O34" s="6">
        <f>'[1]RS_CAN Mo'!O490/('[1]RS_CAN Mo'!O490+'[1]Soy Mo'!O565)</f>
        <v>0.82004218366017434</v>
      </c>
      <c r="P34" s="7">
        <f>'[1]RS_CAN Mo'!W490/('[1]RS_CAN Mo'!W490+'[1]Soy Mo'!W565)</f>
        <v>0.8277519535023381</v>
      </c>
    </row>
    <row r="35" spans="1:17" x14ac:dyDescent="0.25">
      <c r="A35" s="5" t="s">
        <v>16</v>
      </c>
      <c r="B35" s="5" t="s">
        <v>17</v>
      </c>
      <c r="C35" s="5" t="s">
        <v>51</v>
      </c>
      <c r="D35" s="6" t="e">
        <f>'[1]RS_CAN Mo'!D491/('[1]RS_CAN Mo'!D491+'[1]Soy Mo'!D566)</f>
        <v>#DIV/0!</v>
      </c>
      <c r="E35" s="6" t="e">
        <f>'[1]RS_CAN Mo'!E491/('[1]RS_CAN Mo'!E491+'[1]Soy Mo'!E566)</f>
        <v>#DIV/0!</v>
      </c>
      <c r="F35" s="6" t="e">
        <f>'[1]RS_CAN Mo'!F491/('[1]RS_CAN Mo'!F491+'[1]Soy Mo'!F566)</f>
        <v>#DIV/0!</v>
      </c>
      <c r="G35" s="6" t="e">
        <f>'[1]RS_CAN Mo'!G491/('[1]RS_CAN Mo'!G491+'[1]Soy Mo'!G566)</f>
        <v>#DIV/0!</v>
      </c>
      <c r="H35" s="6" t="e">
        <f>'[1]RS_CAN Mo'!H491/('[1]RS_CAN Mo'!H491+'[1]Soy Mo'!H566)</f>
        <v>#DIV/0!</v>
      </c>
      <c r="I35" s="6" t="e">
        <f>'[1]RS_CAN Mo'!I491/('[1]RS_CAN Mo'!I491+'[1]Soy Mo'!I566)</f>
        <v>#DIV/0!</v>
      </c>
      <c r="J35" s="6" t="e">
        <f>'[1]RS_CAN Mo'!J491/('[1]RS_CAN Mo'!J491+'[1]Soy Mo'!J566)</f>
        <v>#DIV/0!</v>
      </c>
      <c r="K35" s="6" t="e">
        <f>'[1]RS_CAN Mo'!K491/('[1]RS_CAN Mo'!K491+'[1]Soy Mo'!K566)</f>
        <v>#DIV/0!</v>
      </c>
      <c r="L35" s="6" t="e">
        <f>'[1]RS_CAN Mo'!L491/('[1]RS_CAN Mo'!L491+'[1]Soy Mo'!L566)</f>
        <v>#DIV/0!</v>
      </c>
      <c r="M35" s="6" t="e">
        <f>'[1]RS_CAN Mo'!M491/('[1]RS_CAN Mo'!M491+'[1]Soy Mo'!M566)</f>
        <v>#DIV/0!</v>
      </c>
      <c r="N35" s="6" t="e">
        <f>'[1]RS_CAN Mo'!N491/('[1]RS_CAN Mo'!N491+'[1]Soy Mo'!N566)</f>
        <v>#DIV/0!</v>
      </c>
      <c r="O35" s="6" t="e">
        <f>'[1]RS_CAN Mo'!O491/('[1]RS_CAN Mo'!O491+'[1]Soy Mo'!O566)</f>
        <v>#DIV/0!</v>
      </c>
      <c r="P35" s="7">
        <f>'[1]RS_CAN Mo'!W491/('[1]RS_CAN Mo'!W491+'[1]Soy Mo'!W566)</f>
        <v>0</v>
      </c>
    </row>
    <row r="36" spans="1:17" x14ac:dyDescent="0.25">
      <c r="A36" s="5" t="s">
        <v>16</v>
      </c>
      <c r="B36" s="5" t="s">
        <v>17</v>
      </c>
      <c r="C36" s="5" t="s">
        <v>52</v>
      </c>
      <c r="D36" s="6" t="e">
        <f>'[1]RS_CAN Mo'!D492/('[1]RS_CAN Mo'!D492+'[1]Soy Mo'!D567)</f>
        <v>#DIV/0!</v>
      </c>
      <c r="E36" s="6" t="e">
        <f>'[1]RS_CAN Mo'!E492/('[1]RS_CAN Mo'!E492+'[1]Soy Mo'!E567)</f>
        <v>#DIV/0!</v>
      </c>
      <c r="F36" s="6" t="e">
        <f>'[1]RS_CAN Mo'!F492/('[1]RS_CAN Mo'!F492+'[1]Soy Mo'!F567)</f>
        <v>#DIV/0!</v>
      </c>
      <c r="G36" s="6" t="e">
        <f>'[1]RS_CAN Mo'!G492/('[1]RS_CAN Mo'!G492+'[1]Soy Mo'!G567)</f>
        <v>#DIV/0!</v>
      </c>
      <c r="H36" s="6" t="e">
        <f>'[1]RS_CAN Mo'!H492/('[1]RS_CAN Mo'!H492+'[1]Soy Mo'!H567)</f>
        <v>#DIV/0!</v>
      </c>
      <c r="I36" s="6" t="e">
        <f>'[1]RS_CAN Mo'!I492/('[1]RS_CAN Mo'!I492+'[1]Soy Mo'!I567)</f>
        <v>#DIV/0!</v>
      </c>
      <c r="J36" s="6" t="e">
        <f>'[1]RS_CAN Mo'!J492/('[1]RS_CAN Mo'!J492+'[1]Soy Mo'!J567)</f>
        <v>#DIV/0!</v>
      </c>
      <c r="K36" s="6" t="e">
        <f>'[1]RS_CAN Mo'!K492/('[1]RS_CAN Mo'!K492+'[1]Soy Mo'!K567)</f>
        <v>#DIV/0!</v>
      </c>
      <c r="L36" s="6" t="e">
        <f>'[1]RS_CAN Mo'!L492/('[1]RS_CAN Mo'!L492+'[1]Soy Mo'!L567)</f>
        <v>#DIV/0!</v>
      </c>
      <c r="M36" s="6" t="e">
        <f>'[1]RS_CAN Mo'!M492/('[1]RS_CAN Mo'!M492+'[1]Soy Mo'!M567)</f>
        <v>#DIV/0!</v>
      </c>
      <c r="N36" s="6" t="e">
        <f>'[1]RS_CAN Mo'!N492/('[1]RS_CAN Mo'!N492+'[1]Soy Mo'!N567)</f>
        <v>#DIV/0!</v>
      </c>
      <c r="O36" s="6" t="e">
        <f>'[1]RS_CAN Mo'!O492/('[1]RS_CAN Mo'!O492+'[1]Soy Mo'!O567)</f>
        <v>#DIV/0!</v>
      </c>
      <c r="P36" s="7" t="e">
        <f>'[1]RS_CAN Mo'!W492/('[1]RS_CAN Mo'!W492+'[1]Soy Mo'!W567)</f>
        <v>#DIV/0!</v>
      </c>
    </row>
    <row r="37" spans="1:17" x14ac:dyDescent="0.25">
      <c r="A37" s="5" t="s">
        <v>16</v>
      </c>
      <c r="B37" s="5" t="s">
        <v>17</v>
      </c>
      <c r="C37" s="5" t="s">
        <v>53</v>
      </c>
      <c r="D37" s="6" t="e">
        <f>'[1]RS_CAN Mo'!D493/('[1]RS_CAN Mo'!D493+'[1]Soy Mo'!D568)</f>
        <v>#DIV/0!</v>
      </c>
      <c r="E37" s="6" t="e">
        <f>'[1]RS_CAN Mo'!E493/('[1]RS_CAN Mo'!E493+'[1]Soy Mo'!E568)</f>
        <v>#DIV/0!</v>
      </c>
      <c r="F37" s="6" t="e">
        <f>'[1]RS_CAN Mo'!F493/('[1]RS_CAN Mo'!F493+'[1]Soy Mo'!F568)</f>
        <v>#DIV/0!</v>
      </c>
      <c r="G37" s="6" t="e">
        <f>'[1]RS_CAN Mo'!G493/('[1]RS_CAN Mo'!G493+'[1]Soy Mo'!G568)</f>
        <v>#DIV/0!</v>
      </c>
      <c r="H37" s="6" t="e">
        <f>'[1]RS_CAN Mo'!H493/('[1]RS_CAN Mo'!H493+'[1]Soy Mo'!H568)</f>
        <v>#DIV/0!</v>
      </c>
      <c r="I37" s="6" t="e">
        <f>'[1]RS_CAN Mo'!I493/('[1]RS_CAN Mo'!I493+'[1]Soy Mo'!I568)</f>
        <v>#DIV/0!</v>
      </c>
      <c r="J37" s="6" t="e">
        <f>'[1]RS_CAN Mo'!J493/('[1]RS_CAN Mo'!J493+'[1]Soy Mo'!J568)</f>
        <v>#DIV/0!</v>
      </c>
      <c r="K37" s="6" t="e">
        <f>'[1]RS_CAN Mo'!K493/('[1]RS_CAN Mo'!K493+'[1]Soy Mo'!K568)</f>
        <v>#DIV/0!</v>
      </c>
      <c r="L37" s="6" t="e">
        <f>'[1]RS_CAN Mo'!L493/('[1]RS_CAN Mo'!L493+'[1]Soy Mo'!L568)</f>
        <v>#DIV/0!</v>
      </c>
      <c r="M37" s="6" t="e">
        <f>'[1]RS_CAN Mo'!M493/('[1]RS_CAN Mo'!M493+'[1]Soy Mo'!M568)</f>
        <v>#DIV/0!</v>
      </c>
      <c r="N37" s="6" t="e">
        <f>'[1]RS_CAN Mo'!N493/('[1]RS_CAN Mo'!N493+'[1]Soy Mo'!N568)</f>
        <v>#DIV/0!</v>
      </c>
      <c r="O37" s="6" t="e">
        <f>'[1]RS_CAN Mo'!O493/('[1]RS_CAN Mo'!O493+'[1]Soy Mo'!O568)</f>
        <v>#DIV/0!</v>
      </c>
      <c r="P37" s="7" t="e">
        <f>'[1]RS_CAN Mo'!W493/('[1]RS_CAN Mo'!W493+'[1]Soy Mo'!W568)</f>
        <v>#DIV/0!</v>
      </c>
    </row>
    <row r="38" spans="1:17" x14ac:dyDescent="0.25">
      <c r="A38" s="5" t="s">
        <v>16</v>
      </c>
      <c r="B38" s="5" t="s">
        <v>17</v>
      </c>
      <c r="C38" s="5" t="s">
        <v>54</v>
      </c>
      <c r="D38" s="6" t="e">
        <f>'[1]RS_CAN Mo'!D494/('[1]RS_CAN Mo'!D494+'[1]Soy Mo'!D569)</f>
        <v>#DIV/0!</v>
      </c>
      <c r="E38" s="6" t="e">
        <f>'[1]RS_CAN Mo'!E494/('[1]RS_CAN Mo'!E494+'[1]Soy Mo'!E569)</f>
        <v>#DIV/0!</v>
      </c>
      <c r="F38" s="6" t="e">
        <f>'[1]RS_CAN Mo'!F494/('[1]RS_CAN Mo'!F494+'[1]Soy Mo'!F569)</f>
        <v>#DIV/0!</v>
      </c>
      <c r="G38" s="6" t="e">
        <f>'[1]RS_CAN Mo'!G494/('[1]RS_CAN Mo'!G494+'[1]Soy Mo'!G569)</f>
        <v>#DIV/0!</v>
      </c>
      <c r="H38" s="6" t="e">
        <f>'[1]RS_CAN Mo'!H494/('[1]RS_CAN Mo'!H494+'[1]Soy Mo'!H569)</f>
        <v>#DIV/0!</v>
      </c>
      <c r="I38" s="6" t="e">
        <f>'[1]RS_CAN Mo'!I494/('[1]RS_CAN Mo'!I494+'[1]Soy Mo'!I569)</f>
        <v>#DIV/0!</v>
      </c>
      <c r="J38" s="6" t="e">
        <f>'[1]RS_CAN Mo'!J494/('[1]RS_CAN Mo'!J494+'[1]Soy Mo'!J569)</f>
        <v>#DIV/0!</v>
      </c>
      <c r="K38" s="6" t="e">
        <f>'[1]RS_CAN Mo'!K494/('[1]RS_CAN Mo'!K494+'[1]Soy Mo'!K569)</f>
        <v>#DIV/0!</v>
      </c>
      <c r="L38" s="6" t="e">
        <f>'[1]RS_CAN Mo'!L494/('[1]RS_CAN Mo'!L494+'[1]Soy Mo'!L569)</f>
        <v>#DIV/0!</v>
      </c>
      <c r="M38" s="6" t="e">
        <f>'[1]RS_CAN Mo'!M494/('[1]RS_CAN Mo'!M494+'[1]Soy Mo'!M569)</f>
        <v>#DIV/0!</v>
      </c>
      <c r="N38" s="6" t="e">
        <f>'[1]RS_CAN Mo'!N494/('[1]RS_CAN Mo'!N494+'[1]Soy Mo'!N569)</f>
        <v>#DIV/0!</v>
      </c>
      <c r="O38" s="6" t="e">
        <f>'[1]RS_CAN Mo'!O494/('[1]RS_CAN Mo'!O494+'[1]Soy Mo'!O569)</f>
        <v>#DIV/0!</v>
      </c>
      <c r="P38" s="7" t="e">
        <f>'[1]RS_CAN Mo'!W494/('[1]RS_CAN Mo'!W494+'[1]Soy Mo'!W569)</f>
        <v>#DIV/0!</v>
      </c>
    </row>
    <row r="39" spans="1:17" x14ac:dyDescent="0.25">
      <c r="A39" s="5" t="s">
        <v>16</v>
      </c>
      <c r="B39" s="5" t="s">
        <v>17</v>
      </c>
      <c r="C39" s="5" t="s">
        <v>55</v>
      </c>
      <c r="D39" s="6" t="e">
        <f>'[1]RS_CAN Mo'!D495/('[1]RS_CAN Mo'!D495+'[1]Soy Mo'!D570)</f>
        <v>#DIV/0!</v>
      </c>
      <c r="E39" s="6" t="e">
        <f>'[1]RS_CAN Mo'!E495/('[1]RS_CAN Mo'!E495+'[1]Soy Mo'!E570)</f>
        <v>#DIV/0!</v>
      </c>
      <c r="F39" s="6" t="e">
        <f>'[1]RS_CAN Mo'!F495/('[1]RS_CAN Mo'!F495+'[1]Soy Mo'!F570)</f>
        <v>#DIV/0!</v>
      </c>
      <c r="G39" s="6" t="e">
        <f>'[1]RS_CAN Mo'!G495/('[1]RS_CAN Mo'!G495+'[1]Soy Mo'!G570)</f>
        <v>#DIV/0!</v>
      </c>
      <c r="H39" s="6" t="e">
        <f>'[1]RS_CAN Mo'!H495/('[1]RS_CAN Mo'!H495+'[1]Soy Mo'!H570)</f>
        <v>#DIV/0!</v>
      </c>
      <c r="I39" s="6" t="e">
        <f>'[1]RS_CAN Mo'!I495/('[1]RS_CAN Mo'!I495+'[1]Soy Mo'!I570)</f>
        <v>#DIV/0!</v>
      </c>
      <c r="J39" s="6" t="e">
        <f>'[1]RS_CAN Mo'!J495/('[1]RS_CAN Mo'!J495+'[1]Soy Mo'!J570)</f>
        <v>#DIV/0!</v>
      </c>
      <c r="K39" s="6" t="e">
        <f>'[1]RS_CAN Mo'!K495/('[1]RS_CAN Mo'!K495+'[1]Soy Mo'!K570)</f>
        <v>#DIV/0!</v>
      </c>
      <c r="L39" s="6" t="e">
        <f>'[1]RS_CAN Mo'!L495/('[1]RS_CAN Mo'!L495+'[1]Soy Mo'!L570)</f>
        <v>#DIV/0!</v>
      </c>
      <c r="M39" s="6" t="e">
        <f>'[1]RS_CAN Mo'!M495/('[1]RS_CAN Mo'!M495+'[1]Soy Mo'!M570)</f>
        <v>#DIV/0!</v>
      </c>
      <c r="N39" s="6" t="e">
        <f>'[1]RS_CAN Mo'!N495/('[1]RS_CAN Mo'!N495+'[1]Soy Mo'!N570)</f>
        <v>#DIV/0!</v>
      </c>
      <c r="O39" s="6" t="e">
        <f>'[1]RS_CAN Mo'!O495/('[1]RS_CAN Mo'!O495+'[1]Soy Mo'!O570)</f>
        <v>#DIV/0!</v>
      </c>
      <c r="P39" s="7" t="e">
        <f>'[1]RS_CAN Mo'!W495/('[1]RS_CAN Mo'!W495+'[1]Soy Mo'!W570)</f>
        <v>#DIV/0!</v>
      </c>
    </row>
  </sheetData>
  <conditionalFormatting sqref="D2:O32">
    <cfRule type="colorScale" priority="3">
      <colorScale>
        <cfvo type="min"/>
        <cfvo type="max"/>
        <color rgb="FF63BE7B"/>
        <color rgb="FFFCFCFF"/>
      </colorScale>
    </cfRule>
  </conditionalFormatting>
  <conditionalFormatting sqref="P6:P34">
    <cfRule type="colorScale" priority="1">
      <colorScale>
        <cfvo type="min"/>
        <cfvo type="max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A912-4036-4D26-A71D-E192E9903B4D}">
  <sheetPr>
    <tabColor theme="8" tint="0.39997558519241921"/>
  </sheetPr>
  <dimension ref="A1:B86"/>
  <sheetViews>
    <sheetView topLeftCell="A51" workbookViewId="0">
      <selection activeCell="P34" sqref="P34"/>
    </sheetView>
  </sheetViews>
  <sheetFormatPr defaultRowHeight="15" x14ac:dyDescent="0.25"/>
  <cols>
    <col min="1" max="1" width="21.28515625" customWidth="1"/>
    <col min="2" max="2" width="37" style="9" bestFit="1" customWidth="1"/>
    <col min="3" max="3" width="8.85546875" customWidth="1"/>
  </cols>
  <sheetData>
    <row r="1" spans="1:2" x14ac:dyDescent="0.25">
      <c r="A1" t="s">
        <v>0</v>
      </c>
      <c r="B1" s="9" t="s">
        <v>56</v>
      </c>
    </row>
    <row r="2" spans="1:2" x14ac:dyDescent="0.25">
      <c r="A2" t="s">
        <v>57</v>
      </c>
      <c r="B2" s="9" t="s">
        <v>58</v>
      </c>
    </row>
    <row r="3" spans="1:2" x14ac:dyDescent="0.25">
      <c r="A3" t="s">
        <v>57</v>
      </c>
      <c r="B3" s="9" t="s">
        <v>59</v>
      </c>
    </row>
    <row r="4" spans="1:2" x14ac:dyDescent="0.25">
      <c r="A4" t="s">
        <v>57</v>
      </c>
    </row>
    <row r="5" spans="1:2" x14ac:dyDescent="0.25">
      <c r="A5" t="s">
        <v>57</v>
      </c>
    </row>
    <row r="6" spans="1:2" x14ac:dyDescent="0.25">
      <c r="A6" t="s">
        <v>57</v>
      </c>
      <c r="B6" s="9" t="s">
        <v>60</v>
      </c>
    </row>
    <row r="7" spans="1:2" x14ac:dyDescent="0.25">
      <c r="A7" t="s">
        <v>57</v>
      </c>
      <c r="B7" s="9" t="s">
        <v>61</v>
      </c>
    </row>
    <row r="8" spans="1:2" x14ac:dyDescent="0.25">
      <c r="A8" t="s">
        <v>57</v>
      </c>
      <c r="B8" s="9" t="s">
        <v>62</v>
      </c>
    </row>
    <row r="9" spans="1:2" x14ac:dyDescent="0.25">
      <c r="A9" t="s">
        <v>57</v>
      </c>
      <c r="B9" s="9" t="s">
        <v>63</v>
      </c>
    </row>
    <row r="10" spans="1:2" x14ac:dyDescent="0.25">
      <c r="A10" t="s">
        <v>57</v>
      </c>
    </row>
    <row r="11" spans="1:2" x14ac:dyDescent="0.25">
      <c r="A11" t="s">
        <v>57</v>
      </c>
      <c r="B11" s="9" t="s">
        <v>64</v>
      </c>
    </row>
    <row r="12" spans="1:2" x14ac:dyDescent="0.25">
      <c r="A12" t="s">
        <v>57</v>
      </c>
      <c r="B12" s="9" t="s">
        <v>65</v>
      </c>
    </row>
    <row r="13" spans="1:2" ht="15" customHeight="1" thickBot="1" x14ac:dyDescent="0.3">
      <c r="A13" t="s">
        <v>57</v>
      </c>
      <c r="B13" s="10" t="s">
        <v>66</v>
      </c>
    </row>
    <row r="14" spans="1:2" x14ac:dyDescent="0.25">
      <c r="A14" t="s">
        <v>57</v>
      </c>
      <c r="B14" s="9" t="s">
        <v>67</v>
      </c>
    </row>
    <row r="15" spans="1:2" x14ac:dyDescent="0.25">
      <c r="A15" t="s">
        <v>57</v>
      </c>
    </row>
    <row r="16" spans="1:2" x14ac:dyDescent="0.25">
      <c r="A16" t="s">
        <v>57</v>
      </c>
      <c r="B16" s="9" t="s">
        <v>68</v>
      </c>
    </row>
    <row r="17" spans="1:2" x14ac:dyDescent="0.25">
      <c r="A17" t="s">
        <v>57</v>
      </c>
      <c r="B17" s="9" t="s">
        <v>69</v>
      </c>
    </row>
    <row r="18" spans="1:2" ht="15" customHeight="1" thickBot="1" x14ac:dyDescent="0.3">
      <c r="A18" t="s">
        <v>57</v>
      </c>
      <c r="B18" s="10" t="s">
        <v>70</v>
      </c>
    </row>
    <row r="19" spans="1:2" x14ac:dyDescent="0.25">
      <c r="A19" t="s">
        <v>57</v>
      </c>
      <c r="B19" s="9" t="s">
        <v>71</v>
      </c>
    </row>
    <row r="20" spans="1:2" ht="15" customHeight="1" thickBot="1" x14ac:dyDescent="0.3">
      <c r="A20" t="s">
        <v>57</v>
      </c>
      <c r="B20" s="10"/>
    </row>
    <row r="21" spans="1:2" x14ac:dyDescent="0.25">
      <c r="A21" t="s">
        <v>57</v>
      </c>
      <c r="B21" s="9" t="s">
        <v>72</v>
      </c>
    </row>
    <row r="22" spans="1:2" x14ac:dyDescent="0.25">
      <c r="A22" t="s">
        <v>57</v>
      </c>
      <c r="B22" s="9" t="s">
        <v>73</v>
      </c>
    </row>
    <row r="23" spans="1:2" x14ac:dyDescent="0.25">
      <c r="A23" t="s">
        <v>57</v>
      </c>
      <c r="B23" s="9" t="s">
        <v>74</v>
      </c>
    </row>
    <row r="24" spans="1:2" x14ac:dyDescent="0.25">
      <c r="A24" t="s">
        <v>57</v>
      </c>
      <c r="B24" s="9" t="s">
        <v>75</v>
      </c>
    </row>
    <row r="25" spans="1:2" x14ac:dyDescent="0.25">
      <c r="A25" t="s">
        <v>76</v>
      </c>
      <c r="B25" s="9" t="s">
        <v>58</v>
      </c>
    </row>
    <row r="26" spans="1:2" x14ac:dyDescent="0.25">
      <c r="A26" t="s">
        <v>76</v>
      </c>
      <c r="B26" s="9" t="s">
        <v>59</v>
      </c>
    </row>
    <row r="27" spans="1:2" x14ac:dyDescent="0.25">
      <c r="A27" t="s">
        <v>76</v>
      </c>
    </row>
    <row r="28" spans="1:2" x14ac:dyDescent="0.25">
      <c r="A28" t="s">
        <v>76</v>
      </c>
    </row>
    <row r="29" spans="1:2" x14ac:dyDescent="0.25">
      <c r="A29" t="s">
        <v>76</v>
      </c>
    </row>
    <row r="30" spans="1:2" x14ac:dyDescent="0.25">
      <c r="A30" t="s">
        <v>76</v>
      </c>
      <c r="B30" s="9" t="s">
        <v>60</v>
      </c>
    </row>
    <row r="31" spans="1:2" x14ac:dyDescent="0.25">
      <c r="A31" t="s">
        <v>76</v>
      </c>
      <c r="B31" s="9" t="s">
        <v>61</v>
      </c>
    </row>
    <row r="32" spans="1:2" x14ac:dyDescent="0.25">
      <c r="A32" t="s">
        <v>76</v>
      </c>
      <c r="B32" s="9" t="s">
        <v>62</v>
      </c>
    </row>
    <row r="33" spans="1:2" x14ac:dyDescent="0.25">
      <c r="A33" t="s">
        <v>76</v>
      </c>
      <c r="B33" s="9" t="s">
        <v>63</v>
      </c>
    </row>
    <row r="34" spans="1:2" x14ac:dyDescent="0.25">
      <c r="A34" t="s">
        <v>76</v>
      </c>
    </row>
    <row r="35" spans="1:2" x14ac:dyDescent="0.25">
      <c r="A35" t="s">
        <v>76</v>
      </c>
      <c r="B35" s="9" t="s">
        <v>64</v>
      </c>
    </row>
    <row r="36" spans="1:2" x14ac:dyDescent="0.25">
      <c r="A36" t="s">
        <v>76</v>
      </c>
      <c r="B36" s="9" t="s">
        <v>65</v>
      </c>
    </row>
    <row r="37" spans="1:2" ht="15" customHeight="1" thickBot="1" x14ac:dyDescent="0.3">
      <c r="A37" t="s">
        <v>76</v>
      </c>
      <c r="B37" s="10" t="s">
        <v>66</v>
      </c>
    </row>
    <row r="38" spans="1:2" x14ac:dyDescent="0.25">
      <c r="A38" t="s">
        <v>76</v>
      </c>
      <c r="B38" s="9" t="s">
        <v>67</v>
      </c>
    </row>
    <row r="39" spans="1:2" x14ac:dyDescent="0.25">
      <c r="A39" t="s">
        <v>76</v>
      </c>
    </row>
    <row r="40" spans="1:2" x14ac:dyDescent="0.25">
      <c r="A40" t="s">
        <v>76</v>
      </c>
      <c r="B40" s="9" t="s">
        <v>77</v>
      </c>
    </row>
    <row r="41" spans="1:2" x14ac:dyDescent="0.25">
      <c r="A41" t="s">
        <v>76</v>
      </c>
      <c r="B41" s="9" t="s">
        <v>69</v>
      </c>
    </row>
    <row r="42" spans="1:2" ht="15" customHeight="1" thickBot="1" x14ac:dyDescent="0.3">
      <c r="A42" t="s">
        <v>76</v>
      </c>
      <c r="B42" s="10" t="s">
        <v>70</v>
      </c>
    </row>
    <row r="43" spans="1:2" x14ac:dyDescent="0.25">
      <c r="A43" t="s">
        <v>76</v>
      </c>
      <c r="B43" s="9" t="s">
        <v>71</v>
      </c>
    </row>
    <row r="44" spans="1:2" ht="15" customHeight="1" thickBot="1" x14ac:dyDescent="0.3">
      <c r="A44" t="s">
        <v>76</v>
      </c>
      <c r="B44" s="10"/>
    </row>
    <row r="45" spans="1:2" x14ac:dyDescent="0.25">
      <c r="A45" t="s">
        <v>76</v>
      </c>
      <c r="B45" s="9" t="s">
        <v>72</v>
      </c>
    </row>
    <row r="46" spans="1:2" x14ac:dyDescent="0.25">
      <c r="A46" t="s">
        <v>76</v>
      </c>
      <c r="B46" s="9" t="s">
        <v>73</v>
      </c>
    </row>
    <row r="47" spans="1:2" x14ac:dyDescent="0.25">
      <c r="A47" t="s">
        <v>76</v>
      </c>
      <c r="B47" s="9" t="s">
        <v>74</v>
      </c>
    </row>
    <row r="48" spans="1:2" x14ac:dyDescent="0.25">
      <c r="A48" t="s">
        <v>76</v>
      </c>
      <c r="B48" s="9" t="s">
        <v>75</v>
      </c>
    </row>
    <row r="49" spans="1:2" x14ac:dyDescent="0.25">
      <c r="A49" s="11" t="s">
        <v>78</v>
      </c>
      <c r="B49" s="9" t="s">
        <v>58</v>
      </c>
    </row>
    <row r="50" spans="1:2" x14ac:dyDescent="0.25">
      <c r="A50" s="11" t="s">
        <v>78</v>
      </c>
      <c r="B50" s="9" t="s">
        <v>79</v>
      </c>
    </row>
    <row r="51" spans="1:2" x14ac:dyDescent="0.25">
      <c r="A51" s="11" t="s">
        <v>78</v>
      </c>
      <c r="B51" s="12" t="s">
        <v>77</v>
      </c>
    </row>
    <row r="52" spans="1:2" x14ac:dyDescent="0.25">
      <c r="A52" s="11" t="s">
        <v>78</v>
      </c>
      <c r="B52" s="13" t="s">
        <v>63</v>
      </c>
    </row>
    <row r="53" spans="1:2" x14ac:dyDescent="0.25">
      <c r="A53" s="11" t="s">
        <v>78</v>
      </c>
      <c r="B53" s="12"/>
    </row>
    <row r="54" spans="1:2" x14ac:dyDescent="0.25">
      <c r="A54" s="11" t="s">
        <v>78</v>
      </c>
      <c r="B54" s="12" t="s">
        <v>64</v>
      </c>
    </row>
    <row r="55" spans="1:2" x14ac:dyDescent="0.25">
      <c r="A55" s="11" t="s">
        <v>78</v>
      </c>
      <c r="B55" s="12" t="s">
        <v>65</v>
      </c>
    </row>
    <row r="56" spans="1:2" ht="15" customHeight="1" thickBot="1" x14ac:dyDescent="0.3">
      <c r="A56" s="11" t="s">
        <v>78</v>
      </c>
      <c r="B56" s="14" t="s">
        <v>66</v>
      </c>
    </row>
    <row r="57" spans="1:2" ht="15" customHeight="1" thickTop="1" x14ac:dyDescent="0.25">
      <c r="A57" s="11" t="s">
        <v>78</v>
      </c>
      <c r="B57" s="15" t="s">
        <v>67</v>
      </c>
    </row>
    <row r="58" spans="1:2" x14ac:dyDescent="0.25">
      <c r="A58" s="11" t="s">
        <v>78</v>
      </c>
      <c r="B58" s="12"/>
    </row>
    <row r="59" spans="1:2" x14ac:dyDescent="0.25">
      <c r="A59" s="11" t="s">
        <v>78</v>
      </c>
      <c r="B59" s="12" t="s">
        <v>80</v>
      </c>
    </row>
    <row r="60" spans="1:2" x14ac:dyDescent="0.25">
      <c r="A60" s="11" t="s">
        <v>78</v>
      </c>
      <c r="B60" s="16" t="s">
        <v>81</v>
      </c>
    </row>
    <row r="61" spans="1:2" x14ac:dyDescent="0.25">
      <c r="A61" s="11" t="s">
        <v>78</v>
      </c>
      <c r="B61" s="16" t="s">
        <v>82</v>
      </c>
    </row>
    <row r="62" spans="1:2" ht="15" customHeight="1" thickBot="1" x14ac:dyDescent="0.3">
      <c r="A62" s="11" t="s">
        <v>78</v>
      </c>
      <c r="B62" s="17" t="s">
        <v>70</v>
      </c>
    </row>
    <row r="63" spans="1:2" ht="15" customHeight="1" thickTop="1" x14ac:dyDescent="0.25">
      <c r="A63" s="11" t="s">
        <v>78</v>
      </c>
      <c r="B63" s="9" t="s">
        <v>71</v>
      </c>
    </row>
    <row r="64" spans="1:2" ht="15" customHeight="1" thickBot="1" x14ac:dyDescent="0.3">
      <c r="A64" s="11" t="s">
        <v>78</v>
      </c>
      <c r="B64" s="18"/>
    </row>
    <row r="65" spans="1:2" x14ac:dyDescent="0.25">
      <c r="A65" s="11" t="s">
        <v>78</v>
      </c>
      <c r="B65" s="9" t="s">
        <v>72</v>
      </c>
    </row>
    <row r="66" spans="1:2" x14ac:dyDescent="0.25">
      <c r="A66" s="11" t="s">
        <v>78</v>
      </c>
      <c r="B66" s="9" t="s">
        <v>73</v>
      </c>
    </row>
    <row r="67" spans="1:2" x14ac:dyDescent="0.25">
      <c r="A67" s="11" t="s">
        <v>78</v>
      </c>
      <c r="B67" s="9" t="s">
        <v>74</v>
      </c>
    </row>
    <row r="68" spans="1:2" x14ac:dyDescent="0.25">
      <c r="A68" t="s">
        <v>83</v>
      </c>
      <c r="B68" s="9" t="s">
        <v>58</v>
      </c>
    </row>
    <row r="69" spans="1:2" x14ac:dyDescent="0.25">
      <c r="A69" t="s">
        <v>83</v>
      </c>
      <c r="B69" s="9" t="s">
        <v>79</v>
      </c>
    </row>
    <row r="70" spans="1:2" x14ac:dyDescent="0.25">
      <c r="A70" t="s">
        <v>83</v>
      </c>
      <c r="B70" s="12" t="s">
        <v>77</v>
      </c>
    </row>
    <row r="71" spans="1:2" x14ac:dyDescent="0.25">
      <c r="A71" t="s">
        <v>83</v>
      </c>
      <c r="B71" s="13" t="s">
        <v>63</v>
      </c>
    </row>
    <row r="72" spans="1:2" x14ac:dyDescent="0.25">
      <c r="A72" t="s">
        <v>83</v>
      </c>
      <c r="B72" s="12"/>
    </row>
    <row r="73" spans="1:2" x14ac:dyDescent="0.25">
      <c r="A73" t="s">
        <v>83</v>
      </c>
      <c r="B73" s="12" t="s">
        <v>64</v>
      </c>
    </row>
    <row r="74" spans="1:2" x14ac:dyDescent="0.25">
      <c r="A74" t="s">
        <v>83</v>
      </c>
      <c r="B74" s="12" t="s">
        <v>65</v>
      </c>
    </row>
    <row r="75" spans="1:2" ht="15" customHeight="1" thickBot="1" x14ac:dyDescent="0.3">
      <c r="A75" t="s">
        <v>83</v>
      </c>
      <c r="B75" s="14" t="s">
        <v>66</v>
      </c>
    </row>
    <row r="76" spans="1:2" ht="15" customHeight="1" thickTop="1" x14ac:dyDescent="0.25">
      <c r="A76" t="s">
        <v>83</v>
      </c>
      <c r="B76" s="15" t="s">
        <v>67</v>
      </c>
    </row>
    <row r="77" spans="1:2" x14ac:dyDescent="0.25">
      <c r="A77" t="s">
        <v>83</v>
      </c>
      <c r="B77" s="12"/>
    </row>
    <row r="78" spans="1:2" x14ac:dyDescent="0.25">
      <c r="A78" t="s">
        <v>83</v>
      </c>
      <c r="B78" s="12"/>
    </row>
    <row r="79" spans="1:2" x14ac:dyDescent="0.25">
      <c r="A79" t="s">
        <v>83</v>
      </c>
      <c r="B79" s="16"/>
    </row>
    <row r="80" spans="1:2" x14ac:dyDescent="0.25">
      <c r="A80" t="s">
        <v>83</v>
      </c>
      <c r="B80" s="19" t="s">
        <v>84</v>
      </c>
    </row>
    <row r="81" spans="1:2" ht="15" customHeight="1" thickBot="1" x14ac:dyDescent="0.3">
      <c r="A81" t="s">
        <v>83</v>
      </c>
      <c r="B81" s="17" t="s">
        <v>70</v>
      </c>
    </row>
    <row r="82" spans="1:2" ht="15" customHeight="1" thickTop="1" x14ac:dyDescent="0.25">
      <c r="A82" t="s">
        <v>83</v>
      </c>
      <c r="B82" s="9" t="s">
        <v>71</v>
      </c>
    </row>
    <row r="83" spans="1:2" ht="15" customHeight="1" thickBot="1" x14ac:dyDescent="0.3">
      <c r="A83" t="s">
        <v>83</v>
      </c>
      <c r="B83" s="18"/>
    </row>
    <row r="84" spans="1:2" x14ac:dyDescent="0.25">
      <c r="A84" t="s">
        <v>83</v>
      </c>
      <c r="B84" s="9" t="s">
        <v>72</v>
      </c>
    </row>
    <row r="85" spans="1:2" x14ac:dyDescent="0.25">
      <c r="A85" t="s">
        <v>83</v>
      </c>
      <c r="B85" s="9" t="s">
        <v>73</v>
      </c>
    </row>
    <row r="86" spans="1:2" x14ac:dyDescent="0.25">
      <c r="A86" t="s">
        <v>83</v>
      </c>
      <c r="B86" s="9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587E-3516-466D-9EF5-BC043C0BA870}">
  <sheetPr>
    <tabColor theme="5" tint="0.79998168889431442"/>
  </sheetPr>
  <dimension ref="A1:D361"/>
  <sheetViews>
    <sheetView workbookViewId="0">
      <selection activeCell="P34" sqref="P34"/>
    </sheetView>
  </sheetViews>
  <sheetFormatPr defaultRowHeight="17.45" customHeight="1" x14ac:dyDescent="0.25"/>
  <cols>
    <col min="1" max="1" width="10.28515625" style="32" bestFit="1" customWidth="1"/>
    <col min="2" max="2" width="14.7109375" customWidth="1"/>
    <col min="3" max="3" width="18.28515625" customWidth="1"/>
    <col min="4" max="4" width="19.28515625" customWidth="1"/>
  </cols>
  <sheetData>
    <row r="1" spans="1:4" ht="17.45" customHeight="1" thickBot="1" x14ac:dyDescent="0.3">
      <c r="A1" s="20" t="s">
        <v>85</v>
      </c>
      <c r="B1" s="21" t="s">
        <v>86</v>
      </c>
      <c r="C1" s="21" t="s">
        <v>87</v>
      </c>
      <c r="D1" s="22" t="s">
        <v>88</v>
      </c>
    </row>
    <row r="2" spans="1:4" ht="17.45" customHeight="1" x14ac:dyDescent="0.25">
      <c r="A2" s="23" t="s">
        <v>89</v>
      </c>
      <c r="B2" s="24" t="s">
        <v>90</v>
      </c>
      <c r="C2" s="24" t="s">
        <v>19</v>
      </c>
      <c r="D2" s="25" t="s">
        <v>19</v>
      </c>
    </row>
    <row r="3" spans="1:4" ht="17.45" customHeight="1" x14ac:dyDescent="0.25">
      <c r="A3" s="26" t="s">
        <v>91</v>
      </c>
      <c r="B3" s="27" t="s">
        <v>92</v>
      </c>
      <c r="C3" s="27" t="s">
        <v>19</v>
      </c>
      <c r="D3" s="28" t="s">
        <v>19</v>
      </c>
    </row>
    <row r="4" spans="1:4" ht="17.45" customHeight="1" x14ac:dyDescent="0.25">
      <c r="A4" s="26" t="s">
        <v>93</v>
      </c>
      <c r="B4" s="27" t="s">
        <v>94</v>
      </c>
      <c r="C4" s="27" t="s">
        <v>19</v>
      </c>
      <c r="D4" s="28" t="s">
        <v>19</v>
      </c>
    </row>
    <row r="5" spans="1:4" ht="17.45" customHeight="1" x14ac:dyDescent="0.25">
      <c r="A5" s="26" t="s">
        <v>95</v>
      </c>
      <c r="B5" s="27" t="s">
        <v>96</v>
      </c>
      <c r="C5" s="27" t="s">
        <v>19</v>
      </c>
      <c r="D5" s="28" t="s">
        <v>19</v>
      </c>
    </row>
    <row r="6" spans="1:4" ht="17.45" customHeight="1" x14ac:dyDescent="0.25">
      <c r="A6" s="26" t="s">
        <v>97</v>
      </c>
      <c r="B6" s="27" t="s">
        <v>98</v>
      </c>
      <c r="C6" s="27" t="s">
        <v>19</v>
      </c>
      <c r="D6" s="28" t="s">
        <v>19</v>
      </c>
    </row>
    <row r="7" spans="1:4" ht="17.45" customHeight="1" x14ac:dyDescent="0.25">
      <c r="A7" s="26" t="s">
        <v>99</v>
      </c>
      <c r="B7" s="27" t="s">
        <v>100</v>
      </c>
      <c r="C7" s="27" t="s">
        <v>19</v>
      </c>
      <c r="D7" s="28" t="s">
        <v>19</v>
      </c>
    </row>
    <row r="8" spans="1:4" ht="17.45" customHeight="1" x14ac:dyDescent="0.25">
      <c r="A8" s="26" t="s">
        <v>101</v>
      </c>
      <c r="B8" s="27" t="s">
        <v>102</v>
      </c>
      <c r="C8" s="27" t="s">
        <v>19</v>
      </c>
      <c r="D8" s="28" t="s">
        <v>19</v>
      </c>
    </row>
    <row r="9" spans="1:4" ht="17.45" customHeight="1" x14ac:dyDescent="0.25">
      <c r="A9" s="26" t="s">
        <v>103</v>
      </c>
      <c r="B9" s="27" t="s">
        <v>104</v>
      </c>
      <c r="C9" s="27" t="s">
        <v>19</v>
      </c>
      <c r="D9" s="28" t="s">
        <v>19</v>
      </c>
    </row>
    <row r="10" spans="1:4" ht="17.45" customHeight="1" x14ac:dyDescent="0.25">
      <c r="A10" s="26" t="s">
        <v>105</v>
      </c>
      <c r="B10" s="27" t="s">
        <v>106</v>
      </c>
      <c r="C10" s="27" t="s">
        <v>19</v>
      </c>
      <c r="D10" s="28" t="s">
        <v>19</v>
      </c>
    </row>
    <row r="11" spans="1:4" ht="17.45" customHeight="1" x14ac:dyDescent="0.25">
      <c r="A11" s="26" t="s">
        <v>107</v>
      </c>
      <c r="B11" s="27" t="s">
        <v>108</v>
      </c>
      <c r="C11" s="27" t="s">
        <v>19</v>
      </c>
      <c r="D11" s="28" t="s">
        <v>20</v>
      </c>
    </row>
    <row r="12" spans="1:4" ht="17.45" customHeight="1" x14ac:dyDescent="0.25">
      <c r="A12" s="26" t="s">
        <v>109</v>
      </c>
      <c r="B12" s="27" t="s">
        <v>110</v>
      </c>
      <c r="C12" s="27" t="s">
        <v>19</v>
      </c>
      <c r="D12" s="28" t="s">
        <v>20</v>
      </c>
    </row>
    <row r="13" spans="1:4" ht="17.45" customHeight="1" x14ac:dyDescent="0.25">
      <c r="A13" s="26" t="s">
        <v>111</v>
      </c>
      <c r="B13" s="27" t="s">
        <v>112</v>
      </c>
      <c r="C13" s="27" t="s">
        <v>19</v>
      </c>
      <c r="D13" s="28" t="s">
        <v>20</v>
      </c>
    </row>
    <row r="14" spans="1:4" ht="17.45" customHeight="1" x14ac:dyDescent="0.25">
      <c r="A14" s="26" t="s">
        <v>113</v>
      </c>
      <c r="B14" s="27" t="s">
        <v>90</v>
      </c>
      <c r="C14" s="27" t="s">
        <v>20</v>
      </c>
      <c r="D14" s="28" t="s">
        <v>20</v>
      </c>
    </row>
    <row r="15" spans="1:4" ht="17.45" customHeight="1" x14ac:dyDescent="0.25">
      <c r="A15" s="26" t="s">
        <v>114</v>
      </c>
      <c r="B15" s="27" t="s">
        <v>92</v>
      </c>
      <c r="C15" s="27" t="s">
        <v>20</v>
      </c>
      <c r="D15" s="28" t="s">
        <v>20</v>
      </c>
    </row>
    <row r="16" spans="1:4" ht="17.45" customHeight="1" x14ac:dyDescent="0.25">
      <c r="A16" s="26" t="s">
        <v>115</v>
      </c>
      <c r="B16" s="27" t="s">
        <v>94</v>
      </c>
      <c r="C16" s="27" t="s">
        <v>20</v>
      </c>
      <c r="D16" s="28" t="s">
        <v>20</v>
      </c>
    </row>
    <row r="17" spans="1:4" ht="17.45" customHeight="1" x14ac:dyDescent="0.25">
      <c r="A17" s="26" t="s">
        <v>116</v>
      </c>
      <c r="B17" s="27" t="s">
        <v>96</v>
      </c>
      <c r="C17" s="27" t="s">
        <v>20</v>
      </c>
      <c r="D17" s="28" t="s">
        <v>20</v>
      </c>
    </row>
    <row r="18" spans="1:4" ht="17.45" customHeight="1" x14ac:dyDescent="0.25">
      <c r="A18" s="26" t="s">
        <v>117</v>
      </c>
      <c r="B18" s="27" t="s">
        <v>98</v>
      </c>
      <c r="C18" s="27" t="s">
        <v>20</v>
      </c>
      <c r="D18" s="28" t="s">
        <v>20</v>
      </c>
    </row>
    <row r="19" spans="1:4" ht="17.45" customHeight="1" x14ac:dyDescent="0.25">
      <c r="A19" s="26" t="s">
        <v>118</v>
      </c>
      <c r="B19" s="27" t="s">
        <v>100</v>
      </c>
      <c r="C19" s="27" t="s">
        <v>20</v>
      </c>
      <c r="D19" s="28" t="s">
        <v>20</v>
      </c>
    </row>
    <row r="20" spans="1:4" ht="17.45" customHeight="1" x14ac:dyDescent="0.25">
      <c r="A20" s="26" t="s">
        <v>119</v>
      </c>
      <c r="B20" s="27" t="s">
        <v>102</v>
      </c>
      <c r="C20" s="27" t="s">
        <v>20</v>
      </c>
      <c r="D20" s="28" t="s">
        <v>20</v>
      </c>
    </row>
    <row r="21" spans="1:4" ht="17.45" customHeight="1" x14ac:dyDescent="0.25">
      <c r="A21" s="26" t="s">
        <v>120</v>
      </c>
      <c r="B21" s="27" t="s">
        <v>104</v>
      </c>
      <c r="C21" s="27" t="s">
        <v>20</v>
      </c>
      <c r="D21" s="28" t="s">
        <v>20</v>
      </c>
    </row>
    <row r="22" spans="1:4" ht="17.45" customHeight="1" x14ac:dyDescent="0.25">
      <c r="A22" s="26" t="s">
        <v>121</v>
      </c>
      <c r="B22" s="27" t="s">
        <v>106</v>
      </c>
      <c r="C22" s="27" t="s">
        <v>20</v>
      </c>
      <c r="D22" s="28" t="s">
        <v>20</v>
      </c>
    </row>
    <row r="23" spans="1:4" ht="17.45" customHeight="1" x14ac:dyDescent="0.25">
      <c r="A23" s="26" t="s">
        <v>122</v>
      </c>
      <c r="B23" s="27" t="s">
        <v>108</v>
      </c>
      <c r="C23" s="27" t="s">
        <v>20</v>
      </c>
      <c r="D23" s="28" t="s">
        <v>21</v>
      </c>
    </row>
    <row r="24" spans="1:4" ht="17.45" customHeight="1" x14ac:dyDescent="0.25">
      <c r="A24" s="26" t="s">
        <v>123</v>
      </c>
      <c r="B24" s="27" t="s">
        <v>110</v>
      </c>
      <c r="C24" s="27" t="s">
        <v>20</v>
      </c>
      <c r="D24" s="28" t="s">
        <v>21</v>
      </c>
    </row>
    <row r="25" spans="1:4" ht="17.45" customHeight="1" x14ac:dyDescent="0.25">
      <c r="A25" s="26" t="s">
        <v>124</v>
      </c>
      <c r="B25" s="27" t="s">
        <v>112</v>
      </c>
      <c r="C25" s="27" t="s">
        <v>20</v>
      </c>
      <c r="D25" s="28" t="s">
        <v>21</v>
      </c>
    </row>
    <row r="26" spans="1:4" ht="17.45" customHeight="1" x14ac:dyDescent="0.25">
      <c r="A26" s="26" t="s">
        <v>125</v>
      </c>
      <c r="B26" s="27" t="s">
        <v>90</v>
      </c>
      <c r="C26" s="27" t="s">
        <v>21</v>
      </c>
      <c r="D26" s="28" t="s">
        <v>21</v>
      </c>
    </row>
    <row r="27" spans="1:4" ht="17.45" customHeight="1" x14ac:dyDescent="0.25">
      <c r="A27" s="26" t="s">
        <v>126</v>
      </c>
      <c r="B27" s="27" t="s">
        <v>92</v>
      </c>
      <c r="C27" s="27" t="s">
        <v>21</v>
      </c>
      <c r="D27" s="28" t="s">
        <v>21</v>
      </c>
    </row>
    <row r="28" spans="1:4" ht="17.45" customHeight="1" x14ac:dyDescent="0.25">
      <c r="A28" s="26" t="s">
        <v>127</v>
      </c>
      <c r="B28" s="27" t="s">
        <v>94</v>
      </c>
      <c r="C28" s="27" t="s">
        <v>21</v>
      </c>
      <c r="D28" s="28" t="s">
        <v>21</v>
      </c>
    </row>
    <row r="29" spans="1:4" ht="17.45" customHeight="1" x14ac:dyDescent="0.25">
      <c r="A29" s="26" t="s">
        <v>128</v>
      </c>
      <c r="B29" s="27" t="s">
        <v>96</v>
      </c>
      <c r="C29" s="27" t="s">
        <v>21</v>
      </c>
      <c r="D29" s="28" t="s">
        <v>21</v>
      </c>
    </row>
    <row r="30" spans="1:4" ht="17.45" customHeight="1" x14ac:dyDescent="0.25">
      <c r="A30" s="26" t="s">
        <v>129</v>
      </c>
      <c r="B30" s="27" t="s">
        <v>98</v>
      </c>
      <c r="C30" s="27" t="s">
        <v>21</v>
      </c>
      <c r="D30" s="28" t="s">
        <v>21</v>
      </c>
    </row>
    <row r="31" spans="1:4" ht="17.45" customHeight="1" x14ac:dyDescent="0.25">
      <c r="A31" s="26" t="s">
        <v>130</v>
      </c>
      <c r="B31" s="27" t="s">
        <v>100</v>
      </c>
      <c r="C31" s="27" t="s">
        <v>21</v>
      </c>
      <c r="D31" s="28" t="s">
        <v>21</v>
      </c>
    </row>
    <row r="32" spans="1:4" ht="17.45" customHeight="1" x14ac:dyDescent="0.25">
      <c r="A32" s="26" t="s">
        <v>131</v>
      </c>
      <c r="B32" s="27" t="s">
        <v>102</v>
      </c>
      <c r="C32" s="27" t="s">
        <v>21</v>
      </c>
      <c r="D32" s="28" t="s">
        <v>21</v>
      </c>
    </row>
    <row r="33" spans="1:4" ht="17.45" customHeight="1" x14ac:dyDescent="0.25">
      <c r="A33" s="26" t="s">
        <v>132</v>
      </c>
      <c r="B33" s="27" t="s">
        <v>104</v>
      </c>
      <c r="C33" s="27" t="s">
        <v>21</v>
      </c>
      <c r="D33" s="28" t="s">
        <v>21</v>
      </c>
    </row>
    <row r="34" spans="1:4" ht="17.45" customHeight="1" x14ac:dyDescent="0.25">
      <c r="A34" s="26" t="s">
        <v>133</v>
      </c>
      <c r="B34" s="27" t="s">
        <v>106</v>
      </c>
      <c r="C34" s="27" t="s">
        <v>21</v>
      </c>
      <c r="D34" s="28" t="s">
        <v>21</v>
      </c>
    </row>
    <row r="35" spans="1:4" ht="17.45" customHeight="1" x14ac:dyDescent="0.25">
      <c r="A35" s="26" t="s">
        <v>134</v>
      </c>
      <c r="B35" s="27" t="s">
        <v>108</v>
      </c>
      <c r="C35" s="27" t="s">
        <v>21</v>
      </c>
      <c r="D35" s="28" t="s">
        <v>22</v>
      </c>
    </row>
    <row r="36" spans="1:4" ht="17.45" customHeight="1" x14ac:dyDescent="0.25">
      <c r="A36" s="26" t="s">
        <v>135</v>
      </c>
      <c r="B36" s="27" t="s">
        <v>110</v>
      </c>
      <c r="C36" s="27" t="s">
        <v>21</v>
      </c>
      <c r="D36" s="28" t="s">
        <v>22</v>
      </c>
    </row>
    <row r="37" spans="1:4" ht="17.45" customHeight="1" x14ac:dyDescent="0.25">
      <c r="A37" s="26" t="s">
        <v>136</v>
      </c>
      <c r="B37" s="27" t="s">
        <v>112</v>
      </c>
      <c r="C37" s="27" t="s">
        <v>21</v>
      </c>
      <c r="D37" s="28" t="s">
        <v>22</v>
      </c>
    </row>
    <row r="38" spans="1:4" ht="17.45" customHeight="1" x14ac:dyDescent="0.25">
      <c r="A38" s="26" t="s">
        <v>137</v>
      </c>
      <c r="B38" s="27" t="s">
        <v>90</v>
      </c>
      <c r="C38" s="27" t="s">
        <v>22</v>
      </c>
      <c r="D38" s="28" t="s">
        <v>22</v>
      </c>
    </row>
    <row r="39" spans="1:4" ht="17.45" customHeight="1" x14ac:dyDescent="0.25">
      <c r="A39" s="26" t="s">
        <v>138</v>
      </c>
      <c r="B39" s="27" t="s">
        <v>92</v>
      </c>
      <c r="C39" s="27" t="s">
        <v>22</v>
      </c>
      <c r="D39" s="28" t="s">
        <v>22</v>
      </c>
    </row>
    <row r="40" spans="1:4" ht="17.45" customHeight="1" x14ac:dyDescent="0.25">
      <c r="A40" s="26" t="s">
        <v>139</v>
      </c>
      <c r="B40" s="27" t="s">
        <v>94</v>
      </c>
      <c r="C40" s="27" t="s">
        <v>22</v>
      </c>
      <c r="D40" s="28" t="s">
        <v>22</v>
      </c>
    </row>
    <row r="41" spans="1:4" ht="17.45" customHeight="1" x14ac:dyDescent="0.25">
      <c r="A41" s="26" t="s">
        <v>140</v>
      </c>
      <c r="B41" s="27" t="s">
        <v>96</v>
      </c>
      <c r="C41" s="27" t="s">
        <v>22</v>
      </c>
      <c r="D41" s="28" t="s">
        <v>22</v>
      </c>
    </row>
    <row r="42" spans="1:4" ht="17.45" customHeight="1" x14ac:dyDescent="0.25">
      <c r="A42" s="26" t="s">
        <v>141</v>
      </c>
      <c r="B42" s="27" t="s">
        <v>98</v>
      </c>
      <c r="C42" s="27" t="s">
        <v>22</v>
      </c>
      <c r="D42" s="28" t="s">
        <v>22</v>
      </c>
    </row>
    <row r="43" spans="1:4" ht="17.45" customHeight="1" x14ac:dyDescent="0.25">
      <c r="A43" s="26" t="s">
        <v>142</v>
      </c>
      <c r="B43" s="27" t="s">
        <v>100</v>
      </c>
      <c r="C43" s="27" t="s">
        <v>22</v>
      </c>
      <c r="D43" s="28" t="s">
        <v>22</v>
      </c>
    </row>
    <row r="44" spans="1:4" ht="17.45" customHeight="1" x14ac:dyDescent="0.25">
      <c r="A44" s="26" t="s">
        <v>143</v>
      </c>
      <c r="B44" s="27" t="s">
        <v>102</v>
      </c>
      <c r="C44" s="27" t="s">
        <v>22</v>
      </c>
      <c r="D44" s="28" t="s">
        <v>22</v>
      </c>
    </row>
    <row r="45" spans="1:4" ht="17.45" customHeight="1" x14ac:dyDescent="0.25">
      <c r="A45" s="26" t="s">
        <v>144</v>
      </c>
      <c r="B45" s="27" t="s">
        <v>104</v>
      </c>
      <c r="C45" s="27" t="s">
        <v>22</v>
      </c>
      <c r="D45" s="28" t="s">
        <v>22</v>
      </c>
    </row>
    <row r="46" spans="1:4" ht="17.45" customHeight="1" x14ac:dyDescent="0.25">
      <c r="A46" s="26" t="s">
        <v>145</v>
      </c>
      <c r="B46" s="27" t="s">
        <v>106</v>
      </c>
      <c r="C46" s="27" t="s">
        <v>22</v>
      </c>
      <c r="D46" s="28" t="s">
        <v>22</v>
      </c>
    </row>
    <row r="47" spans="1:4" ht="17.45" customHeight="1" x14ac:dyDescent="0.25">
      <c r="A47" s="26" t="s">
        <v>146</v>
      </c>
      <c r="B47" s="27" t="s">
        <v>108</v>
      </c>
      <c r="C47" s="27" t="s">
        <v>22</v>
      </c>
      <c r="D47" s="28" t="s">
        <v>23</v>
      </c>
    </row>
    <row r="48" spans="1:4" ht="17.45" customHeight="1" x14ac:dyDescent="0.25">
      <c r="A48" s="26" t="s">
        <v>147</v>
      </c>
      <c r="B48" s="27" t="s">
        <v>110</v>
      </c>
      <c r="C48" s="27" t="s">
        <v>22</v>
      </c>
      <c r="D48" s="28" t="s">
        <v>23</v>
      </c>
    </row>
    <row r="49" spans="1:4" ht="17.45" customHeight="1" x14ac:dyDescent="0.25">
      <c r="A49" s="26" t="s">
        <v>148</v>
      </c>
      <c r="B49" s="27" t="s">
        <v>112</v>
      </c>
      <c r="C49" s="27" t="s">
        <v>22</v>
      </c>
      <c r="D49" s="28" t="s">
        <v>23</v>
      </c>
    </row>
    <row r="50" spans="1:4" ht="17.45" customHeight="1" x14ac:dyDescent="0.25">
      <c r="A50" s="26" t="s">
        <v>149</v>
      </c>
      <c r="B50" s="27" t="s">
        <v>90</v>
      </c>
      <c r="C50" s="27" t="s">
        <v>23</v>
      </c>
      <c r="D50" s="28" t="s">
        <v>23</v>
      </c>
    </row>
    <row r="51" spans="1:4" ht="17.45" customHeight="1" x14ac:dyDescent="0.25">
      <c r="A51" s="26" t="s">
        <v>150</v>
      </c>
      <c r="B51" s="27" t="s">
        <v>92</v>
      </c>
      <c r="C51" s="27" t="s">
        <v>23</v>
      </c>
      <c r="D51" s="28" t="s">
        <v>23</v>
      </c>
    </row>
    <row r="52" spans="1:4" ht="17.45" customHeight="1" x14ac:dyDescent="0.25">
      <c r="A52" s="26" t="s">
        <v>151</v>
      </c>
      <c r="B52" s="27" t="s">
        <v>94</v>
      </c>
      <c r="C52" s="27" t="s">
        <v>23</v>
      </c>
      <c r="D52" s="28" t="s">
        <v>23</v>
      </c>
    </row>
    <row r="53" spans="1:4" ht="17.45" customHeight="1" x14ac:dyDescent="0.25">
      <c r="A53" s="26" t="s">
        <v>152</v>
      </c>
      <c r="B53" s="27" t="s">
        <v>96</v>
      </c>
      <c r="C53" s="27" t="s">
        <v>23</v>
      </c>
      <c r="D53" s="28" t="s">
        <v>23</v>
      </c>
    </row>
    <row r="54" spans="1:4" ht="17.45" customHeight="1" x14ac:dyDescent="0.25">
      <c r="A54" s="26" t="s">
        <v>153</v>
      </c>
      <c r="B54" s="27" t="s">
        <v>98</v>
      </c>
      <c r="C54" s="27" t="s">
        <v>23</v>
      </c>
      <c r="D54" s="28" t="s">
        <v>23</v>
      </c>
    </row>
    <row r="55" spans="1:4" ht="17.45" customHeight="1" x14ac:dyDescent="0.25">
      <c r="A55" s="26" t="s">
        <v>154</v>
      </c>
      <c r="B55" s="27" t="s">
        <v>100</v>
      </c>
      <c r="C55" s="27" t="s">
        <v>23</v>
      </c>
      <c r="D55" s="28" t="s">
        <v>23</v>
      </c>
    </row>
    <row r="56" spans="1:4" ht="17.45" customHeight="1" x14ac:dyDescent="0.25">
      <c r="A56" s="26" t="s">
        <v>155</v>
      </c>
      <c r="B56" s="27" t="s">
        <v>102</v>
      </c>
      <c r="C56" s="27" t="s">
        <v>23</v>
      </c>
      <c r="D56" s="28" t="s">
        <v>23</v>
      </c>
    </row>
    <row r="57" spans="1:4" ht="17.45" customHeight="1" x14ac:dyDescent="0.25">
      <c r="A57" s="26" t="s">
        <v>156</v>
      </c>
      <c r="B57" s="27" t="s">
        <v>104</v>
      </c>
      <c r="C57" s="27" t="s">
        <v>23</v>
      </c>
      <c r="D57" s="28" t="s">
        <v>23</v>
      </c>
    </row>
    <row r="58" spans="1:4" ht="17.45" customHeight="1" x14ac:dyDescent="0.25">
      <c r="A58" s="26" t="s">
        <v>157</v>
      </c>
      <c r="B58" s="27" t="s">
        <v>106</v>
      </c>
      <c r="C58" s="27" t="s">
        <v>23</v>
      </c>
      <c r="D58" s="28" t="s">
        <v>23</v>
      </c>
    </row>
    <row r="59" spans="1:4" ht="17.45" customHeight="1" x14ac:dyDescent="0.25">
      <c r="A59" s="26" t="s">
        <v>158</v>
      </c>
      <c r="B59" s="27" t="s">
        <v>108</v>
      </c>
      <c r="C59" s="27" t="s">
        <v>23</v>
      </c>
      <c r="D59" s="28" t="s">
        <v>24</v>
      </c>
    </row>
    <row r="60" spans="1:4" ht="17.45" customHeight="1" x14ac:dyDescent="0.25">
      <c r="A60" s="26" t="s">
        <v>159</v>
      </c>
      <c r="B60" s="27" t="s">
        <v>110</v>
      </c>
      <c r="C60" s="27" t="s">
        <v>23</v>
      </c>
      <c r="D60" s="28" t="s">
        <v>24</v>
      </c>
    </row>
    <row r="61" spans="1:4" ht="17.45" customHeight="1" x14ac:dyDescent="0.25">
      <c r="A61" s="26" t="s">
        <v>160</v>
      </c>
      <c r="B61" s="27" t="s">
        <v>112</v>
      </c>
      <c r="C61" s="27" t="s">
        <v>23</v>
      </c>
      <c r="D61" s="28" t="s">
        <v>24</v>
      </c>
    </row>
    <row r="62" spans="1:4" ht="17.45" customHeight="1" x14ac:dyDescent="0.25">
      <c r="A62" s="26" t="s">
        <v>161</v>
      </c>
      <c r="B62" s="27" t="s">
        <v>90</v>
      </c>
      <c r="C62" s="27" t="s">
        <v>24</v>
      </c>
      <c r="D62" s="28" t="s">
        <v>24</v>
      </c>
    </row>
    <row r="63" spans="1:4" ht="17.45" customHeight="1" x14ac:dyDescent="0.25">
      <c r="A63" s="26" t="s">
        <v>162</v>
      </c>
      <c r="B63" s="27" t="s">
        <v>92</v>
      </c>
      <c r="C63" s="27" t="s">
        <v>24</v>
      </c>
      <c r="D63" s="28" t="s">
        <v>24</v>
      </c>
    </row>
    <row r="64" spans="1:4" ht="17.45" customHeight="1" x14ac:dyDescent="0.25">
      <c r="A64" s="26" t="s">
        <v>163</v>
      </c>
      <c r="B64" s="27" t="s">
        <v>94</v>
      </c>
      <c r="C64" s="27" t="s">
        <v>24</v>
      </c>
      <c r="D64" s="28" t="s">
        <v>24</v>
      </c>
    </row>
    <row r="65" spans="1:4" ht="17.45" customHeight="1" x14ac:dyDescent="0.25">
      <c r="A65" s="26" t="s">
        <v>164</v>
      </c>
      <c r="B65" s="27" t="s">
        <v>96</v>
      </c>
      <c r="C65" s="27" t="s">
        <v>24</v>
      </c>
      <c r="D65" s="28" t="s">
        <v>24</v>
      </c>
    </row>
    <row r="66" spans="1:4" ht="17.45" customHeight="1" x14ac:dyDescent="0.25">
      <c r="A66" s="26" t="s">
        <v>165</v>
      </c>
      <c r="B66" s="27" t="s">
        <v>98</v>
      </c>
      <c r="C66" s="27" t="s">
        <v>24</v>
      </c>
      <c r="D66" s="28" t="s">
        <v>24</v>
      </c>
    </row>
    <row r="67" spans="1:4" ht="17.45" customHeight="1" x14ac:dyDescent="0.25">
      <c r="A67" s="26" t="s">
        <v>166</v>
      </c>
      <c r="B67" s="27" t="s">
        <v>100</v>
      </c>
      <c r="C67" s="27" t="s">
        <v>24</v>
      </c>
      <c r="D67" s="28" t="s">
        <v>24</v>
      </c>
    </row>
    <row r="68" spans="1:4" ht="17.45" customHeight="1" x14ac:dyDescent="0.25">
      <c r="A68" s="26" t="s">
        <v>167</v>
      </c>
      <c r="B68" s="27" t="s">
        <v>102</v>
      </c>
      <c r="C68" s="27" t="s">
        <v>24</v>
      </c>
      <c r="D68" s="28" t="s">
        <v>24</v>
      </c>
    </row>
    <row r="69" spans="1:4" ht="17.45" customHeight="1" x14ac:dyDescent="0.25">
      <c r="A69" s="26" t="s">
        <v>168</v>
      </c>
      <c r="B69" s="27" t="s">
        <v>104</v>
      </c>
      <c r="C69" s="27" t="s">
        <v>24</v>
      </c>
      <c r="D69" s="28" t="s">
        <v>24</v>
      </c>
    </row>
    <row r="70" spans="1:4" ht="17.45" customHeight="1" x14ac:dyDescent="0.25">
      <c r="A70" s="26" t="s">
        <v>169</v>
      </c>
      <c r="B70" s="27" t="s">
        <v>106</v>
      </c>
      <c r="C70" s="27" t="s">
        <v>24</v>
      </c>
      <c r="D70" s="28" t="s">
        <v>24</v>
      </c>
    </row>
    <row r="71" spans="1:4" ht="17.45" customHeight="1" x14ac:dyDescent="0.25">
      <c r="A71" s="26" t="s">
        <v>170</v>
      </c>
      <c r="B71" s="27" t="s">
        <v>108</v>
      </c>
      <c r="C71" s="27" t="s">
        <v>24</v>
      </c>
      <c r="D71" s="28" t="s">
        <v>25</v>
      </c>
    </row>
    <row r="72" spans="1:4" ht="17.45" customHeight="1" x14ac:dyDescent="0.25">
      <c r="A72" s="26" t="s">
        <v>171</v>
      </c>
      <c r="B72" s="27" t="s">
        <v>110</v>
      </c>
      <c r="C72" s="27" t="s">
        <v>24</v>
      </c>
      <c r="D72" s="28" t="s">
        <v>25</v>
      </c>
    </row>
    <row r="73" spans="1:4" ht="17.45" customHeight="1" x14ac:dyDescent="0.25">
      <c r="A73" s="26" t="s">
        <v>172</v>
      </c>
      <c r="B73" s="27" t="s">
        <v>112</v>
      </c>
      <c r="C73" s="27" t="s">
        <v>24</v>
      </c>
      <c r="D73" s="28" t="s">
        <v>25</v>
      </c>
    </row>
    <row r="74" spans="1:4" ht="17.45" customHeight="1" x14ac:dyDescent="0.25">
      <c r="A74" s="26" t="s">
        <v>173</v>
      </c>
      <c r="B74" s="27" t="s">
        <v>90</v>
      </c>
      <c r="C74" s="27" t="s">
        <v>25</v>
      </c>
      <c r="D74" s="28" t="s">
        <v>25</v>
      </c>
    </row>
    <row r="75" spans="1:4" ht="17.45" customHeight="1" x14ac:dyDescent="0.25">
      <c r="A75" s="26" t="s">
        <v>174</v>
      </c>
      <c r="B75" s="27" t="s">
        <v>92</v>
      </c>
      <c r="C75" s="27" t="s">
        <v>25</v>
      </c>
      <c r="D75" s="28" t="s">
        <v>25</v>
      </c>
    </row>
    <row r="76" spans="1:4" ht="17.45" customHeight="1" x14ac:dyDescent="0.25">
      <c r="A76" s="26" t="s">
        <v>175</v>
      </c>
      <c r="B76" s="27" t="s">
        <v>94</v>
      </c>
      <c r="C76" s="27" t="s">
        <v>25</v>
      </c>
      <c r="D76" s="28" t="s">
        <v>25</v>
      </c>
    </row>
    <row r="77" spans="1:4" ht="17.45" customHeight="1" x14ac:dyDescent="0.25">
      <c r="A77" s="26" t="s">
        <v>176</v>
      </c>
      <c r="B77" s="27" t="s">
        <v>96</v>
      </c>
      <c r="C77" s="27" t="s">
        <v>25</v>
      </c>
      <c r="D77" s="28" t="s">
        <v>25</v>
      </c>
    </row>
    <row r="78" spans="1:4" ht="17.45" customHeight="1" x14ac:dyDescent="0.25">
      <c r="A78" s="26" t="s">
        <v>177</v>
      </c>
      <c r="B78" s="27" t="s">
        <v>98</v>
      </c>
      <c r="C78" s="27" t="s">
        <v>25</v>
      </c>
      <c r="D78" s="28" t="s">
        <v>25</v>
      </c>
    </row>
    <row r="79" spans="1:4" ht="17.45" customHeight="1" x14ac:dyDescent="0.25">
      <c r="A79" s="26" t="s">
        <v>178</v>
      </c>
      <c r="B79" s="27" t="s">
        <v>100</v>
      </c>
      <c r="C79" s="27" t="s">
        <v>25</v>
      </c>
      <c r="D79" s="28" t="s">
        <v>25</v>
      </c>
    </row>
    <row r="80" spans="1:4" ht="17.45" customHeight="1" x14ac:dyDescent="0.25">
      <c r="A80" s="26" t="s">
        <v>179</v>
      </c>
      <c r="B80" s="27" t="s">
        <v>102</v>
      </c>
      <c r="C80" s="27" t="s">
        <v>25</v>
      </c>
      <c r="D80" s="28" t="s">
        <v>25</v>
      </c>
    </row>
    <row r="81" spans="1:4" ht="17.45" customHeight="1" x14ac:dyDescent="0.25">
      <c r="A81" s="26" t="s">
        <v>180</v>
      </c>
      <c r="B81" s="27" t="s">
        <v>104</v>
      </c>
      <c r="C81" s="27" t="s">
        <v>25</v>
      </c>
      <c r="D81" s="28" t="s">
        <v>25</v>
      </c>
    </row>
    <row r="82" spans="1:4" ht="17.45" customHeight="1" x14ac:dyDescent="0.25">
      <c r="A82" s="26" t="s">
        <v>181</v>
      </c>
      <c r="B82" s="27" t="s">
        <v>106</v>
      </c>
      <c r="C82" s="27" t="s">
        <v>25</v>
      </c>
      <c r="D82" s="28" t="s">
        <v>25</v>
      </c>
    </row>
    <row r="83" spans="1:4" ht="17.45" customHeight="1" x14ac:dyDescent="0.25">
      <c r="A83" s="26" t="s">
        <v>182</v>
      </c>
      <c r="B83" s="27" t="s">
        <v>108</v>
      </c>
      <c r="C83" s="27" t="s">
        <v>25</v>
      </c>
      <c r="D83" s="28" t="s">
        <v>26</v>
      </c>
    </row>
    <row r="84" spans="1:4" ht="17.45" customHeight="1" x14ac:dyDescent="0.25">
      <c r="A84" s="26" t="s">
        <v>183</v>
      </c>
      <c r="B84" s="27" t="s">
        <v>110</v>
      </c>
      <c r="C84" s="27" t="s">
        <v>25</v>
      </c>
      <c r="D84" s="28" t="s">
        <v>26</v>
      </c>
    </row>
    <row r="85" spans="1:4" ht="17.45" customHeight="1" x14ac:dyDescent="0.25">
      <c r="A85" s="26" t="s">
        <v>184</v>
      </c>
      <c r="B85" s="27" t="s">
        <v>112</v>
      </c>
      <c r="C85" s="27" t="s">
        <v>25</v>
      </c>
      <c r="D85" s="28" t="s">
        <v>26</v>
      </c>
    </row>
    <row r="86" spans="1:4" ht="17.45" customHeight="1" x14ac:dyDescent="0.25">
      <c r="A86" s="26" t="s">
        <v>185</v>
      </c>
      <c r="B86" s="27" t="s">
        <v>90</v>
      </c>
      <c r="C86" s="27" t="s">
        <v>26</v>
      </c>
      <c r="D86" s="28" t="s">
        <v>26</v>
      </c>
    </row>
    <row r="87" spans="1:4" ht="17.45" customHeight="1" x14ac:dyDescent="0.25">
      <c r="A87" s="26" t="s">
        <v>186</v>
      </c>
      <c r="B87" s="27" t="s">
        <v>92</v>
      </c>
      <c r="C87" s="27" t="s">
        <v>26</v>
      </c>
      <c r="D87" s="28" t="s">
        <v>26</v>
      </c>
    </row>
    <row r="88" spans="1:4" ht="17.45" customHeight="1" x14ac:dyDescent="0.25">
      <c r="A88" s="26" t="s">
        <v>187</v>
      </c>
      <c r="B88" s="27" t="s">
        <v>94</v>
      </c>
      <c r="C88" s="27" t="s">
        <v>26</v>
      </c>
      <c r="D88" s="28" t="s">
        <v>26</v>
      </c>
    </row>
    <row r="89" spans="1:4" ht="17.45" customHeight="1" x14ac:dyDescent="0.25">
      <c r="A89" s="26" t="s">
        <v>188</v>
      </c>
      <c r="B89" s="27" t="s">
        <v>96</v>
      </c>
      <c r="C89" s="27" t="s">
        <v>26</v>
      </c>
      <c r="D89" s="28" t="s">
        <v>26</v>
      </c>
    </row>
    <row r="90" spans="1:4" ht="17.45" customHeight="1" x14ac:dyDescent="0.25">
      <c r="A90" s="26" t="s">
        <v>189</v>
      </c>
      <c r="B90" s="27" t="s">
        <v>98</v>
      </c>
      <c r="C90" s="27" t="s">
        <v>26</v>
      </c>
      <c r="D90" s="28" t="s">
        <v>26</v>
      </c>
    </row>
    <row r="91" spans="1:4" ht="17.45" customHeight="1" x14ac:dyDescent="0.25">
      <c r="A91" s="26" t="s">
        <v>190</v>
      </c>
      <c r="B91" s="27" t="s">
        <v>100</v>
      </c>
      <c r="C91" s="27" t="s">
        <v>26</v>
      </c>
      <c r="D91" s="28" t="s">
        <v>26</v>
      </c>
    </row>
    <row r="92" spans="1:4" ht="17.45" customHeight="1" x14ac:dyDescent="0.25">
      <c r="A92" s="26" t="s">
        <v>191</v>
      </c>
      <c r="B92" s="27" t="s">
        <v>102</v>
      </c>
      <c r="C92" s="27" t="s">
        <v>26</v>
      </c>
      <c r="D92" s="28" t="s">
        <v>26</v>
      </c>
    </row>
    <row r="93" spans="1:4" ht="17.45" customHeight="1" x14ac:dyDescent="0.25">
      <c r="A93" s="26" t="s">
        <v>192</v>
      </c>
      <c r="B93" s="27" t="s">
        <v>104</v>
      </c>
      <c r="C93" s="27" t="s">
        <v>26</v>
      </c>
      <c r="D93" s="28" t="s">
        <v>26</v>
      </c>
    </row>
    <row r="94" spans="1:4" ht="17.45" customHeight="1" x14ac:dyDescent="0.25">
      <c r="A94" s="26" t="s">
        <v>193</v>
      </c>
      <c r="B94" s="27" t="s">
        <v>106</v>
      </c>
      <c r="C94" s="27" t="s">
        <v>26</v>
      </c>
      <c r="D94" s="28" t="s">
        <v>26</v>
      </c>
    </row>
    <row r="95" spans="1:4" ht="17.45" customHeight="1" x14ac:dyDescent="0.25">
      <c r="A95" s="26" t="s">
        <v>194</v>
      </c>
      <c r="B95" s="27" t="s">
        <v>108</v>
      </c>
      <c r="C95" s="27" t="s">
        <v>26</v>
      </c>
      <c r="D95" s="28" t="s">
        <v>27</v>
      </c>
    </row>
    <row r="96" spans="1:4" ht="17.45" customHeight="1" x14ac:dyDescent="0.25">
      <c r="A96" s="26" t="s">
        <v>195</v>
      </c>
      <c r="B96" s="27" t="s">
        <v>110</v>
      </c>
      <c r="C96" s="27" t="s">
        <v>26</v>
      </c>
      <c r="D96" s="28" t="s">
        <v>27</v>
      </c>
    </row>
    <row r="97" spans="1:4" ht="17.45" customHeight="1" x14ac:dyDescent="0.25">
      <c r="A97" s="26" t="s">
        <v>196</v>
      </c>
      <c r="B97" s="27" t="s">
        <v>112</v>
      </c>
      <c r="C97" s="27" t="s">
        <v>26</v>
      </c>
      <c r="D97" s="28" t="s">
        <v>27</v>
      </c>
    </row>
    <row r="98" spans="1:4" ht="17.45" customHeight="1" x14ac:dyDescent="0.25">
      <c r="A98" s="26" t="s">
        <v>197</v>
      </c>
      <c r="B98" s="27" t="s">
        <v>90</v>
      </c>
      <c r="C98" s="27" t="s">
        <v>27</v>
      </c>
      <c r="D98" s="28" t="s">
        <v>27</v>
      </c>
    </row>
    <row r="99" spans="1:4" ht="17.45" customHeight="1" x14ac:dyDescent="0.25">
      <c r="A99" s="26" t="s">
        <v>198</v>
      </c>
      <c r="B99" s="27" t="s">
        <v>92</v>
      </c>
      <c r="C99" s="27" t="s">
        <v>27</v>
      </c>
      <c r="D99" s="28" t="s">
        <v>27</v>
      </c>
    </row>
    <row r="100" spans="1:4" ht="17.45" customHeight="1" x14ac:dyDescent="0.25">
      <c r="A100" s="26" t="s">
        <v>199</v>
      </c>
      <c r="B100" s="27" t="s">
        <v>94</v>
      </c>
      <c r="C100" s="27" t="s">
        <v>27</v>
      </c>
      <c r="D100" s="28" t="s">
        <v>27</v>
      </c>
    </row>
    <row r="101" spans="1:4" ht="17.45" customHeight="1" x14ac:dyDescent="0.25">
      <c r="A101" s="26" t="s">
        <v>200</v>
      </c>
      <c r="B101" s="27" t="s">
        <v>96</v>
      </c>
      <c r="C101" s="27" t="s">
        <v>27</v>
      </c>
      <c r="D101" s="28" t="s">
        <v>27</v>
      </c>
    </row>
    <row r="102" spans="1:4" ht="17.45" customHeight="1" x14ac:dyDescent="0.25">
      <c r="A102" s="26" t="s">
        <v>201</v>
      </c>
      <c r="B102" s="27" t="s">
        <v>98</v>
      </c>
      <c r="C102" s="27" t="s">
        <v>27</v>
      </c>
      <c r="D102" s="28" t="s">
        <v>27</v>
      </c>
    </row>
    <row r="103" spans="1:4" ht="17.45" customHeight="1" x14ac:dyDescent="0.25">
      <c r="A103" s="26" t="s">
        <v>202</v>
      </c>
      <c r="B103" s="27" t="s">
        <v>100</v>
      </c>
      <c r="C103" s="27" t="s">
        <v>27</v>
      </c>
      <c r="D103" s="28" t="s">
        <v>27</v>
      </c>
    </row>
    <row r="104" spans="1:4" ht="17.45" customHeight="1" x14ac:dyDescent="0.25">
      <c r="A104" s="26" t="s">
        <v>203</v>
      </c>
      <c r="B104" s="27" t="s">
        <v>102</v>
      </c>
      <c r="C104" s="27" t="s">
        <v>27</v>
      </c>
      <c r="D104" s="28" t="s">
        <v>27</v>
      </c>
    </row>
    <row r="105" spans="1:4" ht="17.45" customHeight="1" x14ac:dyDescent="0.25">
      <c r="A105" s="26" t="s">
        <v>204</v>
      </c>
      <c r="B105" s="27" t="s">
        <v>104</v>
      </c>
      <c r="C105" s="27" t="s">
        <v>27</v>
      </c>
      <c r="D105" s="28" t="s">
        <v>27</v>
      </c>
    </row>
    <row r="106" spans="1:4" ht="17.45" customHeight="1" x14ac:dyDescent="0.25">
      <c r="A106" s="26" t="s">
        <v>205</v>
      </c>
      <c r="B106" s="27" t="s">
        <v>106</v>
      </c>
      <c r="C106" s="27" t="s">
        <v>27</v>
      </c>
      <c r="D106" s="28" t="s">
        <v>27</v>
      </c>
    </row>
    <row r="107" spans="1:4" ht="17.45" customHeight="1" x14ac:dyDescent="0.25">
      <c r="A107" s="26" t="s">
        <v>206</v>
      </c>
      <c r="B107" s="27" t="s">
        <v>108</v>
      </c>
      <c r="C107" s="27" t="s">
        <v>27</v>
      </c>
      <c r="D107" s="28" t="s">
        <v>28</v>
      </c>
    </row>
    <row r="108" spans="1:4" ht="17.45" customHeight="1" x14ac:dyDescent="0.25">
      <c r="A108" s="26" t="s">
        <v>207</v>
      </c>
      <c r="B108" s="27" t="s">
        <v>110</v>
      </c>
      <c r="C108" s="27" t="s">
        <v>27</v>
      </c>
      <c r="D108" s="28" t="s">
        <v>28</v>
      </c>
    </row>
    <row r="109" spans="1:4" ht="17.45" customHeight="1" x14ac:dyDescent="0.25">
      <c r="A109" s="26" t="s">
        <v>208</v>
      </c>
      <c r="B109" s="27" t="s">
        <v>112</v>
      </c>
      <c r="C109" s="27" t="s">
        <v>27</v>
      </c>
      <c r="D109" s="28" t="s">
        <v>28</v>
      </c>
    </row>
    <row r="110" spans="1:4" ht="17.45" customHeight="1" x14ac:dyDescent="0.25">
      <c r="A110" s="26" t="s">
        <v>209</v>
      </c>
      <c r="B110" s="27" t="s">
        <v>90</v>
      </c>
      <c r="C110" s="27" t="s">
        <v>28</v>
      </c>
      <c r="D110" s="28" t="s">
        <v>28</v>
      </c>
    </row>
    <row r="111" spans="1:4" ht="17.45" customHeight="1" x14ac:dyDescent="0.25">
      <c r="A111" s="26" t="s">
        <v>210</v>
      </c>
      <c r="B111" s="27" t="s">
        <v>92</v>
      </c>
      <c r="C111" s="27" t="s">
        <v>28</v>
      </c>
      <c r="D111" s="28" t="s">
        <v>28</v>
      </c>
    </row>
    <row r="112" spans="1:4" ht="17.45" customHeight="1" x14ac:dyDescent="0.25">
      <c r="A112" s="26" t="s">
        <v>211</v>
      </c>
      <c r="B112" s="27" t="s">
        <v>94</v>
      </c>
      <c r="C112" s="27" t="s">
        <v>28</v>
      </c>
      <c r="D112" s="28" t="s">
        <v>28</v>
      </c>
    </row>
    <row r="113" spans="1:4" ht="17.45" customHeight="1" x14ac:dyDescent="0.25">
      <c r="A113" s="26" t="s">
        <v>212</v>
      </c>
      <c r="B113" s="27" t="s">
        <v>96</v>
      </c>
      <c r="C113" s="27" t="s">
        <v>28</v>
      </c>
      <c r="D113" s="28" t="s">
        <v>28</v>
      </c>
    </row>
    <row r="114" spans="1:4" ht="17.45" customHeight="1" x14ac:dyDescent="0.25">
      <c r="A114" s="26" t="s">
        <v>213</v>
      </c>
      <c r="B114" s="27" t="s">
        <v>98</v>
      </c>
      <c r="C114" s="27" t="s">
        <v>28</v>
      </c>
      <c r="D114" s="28" t="s">
        <v>28</v>
      </c>
    </row>
    <row r="115" spans="1:4" ht="17.45" customHeight="1" x14ac:dyDescent="0.25">
      <c r="A115" s="26" t="s">
        <v>214</v>
      </c>
      <c r="B115" s="27" t="s">
        <v>100</v>
      </c>
      <c r="C115" s="27" t="s">
        <v>28</v>
      </c>
      <c r="D115" s="28" t="s">
        <v>28</v>
      </c>
    </row>
    <row r="116" spans="1:4" ht="17.45" customHeight="1" x14ac:dyDescent="0.25">
      <c r="A116" s="26" t="s">
        <v>215</v>
      </c>
      <c r="B116" s="27" t="s">
        <v>102</v>
      </c>
      <c r="C116" s="27" t="s">
        <v>28</v>
      </c>
      <c r="D116" s="28" t="s">
        <v>28</v>
      </c>
    </row>
    <row r="117" spans="1:4" ht="17.45" customHeight="1" x14ac:dyDescent="0.25">
      <c r="A117" s="26" t="s">
        <v>216</v>
      </c>
      <c r="B117" s="27" t="s">
        <v>104</v>
      </c>
      <c r="C117" s="27" t="s">
        <v>28</v>
      </c>
      <c r="D117" s="28" t="s">
        <v>28</v>
      </c>
    </row>
    <row r="118" spans="1:4" ht="17.45" customHeight="1" x14ac:dyDescent="0.25">
      <c r="A118" s="26" t="s">
        <v>217</v>
      </c>
      <c r="B118" s="27" t="s">
        <v>106</v>
      </c>
      <c r="C118" s="27" t="s">
        <v>28</v>
      </c>
      <c r="D118" s="28" t="s">
        <v>28</v>
      </c>
    </row>
    <row r="119" spans="1:4" ht="17.45" customHeight="1" x14ac:dyDescent="0.25">
      <c r="A119" s="26" t="s">
        <v>218</v>
      </c>
      <c r="B119" s="27" t="s">
        <v>108</v>
      </c>
      <c r="C119" s="27" t="s">
        <v>28</v>
      </c>
      <c r="D119" s="28" t="s">
        <v>29</v>
      </c>
    </row>
    <row r="120" spans="1:4" ht="17.45" customHeight="1" x14ac:dyDescent="0.25">
      <c r="A120" s="26" t="s">
        <v>219</v>
      </c>
      <c r="B120" s="27" t="s">
        <v>110</v>
      </c>
      <c r="C120" s="27" t="s">
        <v>28</v>
      </c>
      <c r="D120" s="28" t="s">
        <v>29</v>
      </c>
    </row>
    <row r="121" spans="1:4" ht="17.45" customHeight="1" x14ac:dyDescent="0.25">
      <c r="A121" s="26" t="s">
        <v>220</v>
      </c>
      <c r="B121" s="27" t="s">
        <v>112</v>
      </c>
      <c r="C121" s="27" t="s">
        <v>28</v>
      </c>
      <c r="D121" s="28" t="s">
        <v>29</v>
      </c>
    </row>
    <row r="122" spans="1:4" ht="17.45" customHeight="1" x14ac:dyDescent="0.25">
      <c r="A122" s="26" t="s">
        <v>221</v>
      </c>
      <c r="B122" s="27" t="s">
        <v>90</v>
      </c>
      <c r="C122" s="27" t="s">
        <v>29</v>
      </c>
      <c r="D122" s="28" t="s">
        <v>29</v>
      </c>
    </row>
    <row r="123" spans="1:4" ht="17.45" customHeight="1" x14ac:dyDescent="0.25">
      <c r="A123" s="26" t="s">
        <v>222</v>
      </c>
      <c r="B123" s="27" t="s">
        <v>92</v>
      </c>
      <c r="C123" s="27" t="s">
        <v>29</v>
      </c>
      <c r="D123" s="28" t="s">
        <v>29</v>
      </c>
    </row>
    <row r="124" spans="1:4" ht="17.45" customHeight="1" x14ac:dyDescent="0.25">
      <c r="A124" s="26" t="s">
        <v>223</v>
      </c>
      <c r="B124" s="27" t="s">
        <v>94</v>
      </c>
      <c r="C124" s="27" t="s">
        <v>29</v>
      </c>
      <c r="D124" s="28" t="s">
        <v>29</v>
      </c>
    </row>
    <row r="125" spans="1:4" ht="17.45" customHeight="1" x14ac:dyDescent="0.25">
      <c r="A125" s="26" t="s">
        <v>224</v>
      </c>
      <c r="B125" s="27" t="s">
        <v>96</v>
      </c>
      <c r="C125" s="27" t="s">
        <v>29</v>
      </c>
      <c r="D125" s="28" t="s">
        <v>29</v>
      </c>
    </row>
    <row r="126" spans="1:4" ht="17.45" customHeight="1" x14ac:dyDescent="0.25">
      <c r="A126" s="26" t="s">
        <v>225</v>
      </c>
      <c r="B126" s="27" t="s">
        <v>98</v>
      </c>
      <c r="C126" s="27" t="s">
        <v>29</v>
      </c>
      <c r="D126" s="28" t="s">
        <v>29</v>
      </c>
    </row>
    <row r="127" spans="1:4" ht="17.45" customHeight="1" x14ac:dyDescent="0.25">
      <c r="A127" s="26" t="s">
        <v>226</v>
      </c>
      <c r="B127" s="27" t="s">
        <v>100</v>
      </c>
      <c r="C127" s="27" t="s">
        <v>29</v>
      </c>
      <c r="D127" s="28" t="s">
        <v>29</v>
      </c>
    </row>
    <row r="128" spans="1:4" ht="17.45" customHeight="1" x14ac:dyDescent="0.25">
      <c r="A128" s="26" t="s">
        <v>227</v>
      </c>
      <c r="B128" s="27" t="s">
        <v>102</v>
      </c>
      <c r="C128" s="27" t="s">
        <v>29</v>
      </c>
      <c r="D128" s="28" t="s">
        <v>29</v>
      </c>
    </row>
    <row r="129" spans="1:4" ht="17.45" customHeight="1" x14ac:dyDescent="0.25">
      <c r="A129" s="26" t="s">
        <v>228</v>
      </c>
      <c r="B129" s="27" t="s">
        <v>104</v>
      </c>
      <c r="C129" s="27" t="s">
        <v>29</v>
      </c>
      <c r="D129" s="28" t="s">
        <v>29</v>
      </c>
    </row>
    <row r="130" spans="1:4" ht="17.45" customHeight="1" x14ac:dyDescent="0.25">
      <c r="A130" s="26" t="s">
        <v>229</v>
      </c>
      <c r="B130" s="27" t="s">
        <v>106</v>
      </c>
      <c r="C130" s="27" t="s">
        <v>29</v>
      </c>
      <c r="D130" s="28" t="s">
        <v>29</v>
      </c>
    </row>
    <row r="131" spans="1:4" ht="17.45" customHeight="1" x14ac:dyDescent="0.25">
      <c r="A131" s="26" t="s">
        <v>230</v>
      </c>
      <c r="B131" s="27" t="s">
        <v>108</v>
      </c>
      <c r="C131" s="27" t="s">
        <v>29</v>
      </c>
      <c r="D131" s="28" t="s">
        <v>30</v>
      </c>
    </row>
    <row r="132" spans="1:4" ht="17.45" customHeight="1" x14ac:dyDescent="0.25">
      <c r="A132" s="26" t="s">
        <v>231</v>
      </c>
      <c r="B132" s="27" t="s">
        <v>110</v>
      </c>
      <c r="C132" s="27" t="s">
        <v>29</v>
      </c>
      <c r="D132" s="28" t="s">
        <v>30</v>
      </c>
    </row>
    <row r="133" spans="1:4" ht="17.45" customHeight="1" x14ac:dyDescent="0.25">
      <c r="A133" s="26" t="s">
        <v>232</v>
      </c>
      <c r="B133" s="27" t="s">
        <v>112</v>
      </c>
      <c r="C133" s="27" t="s">
        <v>29</v>
      </c>
      <c r="D133" s="28" t="s">
        <v>30</v>
      </c>
    </row>
    <row r="134" spans="1:4" ht="17.45" customHeight="1" x14ac:dyDescent="0.25">
      <c r="A134" s="26" t="s">
        <v>233</v>
      </c>
      <c r="B134" s="27" t="s">
        <v>90</v>
      </c>
      <c r="C134" s="27" t="s">
        <v>30</v>
      </c>
      <c r="D134" s="28" t="s">
        <v>30</v>
      </c>
    </row>
    <row r="135" spans="1:4" ht="17.45" customHeight="1" x14ac:dyDescent="0.25">
      <c r="A135" s="26" t="s">
        <v>234</v>
      </c>
      <c r="B135" s="27" t="s">
        <v>92</v>
      </c>
      <c r="C135" s="27" t="s">
        <v>30</v>
      </c>
      <c r="D135" s="28" t="s">
        <v>30</v>
      </c>
    </row>
    <row r="136" spans="1:4" ht="17.45" customHeight="1" x14ac:dyDescent="0.25">
      <c r="A136" s="26" t="s">
        <v>235</v>
      </c>
      <c r="B136" s="27" t="s">
        <v>94</v>
      </c>
      <c r="C136" s="27" t="s">
        <v>30</v>
      </c>
      <c r="D136" s="28" t="s">
        <v>30</v>
      </c>
    </row>
    <row r="137" spans="1:4" ht="17.45" customHeight="1" x14ac:dyDescent="0.25">
      <c r="A137" s="26" t="s">
        <v>236</v>
      </c>
      <c r="B137" s="27" t="s">
        <v>96</v>
      </c>
      <c r="C137" s="27" t="s">
        <v>30</v>
      </c>
      <c r="D137" s="28" t="s">
        <v>30</v>
      </c>
    </row>
    <row r="138" spans="1:4" ht="17.45" customHeight="1" x14ac:dyDescent="0.25">
      <c r="A138" s="26" t="s">
        <v>237</v>
      </c>
      <c r="B138" s="27" t="s">
        <v>98</v>
      </c>
      <c r="C138" s="27" t="s">
        <v>30</v>
      </c>
      <c r="D138" s="28" t="s">
        <v>30</v>
      </c>
    </row>
    <row r="139" spans="1:4" ht="17.45" customHeight="1" x14ac:dyDescent="0.25">
      <c r="A139" s="26" t="s">
        <v>238</v>
      </c>
      <c r="B139" s="27" t="s">
        <v>100</v>
      </c>
      <c r="C139" s="27" t="s">
        <v>30</v>
      </c>
      <c r="D139" s="28" t="s">
        <v>30</v>
      </c>
    </row>
    <row r="140" spans="1:4" ht="17.45" customHeight="1" x14ac:dyDescent="0.25">
      <c r="A140" s="26" t="s">
        <v>239</v>
      </c>
      <c r="B140" s="27" t="s">
        <v>102</v>
      </c>
      <c r="C140" s="27" t="s">
        <v>30</v>
      </c>
      <c r="D140" s="28" t="s">
        <v>30</v>
      </c>
    </row>
    <row r="141" spans="1:4" ht="17.45" customHeight="1" x14ac:dyDescent="0.25">
      <c r="A141" s="26" t="s">
        <v>240</v>
      </c>
      <c r="B141" s="27" t="s">
        <v>104</v>
      </c>
      <c r="C141" s="27" t="s">
        <v>30</v>
      </c>
      <c r="D141" s="28" t="s">
        <v>30</v>
      </c>
    </row>
    <row r="142" spans="1:4" ht="17.45" customHeight="1" x14ac:dyDescent="0.25">
      <c r="A142" s="26" t="s">
        <v>241</v>
      </c>
      <c r="B142" s="27" t="s">
        <v>106</v>
      </c>
      <c r="C142" s="27" t="s">
        <v>30</v>
      </c>
      <c r="D142" s="28" t="s">
        <v>30</v>
      </c>
    </row>
    <row r="143" spans="1:4" ht="17.45" customHeight="1" x14ac:dyDescent="0.25">
      <c r="A143" s="26" t="s">
        <v>242</v>
      </c>
      <c r="B143" s="27" t="s">
        <v>108</v>
      </c>
      <c r="C143" s="27" t="s">
        <v>30</v>
      </c>
      <c r="D143" s="28" t="s">
        <v>31</v>
      </c>
    </row>
    <row r="144" spans="1:4" ht="17.45" customHeight="1" x14ac:dyDescent="0.25">
      <c r="A144" s="26" t="s">
        <v>243</v>
      </c>
      <c r="B144" s="27" t="s">
        <v>110</v>
      </c>
      <c r="C144" s="27" t="s">
        <v>30</v>
      </c>
      <c r="D144" s="28" t="s">
        <v>31</v>
      </c>
    </row>
    <row r="145" spans="1:4" ht="17.45" customHeight="1" x14ac:dyDescent="0.25">
      <c r="A145" s="26" t="s">
        <v>244</v>
      </c>
      <c r="B145" s="27" t="s">
        <v>112</v>
      </c>
      <c r="C145" s="27" t="s">
        <v>30</v>
      </c>
      <c r="D145" s="28" t="s">
        <v>31</v>
      </c>
    </row>
    <row r="146" spans="1:4" ht="17.45" customHeight="1" x14ac:dyDescent="0.25">
      <c r="A146" s="26" t="s">
        <v>245</v>
      </c>
      <c r="B146" s="27" t="s">
        <v>90</v>
      </c>
      <c r="C146" s="27" t="s">
        <v>31</v>
      </c>
      <c r="D146" s="28" t="s">
        <v>31</v>
      </c>
    </row>
    <row r="147" spans="1:4" ht="17.45" customHeight="1" x14ac:dyDescent="0.25">
      <c r="A147" s="26" t="s">
        <v>246</v>
      </c>
      <c r="B147" s="27" t="s">
        <v>92</v>
      </c>
      <c r="C147" s="27" t="s">
        <v>31</v>
      </c>
      <c r="D147" s="28" t="s">
        <v>31</v>
      </c>
    </row>
    <row r="148" spans="1:4" ht="17.45" customHeight="1" x14ac:dyDescent="0.25">
      <c r="A148" s="26" t="s">
        <v>247</v>
      </c>
      <c r="B148" s="27" t="s">
        <v>94</v>
      </c>
      <c r="C148" s="27" t="s">
        <v>31</v>
      </c>
      <c r="D148" s="28" t="s">
        <v>31</v>
      </c>
    </row>
    <row r="149" spans="1:4" ht="17.45" customHeight="1" x14ac:dyDescent="0.25">
      <c r="A149" s="26" t="s">
        <v>248</v>
      </c>
      <c r="B149" s="27" t="s">
        <v>96</v>
      </c>
      <c r="C149" s="27" t="s">
        <v>31</v>
      </c>
      <c r="D149" s="28" t="s">
        <v>31</v>
      </c>
    </row>
    <row r="150" spans="1:4" ht="17.45" customHeight="1" x14ac:dyDescent="0.25">
      <c r="A150" s="26" t="s">
        <v>249</v>
      </c>
      <c r="B150" s="27" t="s">
        <v>98</v>
      </c>
      <c r="C150" s="27" t="s">
        <v>31</v>
      </c>
      <c r="D150" s="28" t="s">
        <v>31</v>
      </c>
    </row>
    <row r="151" spans="1:4" ht="17.45" customHeight="1" x14ac:dyDescent="0.25">
      <c r="A151" s="26" t="s">
        <v>250</v>
      </c>
      <c r="B151" s="27" t="s">
        <v>100</v>
      </c>
      <c r="C151" s="27" t="s">
        <v>31</v>
      </c>
      <c r="D151" s="28" t="s">
        <v>31</v>
      </c>
    </row>
    <row r="152" spans="1:4" ht="17.45" customHeight="1" x14ac:dyDescent="0.25">
      <c r="A152" s="26" t="s">
        <v>251</v>
      </c>
      <c r="B152" s="27" t="s">
        <v>102</v>
      </c>
      <c r="C152" s="27" t="s">
        <v>31</v>
      </c>
      <c r="D152" s="28" t="s">
        <v>31</v>
      </c>
    </row>
    <row r="153" spans="1:4" ht="17.45" customHeight="1" x14ac:dyDescent="0.25">
      <c r="A153" s="26" t="s">
        <v>252</v>
      </c>
      <c r="B153" s="27" t="s">
        <v>104</v>
      </c>
      <c r="C153" s="27" t="s">
        <v>31</v>
      </c>
      <c r="D153" s="28" t="s">
        <v>31</v>
      </c>
    </row>
    <row r="154" spans="1:4" ht="17.45" customHeight="1" x14ac:dyDescent="0.25">
      <c r="A154" s="26" t="s">
        <v>253</v>
      </c>
      <c r="B154" s="27" t="s">
        <v>106</v>
      </c>
      <c r="C154" s="27" t="s">
        <v>31</v>
      </c>
      <c r="D154" s="28" t="s">
        <v>31</v>
      </c>
    </row>
    <row r="155" spans="1:4" ht="17.45" customHeight="1" x14ac:dyDescent="0.25">
      <c r="A155" s="26" t="s">
        <v>254</v>
      </c>
      <c r="B155" s="27" t="s">
        <v>108</v>
      </c>
      <c r="C155" s="27" t="s">
        <v>31</v>
      </c>
      <c r="D155" s="28" t="s">
        <v>32</v>
      </c>
    </row>
    <row r="156" spans="1:4" ht="17.45" customHeight="1" x14ac:dyDescent="0.25">
      <c r="A156" s="26" t="s">
        <v>255</v>
      </c>
      <c r="B156" s="27" t="s">
        <v>110</v>
      </c>
      <c r="C156" s="27" t="s">
        <v>31</v>
      </c>
      <c r="D156" s="28" t="s">
        <v>32</v>
      </c>
    </row>
    <row r="157" spans="1:4" ht="17.45" customHeight="1" x14ac:dyDescent="0.25">
      <c r="A157" s="26" t="s">
        <v>256</v>
      </c>
      <c r="B157" s="27" t="s">
        <v>112</v>
      </c>
      <c r="C157" s="27" t="s">
        <v>31</v>
      </c>
      <c r="D157" s="28" t="s">
        <v>32</v>
      </c>
    </row>
    <row r="158" spans="1:4" ht="17.45" customHeight="1" x14ac:dyDescent="0.25">
      <c r="A158" s="26" t="s">
        <v>257</v>
      </c>
      <c r="B158" s="27" t="s">
        <v>90</v>
      </c>
      <c r="C158" s="27" t="s">
        <v>32</v>
      </c>
      <c r="D158" s="28" t="s">
        <v>32</v>
      </c>
    </row>
    <row r="159" spans="1:4" ht="17.45" customHeight="1" x14ac:dyDescent="0.25">
      <c r="A159" s="26" t="s">
        <v>258</v>
      </c>
      <c r="B159" s="27" t="s">
        <v>92</v>
      </c>
      <c r="C159" s="27" t="s">
        <v>32</v>
      </c>
      <c r="D159" s="28" t="s">
        <v>32</v>
      </c>
    </row>
    <row r="160" spans="1:4" ht="17.45" customHeight="1" x14ac:dyDescent="0.25">
      <c r="A160" s="26" t="s">
        <v>259</v>
      </c>
      <c r="B160" s="27" t="s">
        <v>94</v>
      </c>
      <c r="C160" s="27" t="s">
        <v>32</v>
      </c>
      <c r="D160" s="28" t="s">
        <v>32</v>
      </c>
    </row>
    <row r="161" spans="1:4" ht="17.45" customHeight="1" x14ac:dyDescent="0.25">
      <c r="A161" s="26" t="s">
        <v>260</v>
      </c>
      <c r="B161" s="27" t="s">
        <v>96</v>
      </c>
      <c r="C161" s="27" t="s">
        <v>32</v>
      </c>
      <c r="D161" s="28" t="s">
        <v>32</v>
      </c>
    </row>
    <row r="162" spans="1:4" ht="17.45" customHeight="1" x14ac:dyDescent="0.25">
      <c r="A162" s="26" t="s">
        <v>261</v>
      </c>
      <c r="B162" s="27" t="s">
        <v>98</v>
      </c>
      <c r="C162" s="27" t="s">
        <v>32</v>
      </c>
      <c r="D162" s="28" t="s">
        <v>32</v>
      </c>
    </row>
    <row r="163" spans="1:4" ht="17.45" customHeight="1" x14ac:dyDescent="0.25">
      <c r="A163" s="26" t="s">
        <v>262</v>
      </c>
      <c r="B163" s="27" t="s">
        <v>100</v>
      </c>
      <c r="C163" s="27" t="s">
        <v>32</v>
      </c>
      <c r="D163" s="28" t="s">
        <v>32</v>
      </c>
    </row>
    <row r="164" spans="1:4" ht="17.45" customHeight="1" x14ac:dyDescent="0.25">
      <c r="A164" s="26" t="s">
        <v>263</v>
      </c>
      <c r="B164" s="27" t="s">
        <v>102</v>
      </c>
      <c r="C164" s="27" t="s">
        <v>32</v>
      </c>
      <c r="D164" s="28" t="s">
        <v>32</v>
      </c>
    </row>
    <row r="165" spans="1:4" ht="17.45" customHeight="1" x14ac:dyDescent="0.25">
      <c r="A165" s="26" t="s">
        <v>264</v>
      </c>
      <c r="B165" s="27" t="s">
        <v>104</v>
      </c>
      <c r="C165" s="27" t="s">
        <v>32</v>
      </c>
      <c r="D165" s="28" t="s">
        <v>32</v>
      </c>
    </row>
    <row r="166" spans="1:4" ht="17.45" customHeight="1" x14ac:dyDescent="0.25">
      <c r="A166" s="26" t="s">
        <v>265</v>
      </c>
      <c r="B166" s="27" t="s">
        <v>106</v>
      </c>
      <c r="C166" s="27" t="s">
        <v>32</v>
      </c>
      <c r="D166" s="28" t="s">
        <v>32</v>
      </c>
    </row>
    <row r="167" spans="1:4" ht="17.45" customHeight="1" x14ac:dyDescent="0.25">
      <c r="A167" s="26" t="s">
        <v>266</v>
      </c>
      <c r="B167" s="27" t="s">
        <v>108</v>
      </c>
      <c r="C167" s="27" t="s">
        <v>32</v>
      </c>
      <c r="D167" s="28" t="s">
        <v>33</v>
      </c>
    </row>
    <row r="168" spans="1:4" ht="17.45" customHeight="1" x14ac:dyDescent="0.25">
      <c r="A168" s="26" t="s">
        <v>267</v>
      </c>
      <c r="B168" s="27" t="s">
        <v>110</v>
      </c>
      <c r="C168" s="27" t="s">
        <v>32</v>
      </c>
      <c r="D168" s="28" t="s">
        <v>33</v>
      </c>
    </row>
    <row r="169" spans="1:4" ht="17.45" customHeight="1" x14ac:dyDescent="0.25">
      <c r="A169" s="26" t="s">
        <v>268</v>
      </c>
      <c r="B169" s="27" t="s">
        <v>112</v>
      </c>
      <c r="C169" s="27" t="s">
        <v>32</v>
      </c>
      <c r="D169" s="28" t="s">
        <v>33</v>
      </c>
    </row>
    <row r="170" spans="1:4" ht="17.45" customHeight="1" x14ac:dyDescent="0.25">
      <c r="A170" s="26" t="s">
        <v>269</v>
      </c>
      <c r="B170" s="27" t="s">
        <v>90</v>
      </c>
      <c r="C170" s="27" t="s">
        <v>33</v>
      </c>
      <c r="D170" s="28" t="s">
        <v>33</v>
      </c>
    </row>
    <row r="171" spans="1:4" ht="17.45" customHeight="1" x14ac:dyDescent="0.25">
      <c r="A171" s="26" t="s">
        <v>270</v>
      </c>
      <c r="B171" s="27" t="s">
        <v>92</v>
      </c>
      <c r="C171" s="27" t="s">
        <v>33</v>
      </c>
      <c r="D171" s="28" t="s">
        <v>33</v>
      </c>
    </row>
    <row r="172" spans="1:4" ht="17.45" customHeight="1" x14ac:dyDescent="0.25">
      <c r="A172" s="26" t="s">
        <v>271</v>
      </c>
      <c r="B172" s="27" t="s">
        <v>94</v>
      </c>
      <c r="C172" s="27" t="s">
        <v>33</v>
      </c>
      <c r="D172" s="28" t="s">
        <v>33</v>
      </c>
    </row>
    <row r="173" spans="1:4" ht="17.45" customHeight="1" x14ac:dyDescent="0.25">
      <c r="A173" s="26" t="s">
        <v>272</v>
      </c>
      <c r="B173" s="27" t="s">
        <v>96</v>
      </c>
      <c r="C173" s="27" t="s">
        <v>33</v>
      </c>
      <c r="D173" s="28" t="s">
        <v>33</v>
      </c>
    </row>
    <row r="174" spans="1:4" ht="17.45" customHeight="1" x14ac:dyDescent="0.25">
      <c r="A174" s="26" t="s">
        <v>273</v>
      </c>
      <c r="B174" s="27" t="s">
        <v>98</v>
      </c>
      <c r="C174" s="27" t="s">
        <v>33</v>
      </c>
      <c r="D174" s="28" t="s">
        <v>33</v>
      </c>
    </row>
    <row r="175" spans="1:4" ht="17.45" customHeight="1" x14ac:dyDescent="0.25">
      <c r="A175" s="26" t="s">
        <v>274</v>
      </c>
      <c r="B175" s="27" t="s">
        <v>100</v>
      </c>
      <c r="C175" s="27" t="s">
        <v>33</v>
      </c>
      <c r="D175" s="28" t="s">
        <v>33</v>
      </c>
    </row>
    <row r="176" spans="1:4" ht="17.45" customHeight="1" x14ac:dyDescent="0.25">
      <c r="A176" s="26" t="s">
        <v>275</v>
      </c>
      <c r="B176" s="27" t="s">
        <v>102</v>
      </c>
      <c r="C176" s="27" t="s">
        <v>33</v>
      </c>
      <c r="D176" s="28" t="s">
        <v>33</v>
      </c>
    </row>
    <row r="177" spans="1:4" ht="17.45" customHeight="1" x14ac:dyDescent="0.25">
      <c r="A177" s="26" t="s">
        <v>276</v>
      </c>
      <c r="B177" s="27" t="s">
        <v>104</v>
      </c>
      <c r="C177" s="27" t="s">
        <v>33</v>
      </c>
      <c r="D177" s="28" t="s">
        <v>33</v>
      </c>
    </row>
    <row r="178" spans="1:4" ht="17.45" customHeight="1" x14ac:dyDescent="0.25">
      <c r="A178" s="26" t="s">
        <v>277</v>
      </c>
      <c r="B178" s="27" t="s">
        <v>106</v>
      </c>
      <c r="C178" s="27" t="s">
        <v>33</v>
      </c>
      <c r="D178" s="28" t="s">
        <v>33</v>
      </c>
    </row>
    <row r="179" spans="1:4" ht="17.45" customHeight="1" x14ac:dyDescent="0.25">
      <c r="A179" s="26" t="s">
        <v>278</v>
      </c>
      <c r="B179" s="27" t="s">
        <v>108</v>
      </c>
      <c r="C179" s="27" t="s">
        <v>33</v>
      </c>
      <c r="D179" s="28" t="s">
        <v>34</v>
      </c>
    </row>
    <row r="180" spans="1:4" ht="17.45" customHeight="1" x14ac:dyDescent="0.25">
      <c r="A180" s="26" t="s">
        <v>279</v>
      </c>
      <c r="B180" s="27" t="s">
        <v>110</v>
      </c>
      <c r="C180" s="27" t="s">
        <v>33</v>
      </c>
      <c r="D180" s="28" t="s">
        <v>34</v>
      </c>
    </row>
    <row r="181" spans="1:4" ht="17.45" customHeight="1" x14ac:dyDescent="0.25">
      <c r="A181" s="26" t="s">
        <v>280</v>
      </c>
      <c r="B181" s="27" t="s">
        <v>112</v>
      </c>
      <c r="C181" s="27" t="s">
        <v>33</v>
      </c>
      <c r="D181" s="28" t="s">
        <v>34</v>
      </c>
    </row>
    <row r="182" spans="1:4" ht="17.45" customHeight="1" x14ac:dyDescent="0.25">
      <c r="A182" s="26" t="s">
        <v>281</v>
      </c>
      <c r="B182" s="27" t="s">
        <v>90</v>
      </c>
      <c r="C182" s="27" t="s">
        <v>34</v>
      </c>
      <c r="D182" s="28" t="s">
        <v>34</v>
      </c>
    </row>
    <row r="183" spans="1:4" ht="17.45" customHeight="1" x14ac:dyDescent="0.25">
      <c r="A183" s="26" t="s">
        <v>282</v>
      </c>
      <c r="B183" s="27" t="s">
        <v>92</v>
      </c>
      <c r="C183" s="27" t="s">
        <v>34</v>
      </c>
      <c r="D183" s="28" t="s">
        <v>34</v>
      </c>
    </row>
    <row r="184" spans="1:4" ht="17.45" customHeight="1" x14ac:dyDescent="0.25">
      <c r="A184" s="26" t="s">
        <v>283</v>
      </c>
      <c r="B184" s="27" t="s">
        <v>94</v>
      </c>
      <c r="C184" s="27" t="s">
        <v>34</v>
      </c>
      <c r="D184" s="28" t="s">
        <v>34</v>
      </c>
    </row>
    <row r="185" spans="1:4" ht="17.45" customHeight="1" x14ac:dyDescent="0.25">
      <c r="A185" s="26" t="s">
        <v>284</v>
      </c>
      <c r="B185" s="27" t="s">
        <v>96</v>
      </c>
      <c r="C185" s="27" t="s">
        <v>34</v>
      </c>
      <c r="D185" s="28" t="s">
        <v>34</v>
      </c>
    </row>
    <row r="186" spans="1:4" ht="17.45" customHeight="1" x14ac:dyDescent="0.25">
      <c r="A186" s="26" t="s">
        <v>285</v>
      </c>
      <c r="B186" s="27" t="s">
        <v>98</v>
      </c>
      <c r="C186" s="27" t="s">
        <v>34</v>
      </c>
      <c r="D186" s="28" t="s">
        <v>34</v>
      </c>
    </row>
    <row r="187" spans="1:4" ht="17.45" customHeight="1" x14ac:dyDescent="0.25">
      <c r="A187" s="26" t="s">
        <v>286</v>
      </c>
      <c r="B187" s="27" t="s">
        <v>100</v>
      </c>
      <c r="C187" s="27" t="s">
        <v>34</v>
      </c>
      <c r="D187" s="28" t="s">
        <v>34</v>
      </c>
    </row>
    <row r="188" spans="1:4" ht="17.45" customHeight="1" x14ac:dyDescent="0.25">
      <c r="A188" s="26" t="s">
        <v>287</v>
      </c>
      <c r="B188" s="27" t="s">
        <v>102</v>
      </c>
      <c r="C188" s="27" t="s">
        <v>34</v>
      </c>
      <c r="D188" s="28" t="s">
        <v>34</v>
      </c>
    </row>
    <row r="189" spans="1:4" ht="17.45" customHeight="1" x14ac:dyDescent="0.25">
      <c r="A189" s="26" t="s">
        <v>288</v>
      </c>
      <c r="B189" s="27" t="s">
        <v>104</v>
      </c>
      <c r="C189" s="27" t="s">
        <v>34</v>
      </c>
      <c r="D189" s="28" t="s">
        <v>34</v>
      </c>
    </row>
    <row r="190" spans="1:4" ht="17.45" customHeight="1" x14ac:dyDescent="0.25">
      <c r="A190" s="26" t="s">
        <v>289</v>
      </c>
      <c r="B190" s="27" t="s">
        <v>106</v>
      </c>
      <c r="C190" s="27" t="s">
        <v>34</v>
      </c>
      <c r="D190" s="28" t="s">
        <v>34</v>
      </c>
    </row>
    <row r="191" spans="1:4" ht="17.45" customHeight="1" x14ac:dyDescent="0.25">
      <c r="A191" s="26" t="s">
        <v>290</v>
      </c>
      <c r="B191" s="27" t="s">
        <v>108</v>
      </c>
      <c r="C191" s="27" t="s">
        <v>34</v>
      </c>
      <c r="D191" s="28" t="s">
        <v>35</v>
      </c>
    </row>
    <row r="192" spans="1:4" ht="17.45" customHeight="1" x14ac:dyDescent="0.25">
      <c r="A192" s="26" t="s">
        <v>291</v>
      </c>
      <c r="B192" s="27" t="s">
        <v>110</v>
      </c>
      <c r="C192" s="27" t="s">
        <v>34</v>
      </c>
      <c r="D192" s="28" t="s">
        <v>35</v>
      </c>
    </row>
    <row r="193" spans="1:4" ht="17.45" customHeight="1" x14ac:dyDescent="0.25">
      <c r="A193" s="26" t="s">
        <v>292</v>
      </c>
      <c r="B193" s="27" t="s">
        <v>112</v>
      </c>
      <c r="C193" s="27" t="s">
        <v>34</v>
      </c>
      <c r="D193" s="28" t="s">
        <v>35</v>
      </c>
    </row>
    <row r="194" spans="1:4" ht="17.45" customHeight="1" x14ac:dyDescent="0.25">
      <c r="A194" s="26" t="s">
        <v>293</v>
      </c>
      <c r="B194" s="27" t="s">
        <v>90</v>
      </c>
      <c r="C194" s="27" t="s">
        <v>35</v>
      </c>
      <c r="D194" s="28" t="s">
        <v>35</v>
      </c>
    </row>
    <row r="195" spans="1:4" ht="17.45" customHeight="1" x14ac:dyDescent="0.25">
      <c r="A195" s="26" t="s">
        <v>294</v>
      </c>
      <c r="B195" s="27" t="s">
        <v>92</v>
      </c>
      <c r="C195" s="27" t="s">
        <v>35</v>
      </c>
      <c r="D195" s="28" t="s">
        <v>35</v>
      </c>
    </row>
    <row r="196" spans="1:4" ht="17.45" customHeight="1" x14ac:dyDescent="0.25">
      <c r="A196" s="26" t="s">
        <v>295</v>
      </c>
      <c r="B196" s="27" t="s">
        <v>94</v>
      </c>
      <c r="C196" s="27" t="s">
        <v>35</v>
      </c>
      <c r="D196" s="28" t="s">
        <v>35</v>
      </c>
    </row>
    <row r="197" spans="1:4" ht="17.45" customHeight="1" x14ac:dyDescent="0.25">
      <c r="A197" s="26" t="s">
        <v>296</v>
      </c>
      <c r="B197" s="27" t="s">
        <v>96</v>
      </c>
      <c r="C197" s="27" t="s">
        <v>35</v>
      </c>
      <c r="D197" s="28" t="s">
        <v>35</v>
      </c>
    </row>
    <row r="198" spans="1:4" ht="17.45" customHeight="1" x14ac:dyDescent="0.25">
      <c r="A198" s="26" t="s">
        <v>297</v>
      </c>
      <c r="B198" s="27" t="s">
        <v>98</v>
      </c>
      <c r="C198" s="27" t="s">
        <v>35</v>
      </c>
      <c r="D198" s="28" t="s">
        <v>35</v>
      </c>
    </row>
    <row r="199" spans="1:4" ht="17.45" customHeight="1" x14ac:dyDescent="0.25">
      <c r="A199" s="26" t="s">
        <v>298</v>
      </c>
      <c r="B199" s="27" t="s">
        <v>100</v>
      </c>
      <c r="C199" s="27" t="s">
        <v>35</v>
      </c>
      <c r="D199" s="28" t="s">
        <v>35</v>
      </c>
    </row>
    <row r="200" spans="1:4" ht="17.45" customHeight="1" x14ac:dyDescent="0.25">
      <c r="A200" s="26" t="s">
        <v>299</v>
      </c>
      <c r="B200" s="27" t="s">
        <v>102</v>
      </c>
      <c r="C200" s="27" t="s">
        <v>35</v>
      </c>
      <c r="D200" s="28" t="s">
        <v>35</v>
      </c>
    </row>
    <row r="201" spans="1:4" ht="17.45" customHeight="1" x14ac:dyDescent="0.25">
      <c r="A201" s="26" t="s">
        <v>300</v>
      </c>
      <c r="B201" s="27" t="s">
        <v>104</v>
      </c>
      <c r="C201" s="27" t="s">
        <v>35</v>
      </c>
      <c r="D201" s="28" t="s">
        <v>35</v>
      </c>
    </row>
    <row r="202" spans="1:4" ht="17.45" customHeight="1" x14ac:dyDescent="0.25">
      <c r="A202" s="26" t="s">
        <v>301</v>
      </c>
      <c r="B202" s="27" t="s">
        <v>106</v>
      </c>
      <c r="C202" s="27" t="s">
        <v>35</v>
      </c>
      <c r="D202" s="28" t="s">
        <v>35</v>
      </c>
    </row>
    <row r="203" spans="1:4" ht="17.45" customHeight="1" x14ac:dyDescent="0.25">
      <c r="A203" s="26" t="s">
        <v>302</v>
      </c>
      <c r="B203" s="27" t="s">
        <v>108</v>
      </c>
      <c r="C203" s="27" t="s">
        <v>35</v>
      </c>
      <c r="D203" s="28" t="s">
        <v>36</v>
      </c>
    </row>
    <row r="204" spans="1:4" ht="17.45" customHeight="1" x14ac:dyDescent="0.25">
      <c r="A204" s="26" t="s">
        <v>303</v>
      </c>
      <c r="B204" s="27" t="s">
        <v>110</v>
      </c>
      <c r="C204" s="27" t="s">
        <v>35</v>
      </c>
      <c r="D204" s="28" t="s">
        <v>36</v>
      </c>
    </row>
    <row r="205" spans="1:4" ht="17.45" customHeight="1" x14ac:dyDescent="0.25">
      <c r="A205" s="26" t="s">
        <v>304</v>
      </c>
      <c r="B205" s="27" t="s">
        <v>112</v>
      </c>
      <c r="C205" s="27" t="s">
        <v>35</v>
      </c>
      <c r="D205" s="28" t="s">
        <v>36</v>
      </c>
    </row>
    <row r="206" spans="1:4" ht="17.45" customHeight="1" x14ac:dyDescent="0.25">
      <c r="A206" s="26" t="s">
        <v>305</v>
      </c>
      <c r="B206" s="27" t="s">
        <v>90</v>
      </c>
      <c r="C206" s="27" t="s">
        <v>36</v>
      </c>
      <c r="D206" s="28" t="s">
        <v>36</v>
      </c>
    </row>
    <row r="207" spans="1:4" ht="17.45" customHeight="1" x14ac:dyDescent="0.25">
      <c r="A207" s="26" t="s">
        <v>306</v>
      </c>
      <c r="B207" s="27" t="s">
        <v>92</v>
      </c>
      <c r="C207" s="27" t="s">
        <v>36</v>
      </c>
      <c r="D207" s="28" t="s">
        <v>36</v>
      </c>
    </row>
    <row r="208" spans="1:4" ht="17.45" customHeight="1" x14ac:dyDescent="0.25">
      <c r="A208" s="26" t="s">
        <v>307</v>
      </c>
      <c r="B208" s="27" t="s">
        <v>94</v>
      </c>
      <c r="C208" s="27" t="s">
        <v>36</v>
      </c>
      <c r="D208" s="28" t="s">
        <v>36</v>
      </c>
    </row>
    <row r="209" spans="1:4" ht="17.45" customHeight="1" x14ac:dyDescent="0.25">
      <c r="A209" s="26" t="s">
        <v>308</v>
      </c>
      <c r="B209" s="27" t="s">
        <v>96</v>
      </c>
      <c r="C209" s="27" t="s">
        <v>36</v>
      </c>
      <c r="D209" s="28" t="s">
        <v>36</v>
      </c>
    </row>
    <row r="210" spans="1:4" ht="17.45" customHeight="1" x14ac:dyDescent="0.25">
      <c r="A210" s="26" t="s">
        <v>309</v>
      </c>
      <c r="B210" s="27" t="s">
        <v>98</v>
      </c>
      <c r="C210" s="27" t="s">
        <v>36</v>
      </c>
      <c r="D210" s="28" t="s">
        <v>36</v>
      </c>
    </row>
    <row r="211" spans="1:4" ht="17.45" customHeight="1" x14ac:dyDescent="0.25">
      <c r="A211" s="26" t="s">
        <v>310</v>
      </c>
      <c r="B211" s="27" t="s">
        <v>100</v>
      </c>
      <c r="C211" s="27" t="s">
        <v>36</v>
      </c>
      <c r="D211" s="28" t="s">
        <v>36</v>
      </c>
    </row>
    <row r="212" spans="1:4" ht="17.45" customHeight="1" x14ac:dyDescent="0.25">
      <c r="A212" s="26" t="s">
        <v>311</v>
      </c>
      <c r="B212" s="27" t="s">
        <v>102</v>
      </c>
      <c r="C212" s="27" t="s">
        <v>36</v>
      </c>
      <c r="D212" s="28" t="s">
        <v>36</v>
      </c>
    </row>
    <row r="213" spans="1:4" ht="17.45" customHeight="1" x14ac:dyDescent="0.25">
      <c r="A213" s="26" t="s">
        <v>312</v>
      </c>
      <c r="B213" s="27" t="s">
        <v>104</v>
      </c>
      <c r="C213" s="27" t="s">
        <v>36</v>
      </c>
      <c r="D213" s="28" t="s">
        <v>36</v>
      </c>
    </row>
    <row r="214" spans="1:4" ht="17.45" customHeight="1" x14ac:dyDescent="0.25">
      <c r="A214" s="26" t="s">
        <v>313</v>
      </c>
      <c r="B214" s="27" t="s">
        <v>106</v>
      </c>
      <c r="C214" s="27" t="s">
        <v>36</v>
      </c>
      <c r="D214" s="28" t="s">
        <v>36</v>
      </c>
    </row>
    <row r="215" spans="1:4" ht="17.45" customHeight="1" x14ac:dyDescent="0.25">
      <c r="A215" s="26" t="s">
        <v>314</v>
      </c>
      <c r="B215" s="27" t="s">
        <v>108</v>
      </c>
      <c r="C215" s="27" t="s">
        <v>36</v>
      </c>
      <c r="D215" s="28" t="s">
        <v>37</v>
      </c>
    </row>
    <row r="216" spans="1:4" ht="17.45" customHeight="1" x14ac:dyDescent="0.25">
      <c r="A216" s="26" t="s">
        <v>315</v>
      </c>
      <c r="B216" s="27" t="s">
        <v>110</v>
      </c>
      <c r="C216" s="27" t="s">
        <v>36</v>
      </c>
      <c r="D216" s="28" t="s">
        <v>37</v>
      </c>
    </row>
    <row r="217" spans="1:4" ht="17.45" customHeight="1" x14ac:dyDescent="0.25">
      <c r="A217" s="26" t="s">
        <v>316</v>
      </c>
      <c r="B217" s="27" t="s">
        <v>112</v>
      </c>
      <c r="C217" s="27" t="s">
        <v>36</v>
      </c>
      <c r="D217" s="28" t="s">
        <v>37</v>
      </c>
    </row>
    <row r="218" spans="1:4" ht="17.45" customHeight="1" x14ac:dyDescent="0.25">
      <c r="A218" s="26" t="s">
        <v>317</v>
      </c>
      <c r="B218" s="27" t="s">
        <v>90</v>
      </c>
      <c r="C218" s="27" t="s">
        <v>37</v>
      </c>
      <c r="D218" s="28" t="s">
        <v>37</v>
      </c>
    </row>
    <row r="219" spans="1:4" ht="17.45" customHeight="1" x14ac:dyDescent="0.25">
      <c r="A219" s="26" t="s">
        <v>318</v>
      </c>
      <c r="B219" s="27" t="s">
        <v>92</v>
      </c>
      <c r="C219" s="27" t="s">
        <v>37</v>
      </c>
      <c r="D219" s="28" t="s">
        <v>37</v>
      </c>
    </row>
    <row r="220" spans="1:4" ht="17.45" customHeight="1" x14ac:dyDescent="0.25">
      <c r="A220" s="26" t="s">
        <v>319</v>
      </c>
      <c r="B220" s="27" t="s">
        <v>94</v>
      </c>
      <c r="C220" s="27" t="s">
        <v>37</v>
      </c>
      <c r="D220" s="28" t="s">
        <v>37</v>
      </c>
    </row>
    <row r="221" spans="1:4" ht="17.45" customHeight="1" x14ac:dyDescent="0.25">
      <c r="A221" s="26" t="s">
        <v>320</v>
      </c>
      <c r="B221" s="27" t="s">
        <v>96</v>
      </c>
      <c r="C221" s="27" t="s">
        <v>37</v>
      </c>
      <c r="D221" s="28" t="s">
        <v>37</v>
      </c>
    </row>
    <row r="222" spans="1:4" ht="17.45" customHeight="1" x14ac:dyDescent="0.25">
      <c r="A222" s="26" t="s">
        <v>321</v>
      </c>
      <c r="B222" s="27" t="s">
        <v>98</v>
      </c>
      <c r="C222" s="27" t="s">
        <v>37</v>
      </c>
      <c r="D222" s="28" t="s">
        <v>37</v>
      </c>
    </row>
    <row r="223" spans="1:4" ht="17.45" customHeight="1" x14ac:dyDescent="0.25">
      <c r="A223" s="26" t="s">
        <v>322</v>
      </c>
      <c r="B223" s="27" t="s">
        <v>100</v>
      </c>
      <c r="C223" s="27" t="s">
        <v>37</v>
      </c>
      <c r="D223" s="28" t="s">
        <v>37</v>
      </c>
    </row>
    <row r="224" spans="1:4" ht="17.45" customHeight="1" x14ac:dyDescent="0.25">
      <c r="A224" s="26" t="s">
        <v>323</v>
      </c>
      <c r="B224" s="27" t="s">
        <v>102</v>
      </c>
      <c r="C224" s="27" t="s">
        <v>37</v>
      </c>
      <c r="D224" s="28" t="s">
        <v>37</v>
      </c>
    </row>
    <row r="225" spans="1:4" ht="17.45" customHeight="1" x14ac:dyDescent="0.25">
      <c r="A225" s="26" t="s">
        <v>324</v>
      </c>
      <c r="B225" s="27" t="s">
        <v>104</v>
      </c>
      <c r="C225" s="27" t="s">
        <v>37</v>
      </c>
      <c r="D225" s="28" t="s">
        <v>37</v>
      </c>
    </row>
    <row r="226" spans="1:4" ht="17.45" customHeight="1" x14ac:dyDescent="0.25">
      <c r="A226" s="26" t="s">
        <v>325</v>
      </c>
      <c r="B226" s="27" t="s">
        <v>106</v>
      </c>
      <c r="C226" s="27" t="s">
        <v>37</v>
      </c>
      <c r="D226" s="28" t="s">
        <v>37</v>
      </c>
    </row>
    <row r="227" spans="1:4" ht="17.45" customHeight="1" x14ac:dyDescent="0.25">
      <c r="A227" s="26" t="s">
        <v>326</v>
      </c>
      <c r="B227" s="27" t="s">
        <v>108</v>
      </c>
      <c r="C227" s="27" t="s">
        <v>37</v>
      </c>
      <c r="D227" s="28" t="s">
        <v>38</v>
      </c>
    </row>
    <row r="228" spans="1:4" ht="17.45" customHeight="1" x14ac:dyDescent="0.25">
      <c r="A228" s="26" t="s">
        <v>327</v>
      </c>
      <c r="B228" s="27" t="s">
        <v>110</v>
      </c>
      <c r="C228" s="27" t="s">
        <v>37</v>
      </c>
      <c r="D228" s="28" t="s">
        <v>38</v>
      </c>
    </row>
    <row r="229" spans="1:4" ht="17.45" customHeight="1" x14ac:dyDescent="0.25">
      <c r="A229" s="26" t="s">
        <v>328</v>
      </c>
      <c r="B229" s="27" t="s">
        <v>112</v>
      </c>
      <c r="C229" s="27" t="s">
        <v>37</v>
      </c>
      <c r="D229" s="28" t="s">
        <v>38</v>
      </c>
    </row>
    <row r="230" spans="1:4" ht="17.45" customHeight="1" x14ac:dyDescent="0.25">
      <c r="A230" s="26" t="s">
        <v>329</v>
      </c>
      <c r="B230" s="27" t="s">
        <v>90</v>
      </c>
      <c r="C230" s="27" t="s">
        <v>38</v>
      </c>
      <c r="D230" s="28" t="s">
        <v>38</v>
      </c>
    </row>
    <row r="231" spans="1:4" ht="17.45" customHeight="1" x14ac:dyDescent="0.25">
      <c r="A231" s="26" t="s">
        <v>330</v>
      </c>
      <c r="B231" s="27" t="s">
        <v>92</v>
      </c>
      <c r="C231" s="27" t="s">
        <v>38</v>
      </c>
      <c r="D231" s="28" t="s">
        <v>38</v>
      </c>
    </row>
    <row r="232" spans="1:4" ht="17.45" customHeight="1" x14ac:dyDescent="0.25">
      <c r="A232" s="26" t="s">
        <v>331</v>
      </c>
      <c r="B232" s="27" t="s">
        <v>94</v>
      </c>
      <c r="C232" s="27" t="s">
        <v>38</v>
      </c>
      <c r="D232" s="28" t="s">
        <v>38</v>
      </c>
    </row>
    <row r="233" spans="1:4" ht="17.45" customHeight="1" x14ac:dyDescent="0.25">
      <c r="A233" s="26" t="s">
        <v>332</v>
      </c>
      <c r="B233" s="27" t="s">
        <v>96</v>
      </c>
      <c r="C233" s="27" t="s">
        <v>38</v>
      </c>
      <c r="D233" s="28" t="s">
        <v>38</v>
      </c>
    </row>
    <row r="234" spans="1:4" ht="17.45" customHeight="1" x14ac:dyDescent="0.25">
      <c r="A234" s="26" t="s">
        <v>333</v>
      </c>
      <c r="B234" s="27" t="s">
        <v>98</v>
      </c>
      <c r="C234" s="27" t="s">
        <v>38</v>
      </c>
      <c r="D234" s="28" t="s">
        <v>38</v>
      </c>
    </row>
    <row r="235" spans="1:4" ht="17.45" customHeight="1" x14ac:dyDescent="0.25">
      <c r="A235" s="26" t="s">
        <v>334</v>
      </c>
      <c r="B235" s="27" t="s">
        <v>100</v>
      </c>
      <c r="C235" s="27" t="s">
        <v>38</v>
      </c>
      <c r="D235" s="28" t="s">
        <v>38</v>
      </c>
    </row>
    <row r="236" spans="1:4" ht="17.45" customHeight="1" x14ac:dyDescent="0.25">
      <c r="A236" s="26" t="s">
        <v>335</v>
      </c>
      <c r="B236" s="27" t="s">
        <v>102</v>
      </c>
      <c r="C236" s="27" t="s">
        <v>38</v>
      </c>
      <c r="D236" s="28" t="s">
        <v>38</v>
      </c>
    </row>
    <row r="237" spans="1:4" ht="17.45" customHeight="1" x14ac:dyDescent="0.25">
      <c r="A237" s="26" t="s">
        <v>336</v>
      </c>
      <c r="B237" s="27" t="s">
        <v>104</v>
      </c>
      <c r="C237" s="27" t="s">
        <v>38</v>
      </c>
      <c r="D237" s="28" t="s">
        <v>38</v>
      </c>
    </row>
    <row r="238" spans="1:4" ht="17.45" customHeight="1" x14ac:dyDescent="0.25">
      <c r="A238" s="26" t="s">
        <v>337</v>
      </c>
      <c r="B238" s="27" t="s">
        <v>106</v>
      </c>
      <c r="C238" s="27" t="s">
        <v>38</v>
      </c>
      <c r="D238" s="28" t="s">
        <v>38</v>
      </c>
    </row>
    <row r="239" spans="1:4" ht="17.45" customHeight="1" x14ac:dyDescent="0.25">
      <c r="A239" s="26" t="s">
        <v>338</v>
      </c>
      <c r="B239" s="27" t="s">
        <v>108</v>
      </c>
      <c r="C239" s="27" t="s">
        <v>38</v>
      </c>
      <c r="D239" s="28" t="s">
        <v>39</v>
      </c>
    </row>
    <row r="240" spans="1:4" ht="17.45" customHeight="1" x14ac:dyDescent="0.25">
      <c r="A240" s="26" t="s">
        <v>339</v>
      </c>
      <c r="B240" s="27" t="s">
        <v>110</v>
      </c>
      <c r="C240" s="27" t="s">
        <v>38</v>
      </c>
      <c r="D240" s="28" t="s">
        <v>39</v>
      </c>
    </row>
    <row r="241" spans="1:4" ht="17.45" customHeight="1" x14ac:dyDescent="0.25">
      <c r="A241" s="26" t="s">
        <v>340</v>
      </c>
      <c r="B241" s="27" t="s">
        <v>112</v>
      </c>
      <c r="C241" s="27" t="s">
        <v>38</v>
      </c>
      <c r="D241" s="28" t="s">
        <v>39</v>
      </c>
    </row>
    <row r="242" spans="1:4" ht="17.45" customHeight="1" x14ac:dyDescent="0.25">
      <c r="A242" s="26" t="s">
        <v>341</v>
      </c>
      <c r="B242" s="27" t="s">
        <v>90</v>
      </c>
      <c r="C242" s="27" t="s">
        <v>39</v>
      </c>
      <c r="D242" s="28" t="s">
        <v>39</v>
      </c>
    </row>
    <row r="243" spans="1:4" ht="17.45" customHeight="1" x14ac:dyDescent="0.25">
      <c r="A243" s="26" t="s">
        <v>342</v>
      </c>
      <c r="B243" s="27" t="s">
        <v>92</v>
      </c>
      <c r="C243" s="27" t="s">
        <v>39</v>
      </c>
      <c r="D243" s="28" t="s">
        <v>39</v>
      </c>
    </row>
    <row r="244" spans="1:4" ht="17.45" customHeight="1" x14ac:dyDescent="0.25">
      <c r="A244" s="26" t="s">
        <v>343</v>
      </c>
      <c r="B244" s="27" t="s">
        <v>94</v>
      </c>
      <c r="C244" s="27" t="s">
        <v>39</v>
      </c>
      <c r="D244" s="28" t="s">
        <v>39</v>
      </c>
    </row>
    <row r="245" spans="1:4" ht="17.45" customHeight="1" x14ac:dyDescent="0.25">
      <c r="A245" s="26" t="s">
        <v>344</v>
      </c>
      <c r="B245" s="27" t="s">
        <v>96</v>
      </c>
      <c r="C245" s="27" t="s">
        <v>39</v>
      </c>
      <c r="D245" s="28" t="s">
        <v>39</v>
      </c>
    </row>
    <row r="246" spans="1:4" ht="17.45" customHeight="1" x14ac:dyDescent="0.25">
      <c r="A246" s="26" t="s">
        <v>345</v>
      </c>
      <c r="B246" s="27" t="s">
        <v>98</v>
      </c>
      <c r="C246" s="27" t="s">
        <v>39</v>
      </c>
      <c r="D246" s="28" t="s">
        <v>39</v>
      </c>
    </row>
    <row r="247" spans="1:4" ht="17.45" customHeight="1" x14ac:dyDescent="0.25">
      <c r="A247" s="26" t="s">
        <v>346</v>
      </c>
      <c r="B247" s="27" t="s">
        <v>100</v>
      </c>
      <c r="C247" s="27" t="s">
        <v>39</v>
      </c>
      <c r="D247" s="28" t="s">
        <v>39</v>
      </c>
    </row>
    <row r="248" spans="1:4" ht="17.45" customHeight="1" x14ac:dyDescent="0.25">
      <c r="A248" s="26" t="s">
        <v>347</v>
      </c>
      <c r="B248" s="27" t="s">
        <v>102</v>
      </c>
      <c r="C248" s="27" t="s">
        <v>39</v>
      </c>
      <c r="D248" s="28" t="s">
        <v>39</v>
      </c>
    </row>
    <row r="249" spans="1:4" ht="17.45" customHeight="1" x14ac:dyDescent="0.25">
      <c r="A249" s="26" t="s">
        <v>348</v>
      </c>
      <c r="B249" s="27" t="s">
        <v>104</v>
      </c>
      <c r="C249" s="27" t="s">
        <v>39</v>
      </c>
      <c r="D249" s="28" t="s">
        <v>39</v>
      </c>
    </row>
    <row r="250" spans="1:4" ht="17.45" customHeight="1" x14ac:dyDescent="0.25">
      <c r="A250" s="26" t="s">
        <v>349</v>
      </c>
      <c r="B250" s="27" t="s">
        <v>106</v>
      </c>
      <c r="C250" s="27" t="s">
        <v>39</v>
      </c>
      <c r="D250" s="28" t="s">
        <v>39</v>
      </c>
    </row>
    <row r="251" spans="1:4" ht="17.45" customHeight="1" x14ac:dyDescent="0.25">
      <c r="A251" s="26" t="s">
        <v>350</v>
      </c>
      <c r="B251" s="27" t="s">
        <v>108</v>
      </c>
      <c r="C251" s="27" t="s">
        <v>39</v>
      </c>
      <c r="D251" s="28" t="s">
        <v>40</v>
      </c>
    </row>
    <row r="252" spans="1:4" ht="17.45" customHeight="1" x14ac:dyDescent="0.25">
      <c r="A252" s="26" t="s">
        <v>351</v>
      </c>
      <c r="B252" s="27" t="s">
        <v>110</v>
      </c>
      <c r="C252" s="27" t="s">
        <v>39</v>
      </c>
      <c r="D252" s="28" t="s">
        <v>40</v>
      </c>
    </row>
    <row r="253" spans="1:4" ht="17.45" customHeight="1" x14ac:dyDescent="0.25">
      <c r="A253" s="26" t="s">
        <v>352</v>
      </c>
      <c r="B253" s="27" t="s">
        <v>112</v>
      </c>
      <c r="C253" s="27" t="s">
        <v>39</v>
      </c>
      <c r="D253" s="28" t="s">
        <v>40</v>
      </c>
    </row>
    <row r="254" spans="1:4" ht="17.45" customHeight="1" x14ac:dyDescent="0.25">
      <c r="A254" s="26" t="s">
        <v>353</v>
      </c>
      <c r="B254" s="27" t="s">
        <v>90</v>
      </c>
      <c r="C254" s="27" t="s">
        <v>40</v>
      </c>
      <c r="D254" s="28" t="s">
        <v>40</v>
      </c>
    </row>
    <row r="255" spans="1:4" ht="17.45" customHeight="1" x14ac:dyDescent="0.25">
      <c r="A255" s="26" t="s">
        <v>354</v>
      </c>
      <c r="B255" s="27" t="s">
        <v>92</v>
      </c>
      <c r="C255" s="27" t="s">
        <v>40</v>
      </c>
      <c r="D255" s="28" t="s">
        <v>40</v>
      </c>
    </row>
    <row r="256" spans="1:4" ht="17.45" customHeight="1" x14ac:dyDescent="0.25">
      <c r="A256" s="26" t="s">
        <v>355</v>
      </c>
      <c r="B256" s="27" t="s">
        <v>94</v>
      </c>
      <c r="C256" s="27" t="s">
        <v>40</v>
      </c>
      <c r="D256" s="28" t="s">
        <v>40</v>
      </c>
    </row>
    <row r="257" spans="1:4" ht="17.45" customHeight="1" x14ac:dyDescent="0.25">
      <c r="A257" s="26" t="s">
        <v>356</v>
      </c>
      <c r="B257" s="27" t="s">
        <v>96</v>
      </c>
      <c r="C257" s="27" t="s">
        <v>40</v>
      </c>
      <c r="D257" s="28" t="s">
        <v>40</v>
      </c>
    </row>
    <row r="258" spans="1:4" ht="17.45" customHeight="1" x14ac:dyDescent="0.25">
      <c r="A258" s="26" t="s">
        <v>357</v>
      </c>
      <c r="B258" s="27" t="s">
        <v>98</v>
      </c>
      <c r="C258" s="27" t="s">
        <v>40</v>
      </c>
      <c r="D258" s="28" t="s">
        <v>40</v>
      </c>
    </row>
    <row r="259" spans="1:4" ht="17.45" customHeight="1" x14ac:dyDescent="0.25">
      <c r="A259" s="26" t="s">
        <v>358</v>
      </c>
      <c r="B259" s="27" t="s">
        <v>100</v>
      </c>
      <c r="C259" s="27" t="s">
        <v>40</v>
      </c>
      <c r="D259" s="28" t="s">
        <v>40</v>
      </c>
    </row>
    <row r="260" spans="1:4" ht="17.45" customHeight="1" x14ac:dyDescent="0.25">
      <c r="A260" s="26" t="s">
        <v>359</v>
      </c>
      <c r="B260" s="27" t="s">
        <v>102</v>
      </c>
      <c r="C260" s="27" t="s">
        <v>40</v>
      </c>
      <c r="D260" s="28" t="s">
        <v>40</v>
      </c>
    </row>
    <row r="261" spans="1:4" ht="17.45" customHeight="1" x14ac:dyDescent="0.25">
      <c r="A261" s="26" t="s">
        <v>360</v>
      </c>
      <c r="B261" s="27" t="s">
        <v>104</v>
      </c>
      <c r="C261" s="27" t="s">
        <v>40</v>
      </c>
      <c r="D261" s="28" t="s">
        <v>40</v>
      </c>
    </row>
    <row r="262" spans="1:4" ht="17.45" customHeight="1" x14ac:dyDescent="0.25">
      <c r="A262" s="26" t="s">
        <v>361</v>
      </c>
      <c r="B262" s="27" t="s">
        <v>106</v>
      </c>
      <c r="C262" s="27" t="s">
        <v>40</v>
      </c>
      <c r="D262" s="28" t="s">
        <v>40</v>
      </c>
    </row>
    <row r="263" spans="1:4" ht="17.45" customHeight="1" x14ac:dyDescent="0.25">
      <c r="A263" s="26" t="s">
        <v>362</v>
      </c>
      <c r="B263" s="27" t="s">
        <v>108</v>
      </c>
      <c r="C263" s="27" t="s">
        <v>40</v>
      </c>
      <c r="D263" s="28" t="s">
        <v>41</v>
      </c>
    </row>
    <row r="264" spans="1:4" ht="17.45" customHeight="1" x14ac:dyDescent="0.25">
      <c r="A264" s="26" t="s">
        <v>363</v>
      </c>
      <c r="B264" s="27" t="s">
        <v>110</v>
      </c>
      <c r="C264" s="27" t="s">
        <v>40</v>
      </c>
      <c r="D264" s="28" t="s">
        <v>41</v>
      </c>
    </row>
    <row r="265" spans="1:4" ht="17.45" customHeight="1" x14ac:dyDescent="0.25">
      <c r="A265" s="26" t="s">
        <v>364</v>
      </c>
      <c r="B265" s="27" t="s">
        <v>112</v>
      </c>
      <c r="C265" s="27" t="s">
        <v>40</v>
      </c>
      <c r="D265" s="28" t="s">
        <v>41</v>
      </c>
    </row>
    <row r="266" spans="1:4" ht="17.45" customHeight="1" x14ac:dyDescent="0.25">
      <c r="A266" s="26" t="s">
        <v>365</v>
      </c>
      <c r="B266" s="27" t="s">
        <v>90</v>
      </c>
      <c r="C266" s="27" t="s">
        <v>41</v>
      </c>
      <c r="D266" s="28" t="s">
        <v>41</v>
      </c>
    </row>
    <row r="267" spans="1:4" ht="17.45" customHeight="1" x14ac:dyDescent="0.25">
      <c r="A267" s="26" t="s">
        <v>366</v>
      </c>
      <c r="B267" s="27" t="s">
        <v>92</v>
      </c>
      <c r="C267" s="27" t="s">
        <v>41</v>
      </c>
      <c r="D267" s="28" t="s">
        <v>41</v>
      </c>
    </row>
    <row r="268" spans="1:4" ht="17.45" customHeight="1" x14ac:dyDescent="0.25">
      <c r="A268" s="26" t="s">
        <v>367</v>
      </c>
      <c r="B268" s="27" t="s">
        <v>94</v>
      </c>
      <c r="C268" s="27" t="s">
        <v>41</v>
      </c>
      <c r="D268" s="28" t="s">
        <v>41</v>
      </c>
    </row>
    <row r="269" spans="1:4" ht="17.45" customHeight="1" x14ac:dyDescent="0.25">
      <c r="A269" s="26" t="s">
        <v>368</v>
      </c>
      <c r="B269" s="27" t="s">
        <v>96</v>
      </c>
      <c r="C269" s="27" t="s">
        <v>41</v>
      </c>
      <c r="D269" s="28" t="s">
        <v>41</v>
      </c>
    </row>
    <row r="270" spans="1:4" ht="17.45" customHeight="1" x14ac:dyDescent="0.25">
      <c r="A270" s="26" t="s">
        <v>369</v>
      </c>
      <c r="B270" s="27" t="s">
        <v>98</v>
      </c>
      <c r="C270" s="27" t="s">
        <v>41</v>
      </c>
      <c r="D270" s="28" t="s">
        <v>41</v>
      </c>
    </row>
    <row r="271" spans="1:4" ht="17.45" customHeight="1" x14ac:dyDescent="0.25">
      <c r="A271" s="26" t="s">
        <v>370</v>
      </c>
      <c r="B271" s="27" t="s">
        <v>100</v>
      </c>
      <c r="C271" s="27" t="s">
        <v>41</v>
      </c>
      <c r="D271" s="28" t="s">
        <v>41</v>
      </c>
    </row>
    <row r="272" spans="1:4" ht="17.45" customHeight="1" x14ac:dyDescent="0.25">
      <c r="A272" s="26" t="s">
        <v>371</v>
      </c>
      <c r="B272" s="27" t="s">
        <v>102</v>
      </c>
      <c r="C272" s="27" t="s">
        <v>41</v>
      </c>
      <c r="D272" s="28" t="s">
        <v>41</v>
      </c>
    </row>
    <row r="273" spans="1:4" ht="17.45" customHeight="1" x14ac:dyDescent="0.25">
      <c r="A273" s="26" t="s">
        <v>372</v>
      </c>
      <c r="B273" s="27" t="s">
        <v>104</v>
      </c>
      <c r="C273" s="27" t="s">
        <v>41</v>
      </c>
      <c r="D273" s="28" t="s">
        <v>41</v>
      </c>
    </row>
    <row r="274" spans="1:4" ht="17.45" customHeight="1" x14ac:dyDescent="0.25">
      <c r="A274" s="26" t="s">
        <v>373</v>
      </c>
      <c r="B274" s="27" t="s">
        <v>106</v>
      </c>
      <c r="C274" s="27" t="s">
        <v>41</v>
      </c>
      <c r="D274" s="28" t="s">
        <v>41</v>
      </c>
    </row>
    <row r="275" spans="1:4" ht="17.45" customHeight="1" x14ac:dyDescent="0.25">
      <c r="A275" s="26" t="s">
        <v>374</v>
      </c>
      <c r="B275" s="27" t="s">
        <v>108</v>
      </c>
      <c r="C275" s="27" t="s">
        <v>41</v>
      </c>
      <c r="D275" s="28" t="s">
        <v>42</v>
      </c>
    </row>
    <row r="276" spans="1:4" ht="17.45" customHeight="1" x14ac:dyDescent="0.25">
      <c r="A276" s="26" t="s">
        <v>375</v>
      </c>
      <c r="B276" s="27" t="s">
        <v>110</v>
      </c>
      <c r="C276" s="27" t="s">
        <v>41</v>
      </c>
      <c r="D276" s="28" t="s">
        <v>42</v>
      </c>
    </row>
    <row r="277" spans="1:4" ht="17.45" customHeight="1" x14ac:dyDescent="0.25">
      <c r="A277" s="26" t="s">
        <v>376</v>
      </c>
      <c r="B277" s="27" t="s">
        <v>112</v>
      </c>
      <c r="C277" s="27" t="s">
        <v>41</v>
      </c>
      <c r="D277" s="28" t="s">
        <v>42</v>
      </c>
    </row>
    <row r="278" spans="1:4" ht="17.45" customHeight="1" x14ac:dyDescent="0.25">
      <c r="A278" s="26" t="s">
        <v>377</v>
      </c>
      <c r="B278" s="27" t="s">
        <v>90</v>
      </c>
      <c r="C278" s="27" t="s">
        <v>42</v>
      </c>
      <c r="D278" s="28" t="s">
        <v>42</v>
      </c>
    </row>
    <row r="279" spans="1:4" ht="17.45" customHeight="1" x14ac:dyDescent="0.25">
      <c r="A279" s="26" t="s">
        <v>378</v>
      </c>
      <c r="B279" s="27" t="s">
        <v>92</v>
      </c>
      <c r="C279" s="27" t="s">
        <v>42</v>
      </c>
      <c r="D279" s="28" t="s">
        <v>42</v>
      </c>
    </row>
    <row r="280" spans="1:4" ht="17.45" customHeight="1" x14ac:dyDescent="0.25">
      <c r="A280" s="26" t="s">
        <v>379</v>
      </c>
      <c r="B280" s="27" t="s">
        <v>94</v>
      </c>
      <c r="C280" s="27" t="s">
        <v>42</v>
      </c>
      <c r="D280" s="28" t="s">
        <v>42</v>
      </c>
    </row>
    <row r="281" spans="1:4" ht="17.45" customHeight="1" x14ac:dyDescent="0.25">
      <c r="A281" s="26" t="s">
        <v>380</v>
      </c>
      <c r="B281" s="27" t="s">
        <v>96</v>
      </c>
      <c r="C281" s="27" t="s">
        <v>42</v>
      </c>
      <c r="D281" s="28" t="s">
        <v>42</v>
      </c>
    </row>
    <row r="282" spans="1:4" ht="17.45" customHeight="1" x14ac:dyDescent="0.25">
      <c r="A282" s="26" t="s">
        <v>381</v>
      </c>
      <c r="B282" s="27" t="s">
        <v>98</v>
      </c>
      <c r="C282" s="27" t="s">
        <v>42</v>
      </c>
      <c r="D282" s="28" t="s">
        <v>42</v>
      </c>
    </row>
    <row r="283" spans="1:4" ht="17.45" customHeight="1" x14ac:dyDescent="0.25">
      <c r="A283" s="26" t="s">
        <v>382</v>
      </c>
      <c r="B283" s="27" t="s">
        <v>100</v>
      </c>
      <c r="C283" s="27" t="s">
        <v>42</v>
      </c>
      <c r="D283" s="28" t="s">
        <v>42</v>
      </c>
    </row>
    <row r="284" spans="1:4" ht="17.45" customHeight="1" x14ac:dyDescent="0.25">
      <c r="A284" s="26" t="s">
        <v>383</v>
      </c>
      <c r="B284" s="27" t="s">
        <v>102</v>
      </c>
      <c r="C284" s="27" t="s">
        <v>42</v>
      </c>
      <c r="D284" s="28" t="s">
        <v>42</v>
      </c>
    </row>
    <row r="285" spans="1:4" ht="17.45" customHeight="1" x14ac:dyDescent="0.25">
      <c r="A285" s="26" t="s">
        <v>384</v>
      </c>
      <c r="B285" s="27" t="s">
        <v>104</v>
      </c>
      <c r="C285" s="27" t="s">
        <v>42</v>
      </c>
      <c r="D285" s="28" t="s">
        <v>42</v>
      </c>
    </row>
    <row r="286" spans="1:4" ht="17.45" customHeight="1" x14ac:dyDescent="0.25">
      <c r="A286" s="26" t="s">
        <v>385</v>
      </c>
      <c r="B286" s="27" t="s">
        <v>106</v>
      </c>
      <c r="C286" s="27" t="s">
        <v>42</v>
      </c>
      <c r="D286" s="28" t="s">
        <v>42</v>
      </c>
    </row>
    <row r="287" spans="1:4" ht="17.45" customHeight="1" x14ac:dyDescent="0.25">
      <c r="A287" s="26" t="s">
        <v>386</v>
      </c>
      <c r="B287" s="27" t="s">
        <v>108</v>
      </c>
      <c r="C287" s="27" t="s">
        <v>42</v>
      </c>
      <c r="D287" s="28" t="s">
        <v>43</v>
      </c>
    </row>
    <row r="288" spans="1:4" ht="17.45" customHeight="1" x14ac:dyDescent="0.25">
      <c r="A288" s="26" t="s">
        <v>387</v>
      </c>
      <c r="B288" s="27" t="s">
        <v>110</v>
      </c>
      <c r="C288" s="27" t="s">
        <v>42</v>
      </c>
      <c r="D288" s="28" t="s">
        <v>43</v>
      </c>
    </row>
    <row r="289" spans="1:4" ht="17.45" customHeight="1" x14ac:dyDescent="0.25">
      <c r="A289" s="26" t="s">
        <v>388</v>
      </c>
      <c r="B289" s="27" t="s">
        <v>112</v>
      </c>
      <c r="C289" s="27" t="s">
        <v>42</v>
      </c>
      <c r="D289" s="28" t="s">
        <v>43</v>
      </c>
    </row>
    <row r="290" spans="1:4" ht="17.45" customHeight="1" x14ac:dyDescent="0.25">
      <c r="A290" s="26" t="s">
        <v>389</v>
      </c>
      <c r="B290" s="27" t="s">
        <v>90</v>
      </c>
      <c r="C290" s="27" t="s">
        <v>43</v>
      </c>
      <c r="D290" s="28" t="s">
        <v>43</v>
      </c>
    </row>
    <row r="291" spans="1:4" ht="17.45" customHeight="1" x14ac:dyDescent="0.25">
      <c r="A291" s="26" t="s">
        <v>390</v>
      </c>
      <c r="B291" s="27" t="s">
        <v>92</v>
      </c>
      <c r="C291" s="27" t="s">
        <v>43</v>
      </c>
      <c r="D291" s="28" t="s">
        <v>43</v>
      </c>
    </row>
    <row r="292" spans="1:4" ht="17.45" customHeight="1" x14ac:dyDescent="0.25">
      <c r="A292" s="26" t="s">
        <v>391</v>
      </c>
      <c r="B292" s="27" t="s">
        <v>94</v>
      </c>
      <c r="C292" s="27" t="s">
        <v>43</v>
      </c>
      <c r="D292" s="28" t="s">
        <v>43</v>
      </c>
    </row>
    <row r="293" spans="1:4" ht="17.45" customHeight="1" x14ac:dyDescent="0.25">
      <c r="A293" s="26" t="s">
        <v>392</v>
      </c>
      <c r="B293" s="27" t="s">
        <v>96</v>
      </c>
      <c r="C293" s="27" t="s">
        <v>43</v>
      </c>
      <c r="D293" s="28" t="s">
        <v>43</v>
      </c>
    </row>
    <row r="294" spans="1:4" ht="17.45" customHeight="1" x14ac:dyDescent="0.25">
      <c r="A294" s="26" t="s">
        <v>393</v>
      </c>
      <c r="B294" s="27" t="s">
        <v>98</v>
      </c>
      <c r="C294" s="27" t="s">
        <v>43</v>
      </c>
      <c r="D294" s="28" t="s">
        <v>43</v>
      </c>
    </row>
    <row r="295" spans="1:4" ht="17.45" customHeight="1" x14ac:dyDescent="0.25">
      <c r="A295" s="26" t="s">
        <v>394</v>
      </c>
      <c r="B295" s="27" t="s">
        <v>100</v>
      </c>
      <c r="C295" s="27" t="s">
        <v>43</v>
      </c>
      <c r="D295" s="28" t="s">
        <v>43</v>
      </c>
    </row>
    <row r="296" spans="1:4" ht="17.45" customHeight="1" x14ac:dyDescent="0.25">
      <c r="A296" s="26" t="s">
        <v>395</v>
      </c>
      <c r="B296" s="27" t="s">
        <v>102</v>
      </c>
      <c r="C296" s="27" t="s">
        <v>43</v>
      </c>
      <c r="D296" s="28" t="s">
        <v>43</v>
      </c>
    </row>
    <row r="297" spans="1:4" ht="17.45" customHeight="1" x14ac:dyDescent="0.25">
      <c r="A297" s="26" t="s">
        <v>396</v>
      </c>
      <c r="B297" s="27" t="s">
        <v>104</v>
      </c>
      <c r="C297" s="27" t="s">
        <v>43</v>
      </c>
      <c r="D297" s="28" t="s">
        <v>43</v>
      </c>
    </row>
    <row r="298" spans="1:4" ht="17.45" customHeight="1" x14ac:dyDescent="0.25">
      <c r="A298" s="26" t="s">
        <v>397</v>
      </c>
      <c r="B298" s="27" t="s">
        <v>106</v>
      </c>
      <c r="C298" s="27" t="s">
        <v>43</v>
      </c>
      <c r="D298" s="28" t="s">
        <v>43</v>
      </c>
    </row>
    <row r="299" spans="1:4" ht="17.45" customHeight="1" x14ac:dyDescent="0.25">
      <c r="A299" s="26" t="s">
        <v>398</v>
      </c>
      <c r="B299" s="27" t="s">
        <v>108</v>
      </c>
      <c r="C299" s="27" t="s">
        <v>43</v>
      </c>
      <c r="D299" s="28" t="s">
        <v>44</v>
      </c>
    </row>
    <row r="300" spans="1:4" ht="17.45" customHeight="1" x14ac:dyDescent="0.25">
      <c r="A300" s="26" t="s">
        <v>399</v>
      </c>
      <c r="B300" s="27" t="s">
        <v>110</v>
      </c>
      <c r="C300" s="27" t="s">
        <v>43</v>
      </c>
      <c r="D300" s="28" t="s">
        <v>44</v>
      </c>
    </row>
    <row r="301" spans="1:4" ht="17.45" customHeight="1" x14ac:dyDescent="0.25">
      <c r="A301" s="26" t="s">
        <v>400</v>
      </c>
      <c r="B301" s="27" t="s">
        <v>112</v>
      </c>
      <c r="C301" s="27" t="s">
        <v>43</v>
      </c>
      <c r="D301" s="28" t="s">
        <v>44</v>
      </c>
    </row>
    <row r="302" spans="1:4" ht="17.45" customHeight="1" x14ac:dyDescent="0.25">
      <c r="A302" s="26" t="s">
        <v>401</v>
      </c>
      <c r="B302" s="27" t="s">
        <v>90</v>
      </c>
      <c r="C302" s="27" t="s">
        <v>44</v>
      </c>
      <c r="D302" s="28" t="s">
        <v>44</v>
      </c>
    </row>
    <row r="303" spans="1:4" ht="17.45" customHeight="1" x14ac:dyDescent="0.25">
      <c r="A303" s="26" t="s">
        <v>402</v>
      </c>
      <c r="B303" s="27" t="s">
        <v>92</v>
      </c>
      <c r="C303" s="27" t="s">
        <v>44</v>
      </c>
      <c r="D303" s="28" t="s">
        <v>44</v>
      </c>
    </row>
    <row r="304" spans="1:4" ht="17.45" customHeight="1" x14ac:dyDescent="0.25">
      <c r="A304" s="26" t="s">
        <v>403</v>
      </c>
      <c r="B304" s="27" t="s">
        <v>94</v>
      </c>
      <c r="C304" s="27" t="s">
        <v>44</v>
      </c>
      <c r="D304" s="28" t="s">
        <v>44</v>
      </c>
    </row>
    <row r="305" spans="1:4" ht="17.45" customHeight="1" x14ac:dyDescent="0.25">
      <c r="A305" s="26" t="s">
        <v>404</v>
      </c>
      <c r="B305" s="27" t="s">
        <v>96</v>
      </c>
      <c r="C305" s="27" t="s">
        <v>44</v>
      </c>
      <c r="D305" s="28" t="s">
        <v>44</v>
      </c>
    </row>
    <row r="306" spans="1:4" ht="17.45" customHeight="1" x14ac:dyDescent="0.25">
      <c r="A306" s="26" t="s">
        <v>405</v>
      </c>
      <c r="B306" s="27" t="s">
        <v>98</v>
      </c>
      <c r="C306" s="27" t="s">
        <v>44</v>
      </c>
      <c r="D306" s="28" t="s">
        <v>44</v>
      </c>
    </row>
    <row r="307" spans="1:4" ht="17.45" customHeight="1" x14ac:dyDescent="0.25">
      <c r="A307" s="26" t="s">
        <v>406</v>
      </c>
      <c r="B307" s="27" t="s">
        <v>100</v>
      </c>
      <c r="C307" s="27" t="s">
        <v>44</v>
      </c>
      <c r="D307" s="28" t="s">
        <v>44</v>
      </c>
    </row>
    <row r="308" spans="1:4" ht="17.45" customHeight="1" x14ac:dyDescent="0.25">
      <c r="A308" s="26" t="s">
        <v>407</v>
      </c>
      <c r="B308" s="27" t="s">
        <v>102</v>
      </c>
      <c r="C308" s="27" t="s">
        <v>44</v>
      </c>
      <c r="D308" s="28" t="s">
        <v>44</v>
      </c>
    </row>
    <row r="309" spans="1:4" ht="17.45" customHeight="1" x14ac:dyDescent="0.25">
      <c r="A309" s="26" t="s">
        <v>408</v>
      </c>
      <c r="B309" s="27" t="s">
        <v>104</v>
      </c>
      <c r="C309" s="27" t="s">
        <v>44</v>
      </c>
      <c r="D309" s="28" t="s">
        <v>44</v>
      </c>
    </row>
    <row r="310" spans="1:4" ht="17.45" customHeight="1" x14ac:dyDescent="0.25">
      <c r="A310" s="26" t="s">
        <v>409</v>
      </c>
      <c r="B310" s="27" t="s">
        <v>106</v>
      </c>
      <c r="C310" s="27" t="s">
        <v>44</v>
      </c>
      <c r="D310" s="28" t="s">
        <v>44</v>
      </c>
    </row>
    <row r="311" spans="1:4" ht="17.45" customHeight="1" x14ac:dyDescent="0.25">
      <c r="A311" s="26" t="s">
        <v>410</v>
      </c>
      <c r="B311" s="27" t="s">
        <v>108</v>
      </c>
      <c r="C311" s="27" t="s">
        <v>44</v>
      </c>
      <c r="D311" s="28" t="s">
        <v>45</v>
      </c>
    </row>
    <row r="312" spans="1:4" ht="17.45" customHeight="1" x14ac:dyDescent="0.25">
      <c r="A312" s="26" t="s">
        <v>411</v>
      </c>
      <c r="B312" s="27" t="s">
        <v>110</v>
      </c>
      <c r="C312" s="27" t="s">
        <v>44</v>
      </c>
      <c r="D312" s="28" t="s">
        <v>45</v>
      </c>
    </row>
    <row r="313" spans="1:4" ht="17.45" customHeight="1" x14ac:dyDescent="0.25">
      <c r="A313" s="26" t="s">
        <v>412</v>
      </c>
      <c r="B313" s="27" t="s">
        <v>112</v>
      </c>
      <c r="C313" s="27" t="s">
        <v>44</v>
      </c>
      <c r="D313" s="28" t="s">
        <v>45</v>
      </c>
    </row>
    <row r="314" spans="1:4" ht="17.45" customHeight="1" x14ac:dyDescent="0.25">
      <c r="A314" s="26" t="s">
        <v>413</v>
      </c>
      <c r="B314" s="27" t="s">
        <v>90</v>
      </c>
      <c r="C314" s="27" t="s">
        <v>45</v>
      </c>
      <c r="D314" s="28" t="s">
        <v>45</v>
      </c>
    </row>
    <row r="315" spans="1:4" ht="17.45" customHeight="1" x14ac:dyDescent="0.25">
      <c r="A315" s="26" t="s">
        <v>414</v>
      </c>
      <c r="B315" s="27" t="s">
        <v>92</v>
      </c>
      <c r="C315" s="27" t="s">
        <v>45</v>
      </c>
      <c r="D315" s="28" t="s">
        <v>45</v>
      </c>
    </row>
    <row r="316" spans="1:4" ht="17.45" customHeight="1" x14ac:dyDescent="0.25">
      <c r="A316" s="26" t="s">
        <v>415</v>
      </c>
      <c r="B316" s="27" t="s">
        <v>94</v>
      </c>
      <c r="C316" s="27" t="s">
        <v>45</v>
      </c>
      <c r="D316" s="28" t="s">
        <v>45</v>
      </c>
    </row>
    <row r="317" spans="1:4" ht="17.45" customHeight="1" x14ac:dyDescent="0.25">
      <c r="A317" s="26" t="s">
        <v>416</v>
      </c>
      <c r="B317" s="27" t="s">
        <v>96</v>
      </c>
      <c r="C317" s="27" t="s">
        <v>45</v>
      </c>
      <c r="D317" s="28" t="s">
        <v>45</v>
      </c>
    </row>
    <row r="318" spans="1:4" ht="17.45" customHeight="1" x14ac:dyDescent="0.25">
      <c r="A318" s="26" t="s">
        <v>417</v>
      </c>
      <c r="B318" s="27" t="s">
        <v>98</v>
      </c>
      <c r="C318" s="27" t="s">
        <v>45</v>
      </c>
      <c r="D318" s="28" t="s">
        <v>45</v>
      </c>
    </row>
    <row r="319" spans="1:4" ht="17.45" customHeight="1" x14ac:dyDescent="0.25">
      <c r="A319" s="26" t="s">
        <v>418</v>
      </c>
      <c r="B319" s="27" t="s">
        <v>100</v>
      </c>
      <c r="C319" s="27" t="s">
        <v>45</v>
      </c>
      <c r="D319" s="28" t="s">
        <v>45</v>
      </c>
    </row>
    <row r="320" spans="1:4" ht="17.45" customHeight="1" x14ac:dyDescent="0.25">
      <c r="A320" s="26" t="s">
        <v>419</v>
      </c>
      <c r="B320" s="27" t="s">
        <v>102</v>
      </c>
      <c r="C320" s="27" t="s">
        <v>45</v>
      </c>
      <c r="D320" s="28" t="s">
        <v>45</v>
      </c>
    </row>
    <row r="321" spans="1:4" ht="17.45" customHeight="1" x14ac:dyDescent="0.25">
      <c r="A321" s="26" t="s">
        <v>420</v>
      </c>
      <c r="B321" s="27" t="s">
        <v>104</v>
      </c>
      <c r="C321" s="27" t="s">
        <v>45</v>
      </c>
      <c r="D321" s="28" t="s">
        <v>45</v>
      </c>
    </row>
    <row r="322" spans="1:4" ht="17.45" customHeight="1" x14ac:dyDescent="0.25">
      <c r="A322" s="26" t="s">
        <v>421</v>
      </c>
      <c r="B322" s="27" t="s">
        <v>106</v>
      </c>
      <c r="C322" s="27" t="s">
        <v>45</v>
      </c>
      <c r="D322" s="28" t="s">
        <v>45</v>
      </c>
    </row>
    <row r="323" spans="1:4" ht="17.45" customHeight="1" x14ac:dyDescent="0.25">
      <c r="A323" s="26" t="s">
        <v>422</v>
      </c>
      <c r="B323" s="27" t="s">
        <v>108</v>
      </c>
      <c r="C323" s="27" t="s">
        <v>45</v>
      </c>
      <c r="D323" s="28" t="s">
        <v>46</v>
      </c>
    </row>
    <row r="324" spans="1:4" ht="17.45" customHeight="1" x14ac:dyDescent="0.25">
      <c r="A324" s="26" t="s">
        <v>423</v>
      </c>
      <c r="B324" s="27" t="s">
        <v>110</v>
      </c>
      <c r="C324" s="27" t="s">
        <v>45</v>
      </c>
      <c r="D324" s="28" t="s">
        <v>46</v>
      </c>
    </row>
    <row r="325" spans="1:4" ht="17.45" customHeight="1" x14ac:dyDescent="0.25">
      <c r="A325" s="26" t="s">
        <v>424</v>
      </c>
      <c r="B325" s="27" t="s">
        <v>112</v>
      </c>
      <c r="C325" s="27" t="s">
        <v>45</v>
      </c>
      <c r="D325" s="28" t="s">
        <v>46</v>
      </c>
    </row>
    <row r="326" spans="1:4" ht="17.45" customHeight="1" x14ac:dyDescent="0.25">
      <c r="A326" s="26" t="s">
        <v>425</v>
      </c>
      <c r="B326" s="27" t="s">
        <v>90</v>
      </c>
      <c r="C326" s="27" t="s">
        <v>46</v>
      </c>
      <c r="D326" s="28" t="s">
        <v>46</v>
      </c>
    </row>
    <row r="327" spans="1:4" ht="17.45" customHeight="1" x14ac:dyDescent="0.25">
      <c r="A327" s="26" t="s">
        <v>426</v>
      </c>
      <c r="B327" s="27" t="s">
        <v>92</v>
      </c>
      <c r="C327" s="27" t="s">
        <v>46</v>
      </c>
      <c r="D327" s="28" t="s">
        <v>46</v>
      </c>
    </row>
    <row r="328" spans="1:4" ht="17.45" customHeight="1" x14ac:dyDescent="0.25">
      <c r="A328" s="26" t="s">
        <v>427</v>
      </c>
      <c r="B328" s="27" t="s">
        <v>94</v>
      </c>
      <c r="C328" s="27" t="s">
        <v>46</v>
      </c>
      <c r="D328" s="28" t="s">
        <v>46</v>
      </c>
    </row>
    <row r="329" spans="1:4" ht="17.45" customHeight="1" x14ac:dyDescent="0.25">
      <c r="A329" s="26" t="s">
        <v>428</v>
      </c>
      <c r="B329" s="27" t="s">
        <v>96</v>
      </c>
      <c r="C329" s="27" t="s">
        <v>46</v>
      </c>
      <c r="D329" s="28" t="s">
        <v>46</v>
      </c>
    </row>
    <row r="330" spans="1:4" ht="17.45" customHeight="1" x14ac:dyDescent="0.25">
      <c r="A330" s="26" t="s">
        <v>429</v>
      </c>
      <c r="B330" s="27" t="s">
        <v>98</v>
      </c>
      <c r="C330" s="27" t="s">
        <v>46</v>
      </c>
      <c r="D330" s="28" t="s">
        <v>46</v>
      </c>
    </row>
    <row r="331" spans="1:4" ht="17.45" customHeight="1" x14ac:dyDescent="0.25">
      <c r="A331" s="26" t="s">
        <v>430</v>
      </c>
      <c r="B331" s="27" t="s">
        <v>100</v>
      </c>
      <c r="C331" s="27" t="s">
        <v>46</v>
      </c>
      <c r="D331" s="28" t="s">
        <v>46</v>
      </c>
    </row>
    <row r="332" spans="1:4" ht="17.45" customHeight="1" x14ac:dyDescent="0.25">
      <c r="A332" s="26" t="s">
        <v>431</v>
      </c>
      <c r="B332" s="27" t="s">
        <v>102</v>
      </c>
      <c r="C332" s="27" t="s">
        <v>46</v>
      </c>
      <c r="D332" s="28" t="s">
        <v>46</v>
      </c>
    </row>
    <row r="333" spans="1:4" ht="17.45" customHeight="1" x14ac:dyDescent="0.25">
      <c r="A333" s="26" t="s">
        <v>432</v>
      </c>
      <c r="B333" s="27" t="s">
        <v>104</v>
      </c>
      <c r="C333" s="27" t="s">
        <v>46</v>
      </c>
      <c r="D333" s="28" t="s">
        <v>46</v>
      </c>
    </row>
    <row r="334" spans="1:4" ht="17.45" customHeight="1" x14ac:dyDescent="0.25">
      <c r="A334" s="26" t="s">
        <v>433</v>
      </c>
      <c r="B334" s="27" t="s">
        <v>106</v>
      </c>
      <c r="C334" s="27" t="s">
        <v>46</v>
      </c>
      <c r="D334" s="28" t="s">
        <v>46</v>
      </c>
    </row>
    <row r="335" spans="1:4" ht="17.45" customHeight="1" x14ac:dyDescent="0.25">
      <c r="A335" s="26" t="s">
        <v>434</v>
      </c>
      <c r="B335" s="27" t="s">
        <v>108</v>
      </c>
      <c r="C335" s="27" t="s">
        <v>46</v>
      </c>
      <c r="D335" s="28" t="s">
        <v>47</v>
      </c>
    </row>
    <row r="336" spans="1:4" ht="17.45" customHeight="1" x14ac:dyDescent="0.25">
      <c r="A336" s="26" t="s">
        <v>435</v>
      </c>
      <c r="B336" s="27" t="s">
        <v>110</v>
      </c>
      <c r="C336" s="27" t="s">
        <v>46</v>
      </c>
      <c r="D336" s="28" t="s">
        <v>47</v>
      </c>
    </row>
    <row r="337" spans="1:4" ht="17.45" customHeight="1" x14ac:dyDescent="0.25">
      <c r="A337" s="26" t="s">
        <v>436</v>
      </c>
      <c r="B337" s="27" t="s">
        <v>112</v>
      </c>
      <c r="C337" s="27" t="s">
        <v>46</v>
      </c>
      <c r="D337" s="28" t="s">
        <v>47</v>
      </c>
    </row>
    <row r="338" spans="1:4" ht="17.45" customHeight="1" x14ac:dyDescent="0.25">
      <c r="A338" s="26" t="s">
        <v>437</v>
      </c>
      <c r="B338" s="27" t="s">
        <v>90</v>
      </c>
      <c r="C338" s="27" t="s">
        <v>47</v>
      </c>
      <c r="D338" s="28" t="s">
        <v>47</v>
      </c>
    </row>
    <row r="339" spans="1:4" ht="17.45" customHeight="1" x14ac:dyDescent="0.25">
      <c r="A339" s="26" t="s">
        <v>438</v>
      </c>
      <c r="B339" s="27" t="s">
        <v>92</v>
      </c>
      <c r="C339" s="27" t="s">
        <v>47</v>
      </c>
      <c r="D339" s="28" t="s">
        <v>47</v>
      </c>
    </row>
    <row r="340" spans="1:4" ht="17.45" customHeight="1" x14ac:dyDescent="0.25">
      <c r="A340" s="26" t="s">
        <v>439</v>
      </c>
      <c r="B340" s="27" t="s">
        <v>94</v>
      </c>
      <c r="C340" s="27" t="s">
        <v>47</v>
      </c>
      <c r="D340" s="28" t="s">
        <v>47</v>
      </c>
    </row>
    <row r="341" spans="1:4" ht="17.45" customHeight="1" x14ac:dyDescent="0.25">
      <c r="A341" s="26" t="s">
        <v>440</v>
      </c>
      <c r="B341" s="27" t="s">
        <v>96</v>
      </c>
      <c r="C341" s="27" t="s">
        <v>47</v>
      </c>
      <c r="D341" s="28" t="s">
        <v>47</v>
      </c>
    </row>
    <row r="342" spans="1:4" ht="17.45" customHeight="1" x14ac:dyDescent="0.25">
      <c r="A342" s="26" t="s">
        <v>441</v>
      </c>
      <c r="B342" s="27" t="s">
        <v>98</v>
      </c>
      <c r="C342" s="27" t="s">
        <v>47</v>
      </c>
      <c r="D342" s="28" t="s">
        <v>47</v>
      </c>
    </row>
    <row r="343" spans="1:4" ht="17.45" customHeight="1" x14ac:dyDescent="0.25">
      <c r="A343" s="26" t="s">
        <v>442</v>
      </c>
      <c r="B343" s="27" t="s">
        <v>100</v>
      </c>
      <c r="C343" s="27" t="s">
        <v>47</v>
      </c>
      <c r="D343" s="28" t="s">
        <v>47</v>
      </c>
    </row>
    <row r="344" spans="1:4" ht="17.45" customHeight="1" x14ac:dyDescent="0.25">
      <c r="A344" s="26" t="s">
        <v>443</v>
      </c>
      <c r="B344" s="27" t="s">
        <v>102</v>
      </c>
      <c r="C344" s="27" t="s">
        <v>47</v>
      </c>
      <c r="D344" s="28" t="s">
        <v>47</v>
      </c>
    </row>
    <row r="345" spans="1:4" ht="17.45" customHeight="1" x14ac:dyDescent="0.25">
      <c r="A345" s="26" t="s">
        <v>444</v>
      </c>
      <c r="B345" s="27" t="s">
        <v>104</v>
      </c>
      <c r="C345" s="27" t="s">
        <v>47</v>
      </c>
      <c r="D345" s="28" t="s">
        <v>47</v>
      </c>
    </row>
    <row r="346" spans="1:4" ht="17.45" customHeight="1" x14ac:dyDescent="0.25">
      <c r="A346" s="26" t="s">
        <v>445</v>
      </c>
      <c r="B346" s="27" t="s">
        <v>106</v>
      </c>
      <c r="C346" s="27" t="s">
        <v>47</v>
      </c>
      <c r="D346" s="28" t="s">
        <v>47</v>
      </c>
    </row>
    <row r="347" spans="1:4" ht="17.45" customHeight="1" x14ac:dyDescent="0.25">
      <c r="A347" s="26" t="s">
        <v>446</v>
      </c>
      <c r="B347" s="27" t="s">
        <v>108</v>
      </c>
      <c r="C347" s="27" t="s">
        <v>47</v>
      </c>
      <c r="D347" s="28" t="s">
        <v>48</v>
      </c>
    </row>
    <row r="348" spans="1:4" ht="17.45" customHeight="1" x14ac:dyDescent="0.25">
      <c r="A348" s="26" t="s">
        <v>447</v>
      </c>
      <c r="B348" s="27" t="s">
        <v>110</v>
      </c>
      <c r="C348" s="27" t="s">
        <v>47</v>
      </c>
      <c r="D348" s="28" t="s">
        <v>48</v>
      </c>
    </row>
    <row r="349" spans="1:4" ht="17.45" customHeight="1" x14ac:dyDescent="0.25">
      <c r="A349" s="26" t="s">
        <v>448</v>
      </c>
      <c r="B349" s="27" t="s">
        <v>112</v>
      </c>
      <c r="C349" s="27" t="s">
        <v>47</v>
      </c>
      <c r="D349" s="28" t="s">
        <v>48</v>
      </c>
    </row>
    <row r="350" spans="1:4" ht="17.45" customHeight="1" x14ac:dyDescent="0.25">
      <c r="A350" s="26" t="s">
        <v>449</v>
      </c>
      <c r="B350" s="27" t="s">
        <v>90</v>
      </c>
      <c r="C350" s="27" t="s">
        <v>48</v>
      </c>
      <c r="D350" s="28" t="s">
        <v>48</v>
      </c>
    </row>
    <row r="351" spans="1:4" ht="17.45" customHeight="1" x14ac:dyDescent="0.25">
      <c r="A351" s="26" t="s">
        <v>450</v>
      </c>
      <c r="B351" s="27" t="s">
        <v>92</v>
      </c>
      <c r="C351" s="27" t="s">
        <v>48</v>
      </c>
      <c r="D351" s="28" t="s">
        <v>48</v>
      </c>
    </row>
    <row r="352" spans="1:4" ht="17.45" customHeight="1" x14ac:dyDescent="0.25">
      <c r="A352" s="26" t="s">
        <v>451</v>
      </c>
      <c r="B352" s="27" t="s">
        <v>94</v>
      </c>
      <c r="C352" s="27" t="s">
        <v>48</v>
      </c>
      <c r="D352" s="28" t="s">
        <v>48</v>
      </c>
    </row>
    <row r="353" spans="1:4" ht="17.45" customHeight="1" x14ac:dyDescent="0.25">
      <c r="A353" s="26" t="s">
        <v>452</v>
      </c>
      <c r="B353" s="27" t="s">
        <v>96</v>
      </c>
      <c r="C353" s="27" t="s">
        <v>48</v>
      </c>
      <c r="D353" s="28" t="s">
        <v>48</v>
      </c>
    </row>
    <row r="354" spans="1:4" ht="17.45" customHeight="1" x14ac:dyDescent="0.25">
      <c r="A354" s="26" t="s">
        <v>453</v>
      </c>
      <c r="B354" s="27" t="s">
        <v>98</v>
      </c>
      <c r="C354" s="27" t="s">
        <v>48</v>
      </c>
      <c r="D354" s="28" t="s">
        <v>48</v>
      </c>
    </row>
    <row r="355" spans="1:4" ht="17.45" customHeight="1" x14ac:dyDescent="0.25">
      <c r="A355" s="26" t="s">
        <v>454</v>
      </c>
      <c r="B355" s="27" t="s">
        <v>100</v>
      </c>
      <c r="C355" s="27" t="s">
        <v>48</v>
      </c>
      <c r="D355" s="28" t="s">
        <v>48</v>
      </c>
    </row>
    <row r="356" spans="1:4" ht="17.45" customHeight="1" x14ac:dyDescent="0.25">
      <c r="A356" s="26" t="s">
        <v>455</v>
      </c>
      <c r="B356" s="27" t="s">
        <v>102</v>
      </c>
      <c r="C356" s="27" t="s">
        <v>48</v>
      </c>
      <c r="D356" s="28" t="s">
        <v>48</v>
      </c>
    </row>
    <row r="357" spans="1:4" ht="17.45" customHeight="1" x14ac:dyDescent="0.25">
      <c r="A357" s="26" t="s">
        <v>456</v>
      </c>
      <c r="B357" s="27" t="s">
        <v>104</v>
      </c>
      <c r="C357" s="27" t="s">
        <v>48</v>
      </c>
      <c r="D357" s="28" t="s">
        <v>48</v>
      </c>
    </row>
    <row r="358" spans="1:4" ht="17.45" customHeight="1" x14ac:dyDescent="0.25">
      <c r="A358" s="26" t="s">
        <v>457</v>
      </c>
      <c r="B358" s="27" t="s">
        <v>106</v>
      </c>
      <c r="C358" s="27" t="s">
        <v>48</v>
      </c>
      <c r="D358" s="28" t="s">
        <v>48</v>
      </c>
    </row>
    <row r="359" spans="1:4" ht="17.45" customHeight="1" x14ac:dyDescent="0.25">
      <c r="A359" s="26" t="s">
        <v>458</v>
      </c>
      <c r="B359" s="27" t="s">
        <v>108</v>
      </c>
      <c r="C359" s="27" t="s">
        <v>48</v>
      </c>
      <c r="D359" s="28" t="s">
        <v>49</v>
      </c>
    </row>
    <row r="360" spans="1:4" ht="17.45" customHeight="1" x14ac:dyDescent="0.25">
      <c r="A360" s="26" t="s">
        <v>459</v>
      </c>
      <c r="B360" s="27" t="s">
        <v>110</v>
      </c>
      <c r="C360" s="27" t="s">
        <v>48</v>
      </c>
      <c r="D360" s="28" t="s">
        <v>49</v>
      </c>
    </row>
    <row r="361" spans="1:4" ht="17.45" customHeight="1" x14ac:dyDescent="0.25">
      <c r="A361" s="29" t="s">
        <v>460</v>
      </c>
      <c r="B361" s="30" t="s">
        <v>112</v>
      </c>
      <c r="C361" s="30" t="s">
        <v>48</v>
      </c>
      <c r="D361" s="31" t="s">
        <v>50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62B9-EE7A-47D8-A235-D34DC26868EE}">
  <sheetPr>
    <tabColor theme="5" tint="0.79998168889431442"/>
  </sheetPr>
  <dimension ref="A1:L105"/>
  <sheetViews>
    <sheetView tabSelected="1" workbookViewId="0">
      <pane ySplit="1" topLeftCell="A62" activePane="bottomLeft" state="frozen"/>
      <selection activeCell="P34" sqref="P34"/>
      <selection pane="bottomLeft" activeCell="A62" sqref="A62"/>
    </sheetView>
  </sheetViews>
  <sheetFormatPr defaultColWidth="8.85546875" defaultRowHeight="24" customHeight="1" x14ac:dyDescent="0.25"/>
  <cols>
    <col min="1" max="2" width="23.85546875" style="11" customWidth="1"/>
    <col min="3" max="3" width="16.5703125" style="11" customWidth="1"/>
    <col min="4" max="4" width="22.42578125" style="11" customWidth="1"/>
    <col min="5" max="5" width="24.7109375" style="11" customWidth="1"/>
    <col min="6" max="7" width="21.28515625" style="11" customWidth="1"/>
    <col min="8" max="8" width="8.85546875" style="11" customWidth="1"/>
    <col min="9" max="16384" width="8.85546875" style="11"/>
  </cols>
  <sheetData>
    <row r="1" spans="1:7" ht="24" customHeight="1" thickBot="1" x14ac:dyDescent="0.3">
      <c r="A1" s="33" t="s">
        <v>461</v>
      </c>
      <c r="B1" s="33" t="s">
        <v>522</v>
      </c>
      <c r="C1" s="34" t="s">
        <v>462</v>
      </c>
      <c r="D1" s="34" t="s">
        <v>463</v>
      </c>
      <c r="E1" s="34" t="s">
        <v>464</v>
      </c>
      <c r="F1" s="34" t="s">
        <v>465</v>
      </c>
      <c r="G1" s="35" t="s">
        <v>466</v>
      </c>
    </row>
    <row r="2" spans="1:7" ht="24" customHeight="1" thickTop="1" x14ac:dyDescent="0.25">
      <c r="A2" s="36" t="s">
        <v>467</v>
      </c>
      <c r="B2" s="36" t="s">
        <v>523</v>
      </c>
      <c r="C2" s="37" t="s">
        <v>468</v>
      </c>
      <c r="D2" s="36" t="s">
        <v>469</v>
      </c>
      <c r="E2" s="36" t="s">
        <v>470</v>
      </c>
      <c r="F2" s="36" t="s">
        <v>470</v>
      </c>
    </row>
    <row r="3" spans="1:7" ht="24" customHeight="1" x14ac:dyDescent="0.25">
      <c r="A3" s="36" t="s">
        <v>467</v>
      </c>
      <c r="B3" s="36" t="s">
        <v>523</v>
      </c>
      <c r="C3" s="37" t="s">
        <v>468</v>
      </c>
      <c r="D3" s="36" t="s">
        <v>471</v>
      </c>
      <c r="E3" s="36" t="s">
        <v>471</v>
      </c>
      <c r="F3" s="36" t="s">
        <v>471</v>
      </c>
    </row>
    <row r="4" spans="1:7" ht="24" customHeight="1" x14ac:dyDescent="0.25">
      <c r="A4" s="36" t="s">
        <v>467</v>
      </c>
      <c r="B4" s="36" t="s">
        <v>523</v>
      </c>
      <c r="C4" s="37" t="s">
        <v>468</v>
      </c>
      <c r="D4" s="36" t="s">
        <v>472</v>
      </c>
      <c r="E4" s="36" t="s">
        <v>472</v>
      </c>
      <c r="F4" s="36" t="s">
        <v>472</v>
      </c>
    </row>
    <row r="5" spans="1:7" ht="24" customHeight="1" x14ac:dyDescent="0.25">
      <c r="A5" s="36" t="s">
        <v>467</v>
      </c>
      <c r="B5" s="36" t="s">
        <v>523</v>
      </c>
      <c r="C5" s="37" t="s">
        <v>468</v>
      </c>
      <c r="D5" s="36" t="s">
        <v>473</v>
      </c>
      <c r="E5" s="36" t="s">
        <v>474</v>
      </c>
      <c r="F5" s="36" t="s">
        <v>475</v>
      </c>
    </row>
    <row r="6" spans="1:7" ht="24" customHeight="1" x14ac:dyDescent="0.25">
      <c r="A6" s="36" t="s">
        <v>467</v>
      </c>
      <c r="B6" s="36" t="s">
        <v>523</v>
      </c>
      <c r="C6" s="37" t="s">
        <v>468</v>
      </c>
      <c r="D6" s="36" t="s">
        <v>476</v>
      </c>
      <c r="E6" s="36" t="s">
        <v>477</v>
      </c>
      <c r="F6" s="36" t="s">
        <v>475</v>
      </c>
    </row>
    <row r="7" spans="1:7" ht="24" customHeight="1" x14ac:dyDescent="0.25">
      <c r="A7" s="36" t="s">
        <v>467</v>
      </c>
      <c r="B7" s="36" t="s">
        <v>523</v>
      </c>
      <c r="C7" s="37" t="s">
        <v>468</v>
      </c>
      <c r="D7" s="36" t="s">
        <v>478</v>
      </c>
      <c r="E7" s="36" t="s">
        <v>69</v>
      </c>
      <c r="F7" s="36" t="s">
        <v>69</v>
      </c>
    </row>
    <row r="8" spans="1:7" ht="24" customHeight="1" x14ac:dyDescent="0.25">
      <c r="A8" s="36" t="s">
        <v>467</v>
      </c>
      <c r="B8" s="36" t="s">
        <v>523</v>
      </c>
      <c r="C8" s="37" t="s">
        <v>468</v>
      </c>
      <c r="D8" s="36" t="s">
        <v>479</v>
      </c>
      <c r="E8" s="36" t="s">
        <v>69</v>
      </c>
      <c r="F8" s="36" t="s">
        <v>69</v>
      </c>
    </row>
    <row r="9" spans="1:7" ht="24" customHeight="1" x14ac:dyDescent="0.25">
      <c r="A9" s="36" t="s">
        <v>467</v>
      </c>
      <c r="B9" s="36" t="s">
        <v>523</v>
      </c>
      <c r="C9" s="37" t="s">
        <v>468</v>
      </c>
      <c r="D9" s="36" t="s">
        <v>480</v>
      </c>
      <c r="E9" s="36" t="s">
        <v>69</v>
      </c>
      <c r="F9" s="36" t="s">
        <v>69</v>
      </c>
    </row>
    <row r="10" spans="1:7" ht="24" customHeight="1" x14ac:dyDescent="0.25">
      <c r="A10" s="36" t="s">
        <v>467</v>
      </c>
      <c r="B10" s="36" t="s">
        <v>523</v>
      </c>
      <c r="C10" s="37" t="s">
        <v>468</v>
      </c>
      <c r="D10" s="36" t="s">
        <v>481</v>
      </c>
      <c r="E10" s="36" t="s">
        <v>482</v>
      </c>
      <c r="F10" s="36" t="s">
        <v>482</v>
      </c>
    </row>
    <row r="11" spans="1:7" ht="24" customHeight="1" x14ac:dyDescent="0.25">
      <c r="A11" s="36" t="s">
        <v>467</v>
      </c>
      <c r="B11" s="36" t="s">
        <v>523</v>
      </c>
      <c r="C11" s="37" t="s">
        <v>468</v>
      </c>
      <c r="D11" s="36" t="s">
        <v>483</v>
      </c>
      <c r="E11" s="36" t="s">
        <v>484</v>
      </c>
      <c r="F11" s="36" t="s">
        <v>484</v>
      </c>
    </row>
    <row r="12" spans="1:7" ht="24" customHeight="1" x14ac:dyDescent="0.25">
      <c r="A12" s="11" t="s">
        <v>485</v>
      </c>
      <c r="B12" s="11" t="s">
        <v>523</v>
      </c>
      <c r="C12" s="38" t="s">
        <v>468</v>
      </c>
      <c r="D12" s="11" t="s">
        <v>469</v>
      </c>
      <c r="E12" s="11" t="s">
        <v>470</v>
      </c>
      <c r="F12" s="36" t="s">
        <v>470</v>
      </c>
    </row>
    <row r="13" spans="1:7" ht="24" customHeight="1" x14ac:dyDescent="0.25">
      <c r="A13" s="11" t="s">
        <v>485</v>
      </c>
      <c r="B13" s="11" t="s">
        <v>523</v>
      </c>
      <c r="C13" s="38" t="s">
        <v>468</v>
      </c>
      <c r="D13" s="11" t="s">
        <v>471</v>
      </c>
      <c r="E13" s="11" t="s">
        <v>471</v>
      </c>
      <c r="F13" s="36" t="s">
        <v>471</v>
      </c>
    </row>
    <row r="14" spans="1:7" ht="24" customHeight="1" x14ac:dyDescent="0.25">
      <c r="A14" s="11" t="s">
        <v>485</v>
      </c>
      <c r="B14" s="11" t="s">
        <v>523</v>
      </c>
      <c r="C14" s="38" t="s">
        <v>468</v>
      </c>
      <c r="D14" s="11" t="s">
        <v>472</v>
      </c>
      <c r="E14" s="11" t="s">
        <v>472</v>
      </c>
      <c r="F14" s="36" t="s">
        <v>472</v>
      </c>
    </row>
    <row r="15" spans="1:7" ht="24" customHeight="1" x14ac:dyDescent="0.25">
      <c r="A15" s="11" t="s">
        <v>485</v>
      </c>
      <c r="B15" s="11" t="s">
        <v>523</v>
      </c>
      <c r="C15" s="38" t="s">
        <v>468</v>
      </c>
      <c r="D15" s="11" t="s">
        <v>473</v>
      </c>
      <c r="E15" s="11" t="s">
        <v>474</v>
      </c>
      <c r="F15" s="36" t="s">
        <v>475</v>
      </c>
    </row>
    <row r="16" spans="1:7" ht="24" customHeight="1" x14ac:dyDescent="0.25">
      <c r="A16" s="11" t="s">
        <v>485</v>
      </c>
      <c r="B16" s="11" t="s">
        <v>523</v>
      </c>
      <c r="C16" s="38" t="s">
        <v>468</v>
      </c>
      <c r="D16" s="11" t="s">
        <v>476</v>
      </c>
      <c r="E16" s="11" t="s">
        <v>477</v>
      </c>
      <c r="F16" s="36" t="s">
        <v>475</v>
      </c>
    </row>
    <row r="17" spans="1:6" ht="24" customHeight="1" x14ac:dyDescent="0.25">
      <c r="A17" s="11" t="s">
        <v>485</v>
      </c>
      <c r="B17" s="11" t="s">
        <v>523</v>
      </c>
      <c r="C17" s="38" t="s">
        <v>468</v>
      </c>
      <c r="D17" s="11" t="s">
        <v>478</v>
      </c>
      <c r="E17" s="11" t="s">
        <v>69</v>
      </c>
      <c r="F17" s="36" t="s">
        <v>69</v>
      </c>
    </row>
    <row r="18" spans="1:6" ht="24" customHeight="1" x14ac:dyDescent="0.25">
      <c r="A18" s="11" t="s">
        <v>485</v>
      </c>
      <c r="B18" s="11" t="s">
        <v>523</v>
      </c>
      <c r="C18" s="38" t="s">
        <v>468</v>
      </c>
      <c r="D18" s="11" t="s">
        <v>479</v>
      </c>
      <c r="E18" s="11" t="s">
        <v>69</v>
      </c>
      <c r="F18" s="36" t="s">
        <v>69</v>
      </c>
    </row>
    <row r="19" spans="1:6" ht="24" customHeight="1" x14ac:dyDescent="0.25">
      <c r="A19" s="11" t="s">
        <v>485</v>
      </c>
      <c r="B19" s="11" t="s">
        <v>523</v>
      </c>
      <c r="C19" s="38" t="s">
        <v>468</v>
      </c>
      <c r="D19" s="11" t="s">
        <v>480</v>
      </c>
      <c r="E19" s="11" t="s">
        <v>69</v>
      </c>
      <c r="F19" s="36" t="s">
        <v>69</v>
      </c>
    </row>
    <row r="20" spans="1:6" ht="24" customHeight="1" x14ac:dyDescent="0.25">
      <c r="A20" s="11" t="s">
        <v>485</v>
      </c>
      <c r="B20" s="11" t="s">
        <v>523</v>
      </c>
      <c r="C20" s="38" t="s">
        <v>468</v>
      </c>
      <c r="D20" s="11" t="s">
        <v>481</v>
      </c>
      <c r="E20" s="11" t="s">
        <v>482</v>
      </c>
      <c r="F20" s="36" t="s">
        <v>482</v>
      </c>
    </row>
    <row r="21" spans="1:6" ht="24" customHeight="1" x14ac:dyDescent="0.25">
      <c r="A21" s="11" t="s">
        <v>485</v>
      </c>
      <c r="B21" s="11" t="s">
        <v>523</v>
      </c>
      <c r="C21" s="38" t="s">
        <v>468</v>
      </c>
      <c r="D21" s="11" t="s">
        <v>483</v>
      </c>
      <c r="E21" s="11" t="s">
        <v>484</v>
      </c>
      <c r="F21" s="36" t="s">
        <v>484</v>
      </c>
    </row>
    <row r="22" spans="1:6" ht="24" customHeight="1" x14ac:dyDescent="0.25">
      <c r="A22" s="36" t="s">
        <v>487</v>
      </c>
      <c r="B22" s="36" t="s">
        <v>523</v>
      </c>
      <c r="C22" s="37" t="s">
        <v>468</v>
      </c>
      <c r="D22" s="36" t="s">
        <v>469</v>
      </c>
      <c r="E22" s="36" t="s">
        <v>470</v>
      </c>
      <c r="F22" s="36" t="s">
        <v>470</v>
      </c>
    </row>
    <row r="23" spans="1:6" ht="24" customHeight="1" x14ac:dyDescent="0.25">
      <c r="A23" s="36" t="s">
        <v>487</v>
      </c>
      <c r="B23" s="36" t="s">
        <v>523</v>
      </c>
      <c r="C23" s="37" t="s">
        <v>468</v>
      </c>
      <c r="D23" s="36" t="s">
        <v>471</v>
      </c>
      <c r="E23" s="36" t="s">
        <v>471</v>
      </c>
      <c r="F23" s="36" t="s">
        <v>471</v>
      </c>
    </row>
    <row r="24" spans="1:6" ht="24" customHeight="1" x14ac:dyDescent="0.25">
      <c r="A24" s="36" t="s">
        <v>487</v>
      </c>
      <c r="B24" s="36" t="s">
        <v>523</v>
      </c>
      <c r="C24" s="37" t="s">
        <v>468</v>
      </c>
      <c r="D24" s="36" t="s">
        <v>472</v>
      </c>
      <c r="E24" s="36" t="s">
        <v>472</v>
      </c>
      <c r="F24" s="36" t="s">
        <v>472</v>
      </c>
    </row>
    <row r="25" spans="1:6" ht="24" customHeight="1" x14ac:dyDescent="0.25">
      <c r="A25" s="36" t="s">
        <v>487</v>
      </c>
      <c r="B25" s="36" t="s">
        <v>523</v>
      </c>
      <c r="C25" s="37" t="s">
        <v>468</v>
      </c>
      <c r="D25" s="36" t="s">
        <v>473</v>
      </c>
      <c r="E25" s="36" t="s">
        <v>474</v>
      </c>
      <c r="F25" s="36" t="s">
        <v>475</v>
      </c>
    </row>
    <row r="26" spans="1:6" ht="24" customHeight="1" x14ac:dyDescent="0.25">
      <c r="A26" s="36" t="s">
        <v>487</v>
      </c>
      <c r="B26" s="36" t="s">
        <v>523</v>
      </c>
      <c r="C26" s="37" t="s">
        <v>468</v>
      </c>
      <c r="D26" s="36" t="s">
        <v>476</v>
      </c>
      <c r="E26" s="36" t="s">
        <v>477</v>
      </c>
      <c r="F26" s="36" t="s">
        <v>475</v>
      </c>
    </row>
    <row r="27" spans="1:6" ht="24" customHeight="1" x14ac:dyDescent="0.25">
      <c r="A27" s="36" t="s">
        <v>487</v>
      </c>
      <c r="B27" s="36" t="s">
        <v>523</v>
      </c>
      <c r="C27" s="37" t="s">
        <v>468</v>
      </c>
      <c r="D27" s="36" t="s">
        <v>478</v>
      </c>
      <c r="E27" s="36" t="s">
        <v>69</v>
      </c>
      <c r="F27" s="36" t="s">
        <v>69</v>
      </c>
    </row>
    <row r="28" spans="1:6" ht="24" customHeight="1" x14ac:dyDescent="0.25">
      <c r="A28" s="36" t="s">
        <v>487</v>
      </c>
      <c r="B28" s="36" t="s">
        <v>523</v>
      </c>
      <c r="C28" s="37" t="s">
        <v>468</v>
      </c>
      <c r="D28" s="36" t="s">
        <v>479</v>
      </c>
      <c r="E28" s="36" t="s">
        <v>69</v>
      </c>
      <c r="F28" s="36" t="s">
        <v>69</v>
      </c>
    </row>
    <row r="29" spans="1:6" ht="24" customHeight="1" x14ac:dyDescent="0.25">
      <c r="A29" s="36" t="s">
        <v>487</v>
      </c>
      <c r="B29" s="36" t="s">
        <v>523</v>
      </c>
      <c r="C29" s="37" t="s">
        <v>468</v>
      </c>
      <c r="D29" s="36" t="s">
        <v>480</v>
      </c>
      <c r="E29" s="36" t="s">
        <v>69</v>
      </c>
      <c r="F29" s="36" t="s">
        <v>69</v>
      </c>
    </row>
    <row r="30" spans="1:6" ht="24" customHeight="1" x14ac:dyDescent="0.25">
      <c r="A30" s="36" t="s">
        <v>487</v>
      </c>
      <c r="B30" s="36" t="s">
        <v>523</v>
      </c>
      <c r="C30" s="37" t="s">
        <v>468</v>
      </c>
      <c r="D30" s="36" t="s">
        <v>481</v>
      </c>
      <c r="E30" s="36" t="s">
        <v>482</v>
      </c>
      <c r="F30" s="36" t="s">
        <v>482</v>
      </c>
    </row>
    <row r="31" spans="1:6" ht="24" customHeight="1" x14ac:dyDescent="0.25">
      <c r="A31" s="36" t="s">
        <v>487</v>
      </c>
      <c r="B31" s="36" t="s">
        <v>523</v>
      </c>
      <c r="C31" s="37" t="s">
        <v>468</v>
      </c>
      <c r="D31" s="36" t="s">
        <v>483</v>
      </c>
      <c r="E31" s="36" t="s">
        <v>484</v>
      </c>
      <c r="F31" s="36" t="s">
        <v>484</v>
      </c>
    </row>
    <row r="32" spans="1:6" ht="24" customHeight="1" x14ac:dyDescent="0.25">
      <c r="A32" s="11" t="s">
        <v>488</v>
      </c>
      <c r="B32" s="11" t="s">
        <v>523</v>
      </c>
      <c r="C32" s="38" t="s">
        <v>468</v>
      </c>
      <c r="D32" s="11" t="s">
        <v>469</v>
      </c>
      <c r="E32" s="11" t="s">
        <v>470</v>
      </c>
      <c r="F32" s="36" t="s">
        <v>470</v>
      </c>
    </row>
    <row r="33" spans="1:6" ht="24" customHeight="1" x14ac:dyDescent="0.25">
      <c r="A33" s="11" t="s">
        <v>488</v>
      </c>
      <c r="B33" s="11" t="s">
        <v>523</v>
      </c>
      <c r="C33" s="38" t="s">
        <v>468</v>
      </c>
      <c r="D33" s="11" t="s">
        <v>471</v>
      </c>
      <c r="E33" s="11" t="s">
        <v>471</v>
      </c>
      <c r="F33" s="36" t="s">
        <v>471</v>
      </c>
    </row>
    <row r="34" spans="1:6" ht="24" customHeight="1" x14ac:dyDescent="0.25">
      <c r="A34" s="11" t="s">
        <v>488</v>
      </c>
      <c r="B34" s="11" t="s">
        <v>523</v>
      </c>
      <c r="C34" s="38" t="s">
        <v>468</v>
      </c>
      <c r="D34" s="11" t="s">
        <v>472</v>
      </c>
      <c r="E34" s="11" t="s">
        <v>472</v>
      </c>
      <c r="F34" s="36" t="s">
        <v>472</v>
      </c>
    </row>
    <row r="35" spans="1:6" ht="24" customHeight="1" x14ac:dyDescent="0.25">
      <c r="A35" s="11" t="s">
        <v>488</v>
      </c>
      <c r="B35" s="11" t="s">
        <v>523</v>
      </c>
      <c r="C35" s="38" t="s">
        <v>468</v>
      </c>
      <c r="D35" s="11" t="s">
        <v>473</v>
      </c>
      <c r="E35" s="11" t="s">
        <v>474</v>
      </c>
      <c r="F35" s="36" t="s">
        <v>475</v>
      </c>
    </row>
    <row r="36" spans="1:6" ht="24" customHeight="1" x14ac:dyDescent="0.25">
      <c r="A36" s="11" t="s">
        <v>488</v>
      </c>
      <c r="B36" s="11" t="s">
        <v>523</v>
      </c>
      <c r="C36" s="38" t="s">
        <v>468</v>
      </c>
      <c r="D36" s="11" t="s">
        <v>476</v>
      </c>
      <c r="E36" s="11" t="s">
        <v>477</v>
      </c>
      <c r="F36" s="36" t="s">
        <v>475</v>
      </c>
    </row>
    <row r="37" spans="1:6" ht="24" customHeight="1" x14ac:dyDescent="0.25">
      <c r="A37" s="11" t="s">
        <v>488</v>
      </c>
      <c r="B37" s="11" t="s">
        <v>523</v>
      </c>
      <c r="C37" s="38" t="s">
        <v>468</v>
      </c>
      <c r="D37" s="11" t="s">
        <v>478</v>
      </c>
      <c r="E37" s="11" t="s">
        <v>69</v>
      </c>
      <c r="F37" s="36" t="s">
        <v>69</v>
      </c>
    </row>
    <row r="38" spans="1:6" ht="24" customHeight="1" x14ac:dyDescent="0.25">
      <c r="A38" s="11" t="s">
        <v>488</v>
      </c>
      <c r="B38" s="11" t="s">
        <v>523</v>
      </c>
      <c r="C38" s="38" t="s">
        <v>468</v>
      </c>
      <c r="D38" s="11" t="s">
        <v>479</v>
      </c>
      <c r="E38" s="11" t="s">
        <v>69</v>
      </c>
      <c r="F38" s="36" t="s">
        <v>69</v>
      </c>
    </row>
    <row r="39" spans="1:6" ht="24" customHeight="1" x14ac:dyDescent="0.25">
      <c r="A39" s="11" t="s">
        <v>488</v>
      </c>
      <c r="B39" s="11" t="s">
        <v>523</v>
      </c>
      <c r="C39" s="38" t="s">
        <v>468</v>
      </c>
      <c r="D39" s="11" t="s">
        <v>480</v>
      </c>
      <c r="E39" s="11" t="s">
        <v>69</v>
      </c>
      <c r="F39" s="36" t="s">
        <v>69</v>
      </c>
    </row>
    <row r="40" spans="1:6" ht="24" customHeight="1" x14ac:dyDescent="0.25">
      <c r="A40" s="11" t="s">
        <v>488</v>
      </c>
      <c r="B40" s="11" t="s">
        <v>523</v>
      </c>
      <c r="C40" s="38" t="s">
        <v>468</v>
      </c>
      <c r="D40" s="11" t="s">
        <v>481</v>
      </c>
      <c r="E40" s="11" t="s">
        <v>482</v>
      </c>
      <c r="F40" s="36" t="s">
        <v>482</v>
      </c>
    </row>
    <row r="41" spans="1:6" ht="24" customHeight="1" x14ac:dyDescent="0.25">
      <c r="A41" s="11" t="s">
        <v>488</v>
      </c>
      <c r="B41" s="11" t="s">
        <v>523</v>
      </c>
      <c r="C41" s="38" t="s">
        <v>468</v>
      </c>
      <c r="D41" s="11" t="s">
        <v>483</v>
      </c>
      <c r="E41" s="11" t="s">
        <v>484</v>
      </c>
      <c r="F41" s="36" t="s">
        <v>484</v>
      </c>
    </row>
    <row r="42" spans="1:6" ht="24" customHeight="1" x14ac:dyDescent="0.25">
      <c r="A42" s="36" t="s">
        <v>489</v>
      </c>
      <c r="B42" s="36" t="s">
        <v>523</v>
      </c>
      <c r="C42" s="37" t="s">
        <v>490</v>
      </c>
      <c r="D42" s="36" t="s">
        <v>469</v>
      </c>
      <c r="E42" s="36" t="s">
        <v>470</v>
      </c>
      <c r="F42" s="36" t="s">
        <v>470</v>
      </c>
    </row>
    <row r="43" spans="1:6" ht="24" customHeight="1" x14ac:dyDescent="0.25">
      <c r="A43" s="36" t="s">
        <v>489</v>
      </c>
      <c r="B43" s="36" t="s">
        <v>523</v>
      </c>
      <c r="C43" s="37" t="s">
        <v>490</v>
      </c>
      <c r="D43" s="36" t="s">
        <v>471</v>
      </c>
      <c r="E43" s="36" t="s">
        <v>471</v>
      </c>
      <c r="F43" s="36" t="s">
        <v>471</v>
      </c>
    </row>
    <row r="44" spans="1:6" ht="24" customHeight="1" x14ac:dyDescent="0.25">
      <c r="A44" s="36" t="s">
        <v>489</v>
      </c>
      <c r="B44" s="36" t="s">
        <v>523</v>
      </c>
      <c r="C44" s="37" t="s">
        <v>490</v>
      </c>
      <c r="D44" s="36" t="s">
        <v>472</v>
      </c>
      <c r="E44" s="36" t="s">
        <v>472</v>
      </c>
      <c r="F44" s="36" t="s">
        <v>472</v>
      </c>
    </row>
    <row r="45" spans="1:6" ht="24" customHeight="1" x14ac:dyDescent="0.25">
      <c r="A45" s="36" t="s">
        <v>489</v>
      </c>
      <c r="B45" s="36" t="s">
        <v>523</v>
      </c>
      <c r="C45" s="37" t="s">
        <v>490</v>
      </c>
      <c r="D45" s="36" t="s">
        <v>473</v>
      </c>
      <c r="E45" s="36" t="s">
        <v>474</v>
      </c>
      <c r="F45" s="36" t="s">
        <v>475</v>
      </c>
    </row>
    <row r="46" spans="1:6" ht="24" customHeight="1" x14ac:dyDescent="0.25">
      <c r="A46" s="36" t="s">
        <v>489</v>
      </c>
      <c r="B46" s="36" t="s">
        <v>523</v>
      </c>
      <c r="C46" s="37" t="s">
        <v>490</v>
      </c>
      <c r="D46" s="36" t="s">
        <v>476</v>
      </c>
      <c r="E46" s="36" t="s">
        <v>491</v>
      </c>
      <c r="F46" s="36" t="s">
        <v>475</v>
      </c>
    </row>
    <row r="47" spans="1:6" ht="24" customHeight="1" x14ac:dyDescent="0.25">
      <c r="A47" s="36" t="s">
        <v>489</v>
      </c>
      <c r="B47" s="36" t="s">
        <v>523</v>
      </c>
      <c r="C47" s="37" t="s">
        <v>490</v>
      </c>
      <c r="D47" s="36" t="s">
        <v>478</v>
      </c>
      <c r="E47" s="36" t="s">
        <v>69</v>
      </c>
      <c r="F47" s="36" t="s">
        <v>69</v>
      </c>
    </row>
    <row r="48" spans="1:6" ht="24" customHeight="1" x14ac:dyDescent="0.25">
      <c r="A48" s="36" t="s">
        <v>489</v>
      </c>
      <c r="B48" s="36" t="s">
        <v>523</v>
      </c>
      <c r="C48" s="37" t="s">
        <v>490</v>
      </c>
      <c r="D48" s="36" t="s">
        <v>479</v>
      </c>
      <c r="E48" s="36" t="s">
        <v>69</v>
      </c>
      <c r="F48" s="36" t="s">
        <v>69</v>
      </c>
    </row>
    <row r="49" spans="1:7" ht="24" customHeight="1" x14ac:dyDescent="0.25">
      <c r="A49" s="36" t="s">
        <v>489</v>
      </c>
      <c r="B49" s="36" t="s">
        <v>523</v>
      </c>
      <c r="C49" s="37" t="s">
        <v>490</v>
      </c>
      <c r="D49" s="36" t="s">
        <v>480</v>
      </c>
      <c r="E49" s="36" t="s">
        <v>69</v>
      </c>
      <c r="F49" s="36" t="s">
        <v>69</v>
      </c>
    </row>
    <row r="50" spans="1:7" ht="24" customHeight="1" x14ac:dyDescent="0.25">
      <c r="A50" s="36" t="s">
        <v>489</v>
      </c>
      <c r="B50" s="36" t="s">
        <v>523</v>
      </c>
      <c r="C50" s="37" t="s">
        <v>490</v>
      </c>
      <c r="D50" s="36" t="s">
        <v>481</v>
      </c>
      <c r="E50" s="36" t="s">
        <v>482</v>
      </c>
      <c r="F50" s="36" t="s">
        <v>482</v>
      </c>
    </row>
    <row r="51" spans="1:7" ht="24" customHeight="1" x14ac:dyDescent="0.25">
      <c r="A51" s="36" t="s">
        <v>489</v>
      </c>
      <c r="B51" s="36" t="s">
        <v>523</v>
      </c>
      <c r="C51" s="37" t="s">
        <v>490</v>
      </c>
      <c r="D51" s="36" t="s">
        <v>483</v>
      </c>
      <c r="E51" s="36" t="s">
        <v>484</v>
      </c>
      <c r="F51" s="36" t="s">
        <v>484</v>
      </c>
    </row>
    <row r="52" spans="1:7" ht="24" customHeight="1" x14ac:dyDescent="0.25">
      <c r="A52" s="11" t="s">
        <v>492</v>
      </c>
      <c r="B52" s="11" t="s">
        <v>524</v>
      </c>
      <c r="C52" s="38" t="s">
        <v>490</v>
      </c>
      <c r="D52" s="11" t="s">
        <v>469</v>
      </c>
      <c r="E52" s="11" t="s">
        <v>470</v>
      </c>
      <c r="F52" s="36" t="s">
        <v>470</v>
      </c>
    </row>
    <row r="53" spans="1:7" ht="24" customHeight="1" x14ac:dyDescent="0.25">
      <c r="A53" s="11" t="s">
        <v>492</v>
      </c>
      <c r="B53" s="11" t="s">
        <v>524</v>
      </c>
      <c r="C53" s="38" t="s">
        <v>490</v>
      </c>
      <c r="D53" s="11" t="s">
        <v>471</v>
      </c>
      <c r="E53" s="11" t="s">
        <v>471</v>
      </c>
      <c r="F53" s="36" t="s">
        <v>471</v>
      </c>
    </row>
    <row r="54" spans="1:7" ht="24" customHeight="1" x14ac:dyDescent="0.25">
      <c r="A54" s="11" t="s">
        <v>492</v>
      </c>
      <c r="B54" s="11" t="s">
        <v>524</v>
      </c>
      <c r="C54" s="38" t="s">
        <v>490</v>
      </c>
      <c r="D54" s="11" t="s">
        <v>472</v>
      </c>
      <c r="E54" s="11" t="s">
        <v>472</v>
      </c>
      <c r="F54" s="36" t="s">
        <v>472</v>
      </c>
    </row>
    <row r="55" spans="1:7" ht="24" customHeight="1" x14ac:dyDescent="0.25">
      <c r="A55" s="11" t="s">
        <v>492</v>
      </c>
      <c r="B55" s="11" t="s">
        <v>524</v>
      </c>
      <c r="C55" s="38" t="s">
        <v>490</v>
      </c>
      <c r="D55" s="11" t="s">
        <v>493</v>
      </c>
      <c r="E55" s="11" t="s">
        <v>474</v>
      </c>
      <c r="F55" s="36" t="s">
        <v>475</v>
      </c>
    </row>
    <row r="56" spans="1:7" ht="24" customHeight="1" x14ac:dyDescent="0.25">
      <c r="A56" s="11" t="s">
        <v>492</v>
      </c>
      <c r="B56" s="11" t="s">
        <v>524</v>
      </c>
      <c r="C56" s="38" t="s">
        <v>490</v>
      </c>
      <c r="D56" s="11" t="s">
        <v>476</v>
      </c>
      <c r="E56" s="11" t="s">
        <v>491</v>
      </c>
      <c r="F56" s="36" t="s">
        <v>475</v>
      </c>
    </row>
    <row r="57" spans="1:7" ht="24" customHeight="1" x14ac:dyDescent="0.25">
      <c r="A57" s="11" t="s">
        <v>492</v>
      </c>
      <c r="B57" s="11" t="s">
        <v>524</v>
      </c>
      <c r="C57" s="38" t="s">
        <v>490</v>
      </c>
      <c r="D57" s="11" t="s">
        <v>478</v>
      </c>
      <c r="E57" s="11" t="s">
        <v>69</v>
      </c>
      <c r="F57" s="36" t="s">
        <v>69</v>
      </c>
    </row>
    <row r="58" spans="1:7" ht="24" customHeight="1" x14ac:dyDescent="0.25">
      <c r="A58" s="11" t="s">
        <v>492</v>
      </c>
      <c r="B58" s="11" t="s">
        <v>524</v>
      </c>
      <c r="C58" s="38" t="s">
        <v>490</v>
      </c>
      <c r="D58" s="11" t="s">
        <v>479</v>
      </c>
      <c r="E58" s="11" t="s">
        <v>69</v>
      </c>
      <c r="F58" s="36" t="s">
        <v>69</v>
      </c>
    </row>
    <row r="59" spans="1:7" ht="24" customHeight="1" x14ac:dyDescent="0.25">
      <c r="A59" s="11" t="s">
        <v>492</v>
      </c>
      <c r="B59" s="11" t="s">
        <v>524</v>
      </c>
      <c r="C59" s="38" t="s">
        <v>490</v>
      </c>
      <c r="D59" s="11" t="s">
        <v>480</v>
      </c>
      <c r="E59" s="11" t="s">
        <v>69</v>
      </c>
      <c r="F59" s="36" t="s">
        <v>69</v>
      </c>
    </row>
    <row r="60" spans="1:7" ht="24" customHeight="1" x14ac:dyDescent="0.25">
      <c r="A60" s="11" t="s">
        <v>492</v>
      </c>
      <c r="B60" s="11" t="s">
        <v>524</v>
      </c>
      <c r="C60" s="38" t="s">
        <v>490</v>
      </c>
      <c r="D60" s="11" t="s">
        <v>481</v>
      </c>
      <c r="E60" s="11" t="s">
        <v>482</v>
      </c>
      <c r="F60" s="36" t="s">
        <v>482</v>
      </c>
    </row>
    <row r="61" spans="1:7" ht="24" customHeight="1" x14ac:dyDescent="0.25">
      <c r="A61" s="11" t="s">
        <v>492</v>
      </c>
      <c r="B61" s="11" t="s">
        <v>524</v>
      </c>
      <c r="C61" s="38" t="s">
        <v>490</v>
      </c>
      <c r="D61" s="11" t="s">
        <v>483</v>
      </c>
      <c r="E61" s="11" t="s">
        <v>484</v>
      </c>
      <c r="F61" s="36" t="s">
        <v>484</v>
      </c>
    </row>
    <row r="62" spans="1:7" ht="24" customHeight="1" x14ac:dyDescent="0.25">
      <c r="A62" s="36" t="s">
        <v>521</v>
      </c>
      <c r="B62" s="36" t="s">
        <v>524</v>
      </c>
      <c r="C62" s="36" t="s">
        <v>494</v>
      </c>
      <c r="D62" s="36" t="s">
        <v>518</v>
      </c>
      <c r="E62" s="36" t="s">
        <v>470</v>
      </c>
      <c r="F62" s="36" t="s">
        <v>470</v>
      </c>
      <c r="G62" s="11" t="s">
        <v>525</v>
      </c>
    </row>
    <row r="63" spans="1:7" ht="24" customHeight="1" x14ac:dyDescent="0.25">
      <c r="A63" s="36" t="s">
        <v>521</v>
      </c>
      <c r="B63" s="36" t="s">
        <v>524</v>
      </c>
      <c r="C63" s="36" t="s">
        <v>494</v>
      </c>
      <c r="D63" s="36" t="s">
        <v>517</v>
      </c>
      <c r="E63" s="36" t="s">
        <v>472</v>
      </c>
      <c r="F63" s="36" t="s">
        <v>472</v>
      </c>
      <c r="G63" s="11" t="s">
        <v>495</v>
      </c>
    </row>
    <row r="64" spans="1:7" ht="24" customHeight="1" x14ac:dyDescent="0.25">
      <c r="A64" s="36" t="s">
        <v>521</v>
      </c>
      <c r="B64" s="36" t="s">
        <v>524</v>
      </c>
      <c r="C64" s="36" t="s">
        <v>494</v>
      </c>
      <c r="D64" s="36" t="s">
        <v>526</v>
      </c>
      <c r="E64" s="36" t="s">
        <v>471</v>
      </c>
      <c r="F64" s="36" t="s">
        <v>471</v>
      </c>
      <c r="G64" s="11" t="s">
        <v>496</v>
      </c>
    </row>
    <row r="65" spans="1:12" ht="24" customHeight="1" x14ac:dyDescent="0.25">
      <c r="A65" s="36" t="s">
        <v>521</v>
      </c>
      <c r="B65" s="36" t="s">
        <v>524</v>
      </c>
      <c r="C65" s="36" t="s">
        <v>494</v>
      </c>
      <c r="D65" s="36" t="s">
        <v>526</v>
      </c>
      <c r="E65" s="36" t="s">
        <v>477</v>
      </c>
      <c r="F65" s="36" t="s">
        <v>475</v>
      </c>
      <c r="G65" s="11" t="s">
        <v>497</v>
      </c>
    </row>
    <row r="66" spans="1:12" ht="24" customHeight="1" x14ac:dyDescent="0.25">
      <c r="A66" s="36" t="s">
        <v>521</v>
      </c>
      <c r="B66" s="36" t="s">
        <v>524</v>
      </c>
      <c r="C66" s="36" t="s">
        <v>494</v>
      </c>
      <c r="D66" s="36" t="s">
        <v>526</v>
      </c>
      <c r="E66" s="36" t="s">
        <v>474</v>
      </c>
      <c r="F66" s="36" t="s">
        <v>475</v>
      </c>
      <c r="G66" s="11" t="s">
        <v>527</v>
      </c>
    </row>
    <row r="67" spans="1:12" ht="24" customHeight="1" x14ac:dyDescent="0.25">
      <c r="A67" s="36" t="s">
        <v>521</v>
      </c>
      <c r="B67" s="36" t="s">
        <v>524</v>
      </c>
      <c r="C67" s="36" t="s">
        <v>494</v>
      </c>
      <c r="D67" s="36" t="s">
        <v>526</v>
      </c>
      <c r="E67" s="36" t="s">
        <v>482</v>
      </c>
      <c r="F67" s="36" t="s">
        <v>482</v>
      </c>
      <c r="G67" s="11" t="s">
        <v>498</v>
      </c>
    </row>
    <row r="68" spans="1:12" ht="24" customHeight="1" x14ac:dyDescent="0.25">
      <c r="A68" s="36" t="s">
        <v>521</v>
      </c>
      <c r="B68" s="36" t="s">
        <v>524</v>
      </c>
      <c r="C68" s="36" t="s">
        <v>494</v>
      </c>
      <c r="D68" s="36" t="s">
        <v>518</v>
      </c>
      <c r="E68" s="36" t="s">
        <v>484</v>
      </c>
      <c r="F68" s="36" t="s">
        <v>484</v>
      </c>
      <c r="G68" s="11" t="s">
        <v>499</v>
      </c>
    </row>
    <row r="69" spans="1:12" ht="24" customHeight="1" x14ac:dyDescent="0.25">
      <c r="A69" s="11" t="s">
        <v>521</v>
      </c>
      <c r="B69" s="11" t="s">
        <v>524</v>
      </c>
      <c r="C69" s="11" t="s">
        <v>500</v>
      </c>
      <c r="D69" s="11" t="s">
        <v>520</v>
      </c>
      <c r="E69" s="11" t="s">
        <v>470</v>
      </c>
      <c r="F69" s="11" t="s">
        <v>470</v>
      </c>
      <c r="G69" s="11" t="s">
        <v>501</v>
      </c>
    </row>
    <row r="70" spans="1:12" ht="24" customHeight="1" x14ac:dyDescent="0.25">
      <c r="A70" s="11" t="s">
        <v>521</v>
      </c>
      <c r="B70" s="11" t="s">
        <v>524</v>
      </c>
      <c r="C70" s="11" t="s">
        <v>500</v>
      </c>
      <c r="D70" s="11" t="s">
        <v>519</v>
      </c>
      <c r="E70" s="11" t="s">
        <v>472</v>
      </c>
      <c r="F70" s="11" t="s">
        <v>472</v>
      </c>
      <c r="G70" s="11" t="s">
        <v>502</v>
      </c>
      <c r="L70" s="39"/>
    </row>
    <row r="71" spans="1:12" ht="24" customHeight="1" x14ac:dyDescent="0.25">
      <c r="A71" s="11" t="s">
        <v>521</v>
      </c>
      <c r="B71" s="11" t="s">
        <v>524</v>
      </c>
      <c r="C71" s="11" t="s">
        <v>500</v>
      </c>
      <c r="D71" s="11" t="s">
        <v>526</v>
      </c>
      <c r="E71" s="11" t="s">
        <v>471</v>
      </c>
      <c r="F71" s="11" t="s">
        <v>471</v>
      </c>
      <c r="G71" s="11" t="s">
        <v>503</v>
      </c>
    </row>
    <row r="72" spans="1:12" ht="24" customHeight="1" x14ac:dyDescent="0.25">
      <c r="A72" s="11" t="s">
        <v>521</v>
      </c>
      <c r="B72" s="11" t="s">
        <v>524</v>
      </c>
      <c r="C72" s="11" t="s">
        <v>500</v>
      </c>
      <c r="D72" s="11" t="s">
        <v>526</v>
      </c>
      <c r="E72" s="11" t="s">
        <v>504</v>
      </c>
      <c r="F72" s="11" t="s">
        <v>504</v>
      </c>
      <c r="G72" s="11" t="s">
        <v>528</v>
      </c>
    </row>
    <row r="73" spans="1:12" ht="24" customHeight="1" x14ac:dyDescent="0.25">
      <c r="A73" s="11" t="s">
        <v>521</v>
      </c>
      <c r="B73" s="11" t="s">
        <v>524</v>
      </c>
      <c r="C73" s="11" t="s">
        <v>500</v>
      </c>
      <c r="D73" s="11" t="s">
        <v>526</v>
      </c>
      <c r="E73" s="11" t="s">
        <v>482</v>
      </c>
      <c r="F73" s="11" t="s">
        <v>482</v>
      </c>
      <c r="G73" s="11" t="s">
        <v>503</v>
      </c>
    </row>
    <row r="74" spans="1:12" ht="24" customHeight="1" x14ac:dyDescent="0.25">
      <c r="A74" s="11" t="s">
        <v>521</v>
      </c>
      <c r="B74" s="11" t="s">
        <v>524</v>
      </c>
      <c r="C74" s="11" t="s">
        <v>500</v>
      </c>
      <c r="D74" s="11" t="s">
        <v>520</v>
      </c>
      <c r="E74" s="11" t="s">
        <v>484</v>
      </c>
      <c r="F74" s="11" t="s">
        <v>484</v>
      </c>
      <c r="G74" s="11" t="s">
        <v>505</v>
      </c>
    </row>
    <row r="75" spans="1:12" ht="24" customHeight="1" x14ac:dyDescent="0.25">
      <c r="A75" s="36" t="s">
        <v>492</v>
      </c>
      <c r="B75" s="36" t="s">
        <v>529</v>
      </c>
      <c r="C75" s="36" t="s">
        <v>494</v>
      </c>
      <c r="D75" s="36" t="s">
        <v>518</v>
      </c>
      <c r="E75" s="36" t="s">
        <v>470</v>
      </c>
      <c r="F75" s="36" t="s">
        <v>470</v>
      </c>
      <c r="G75" s="11" t="s">
        <v>525</v>
      </c>
    </row>
    <row r="76" spans="1:12" ht="24" customHeight="1" x14ac:dyDescent="0.25">
      <c r="A76" s="36" t="s">
        <v>492</v>
      </c>
      <c r="B76" s="36" t="s">
        <v>529</v>
      </c>
      <c r="C76" s="36" t="s">
        <v>494</v>
      </c>
      <c r="D76" s="36" t="s">
        <v>517</v>
      </c>
      <c r="E76" s="36" t="s">
        <v>472</v>
      </c>
      <c r="F76" s="36" t="s">
        <v>472</v>
      </c>
      <c r="G76" s="11" t="s">
        <v>548</v>
      </c>
    </row>
    <row r="77" spans="1:12" ht="24" customHeight="1" x14ac:dyDescent="0.25">
      <c r="A77" s="36" t="s">
        <v>492</v>
      </c>
      <c r="B77" s="36" t="s">
        <v>529</v>
      </c>
      <c r="C77" s="36" t="s">
        <v>494</v>
      </c>
      <c r="D77" s="36" t="s">
        <v>526</v>
      </c>
      <c r="E77" s="36" t="s">
        <v>471</v>
      </c>
      <c r="F77" s="36" t="s">
        <v>471</v>
      </c>
      <c r="G77" s="11" t="s">
        <v>496</v>
      </c>
    </row>
    <row r="78" spans="1:12" ht="24" customHeight="1" x14ac:dyDescent="0.25">
      <c r="A78" s="36" t="s">
        <v>492</v>
      </c>
      <c r="B78" s="36" t="s">
        <v>529</v>
      </c>
      <c r="C78" s="36" t="s">
        <v>494</v>
      </c>
      <c r="D78" s="36" t="s">
        <v>526</v>
      </c>
      <c r="E78" s="36" t="s">
        <v>477</v>
      </c>
      <c r="F78" s="36" t="s">
        <v>475</v>
      </c>
      <c r="G78" s="11" t="s">
        <v>497</v>
      </c>
    </row>
    <row r="79" spans="1:12" ht="24" customHeight="1" x14ac:dyDescent="0.25">
      <c r="A79" s="36" t="s">
        <v>492</v>
      </c>
      <c r="B79" s="36" t="s">
        <v>529</v>
      </c>
      <c r="C79" s="36" t="s">
        <v>494</v>
      </c>
      <c r="D79" s="36" t="s">
        <v>526</v>
      </c>
      <c r="E79" s="36" t="s">
        <v>474</v>
      </c>
      <c r="F79" s="36" t="s">
        <v>475</v>
      </c>
      <c r="G79" s="11" t="s">
        <v>527</v>
      </c>
    </row>
    <row r="80" spans="1:12" ht="24" customHeight="1" x14ac:dyDescent="0.25">
      <c r="A80" s="36" t="s">
        <v>492</v>
      </c>
      <c r="B80" s="36" t="s">
        <v>529</v>
      </c>
      <c r="C80" s="36" t="s">
        <v>494</v>
      </c>
      <c r="D80" s="36" t="s">
        <v>526</v>
      </c>
      <c r="E80" s="36" t="s">
        <v>482</v>
      </c>
      <c r="F80" s="36" t="s">
        <v>482</v>
      </c>
      <c r="G80" s="11" t="s">
        <v>498</v>
      </c>
    </row>
    <row r="81" spans="1:7" ht="24" customHeight="1" x14ac:dyDescent="0.25">
      <c r="A81" s="36" t="s">
        <v>492</v>
      </c>
      <c r="B81" s="36" t="s">
        <v>529</v>
      </c>
      <c r="C81" s="36" t="s">
        <v>494</v>
      </c>
      <c r="D81" s="36" t="s">
        <v>518</v>
      </c>
      <c r="E81" s="36" t="s">
        <v>484</v>
      </c>
      <c r="F81" s="36" t="s">
        <v>484</v>
      </c>
      <c r="G81" s="11" t="s">
        <v>499</v>
      </c>
    </row>
    <row r="82" spans="1:7" ht="24" customHeight="1" x14ac:dyDescent="0.25">
      <c r="A82" s="11" t="s">
        <v>492</v>
      </c>
      <c r="B82" s="11" t="s">
        <v>529</v>
      </c>
      <c r="C82" s="11" t="s">
        <v>500</v>
      </c>
      <c r="D82" s="11" t="s">
        <v>520</v>
      </c>
      <c r="E82" s="11" t="s">
        <v>470</v>
      </c>
      <c r="F82" s="11" t="s">
        <v>470</v>
      </c>
      <c r="G82" s="11" t="s">
        <v>501</v>
      </c>
    </row>
    <row r="83" spans="1:7" ht="24" customHeight="1" x14ac:dyDescent="0.25">
      <c r="A83" s="11" t="s">
        <v>492</v>
      </c>
      <c r="B83" s="11" t="s">
        <v>529</v>
      </c>
      <c r="C83" s="11" t="s">
        <v>500</v>
      </c>
      <c r="D83" s="11" t="s">
        <v>519</v>
      </c>
      <c r="E83" s="11" t="s">
        <v>472</v>
      </c>
      <c r="F83" s="11" t="s">
        <v>472</v>
      </c>
      <c r="G83" s="11" t="s">
        <v>502</v>
      </c>
    </row>
    <row r="84" spans="1:7" ht="24" customHeight="1" x14ac:dyDescent="0.25">
      <c r="A84" s="11" t="s">
        <v>492</v>
      </c>
      <c r="B84" s="11" t="s">
        <v>529</v>
      </c>
      <c r="C84" s="11" t="s">
        <v>500</v>
      </c>
      <c r="D84" s="11" t="s">
        <v>526</v>
      </c>
      <c r="E84" s="11" t="s">
        <v>471</v>
      </c>
      <c r="F84" s="11" t="s">
        <v>471</v>
      </c>
      <c r="G84" s="11" t="s">
        <v>503</v>
      </c>
    </row>
    <row r="85" spans="1:7" ht="24" customHeight="1" x14ac:dyDescent="0.25">
      <c r="A85" s="11" t="s">
        <v>492</v>
      </c>
      <c r="B85" s="11" t="s">
        <v>529</v>
      </c>
      <c r="C85" s="11" t="s">
        <v>500</v>
      </c>
      <c r="D85" s="11" t="s">
        <v>526</v>
      </c>
      <c r="E85" s="11" t="s">
        <v>504</v>
      </c>
      <c r="F85" s="11" t="s">
        <v>504</v>
      </c>
      <c r="G85" s="11" t="s">
        <v>528</v>
      </c>
    </row>
    <row r="86" spans="1:7" ht="24" customHeight="1" x14ac:dyDescent="0.25">
      <c r="A86" s="11" t="s">
        <v>492</v>
      </c>
      <c r="B86" s="11" t="s">
        <v>529</v>
      </c>
      <c r="C86" s="11" t="s">
        <v>500</v>
      </c>
      <c r="D86" s="11" t="s">
        <v>526</v>
      </c>
      <c r="E86" s="11" t="s">
        <v>482</v>
      </c>
      <c r="F86" s="11" t="s">
        <v>482</v>
      </c>
      <c r="G86" s="11" t="s">
        <v>503</v>
      </c>
    </row>
    <row r="87" spans="1:7" ht="24" customHeight="1" x14ac:dyDescent="0.25">
      <c r="A87" s="11" t="s">
        <v>492</v>
      </c>
      <c r="B87" s="11" t="s">
        <v>529</v>
      </c>
      <c r="C87" s="11" t="s">
        <v>500</v>
      </c>
      <c r="D87" s="11" t="s">
        <v>520</v>
      </c>
      <c r="E87" s="11" t="s">
        <v>484</v>
      </c>
      <c r="F87" s="11" t="s">
        <v>484</v>
      </c>
      <c r="G87" s="11" t="s">
        <v>505</v>
      </c>
    </row>
    <row r="88" spans="1:7" ht="24" customHeight="1" x14ac:dyDescent="0.25">
      <c r="A88" s="36" t="s">
        <v>506</v>
      </c>
      <c r="B88" s="36" t="s">
        <v>523</v>
      </c>
      <c r="C88" s="37" t="s">
        <v>507</v>
      </c>
      <c r="D88" s="36" t="s">
        <v>469</v>
      </c>
      <c r="E88" s="36" t="s">
        <v>470</v>
      </c>
      <c r="F88" s="36" t="s">
        <v>470</v>
      </c>
    </row>
    <row r="89" spans="1:7" ht="24" customHeight="1" x14ac:dyDescent="0.25">
      <c r="A89" s="36" t="s">
        <v>506</v>
      </c>
      <c r="B89" s="36" t="s">
        <v>523</v>
      </c>
      <c r="C89" s="37" t="s">
        <v>507</v>
      </c>
      <c r="D89" s="36" t="s">
        <v>471</v>
      </c>
      <c r="E89" s="36" t="s">
        <v>471</v>
      </c>
      <c r="F89" s="36" t="s">
        <v>471</v>
      </c>
    </row>
    <row r="90" spans="1:7" ht="24" customHeight="1" x14ac:dyDescent="0.25">
      <c r="A90" s="36" t="s">
        <v>506</v>
      </c>
      <c r="B90" s="36" t="s">
        <v>523</v>
      </c>
      <c r="C90" s="37" t="s">
        <v>507</v>
      </c>
      <c r="D90" s="36" t="s">
        <v>472</v>
      </c>
      <c r="E90" s="36" t="s">
        <v>472</v>
      </c>
      <c r="F90" s="36" t="s">
        <v>472</v>
      </c>
    </row>
    <row r="91" spans="1:7" ht="24" customHeight="1" x14ac:dyDescent="0.25">
      <c r="A91" s="36" t="s">
        <v>506</v>
      </c>
      <c r="B91" s="36" t="s">
        <v>523</v>
      </c>
      <c r="C91" s="37" t="s">
        <v>507</v>
      </c>
      <c r="D91" s="36" t="s">
        <v>493</v>
      </c>
      <c r="E91" s="36" t="s">
        <v>69</v>
      </c>
      <c r="F91" s="36" t="s">
        <v>475</v>
      </c>
    </row>
    <row r="92" spans="1:7" ht="24" customHeight="1" x14ac:dyDescent="0.25">
      <c r="A92" s="36" t="s">
        <v>506</v>
      </c>
      <c r="B92" s="36" t="s">
        <v>523</v>
      </c>
      <c r="C92" s="37" t="s">
        <v>507</v>
      </c>
      <c r="D92" s="36" t="s">
        <v>478</v>
      </c>
      <c r="E92" s="36" t="s">
        <v>69</v>
      </c>
      <c r="F92" s="36" t="s">
        <v>69</v>
      </c>
    </row>
    <row r="93" spans="1:7" ht="24" customHeight="1" x14ac:dyDescent="0.25">
      <c r="A93" s="36" t="s">
        <v>506</v>
      </c>
      <c r="B93" s="36" t="s">
        <v>523</v>
      </c>
      <c r="C93" s="37" t="s">
        <v>507</v>
      </c>
      <c r="D93" s="36" t="s">
        <v>479</v>
      </c>
      <c r="E93" s="36" t="s">
        <v>69</v>
      </c>
      <c r="F93" s="36" t="s">
        <v>69</v>
      </c>
    </row>
    <row r="94" spans="1:7" ht="24" customHeight="1" x14ac:dyDescent="0.25">
      <c r="A94" s="36" t="s">
        <v>506</v>
      </c>
      <c r="B94" s="36" t="s">
        <v>523</v>
      </c>
      <c r="C94" s="37" t="s">
        <v>507</v>
      </c>
      <c r="D94" s="36" t="s">
        <v>480</v>
      </c>
      <c r="E94" s="36" t="s">
        <v>69</v>
      </c>
      <c r="F94" s="36" t="s">
        <v>69</v>
      </c>
    </row>
    <row r="95" spans="1:7" ht="24" customHeight="1" x14ac:dyDescent="0.25">
      <c r="A95" s="36" t="s">
        <v>506</v>
      </c>
      <c r="B95" s="36" t="s">
        <v>523</v>
      </c>
      <c r="C95" s="37" t="s">
        <v>507</v>
      </c>
      <c r="D95" s="36" t="s">
        <v>481</v>
      </c>
      <c r="E95" s="36" t="s">
        <v>482</v>
      </c>
      <c r="F95" s="36" t="s">
        <v>482</v>
      </c>
    </row>
    <row r="96" spans="1:7" ht="24" customHeight="1" x14ac:dyDescent="0.25">
      <c r="A96" s="36" t="s">
        <v>506</v>
      </c>
      <c r="B96" s="36" t="s">
        <v>523</v>
      </c>
      <c r="C96" s="37" t="s">
        <v>507</v>
      </c>
      <c r="D96" s="36" t="s">
        <v>483</v>
      </c>
      <c r="E96" s="36" t="s">
        <v>484</v>
      </c>
      <c r="F96" s="36" t="s">
        <v>484</v>
      </c>
    </row>
    <row r="97" spans="1:6" ht="24" customHeight="1" x14ac:dyDescent="0.25">
      <c r="A97" s="11" t="s">
        <v>508</v>
      </c>
      <c r="B97" s="11" t="s">
        <v>523</v>
      </c>
      <c r="C97" s="38" t="s">
        <v>507</v>
      </c>
      <c r="D97" s="11" t="s">
        <v>469</v>
      </c>
      <c r="E97" s="11" t="s">
        <v>470</v>
      </c>
      <c r="F97" s="11" t="s">
        <v>470</v>
      </c>
    </row>
    <row r="98" spans="1:6" ht="24" customHeight="1" x14ac:dyDescent="0.25">
      <c r="A98" s="11" t="s">
        <v>508</v>
      </c>
      <c r="B98" s="11" t="s">
        <v>523</v>
      </c>
      <c r="C98" s="38" t="s">
        <v>507</v>
      </c>
      <c r="D98" s="11" t="s">
        <v>471</v>
      </c>
      <c r="E98" s="11" t="s">
        <v>471</v>
      </c>
      <c r="F98" s="11" t="s">
        <v>471</v>
      </c>
    </row>
    <row r="99" spans="1:6" ht="24" customHeight="1" x14ac:dyDescent="0.25">
      <c r="A99" s="11" t="s">
        <v>508</v>
      </c>
      <c r="B99" s="11" t="s">
        <v>523</v>
      </c>
      <c r="C99" s="38" t="s">
        <v>507</v>
      </c>
      <c r="D99" s="11" t="s">
        <v>472</v>
      </c>
      <c r="E99" s="11" t="s">
        <v>472</v>
      </c>
      <c r="F99" s="11" t="s">
        <v>472</v>
      </c>
    </row>
    <row r="100" spans="1:6" ht="24" customHeight="1" x14ac:dyDescent="0.25">
      <c r="A100" s="11" t="s">
        <v>508</v>
      </c>
      <c r="B100" s="11" t="s">
        <v>523</v>
      </c>
      <c r="C100" s="38" t="s">
        <v>507</v>
      </c>
      <c r="D100" s="11" t="s">
        <v>493</v>
      </c>
      <c r="E100" s="11" t="s">
        <v>69</v>
      </c>
      <c r="F100" s="11" t="s">
        <v>475</v>
      </c>
    </row>
    <row r="101" spans="1:6" ht="24" customHeight="1" x14ac:dyDescent="0.25">
      <c r="A101" s="11" t="s">
        <v>508</v>
      </c>
      <c r="B101" s="11" t="s">
        <v>523</v>
      </c>
      <c r="C101" s="38" t="s">
        <v>507</v>
      </c>
      <c r="D101" s="11" t="s">
        <v>478</v>
      </c>
      <c r="E101" s="11" t="s">
        <v>69</v>
      </c>
      <c r="F101" s="11" t="s">
        <v>69</v>
      </c>
    </row>
    <row r="102" spans="1:6" ht="24" customHeight="1" x14ac:dyDescent="0.25">
      <c r="A102" s="11" t="s">
        <v>508</v>
      </c>
      <c r="B102" s="11" t="s">
        <v>523</v>
      </c>
      <c r="C102" s="38" t="s">
        <v>507</v>
      </c>
      <c r="D102" s="11" t="s">
        <v>479</v>
      </c>
      <c r="E102" s="11" t="s">
        <v>69</v>
      </c>
      <c r="F102" s="11" t="s">
        <v>69</v>
      </c>
    </row>
    <row r="103" spans="1:6" ht="24" customHeight="1" x14ac:dyDescent="0.25">
      <c r="A103" s="11" t="s">
        <v>508</v>
      </c>
      <c r="B103" s="11" t="s">
        <v>523</v>
      </c>
      <c r="C103" s="38" t="s">
        <v>507</v>
      </c>
      <c r="D103" s="11" t="s">
        <v>480</v>
      </c>
      <c r="E103" s="11" t="s">
        <v>69</v>
      </c>
      <c r="F103" s="11" t="s">
        <v>69</v>
      </c>
    </row>
    <row r="104" spans="1:6" ht="24" customHeight="1" x14ac:dyDescent="0.25">
      <c r="A104" s="11" t="s">
        <v>508</v>
      </c>
      <c r="B104" s="11" t="s">
        <v>523</v>
      </c>
      <c r="C104" s="38" t="s">
        <v>507</v>
      </c>
      <c r="D104" s="11" t="s">
        <v>481</v>
      </c>
      <c r="E104" s="11" t="s">
        <v>482</v>
      </c>
      <c r="F104" s="11" t="s">
        <v>482</v>
      </c>
    </row>
    <row r="105" spans="1:6" ht="24" customHeight="1" x14ac:dyDescent="0.25">
      <c r="A105" s="11" t="s">
        <v>508</v>
      </c>
      <c r="B105" s="11" t="s">
        <v>523</v>
      </c>
      <c r="C105" s="38" t="s">
        <v>507</v>
      </c>
      <c r="D105" s="11" t="s">
        <v>483</v>
      </c>
      <c r="E105" s="11" t="s">
        <v>484</v>
      </c>
      <c r="F105" s="11" t="s">
        <v>484</v>
      </c>
    </row>
  </sheetData>
  <autoFilter ref="A1:G105" xr:uid="{029662B9-EE7A-47D8-A235-D34DC26868EE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2E1D-6517-4A70-B990-90D4097A4B88}">
  <sheetPr>
    <tabColor theme="5" tint="0.79998168889431442"/>
  </sheetPr>
  <dimension ref="A1:A16"/>
  <sheetViews>
    <sheetView workbookViewId="0">
      <selection activeCell="P34" sqref="P34"/>
    </sheetView>
  </sheetViews>
  <sheetFormatPr defaultRowHeight="15" x14ac:dyDescent="0.25"/>
  <sheetData>
    <row r="1" spans="1:1" x14ac:dyDescent="0.25">
      <c r="A1" s="11" t="s">
        <v>509</v>
      </c>
    </row>
    <row r="2" spans="1:1" x14ac:dyDescent="0.25">
      <c r="A2" s="11" t="s">
        <v>510</v>
      </c>
    </row>
    <row r="3" spans="1:1" x14ac:dyDescent="0.25">
      <c r="A3" s="11" t="s">
        <v>485</v>
      </c>
    </row>
    <row r="4" spans="1:1" x14ac:dyDescent="0.25">
      <c r="A4" s="11" t="s">
        <v>467</v>
      </c>
    </row>
    <row r="5" spans="1:1" x14ac:dyDescent="0.25">
      <c r="A5" s="11" t="s">
        <v>487</v>
      </c>
    </row>
    <row r="6" spans="1:1" x14ac:dyDescent="0.25">
      <c r="A6" s="11" t="s">
        <v>488</v>
      </c>
    </row>
    <row r="7" spans="1:1" x14ac:dyDescent="0.25">
      <c r="A7" s="11" t="s">
        <v>511</v>
      </c>
    </row>
    <row r="8" spans="1:1" x14ac:dyDescent="0.25">
      <c r="A8" s="11" t="s">
        <v>512</v>
      </c>
    </row>
    <row r="9" spans="1:1" x14ac:dyDescent="0.25">
      <c r="A9" s="11" t="s">
        <v>489</v>
      </c>
    </row>
    <row r="10" spans="1:1" x14ac:dyDescent="0.25">
      <c r="A10" s="11" t="s">
        <v>492</v>
      </c>
    </row>
    <row r="11" spans="1:1" x14ac:dyDescent="0.25">
      <c r="A11" s="11" t="s">
        <v>506</v>
      </c>
    </row>
    <row r="12" spans="1:1" x14ac:dyDescent="0.25">
      <c r="A12" s="11" t="s">
        <v>508</v>
      </c>
    </row>
    <row r="13" spans="1:1" x14ac:dyDescent="0.25">
      <c r="A13" s="11" t="s">
        <v>513</v>
      </c>
    </row>
    <row r="14" spans="1:1" x14ac:dyDescent="0.25">
      <c r="A14" s="11" t="s">
        <v>514</v>
      </c>
    </row>
    <row r="15" spans="1:1" x14ac:dyDescent="0.25">
      <c r="A15" s="11" t="s">
        <v>515</v>
      </c>
    </row>
    <row r="16" spans="1:1" x14ac:dyDescent="0.25">
      <c r="A16" s="11" t="s">
        <v>516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40A2-E677-4B50-BF4E-75C2A3B8A415}">
  <dimension ref="A1:E16"/>
  <sheetViews>
    <sheetView workbookViewId="0">
      <selection sqref="A1:E16"/>
    </sheetView>
  </sheetViews>
  <sheetFormatPr defaultRowHeight="15" x14ac:dyDescent="0.25"/>
  <cols>
    <col min="1" max="1" width="17.5703125" bestFit="1" customWidth="1"/>
    <col min="2" max="2" width="22.42578125" bestFit="1" customWidth="1"/>
    <col min="3" max="3" width="34" bestFit="1" customWidth="1"/>
    <col min="4" max="4" width="36.7109375" bestFit="1" customWidth="1"/>
    <col min="5" max="5" width="39.42578125" bestFit="1" customWidth="1"/>
  </cols>
  <sheetData>
    <row r="1" spans="1:5" x14ac:dyDescent="0.25">
      <c r="A1" t="s">
        <v>530</v>
      </c>
      <c r="B1" t="s">
        <v>531</v>
      </c>
      <c r="C1" t="s">
        <v>532</v>
      </c>
      <c r="D1" t="s">
        <v>533</v>
      </c>
      <c r="E1" t="s">
        <v>534</v>
      </c>
    </row>
    <row r="2" spans="1:5" x14ac:dyDescent="0.25">
      <c r="A2" t="s">
        <v>535</v>
      </c>
      <c r="B2" t="s">
        <v>536</v>
      </c>
      <c r="C2" t="s">
        <v>467</v>
      </c>
      <c r="D2" t="s">
        <v>537</v>
      </c>
      <c r="E2" t="s">
        <v>536</v>
      </c>
    </row>
    <row r="3" spans="1:5" x14ac:dyDescent="0.25">
      <c r="A3" t="s">
        <v>486</v>
      </c>
      <c r="B3" t="s">
        <v>536</v>
      </c>
      <c r="C3" t="s">
        <v>485</v>
      </c>
      <c r="D3" t="s">
        <v>538</v>
      </c>
      <c r="E3" t="s">
        <v>536</v>
      </c>
    </row>
    <row r="4" spans="1:5" x14ac:dyDescent="0.25">
      <c r="A4" t="s">
        <v>539</v>
      </c>
      <c r="B4" t="s">
        <v>536</v>
      </c>
      <c r="C4" t="s">
        <v>510</v>
      </c>
      <c r="D4" t="s">
        <v>540</v>
      </c>
      <c r="E4" t="s">
        <v>536</v>
      </c>
    </row>
    <row r="5" spans="1:5" x14ac:dyDescent="0.25">
      <c r="A5" t="s">
        <v>489</v>
      </c>
      <c r="B5" t="s">
        <v>521</v>
      </c>
      <c r="C5" t="s">
        <v>489</v>
      </c>
      <c r="D5" t="s">
        <v>521</v>
      </c>
      <c r="E5" t="s">
        <v>536</v>
      </c>
    </row>
    <row r="6" spans="1:5" x14ac:dyDescent="0.25">
      <c r="A6" t="s">
        <v>492</v>
      </c>
      <c r="B6" t="s">
        <v>492</v>
      </c>
      <c r="C6" t="s">
        <v>492</v>
      </c>
      <c r="D6" t="s">
        <v>492</v>
      </c>
      <c r="E6" t="s">
        <v>492</v>
      </c>
    </row>
    <row r="7" spans="1:5" x14ac:dyDescent="0.25">
      <c r="A7" t="s">
        <v>512</v>
      </c>
      <c r="B7" t="s">
        <v>512</v>
      </c>
      <c r="C7" t="s">
        <v>512</v>
      </c>
      <c r="D7" t="s">
        <v>512</v>
      </c>
      <c r="E7" t="s">
        <v>512</v>
      </c>
    </row>
    <row r="8" spans="1:5" x14ac:dyDescent="0.25">
      <c r="A8" t="s">
        <v>488</v>
      </c>
      <c r="B8" t="s">
        <v>536</v>
      </c>
      <c r="C8" t="s">
        <v>488</v>
      </c>
      <c r="D8" t="s">
        <v>488</v>
      </c>
      <c r="E8" t="s">
        <v>536</v>
      </c>
    </row>
    <row r="9" spans="1:5" x14ac:dyDescent="0.25">
      <c r="A9" t="s">
        <v>487</v>
      </c>
      <c r="B9" t="s">
        <v>536</v>
      </c>
      <c r="C9" t="s">
        <v>487</v>
      </c>
      <c r="D9" t="s">
        <v>487</v>
      </c>
      <c r="E9" t="s">
        <v>536</v>
      </c>
    </row>
    <row r="10" spans="1:5" x14ac:dyDescent="0.25">
      <c r="A10" t="s">
        <v>511</v>
      </c>
      <c r="B10" t="s">
        <v>536</v>
      </c>
      <c r="C10" t="s">
        <v>511</v>
      </c>
      <c r="D10" t="s">
        <v>541</v>
      </c>
      <c r="E10" t="s">
        <v>536</v>
      </c>
    </row>
    <row r="11" spans="1:5" x14ac:dyDescent="0.25">
      <c r="A11" t="s">
        <v>542</v>
      </c>
      <c r="B11" t="s">
        <v>536</v>
      </c>
      <c r="C11" t="s">
        <v>506</v>
      </c>
      <c r="D11" t="s">
        <v>543</v>
      </c>
      <c r="E11" t="s">
        <v>536</v>
      </c>
    </row>
    <row r="12" spans="1:5" x14ac:dyDescent="0.25">
      <c r="A12" t="s">
        <v>508</v>
      </c>
      <c r="B12" t="s">
        <v>536</v>
      </c>
      <c r="C12" t="s">
        <v>508</v>
      </c>
      <c r="D12" t="s">
        <v>508</v>
      </c>
      <c r="E12" t="s">
        <v>536</v>
      </c>
    </row>
    <row r="13" spans="1:5" x14ac:dyDescent="0.25">
      <c r="A13" t="s">
        <v>544</v>
      </c>
      <c r="B13" t="s">
        <v>536</v>
      </c>
      <c r="C13" t="s">
        <v>513</v>
      </c>
      <c r="D13" t="s">
        <v>513</v>
      </c>
      <c r="E13" t="s">
        <v>536</v>
      </c>
    </row>
    <row r="14" spans="1:5" x14ac:dyDescent="0.25">
      <c r="A14" t="s">
        <v>545</v>
      </c>
      <c r="B14" t="s">
        <v>536</v>
      </c>
      <c r="C14" t="s">
        <v>514</v>
      </c>
      <c r="D14" t="s">
        <v>514</v>
      </c>
      <c r="E14" t="s">
        <v>536</v>
      </c>
    </row>
    <row r="15" spans="1:5" x14ac:dyDescent="0.25">
      <c r="A15" t="s">
        <v>546</v>
      </c>
      <c r="B15" t="s">
        <v>515</v>
      </c>
      <c r="C15" t="s">
        <v>515</v>
      </c>
      <c r="D15" t="s">
        <v>515</v>
      </c>
      <c r="E15" t="s">
        <v>515</v>
      </c>
    </row>
    <row r="16" spans="1:5" x14ac:dyDescent="0.25">
      <c r="A16" t="s">
        <v>516</v>
      </c>
      <c r="B16" t="s">
        <v>536</v>
      </c>
      <c r="C16" t="s">
        <v>516</v>
      </c>
      <c r="D16" t="s">
        <v>547</v>
      </c>
      <c r="E16" t="s">
        <v>536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VO_Biofeedstock_Wights</vt:lpstr>
      <vt:lpstr>Template</vt:lpstr>
      <vt:lpstr>Calendar</vt:lpstr>
      <vt:lpstr>Mapping_Dictionary</vt:lpstr>
      <vt:lpstr>Commodity_List</vt:lpstr>
      <vt:lpstr>Commodity_Dictionary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Chilmeran</dc:creator>
  <cp:lastModifiedBy>Ahmed Chilmeran</cp:lastModifiedBy>
  <dcterms:created xsi:type="dcterms:W3CDTF">2026-09-18T16:43:04Z</dcterms:created>
  <dcterms:modified xsi:type="dcterms:W3CDTF">2026-09-25T16:07:47Z</dcterms:modified>
</cp:coreProperties>
</file>