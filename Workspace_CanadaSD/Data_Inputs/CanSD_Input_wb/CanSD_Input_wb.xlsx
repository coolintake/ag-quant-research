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_CanadaSD\Data_Inputs\CanSD_Input_wb\"/>
    </mc:Choice>
  </mc:AlternateContent>
  <xr:revisionPtr revIDLastSave="0" documentId="13_ncr:1_{ACE1D383-E7E9-4885-98D7-9D53121532AF}" xr6:coauthVersionLast="47" xr6:coauthVersionMax="47" xr10:uidLastSave="{00000000-0000-0000-0000-000000000000}"/>
  <bookViews>
    <workbookView xWindow="25490" yWindow="-110" windowWidth="25820" windowHeight="13900" xr2:uid="{3EA9EB3F-0F0B-41A0-8CC5-8129CE640ADD}"/>
  </bookViews>
  <sheets>
    <sheet name="Wheat_Mo_F" sheetId="2" r:id="rId1"/>
    <sheet name="Durum_Mo_F" sheetId="3" r:id="rId2"/>
    <sheet name="Canola_Mo_F" sheetId="4" r:id="rId3"/>
    <sheet name="Barley_Mo_F" sheetId="5" r:id="rId4"/>
    <sheet name="Oats_Mo_F" sheetId="6" r:id="rId5"/>
    <sheet name="Soybeans_Mo_F" sheetId="7" r:id="rId6"/>
    <sheet name="Dry peas_Mo_F" sheetId="8" r:id="rId7"/>
    <sheet name="Lentils_Mo_F" sheetId="9" r:id="rId8"/>
    <sheet name="Sheet1" sheetId="1" r:id="rId9"/>
  </sheets>
  <definedNames>
    <definedName name="_xlnm._FilterDatabase" localSheetId="0" hidden="1">Wheat_Mo_F!$A$1:$P$49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" i="2" l="1"/>
  <c r="H19" i="2" s="1"/>
  <c r="I19" i="2" s="1"/>
  <c r="J19" i="2" s="1"/>
  <c r="K19" i="2" s="1"/>
  <c r="L19" i="2" s="1"/>
  <c r="M19" i="2" s="1"/>
  <c r="N19" i="2" s="1"/>
  <c r="O19" i="2" s="1"/>
  <c r="F19" i="2"/>
  <c r="X15" i="2"/>
  <c r="W15" i="2"/>
  <c r="F30" i="2"/>
  <c r="G30" i="2" s="1"/>
  <c r="H30" i="2" s="1"/>
  <c r="I30" i="2" s="1"/>
  <c r="J30" i="2" s="1"/>
  <c r="K30" i="2" s="1"/>
  <c r="L30" i="2" s="1"/>
  <c r="M30" i="2" s="1"/>
  <c r="N30" i="2" s="1"/>
  <c r="O30" i="2" s="1"/>
  <c r="E30" i="2"/>
  <c r="X27" i="2" l="1"/>
  <c r="X6" i="2"/>
  <c r="X3" i="2"/>
  <c r="W6" i="2"/>
  <c r="D38" i="2"/>
  <c r="K32" i="2"/>
  <c r="E31" i="2"/>
  <c r="E32" i="2" s="1"/>
  <c r="F31" i="2"/>
  <c r="F32" i="2" s="1"/>
  <c r="F33" i="2" s="1"/>
  <c r="G31" i="2"/>
  <c r="G32" i="2" s="1"/>
  <c r="H31" i="2"/>
  <c r="H32" i="2" s="1"/>
  <c r="I31" i="2"/>
  <c r="I32" i="2" s="1"/>
  <c r="J31" i="2"/>
  <c r="K31" i="2"/>
  <c r="L31" i="2"/>
  <c r="L32" i="2" s="1"/>
  <c r="M31" i="2"/>
  <c r="N31" i="2"/>
  <c r="N32" i="2" s="1"/>
  <c r="O31" i="2"/>
  <c r="D31" i="2"/>
  <c r="D32" i="2" s="1"/>
  <c r="D27" i="2"/>
  <c r="E27" i="2" s="1"/>
  <c r="F26" i="2"/>
  <c r="G26" i="2" s="1"/>
  <c r="G38" i="2" s="1"/>
  <c r="E26" i="2"/>
  <c r="E38" i="2" s="1"/>
  <c r="D23" i="2"/>
  <c r="E23" i="2" s="1"/>
  <c r="F23" i="2" s="1"/>
  <c r="G23" i="2" s="1"/>
  <c r="H23" i="2" s="1"/>
  <c r="I23" i="2" s="1"/>
  <c r="D14" i="2"/>
  <c r="P14" i="2" s="1"/>
  <c r="W10" i="2" s="1"/>
  <c r="D8" i="2"/>
  <c r="D16" i="2" s="1"/>
  <c r="P16" i="2" s="1"/>
  <c r="D7" i="2"/>
  <c r="D15" i="2" s="1"/>
  <c r="P15" i="2" s="1"/>
  <c r="X10" i="2" s="1"/>
  <c r="D4" i="2"/>
  <c r="D5" i="2" s="1"/>
  <c r="P5" i="2" s="1"/>
  <c r="P45" i="9"/>
  <c r="P44" i="9"/>
  <c r="P43" i="9"/>
  <c r="P42" i="9"/>
  <c r="O41" i="9"/>
  <c r="N41" i="9"/>
  <c r="M41" i="9"/>
  <c r="L41" i="9"/>
  <c r="K41" i="9"/>
  <c r="J41" i="9"/>
  <c r="I41" i="9"/>
  <c r="H41" i="9"/>
  <c r="G41" i="9"/>
  <c r="F41" i="9"/>
  <c r="E41" i="9"/>
  <c r="D41" i="9"/>
  <c r="O40" i="9"/>
  <c r="N40" i="9"/>
  <c r="M40" i="9"/>
  <c r="L40" i="9"/>
  <c r="K40" i="9"/>
  <c r="J40" i="9"/>
  <c r="I40" i="9"/>
  <c r="H40" i="9"/>
  <c r="G40" i="9"/>
  <c r="F40" i="9"/>
  <c r="E40" i="9"/>
  <c r="D40" i="9"/>
  <c r="O39" i="9"/>
  <c r="N39" i="9"/>
  <c r="M39" i="9"/>
  <c r="L39" i="9"/>
  <c r="K39" i="9"/>
  <c r="J39" i="9"/>
  <c r="I39" i="9"/>
  <c r="H39" i="9"/>
  <c r="G39" i="9"/>
  <c r="F39" i="9"/>
  <c r="E39" i="9"/>
  <c r="D39" i="9"/>
  <c r="O38" i="9"/>
  <c r="N38" i="9"/>
  <c r="M38" i="9"/>
  <c r="L38" i="9"/>
  <c r="K38" i="9"/>
  <c r="J38" i="9"/>
  <c r="I38" i="9"/>
  <c r="H38" i="9"/>
  <c r="G38" i="9"/>
  <c r="F38" i="9"/>
  <c r="E38" i="9"/>
  <c r="D38" i="9"/>
  <c r="P38" i="9" s="1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P45" i="8"/>
  <c r="P44" i="8"/>
  <c r="P43" i="8"/>
  <c r="P42" i="8"/>
  <c r="O41" i="8"/>
  <c r="N41" i="8"/>
  <c r="M41" i="8"/>
  <c r="L41" i="8"/>
  <c r="K41" i="8"/>
  <c r="J41" i="8"/>
  <c r="I41" i="8"/>
  <c r="H41" i="8"/>
  <c r="G41" i="8"/>
  <c r="F41" i="8"/>
  <c r="E41" i="8"/>
  <c r="D41" i="8"/>
  <c r="O40" i="8"/>
  <c r="N40" i="8"/>
  <c r="M40" i="8"/>
  <c r="L40" i="8"/>
  <c r="K40" i="8"/>
  <c r="J40" i="8"/>
  <c r="I40" i="8"/>
  <c r="H40" i="8"/>
  <c r="G40" i="8"/>
  <c r="F40" i="8"/>
  <c r="E40" i="8"/>
  <c r="D40" i="8"/>
  <c r="O39" i="8"/>
  <c r="N39" i="8"/>
  <c r="M39" i="8"/>
  <c r="L39" i="8"/>
  <c r="K39" i="8"/>
  <c r="J39" i="8"/>
  <c r="I39" i="8"/>
  <c r="H39" i="8"/>
  <c r="G39" i="8"/>
  <c r="F39" i="8"/>
  <c r="E39" i="8"/>
  <c r="D39" i="8"/>
  <c r="O38" i="8"/>
  <c r="N38" i="8"/>
  <c r="M38" i="8"/>
  <c r="L38" i="8"/>
  <c r="K38" i="8"/>
  <c r="J38" i="8"/>
  <c r="I38" i="8"/>
  <c r="H38" i="8"/>
  <c r="G38" i="8"/>
  <c r="F38" i="8"/>
  <c r="E38" i="8"/>
  <c r="D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P45" i="7"/>
  <c r="P44" i="7"/>
  <c r="P43" i="7"/>
  <c r="P42" i="7"/>
  <c r="O41" i="7"/>
  <c r="N41" i="7"/>
  <c r="M41" i="7"/>
  <c r="L41" i="7"/>
  <c r="K41" i="7"/>
  <c r="J41" i="7"/>
  <c r="I41" i="7"/>
  <c r="H41" i="7"/>
  <c r="G41" i="7"/>
  <c r="F41" i="7"/>
  <c r="E41" i="7"/>
  <c r="D41" i="7"/>
  <c r="O40" i="7"/>
  <c r="N40" i="7"/>
  <c r="M40" i="7"/>
  <c r="L40" i="7"/>
  <c r="K40" i="7"/>
  <c r="J40" i="7"/>
  <c r="I40" i="7"/>
  <c r="H40" i="7"/>
  <c r="G40" i="7"/>
  <c r="F40" i="7"/>
  <c r="E40" i="7"/>
  <c r="D40" i="7"/>
  <c r="O39" i="7"/>
  <c r="N39" i="7"/>
  <c r="M39" i="7"/>
  <c r="L39" i="7"/>
  <c r="K39" i="7"/>
  <c r="J39" i="7"/>
  <c r="I39" i="7"/>
  <c r="H39" i="7"/>
  <c r="G39" i="7"/>
  <c r="F39" i="7"/>
  <c r="E39" i="7"/>
  <c r="D39" i="7"/>
  <c r="O38" i="7"/>
  <c r="N38" i="7"/>
  <c r="M38" i="7"/>
  <c r="L38" i="7"/>
  <c r="K38" i="7"/>
  <c r="J38" i="7"/>
  <c r="I38" i="7"/>
  <c r="H38" i="7"/>
  <c r="G38" i="7"/>
  <c r="F38" i="7"/>
  <c r="E38" i="7"/>
  <c r="D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P45" i="6"/>
  <c r="P44" i="6"/>
  <c r="P43" i="6"/>
  <c r="P42" i="6"/>
  <c r="O41" i="6"/>
  <c r="N41" i="6"/>
  <c r="M41" i="6"/>
  <c r="L41" i="6"/>
  <c r="K41" i="6"/>
  <c r="J41" i="6"/>
  <c r="I41" i="6"/>
  <c r="H41" i="6"/>
  <c r="G41" i="6"/>
  <c r="F41" i="6"/>
  <c r="E41" i="6"/>
  <c r="D41" i="6"/>
  <c r="O40" i="6"/>
  <c r="N40" i="6"/>
  <c r="M40" i="6"/>
  <c r="L40" i="6"/>
  <c r="K40" i="6"/>
  <c r="J40" i="6"/>
  <c r="I40" i="6"/>
  <c r="H40" i="6"/>
  <c r="G40" i="6"/>
  <c r="F40" i="6"/>
  <c r="E40" i="6"/>
  <c r="D40" i="6"/>
  <c r="O39" i="6"/>
  <c r="N39" i="6"/>
  <c r="M39" i="6"/>
  <c r="L39" i="6"/>
  <c r="K39" i="6"/>
  <c r="J39" i="6"/>
  <c r="I39" i="6"/>
  <c r="H39" i="6"/>
  <c r="G39" i="6"/>
  <c r="F39" i="6"/>
  <c r="E39" i="6"/>
  <c r="D39" i="6"/>
  <c r="O38" i="6"/>
  <c r="N38" i="6"/>
  <c r="M38" i="6"/>
  <c r="L38" i="6"/>
  <c r="K38" i="6"/>
  <c r="J38" i="6"/>
  <c r="I38" i="6"/>
  <c r="H38" i="6"/>
  <c r="G38" i="6"/>
  <c r="F38" i="6"/>
  <c r="E38" i="6"/>
  <c r="D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P45" i="5"/>
  <c r="P44" i="5"/>
  <c r="P43" i="5"/>
  <c r="P42" i="5"/>
  <c r="O41" i="5"/>
  <c r="N41" i="5"/>
  <c r="M41" i="5"/>
  <c r="L41" i="5"/>
  <c r="K41" i="5"/>
  <c r="J41" i="5"/>
  <c r="I41" i="5"/>
  <c r="H41" i="5"/>
  <c r="G41" i="5"/>
  <c r="F41" i="5"/>
  <c r="E41" i="5"/>
  <c r="D41" i="5"/>
  <c r="O40" i="5"/>
  <c r="N40" i="5"/>
  <c r="M40" i="5"/>
  <c r="L40" i="5"/>
  <c r="K40" i="5"/>
  <c r="J40" i="5"/>
  <c r="I40" i="5"/>
  <c r="H40" i="5"/>
  <c r="G40" i="5"/>
  <c r="F40" i="5"/>
  <c r="E40" i="5"/>
  <c r="D40" i="5"/>
  <c r="O39" i="5"/>
  <c r="N39" i="5"/>
  <c r="M39" i="5"/>
  <c r="L39" i="5"/>
  <c r="K39" i="5"/>
  <c r="J39" i="5"/>
  <c r="I39" i="5"/>
  <c r="H39" i="5"/>
  <c r="G39" i="5"/>
  <c r="F39" i="5"/>
  <c r="E39" i="5"/>
  <c r="D39" i="5"/>
  <c r="O38" i="5"/>
  <c r="N38" i="5"/>
  <c r="M38" i="5"/>
  <c r="L38" i="5"/>
  <c r="K38" i="5"/>
  <c r="J38" i="5"/>
  <c r="I38" i="5"/>
  <c r="H38" i="5"/>
  <c r="G38" i="5"/>
  <c r="F38" i="5"/>
  <c r="E38" i="5"/>
  <c r="D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45" i="4"/>
  <c r="P44" i="4"/>
  <c r="P43" i="4"/>
  <c r="P42" i="4"/>
  <c r="O41" i="4"/>
  <c r="N41" i="4"/>
  <c r="M41" i="4"/>
  <c r="L41" i="4"/>
  <c r="K41" i="4"/>
  <c r="J41" i="4"/>
  <c r="I41" i="4"/>
  <c r="H41" i="4"/>
  <c r="G41" i="4"/>
  <c r="F41" i="4"/>
  <c r="E41" i="4"/>
  <c r="D41" i="4"/>
  <c r="O40" i="4"/>
  <c r="N40" i="4"/>
  <c r="M40" i="4"/>
  <c r="L40" i="4"/>
  <c r="K40" i="4"/>
  <c r="J40" i="4"/>
  <c r="I40" i="4"/>
  <c r="H40" i="4"/>
  <c r="G40" i="4"/>
  <c r="F40" i="4"/>
  <c r="E40" i="4"/>
  <c r="D40" i="4"/>
  <c r="P40" i="4" s="1"/>
  <c r="O39" i="4"/>
  <c r="N39" i="4"/>
  <c r="M39" i="4"/>
  <c r="L39" i="4"/>
  <c r="K39" i="4"/>
  <c r="J39" i="4"/>
  <c r="I39" i="4"/>
  <c r="H39" i="4"/>
  <c r="G39" i="4"/>
  <c r="F39" i="4"/>
  <c r="E39" i="4"/>
  <c r="D39" i="4"/>
  <c r="P39" i="4" s="1"/>
  <c r="O38" i="4"/>
  <c r="N38" i="4"/>
  <c r="M38" i="4"/>
  <c r="L38" i="4"/>
  <c r="K38" i="4"/>
  <c r="J38" i="4"/>
  <c r="I38" i="4"/>
  <c r="H38" i="4"/>
  <c r="G38" i="4"/>
  <c r="F38" i="4"/>
  <c r="E38" i="4"/>
  <c r="D38" i="4"/>
  <c r="P38" i="4" s="1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P45" i="3"/>
  <c r="P44" i="3"/>
  <c r="P43" i="3"/>
  <c r="P42" i="3"/>
  <c r="O41" i="3"/>
  <c r="N41" i="3"/>
  <c r="M41" i="3"/>
  <c r="L41" i="3"/>
  <c r="K41" i="3"/>
  <c r="J41" i="3"/>
  <c r="I41" i="3"/>
  <c r="H41" i="3"/>
  <c r="G41" i="3"/>
  <c r="F41" i="3"/>
  <c r="E41" i="3"/>
  <c r="D41" i="3"/>
  <c r="O40" i="3"/>
  <c r="N40" i="3"/>
  <c r="M40" i="3"/>
  <c r="L40" i="3"/>
  <c r="K40" i="3"/>
  <c r="J40" i="3"/>
  <c r="I40" i="3"/>
  <c r="H40" i="3"/>
  <c r="G40" i="3"/>
  <c r="F40" i="3"/>
  <c r="E40" i="3"/>
  <c r="D40" i="3"/>
  <c r="O39" i="3"/>
  <c r="N39" i="3"/>
  <c r="M39" i="3"/>
  <c r="L39" i="3"/>
  <c r="K39" i="3"/>
  <c r="J39" i="3"/>
  <c r="I39" i="3"/>
  <c r="H39" i="3"/>
  <c r="G39" i="3"/>
  <c r="F39" i="3"/>
  <c r="E39" i="3"/>
  <c r="D39" i="3"/>
  <c r="O38" i="3"/>
  <c r="N38" i="3"/>
  <c r="M38" i="3"/>
  <c r="L38" i="3"/>
  <c r="K38" i="3"/>
  <c r="J38" i="3"/>
  <c r="I38" i="3"/>
  <c r="H38" i="3"/>
  <c r="G38" i="3"/>
  <c r="F38" i="3"/>
  <c r="E38" i="3"/>
  <c r="D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P45" i="2"/>
  <c r="P44" i="2"/>
  <c r="P43" i="2"/>
  <c r="P42" i="2"/>
  <c r="P37" i="2"/>
  <c r="P36" i="2"/>
  <c r="P35" i="2"/>
  <c r="P34" i="2"/>
  <c r="P30" i="2"/>
  <c r="W14" i="2" s="1"/>
  <c r="P22" i="2"/>
  <c r="W9" i="2" s="1"/>
  <c r="P21" i="2"/>
  <c r="P20" i="2"/>
  <c r="X16" i="2" s="1"/>
  <c r="P19" i="2"/>
  <c r="W16" i="2" s="1"/>
  <c r="P18" i="2"/>
  <c r="P13" i="2"/>
  <c r="P12" i="2"/>
  <c r="P11" i="2"/>
  <c r="P10" i="2"/>
  <c r="P8" i="2"/>
  <c r="P7" i="2"/>
  <c r="X4" i="2" s="1"/>
  <c r="P6" i="2"/>
  <c r="W4" i="2" s="1"/>
  <c r="P4" i="2"/>
  <c r="P3" i="2"/>
  <c r="P2" i="2"/>
  <c r="W3" i="2" s="1"/>
  <c r="W25" i="2" l="1"/>
  <c r="W27" i="2"/>
  <c r="W11" i="2"/>
  <c r="F38" i="2"/>
  <c r="D46" i="2"/>
  <c r="F27" i="2"/>
  <c r="E39" i="2"/>
  <c r="E33" i="2"/>
  <c r="X5" i="2"/>
  <c r="D33" i="2"/>
  <c r="W5" i="2"/>
  <c r="I33" i="2"/>
  <c r="G33" i="2"/>
  <c r="D28" i="2"/>
  <c r="O32" i="2"/>
  <c r="D39" i="2"/>
  <c r="N33" i="2"/>
  <c r="M32" i="2"/>
  <c r="K33" i="2"/>
  <c r="J32" i="2"/>
  <c r="L33" i="2"/>
  <c r="D9" i="2"/>
  <c r="P31" i="2"/>
  <c r="X14" i="2" s="1"/>
  <c r="X25" i="2" s="1"/>
  <c r="H33" i="2"/>
  <c r="H26" i="2"/>
  <c r="H38" i="2" s="1"/>
  <c r="J23" i="2"/>
  <c r="K23" i="2" s="1"/>
  <c r="L23" i="2" s="1"/>
  <c r="M23" i="2" s="1"/>
  <c r="N23" i="2" s="1"/>
  <c r="O23" i="2" s="1"/>
  <c r="P23" i="2"/>
  <c r="X9" i="2" s="1"/>
  <c r="P38" i="7"/>
  <c r="P41" i="7"/>
  <c r="P40" i="5"/>
  <c r="P41" i="5"/>
  <c r="P38" i="8"/>
  <c r="P39" i="8"/>
  <c r="P38" i="3"/>
  <c r="P39" i="3"/>
  <c r="P40" i="3"/>
  <c r="P41" i="3"/>
  <c r="P40" i="6"/>
  <c r="P41" i="6"/>
  <c r="P41" i="4"/>
  <c r="P38" i="5"/>
  <c r="P39" i="5"/>
  <c r="P38" i="6"/>
  <c r="P39" i="6"/>
  <c r="P39" i="9"/>
  <c r="P40" i="9"/>
  <c r="P41" i="9"/>
  <c r="P40" i="8"/>
  <c r="P41" i="8"/>
  <c r="P39" i="7"/>
  <c r="P40" i="7"/>
  <c r="E28" i="2" l="1"/>
  <c r="D29" i="2"/>
  <c r="E29" i="2" s="1"/>
  <c r="F29" i="2" s="1"/>
  <c r="F41" i="2" s="1"/>
  <c r="P9" i="2"/>
  <c r="D17" i="2"/>
  <c r="P17" i="2" s="1"/>
  <c r="D40" i="2"/>
  <c r="O33" i="2"/>
  <c r="G41" i="2"/>
  <c r="P32" i="2"/>
  <c r="D24" i="2"/>
  <c r="D41" i="2"/>
  <c r="J33" i="2"/>
  <c r="P33" i="2" s="1"/>
  <c r="E41" i="2"/>
  <c r="M33" i="2"/>
  <c r="G27" i="2"/>
  <c r="F39" i="2"/>
  <c r="G29" i="2"/>
  <c r="I26" i="2"/>
  <c r="I38" i="2" s="1"/>
  <c r="D46" i="5"/>
  <c r="E46" i="5" s="1"/>
  <c r="F46" i="5" s="1"/>
  <c r="G46" i="5" s="1"/>
  <c r="H46" i="5" s="1"/>
  <c r="I46" i="5" s="1"/>
  <c r="J46" i="5" s="1"/>
  <c r="K46" i="5" s="1"/>
  <c r="L46" i="5" s="1"/>
  <c r="M46" i="5" s="1"/>
  <c r="N46" i="5" s="1"/>
  <c r="O46" i="5" s="1"/>
  <c r="H27" i="2" l="1"/>
  <c r="G39" i="2"/>
  <c r="E24" i="2"/>
  <c r="F24" i="2" s="1"/>
  <c r="G24" i="2" s="1"/>
  <c r="H24" i="2" s="1"/>
  <c r="I24" i="2" s="1"/>
  <c r="J24" i="2" s="1"/>
  <c r="K24" i="2" s="1"/>
  <c r="L24" i="2" s="1"/>
  <c r="M24" i="2" s="1"/>
  <c r="N24" i="2" s="1"/>
  <c r="O24" i="2" s="1"/>
  <c r="D25" i="2" s="1"/>
  <c r="E40" i="2"/>
  <c r="F28" i="2"/>
  <c r="H29" i="2"/>
  <c r="H41" i="2" s="1"/>
  <c r="J26" i="2"/>
  <c r="J38" i="2" s="1"/>
  <c r="E46" i="2"/>
  <c r="F46" i="2" s="1"/>
  <c r="G46" i="2" s="1"/>
  <c r="H46" i="2" s="1"/>
  <c r="D46" i="6"/>
  <c r="E46" i="6" s="1"/>
  <c r="F46" i="6" s="1"/>
  <c r="G46" i="6" s="1"/>
  <c r="H46" i="6" s="1"/>
  <c r="I46" i="6" s="1"/>
  <c r="J46" i="6" s="1"/>
  <c r="K46" i="6" s="1"/>
  <c r="L46" i="6" s="1"/>
  <c r="M46" i="6" s="1"/>
  <c r="N46" i="6" s="1"/>
  <c r="O46" i="6" s="1"/>
  <c r="D47" i="5"/>
  <c r="E47" i="5" s="1"/>
  <c r="F47" i="5" s="1"/>
  <c r="G47" i="5" s="1"/>
  <c r="H47" i="5" s="1"/>
  <c r="I47" i="5" s="1"/>
  <c r="J47" i="5" s="1"/>
  <c r="K47" i="5" s="1"/>
  <c r="L47" i="5" s="1"/>
  <c r="M47" i="5" s="1"/>
  <c r="N47" i="5" s="1"/>
  <c r="O47" i="5" s="1"/>
  <c r="P46" i="5"/>
  <c r="P24" i="2" l="1"/>
  <c r="E25" i="2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F40" i="2"/>
  <c r="G28" i="2"/>
  <c r="H39" i="2"/>
  <c r="I27" i="2"/>
  <c r="I29" i="2"/>
  <c r="I41" i="2" s="1"/>
  <c r="K26" i="2"/>
  <c r="K38" i="2" s="1"/>
  <c r="I46" i="2"/>
  <c r="J46" i="2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D46" i="9"/>
  <c r="E46" i="9" s="1"/>
  <c r="F46" i="9" s="1"/>
  <c r="G46" i="9" s="1"/>
  <c r="H46" i="9" s="1"/>
  <c r="I46" i="9" s="1"/>
  <c r="J46" i="9" s="1"/>
  <c r="K46" i="9" s="1"/>
  <c r="L46" i="9" s="1"/>
  <c r="M46" i="9" s="1"/>
  <c r="N46" i="9" s="1"/>
  <c r="O46" i="9" s="1"/>
  <c r="D47" i="6"/>
  <c r="E47" i="6" s="1"/>
  <c r="F47" i="6" s="1"/>
  <c r="G47" i="6" s="1"/>
  <c r="H47" i="6" s="1"/>
  <c r="I47" i="6" s="1"/>
  <c r="J47" i="6" s="1"/>
  <c r="K47" i="6" s="1"/>
  <c r="L47" i="6" s="1"/>
  <c r="M47" i="6" s="1"/>
  <c r="N47" i="6" s="1"/>
  <c r="O47" i="6" s="1"/>
  <c r="P46" i="6"/>
  <c r="D46" i="3"/>
  <c r="E46" i="3" s="1"/>
  <c r="F46" i="3" s="1"/>
  <c r="G46" i="3" s="1"/>
  <c r="H46" i="3" s="1"/>
  <c r="I46" i="3" s="1"/>
  <c r="J46" i="3" s="1"/>
  <c r="K46" i="3" s="1"/>
  <c r="L46" i="3" s="1"/>
  <c r="M46" i="3" s="1"/>
  <c r="N46" i="3" s="1"/>
  <c r="O46" i="3" s="1"/>
  <c r="D48" i="5"/>
  <c r="E48" i="5" s="1"/>
  <c r="F48" i="5" s="1"/>
  <c r="G48" i="5" s="1"/>
  <c r="H48" i="5" s="1"/>
  <c r="I48" i="5" s="1"/>
  <c r="J48" i="5" s="1"/>
  <c r="K48" i="5" s="1"/>
  <c r="L48" i="5" s="1"/>
  <c r="M48" i="5" s="1"/>
  <c r="N48" i="5" s="1"/>
  <c r="O48" i="5" s="1"/>
  <c r="P47" i="5"/>
  <c r="D46" i="7"/>
  <c r="E46" i="7" s="1"/>
  <c r="F46" i="7" s="1"/>
  <c r="G46" i="7" s="1"/>
  <c r="H46" i="7" s="1"/>
  <c r="I46" i="7" s="1"/>
  <c r="J46" i="7" s="1"/>
  <c r="K46" i="7" s="1"/>
  <c r="L46" i="7" s="1"/>
  <c r="M46" i="7" s="1"/>
  <c r="N46" i="7" s="1"/>
  <c r="O46" i="7" s="1"/>
  <c r="D46" i="4"/>
  <c r="E46" i="4" s="1"/>
  <c r="F46" i="4" s="1"/>
  <c r="G46" i="4" s="1"/>
  <c r="H46" i="4" s="1"/>
  <c r="I46" i="4" s="1"/>
  <c r="J46" i="4" s="1"/>
  <c r="K46" i="4" s="1"/>
  <c r="L46" i="4" s="1"/>
  <c r="M46" i="4" s="1"/>
  <c r="N46" i="4" s="1"/>
  <c r="O46" i="4" s="1"/>
  <c r="I39" i="2" l="1"/>
  <c r="J27" i="2"/>
  <c r="G40" i="2"/>
  <c r="H28" i="2"/>
  <c r="P25" i="2"/>
  <c r="J29" i="2"/>
  <c r="J41" i="2" s="1"/>
  <c r="K46" i="2"/>
  <c r="L26" i="2"/>
  <c r="L38" i="2" s="1"/>
  <c r="D47" i="7"/>
  <c r="E47" i="7" s="1"/>
  <c r="F47" i="7" s="1"/>
  <c r="G47" i="7" s="1"/>
  <c r="H47" i="7" s="1"/>
  <c r="I47" i="7" s="1"/>
  <c r="J47" i="7" s="1"/>
  <c r="K47" i="7" s="1"/>
  <c r="L47" i="7" s="1"/>
  <c r="M47" i="7" s="1"/>
  <c r="N47" i="7" s="1"/>
  <c r="O47" i="7" s="1"/>
  <c r="P46" i="7"/>
  <c r="P48" i="5"/>
  <c r="D49" i="5"/>
  <c r="E49" i="5" s="1"/>
  <c r="F49" i="5" s="1"/>
  <c r="G49" i="5" s="1"/>
  <c r="H49" i="5" s="1"/>
  <c r="I49" i="5" s="1"/>
  <c r="J49" i="5" s="1"/>
  <c r="K49" i="5" s="1"/>
  <c r="L49" i="5" s="1"/>
  <c r="M49" i="5" s="1"/>
  <c r="N49" i="5" s="1"/>
  <c r="O49" i="5" s="1"/>
  <c r="P49" i="5" s="1"/>
  <c r="P47" i="6"/>
  <c r="D48" i="6"/>
  <c r="E48" i="6" s="1"/>
  <c r="F48" i="6" s="1"/>
  <c r="G48" i="6" s="1"/>
  <c r="H48" i="6" s="1"/>
  <c r="I48" i="6" s="1"/>
  <c r="J48" i="6" s="1"/>
  <c r="K48" i="6" s="1"/>
  <c r="L48" i="6" s="1"/>
  <c r="M48" i="6" s="1"/>
  <c r="N48" i="6" s="1"/>
  <c r="O48" i="6" s="1"/>
  <c r="P46" i="3"/>
  <c r="D47" i="3"/>
  <c r="E47" i="3" s="1"/>
  <c r="F47" i="3" s="1"/>
  <c r="G47" i="3" s="1"/>
  <c r="H47" i="3" s="1"/>
  <c r="I47" i="3" s="1"/>
  <c r="J47" i="3" s="1"/>
  <c r="K47" i="3" s="1"/>
  <c r="L47" i="3" s="1"/>
  <c r="M47" i="3" s="1"/>
  <c r="N47" i="3" s="1"/>
  <c r="O47" i="3" s="1"/>
  <c r="D47" i="9"/>
  <c r="E47" i="9" s="1"/>
  <c r="F47" i="9" s="1"/>
  <c r="G47" i="9" s="1"/>
  <c r="H47" i="9" s="1"/>
  <c r="I47" i="9" s="1"/>
  <c r="J47" i="9" s="1"/>
  <c r="K47" i="9" s="1"/>
  <c r="L47" i="9" s="1"/>
  <c r="M47" i="9" s="1"/>
  <c r="N47" i="9" s="1"/>
  <c r="O47" i="9" s="1"/>
  <c r="P46" i="9"/>
  <c r="D47" i="4"/>
  <c r="E47" i="4" s="1"/>
  <c r="F47" i="4" s="1"/>
  <c r="G47" i="4" s="1"/>
  <c r="H47" i="4" s="1"/>
  <c r="I47" i="4" s="1"/>
  <c r="J47" i="4" s="1"/>
  <c r="K47" i="4" s="1"/>
  <c r="L47" i="4" s="1"/>
  <c r="M47" i="4" s="1"/>
  <c r="N47" i="4" s="1"/>
  <c r="O47" i="4" s="1"/>
  <c r="P46" i="4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6" i="8"/>
  <c r="H40" i="2" l="1"/>
  <c r="I28" i="2"/>
  <c r="J39" i="2"/>
  <c r="K27" i="2"/>
  <c r="K29" i="2"/>
  <c r="K41" i="2" s="1"/>
  <c r="L46" i="2"/>
  <c r="M26" i="2"/>
  <c r="M38" i="2" s="1"/>
  <c r="D49" i="6"/>
  <c r="E49" i="6" s="1"/>
  <c r="F49" i="6" s="1"/>
  <c r="G49" i="6" s="1"/>
  <c r="H49" i="6" s="1"/>
  <c r="I49" i="6" s="1"/>
  <c r="J49" i="6" s="1"/>
  <c r="K49" i="6" s="1"/>
  <c r="L49" i="6" s="1"/>
  <c r="M49" i="6" s="1"/>
  <c r="N49" i="6" s="1"/>
  <c r="O49" i="6" s="1"/>
  <c r="P49" i="6" s="1"/>
  <c r="P48" i="6"/>
  <c r="D48" i="9"/>
  <c r="E48" i="9" s="1"/>
  <c r="F48" i="9" s="1"/>
  <c r="G48" i="9" s="1"/>
  <c r="H48" i="9" s="1"/>
  <c r="I48" i="9" s="1"/>
  <c r="J48" i="9" s="1"/>
  <c r="K48" i="9" s="1"/>
  <c r="L48" i="9" s="1"/>
  <c r="M48" i="9" s="1"/>
  <c r="N48" i="9" s="1"/>
  <c r="O48" i="9" s="1"/>
  <c r="P47" i="9"/>
  <c r="P47" i="8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7" i="3"/>
  <c r="D48" i="3"/>
  <c r="E48" i="3" s="1"/>
  <c r="F48" i="3" s="1"/>
  <c r="G48" i="3" s="1"/>
  <c r="H48" i="3" s="1"/>
  <c r="I48" i="3" s="1"/>
  <c r="J48" i="3" s="1"/>
  <c r="K48" i="3" s="1"/>
  <c r="L48" i="3" s="1"/>
  <c r="M48" i="3" s="1"/>
  <c r="N48" i="3" s="1"/>
  <c r="O48" i="3" s="1"/>
  <c r="D48" i="4"/>
  <c r="E48" i="4" s="1"/>
  <c r="F48" i="4" s="1"/>
  <c r="G48" i="4" s="1"/>
  <c r="H48" i="4" s="1"/>
  <c r="I48" i="4" s="1"/>
  <c r="J48" i="4" s="1"/>
  <c r="K48" i="4" s="1"/>
  <c r="L48" i="4" s="1"/>
  <c r="M48" i="4" s="1"/>
  <c r="N48" i="4" s="1"/>
  <c r="O48" i="4" s="1"/>
  <c r="P47" i="4"/>
  <c r="P47" i="7"/>
  <c r="D48" i="7"/>
  <c r="E48" i="7" s="1"/>
  <c r="F48" i="7" s="1"/>
  <c r="G48" i="7" s="1"/>
  <c r="H48" i="7" s="1"/>
  <c r="I48" i="7" s="1"/>
  <c r="J48" i="7" s="1"/>
  <c r="K48" i="7" s="1"/>
  <c r="L48" i="7" s="1"/>
  <c r="M48" i="7" s="1"/>
  <c r="N48" i="7" s="1"/>
  <c r="O48" i="7" s="1"/>
  <c r="K39" i="2" l="1"/>
  <c r="L27" i="2"/>
  <c r="I40" i="2"/>
  <c r="J28" i="2"/>
  <c r="L29" i="2"/>
  <c r="L41" i="2" s="1"/>
  <c r="M46" i="2"/>
  <c r="N26" i="2"/>
  <c r="N38" i="2" s="1"/>
  <c r="D49" i="3"/>
  <c r="E49" i="3" s="1"/>
  <c r="F49" i="3" s="1"/>
  <c r="G49" i="3" s="1"/>
  <c r="H49" i="3" s="1"/>
  <c r="I49" i="3" s="1"/>
  <c r="J49" i="3" s="1"/>
  <c r="K49" i="3" s="1"/>
  <c r="L49" i="3" s="1"/>
  <c r="M49" i="3" s="1"/>
  <c r="N49" i="3" s="1"/>
  <c r="O49" i="3" s="1"/>
  <c r="P49" i="3" s="1"/>
  <c r="P48" i="3"/>
  <c r="D49" i="9"/>
  <c r="E49" i="9" s="1"/>
  <c r="F49" i="9" s="1"/>
  <c r="G49" i="9" s="1"/>
  <c r="H49" i="9" s="1"/>
  <c r="I49" i="9" s="1"/>
  <c r="J49" i="9" s="1"/>
  <c r="K49" i="9" s="1"/>
  <c r="L49" i="9" s="1"/>
  <c r="M49" i="9" s="1"/>
  <c r="N49" i="9" s="1"/>
  <c r="O49" i="9" s="1"/>
  <c r="P49" i="9" s="1"/>
  <c r="P48" i="9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P48" i="8"/>
  <c r="D49" i="7"/>
  <c r="E49" i="7" s="1"/>
  <c r="F49" i="7" s="1"/>
  <c r="G49" i="7" s="1"/>
  <c r="H49" i="7" s="1"/>
  <c r="I49" i="7" s="1"/>
  <c r="J49" i="7" s="1"/>
  <c r="K49" i="7" s="1"/>
  <c r="L49" i="7" s="1"/>
  <c r="M49" i="7" s="1"/>
  <c r="N49" i="7" s="1"/>
  <c r="O49" i="7" s="1"/>
  <c r="P49" i="7" s="1"/>
  <c r="P48" i="7"/>
  <c r="P48" i="4"/>
  <c r="D49" i="4"/>
  <c r="E49" i="4" s="1"/>
  <c r="F49" i="4" s="1"/>
  <c r="G49" i="4" s="1"/>
  <c r="H49" i="4" s="1"/>
  <c r="I49" i="4" s="1"/>
  <c r="J49" i="4" s="1"/>
  <c r="K49" i="4" s="1"/>
  <c r="L49" i="4" s="1"/>
  <c r="M49" i="4" s="1"/>
  <c r="N49" i="4" s="1"/>
  <c r="O49" i="4" s="1"/>
  <c r="P49" i="4" s="1"/>
  <c r="J40" i="2" l="1"/>
  <c r="K28" i="2"/>
  <c r="L39" i="2"/>
  <c r="M27" i="2"/>
  <c r="M29" i="2"/>
  <c r="M41" i="2" s="1"/>
  <c r="N46" i="2"/>
  <c r="O26" i="2"/>
  <c r="O38" i="2" s="1"/>
  <c r="M39" i="2" l="1"/>
  <c r="N27" i="2"/>
  <c r="K40" i="2"/>
  <c r="L28" i="2"/>
  <c r="N29" i="2"/>
  <c r="N41" i="2" s="1"/>
  <c r="P38" i="2"/>
  <c r="W26" i="2" s="1"/>
  <c r="P26" i="2"/>
  <c r="W13" i="2" s="1"/>
  <c r="O46" i="2"/>
  <c r="W17" i="2" l="1"/>
  <c r="L40" i="2"/>
  <c r="M28" i="2"/>
  <c r="N39" i="2"/>
  <c r="O27" i="2"/>
  <c r="O29" i="2"/>
  <c r="O41" i="2" s="1"/>
  <c r="P46" i="2"/>
  <c r="D47" i="2"/>
  <c r="E47" i="2" s="1"/>
  <c r="F47" i="2" s="1"/>
  <c r="G47" i="2" s="1"/>
  <c r="H47" i="2" s="1"/>
  <c r="I47" i="2" s="1"/>
  <c r="J47" i="2" s="1"/>
  <c r="K47" i="2" s="1"/>
  <c r="L47" i="2" s="1"/>
  <c r="M47" i="2" s="1"/>
  <c r="N47" i="2" s="1"/>
  <c r="M40" i="2" l="1"/>
  <c r="N28" i="2"/>
  <c r="O39" i="2"/>
  <c r="O47" i="2" s="1"/>
  <c r="P27" i="2"/>
  <c r="X13" i="2" s="1"/>
  <c r="W19" i="2"/>
  <c r="W21" i="2"/>
  <c r="W20" i="2"/>
  <c r="P41" i="2"/>
  <c r="P29" i="2"/>
  <c r="D48" i="2" l="1"/>
  <c r="E48" i="2" s="1"/>
  <c r="F48" i="2" s="1"/>
  <c r="G48" i="2" s="1"/>
  <c r="H48" i="2" s="1"/>
  <c r="I48" i="2" s="1"/>
  <c r="J48" i="2" s="1"/>
  <c r="K48" i="2" s="1"/>
  <c r="L48" i="2" s="1"/>
  <c r="M48" i="2" s="1"/>
  <c r="P47" i="2"/>
  <c r="X8" i="2"/>
  <c r="X11" i="2" s="1"/>
  <c r="P39" i="2"/>
  <c r="N40" i="2"/>
  <c r="O28" i="2"/>
  <c r="X17" i="2" l="1"/>
  <c r="X26" i="2"/>
  <c r="O40" i="2"/>
  <c r="P40" i="2" s="1"/>
  <c r="P28" i="2"/>
  <c r="X19" i="2"/>
  <c r="N48" i="2"/>
  <c r="O48" i="2" l="1"/>
  <c r="D49" i="2" s="1"/>
  <c r="E49" i="2" s="1"/>
  <c r="F49" i="2" s="1"/>
  <c r="G49" i="2" s="1"/>
  <c r="H49" i="2" s="1"/>
  <c r="I49" i="2" s="1"/>
  <c r="J49" i="2" s="1"/>
  <c r="K49" i="2" s="1"/>
  <c r="L49" i="2" s="1"/>
  <c r="M49" i="2" s="1"/>
  <c r="N49" i="2" s="1"/>
  <c r="O49" i="2" s="1"/>
  <c r="P49" i="2" s="1"/>
  <c r="X21" i="2"/>
  <c r="X20" i="2"/>
  <c r="P48" i="2" l="1"/>
</calcChain>
</file>

<file path=xl/sharedStrings.xml><?xml version="1.0" encoding="utf-8"?>
<sst xmlns="http://schemas.openxmlformats.org/spreadsheetml/2006/main" count="1343" uniqueCount="64">
  <si>
    <t>Commodity</t>
  </si>
  <si>
    <t>Metric</t>
  </si>
  <si>
    <t>Crop Year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</si>
  <si>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</si>
  <si>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</si>
  <si>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</si>
  <si>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</si>
  <si>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</si>
  <si>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</si>
  <si>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</si>
  <si>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</si>
  <si>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</si>
  <si>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</si>
  <si>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</si>
  <si>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</si>
  <si>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AUG/JUL</t>
  </si>
  <si>
    <t>Wheat, excluding durum</t>
  </si>
  <si>
    <t>Planted Area</t>
  </si>
  <si>
    <t>Harvested Area</t>
  </si>
  <si>
    <t>Yield</t>
  </si>
  <si>
    <t>Production</t>
  </si>
  <si>
    <t>Exports</t>
  </si>
  <si>
    <t>Imports</t>
  </si>
  <si>
    <t>Food</t>
  </si>
  <si>
    <t>Industrial</t>
  </si>
  <si>
    <t>Seed</t>
  </si>
  <si>
    <t>Food &amp; Processing</t>
  </si>
  <si>
    <t>FSR</t>
  </si>
  <si>
    <t>STOCKS</t>
  </si>
  <si>
    <t>Durum wheat</t>
  </si>
  <si>
    <t>Canola</t>
  </si>
  <si>
    <t>Crush</t>
  </si>
  <si>
    <t>Barley</t>
  </si>
  <si>
    <t>Oats</t>
  </si>
  <si>
    <t>SEP/AUG</t>
  </si>
  <si>
    <t>Soybeans</t>
  </si>
  <si>
    <t>Dry peas</t>
  </si>
  <si>
    <t>Lentils</t>
  </si>
  <si>
    <t>25-26</t>
  </si>
  <si>
    <t>26-27</t>
  </si>
  <si>
    <t>27-28</t>
  </si>
  <si>
    <t>28-29</t>
  </si>
  <si>
    <t>CIMT or CANSIM</t>
  </si>
  <si>
    <t>CGC</t>
  </si>
  <si>
    <t>Forecast</t>
  </si>
  <si>
    <t>Calculated</t>
  </si>
  <si>
    <t>Unit</t>
  </si>
  <si>
    <t>Wheat Ex-Durum</t>
  </si>
  <si>
    <t>MLN AC</t>
  </si>
  <si>
    <t>Proportion Harvested</t>
  </si>
  <si>
    <t>%</t>
  </si>
  <si>
    <t>BU/AC</t>
  </si>
  <si>
    <t>Beginning Stocks</t>
  </si>
  <si>
    <t>KMT</t>
  </si>
  <si>
    <t>Total Supply</t>
  </si>
  <si>
    <t>Total Disposition</t>
  </si>
  <si>
    <t>Ending Stocks</t>
  </si>
  <si>
    <t>Stocks-to-Use</t>
  </si>
  <si>
    <t>STU Days</t>
  </si>
  <si>
    <t>Days</t>
  </si>
  <si>
    <t>CHECK</t>
  </si>
  <si>
    <t>Ratio_Exp/Prod</t>
  </si>
  <si>
    <t>Ratio_FS/Prod</t>
  </si>
  <si>
    <t>Ratio_FSR/Prod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</si>
</sst>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"/>
    <numFmt numFmtId="166" formatCode="0.0%"/>
  </numFmts>
  <fonts count="1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sz val="10"/>
      <color rgb="FFFF0000"/>
      <name val="Calibri"/>
      <family val="2"/>
    </font>
    <font>
      <sz val="10"/>
      <color rgb="FF0070C0"/>
      <name val="Calibri"/>
      <family val="2"/>
    </font>
    <font>
      <sz val="10"/>
      <name val="Calibri"/>
      <family val="2"/>
    </font>
    <font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indexed="64"/>
      </patternFill>
    </fill>
    <fill>
      <patternFill patternType="solid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ck">
        <color rgb="FF000000"/>
      </top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right" vertical="center"/>
    </xf>
    <xf numFmtId="0" fontId="8" fillId="4" borderId="0" xfId="0" applyFont="1" applyFill="1"/>
    <xf numFmtId="3" fontId="5" fillId="0" borderId="1" xfId="0" applyNumberFormat="1" applyFont="1" applyBorder="1" applyAlignment="1">
      <alignment horizontal="right" vertical="center"/>
    </xf>
    <xf numFmtId="0" fontId="1" fillId="0" borderId="0" xfId="0" applyFont="1"/>
    <xf numFmtId="0" fontId="9" fillId="0" borderId="0" xfId="0" applyFont="1"/>
    <xf numFmtId="0" fontId="7" fillId="0" borderId="1" xfId="0" applyFont="1" applyBorder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11" fillId="0" borderId="2" xfId="0" applyNumberFormat="1" applyFont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0" fontId="10" fillId="6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4" fillId="0" borderId="0" xfId="0" applyFont="1"/>
    <xf numFmtId="164" fontId="7" fillId="0" borderId="1" xfId="0" applyNumberFormat="1" applyFont="1" applyBorder="1" applyAlignment="1">
      <alignment horizontal="right" vertical="center"/>
    </xf>
    <xf numFmtId="164" fontId="11" fillId="3" borderId="1" xfId="0" applyNumberFormat="1" applyFont="1" applyFill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11" fillId="3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3" fontId="11" fillId="3" borderId="1" xfId="0" applyNumberFormat="1" applyFont="1" applyFill="1" applyBorder="1" applyAlignment="1">
      <alignment horizontal="right" vertical="center"/>
    </xf>
    <xf numFmtId="166" fontId="14" fillId="0" borderId="0" xfId="1" applyNumberFormat="1" applyFont="1"/>
    <xf numFmtId="9" fontId="14" fillId="0" borderId="0" xfId="1" applyFont="1"/>
  </cellXfs>
  <cellStyles count="2">
    <cellStyle name="Normal" xfId="0" builtinId="0"/>
    <cellStyle name="Percent" xfId="1" builtinId="5"/>
  </cellStyles>
  <dxfs count="1"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70FC-ACFC-4730-932F-327702353D10}">
  <dimension ref="A1:X49"/>
  <sheetViews>
    <sheetView tabSelected="1" workbookViewId="0">
      <pane xSplit="3" ySplit="1" topLeftCell="D2" activePane="bottomRight" state="frozen"/>
      <selection activeCell="S35" sqref="S35"/>
      <selection pane="topRight" activeCell="S35" sqref="S35"/>
      <selection pane="bottomLeft" activeCell="S35" sqref="S35"/>
      <selection pane="bottomRight" activeCell="V6" sqref="V6"/>
    </sheetView>
  </sheetViews>
  <sheetFormatPr defaultRowHeight="13.8" x14ac:dyDescent="0.3"/>
  <cols>
    <col min="1" max="2" width="20" style="34" customWidth="1"/>
    <col min="3" max="16" width="7" style="34" customWidth="1"/>
    <col min="17" max="18" width="3" style="34" customWidth="1"/>
    <col min="19" max="19" width="8.88671875" style="34"/>
    <col min="20" max="21" width="20.6640625" style="34" customWidth="1"/>
    <col min="22" max="22" width="7.33203125" style="34" customWidth="1"/>
    <col min="23" max="23" width="8.88671875" style="34"/>
    <col min="24" max="24" width="10" style="34" bestFit="1" customWidth="1"/>
    <col min="25" max="16384" width="8.88671875" style="34"/>
  </cols>
  <sheetData>
    <row r="1" spans="1:24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</row>
    <row r="2" spans="1:24" x14ac:dyDescent="0.3">
      <c r="A2" s="18" t="s">
        <v>16</v>
      </c>
      <c r="B2" s="18" t="s">
        <v>17</v>
      </c>
      <c r="C2" s="9" t="s">
        <v>38</v>
      </c>
      <c r="D2" s="10">
        <v>20.500399999999999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>
        <f t="shared" ref="P2:P9" si="0">D2</f>
        <v>20.500399999999999</v>
      </c>
      <c r="T2" s="19" t="s">
        <v>0</v>
      </c>
      <c r="U2" s="19" t="s">
        <v>1</v>
      </c>
      <c r="V2" s="19" t="s">
        <v>46</v>
      </c>
      <c r="W2" s="19" t="s">
        <v>38</v>
      </c>
      <c r="X2" s="32" t="s">
        <v>39</v>
      </c>
    </row>
    <row r="3" spans="1:24" x14ac:dyDescent="0.3">
      <c r="A3" s="18" t="s">
        <v>16</v>
      </c>
      <c r="B3" s="18" t="s">
        <v>17</v>
      </c>
      <c r="C3" s="9" t="s">
        <v>39</v>
      </c>
      <c r="D3" s="10">
        <v>19.645600000000002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>
        <f t="shared" si="0"/>
        <v>19.645600000000002</v>
      </c>
      <c r="T3" s="20" t="s">
        <v>47</v>
      </c>
      <c r="U3" s="20" t="s">
        <v>17</v>
      </c>
      <c r="V3" s="21" t="s">
        <v>48</v>
      </c>
      <c r="W3" s="26">
        <f>P2</f>
        <v>20.500399999999999</v>
      </c>
      <c r="X3" s="26">
        <f>P3</f>
        <v>19.645600000000002</v>
      </c>
    </row>
    <row r="4" spans="1:24" x14ac:dyDescent="0.3">
      <c r="A4" s="18" t="s">
        <v>16</v>
      </c>
      <c r="B4" s="18" t="s">
        <v>17</v>
      </c>
      <c r="C4" s="9" t="s">
        <v>40</v>
      </c>
      <c r="D4" s="35">
        <f>D3</f>
        <v>19.645600000000002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6">
        <f t="shared" si="0"/>
        <v>19.645600000000002</v>
      </c>
      <c r="T4" s="20" t="s">
        <v>47</v>
      </c>
      <c r="U4" s="20" t="s">
        <v>18</v>
      </c>
      <c r="V4" s="21" t="s">
        <v>48</v>
      </c>
      <c r="W4" s="26">
        <f>P6</f>
        <v>19.823699999999999</v>
      </c>
      <c r="X4" s="26">
        <f>P7</f>
        <v>19.252688000000003</v>
      </c>
    </row>
    <row r="5" spans="1:24" x14ac:dyDescent="0.3">
      <c r="A5" s="18" t="s">
        <v>16</v>
      </c>
      <c r="B5" s="18" t="s">
        <v>17</v>
      </c>
      <c r="C5" s="9" t="s">
        <v>41</v>
      </c>
      <c r="D5" s="35">
        <f>D4</f>
        <v>19.645600000000002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>
        <f t="shared" si="0"/>
        <v>19.645600000000002</v>
      </c>
      <c r="T5" s="20" t="s">
        <v>47</v>
      </c>
      <c r="U5" s="20" t="s">
        <v>49</v>
      </c>
      <c r="V5" s="21" t="s">
        <v>50</v>
      </c>
      <c r="W5" s="27">
        <f t="shared" ref="W5:X5" si="1">IF(W3&lt;&gt;0,W4/W3,"")</f>
        <v>0.96699088798267352</v>
      </c>
      <c r="X5" s="27">
        <f t="shared" si="1"/>
        <v>0.98000000000000009</v>
      </c>
    </row>
    <row r="6" spans="1:24" x14ac:dyDescent="0.3">
      <c r="A6" s="18" t="s">
        <v>16</v>
      </c>
      <c r="B6" s="18" t="s">
        <v>18</v>
      </c>
      <c r="C6" s="9" t="s">
        <v>38</v>
      </c>
      <c r="D6" s="10">
        <v>19.823699999999999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>
        <f t="shared" si="0"/>
        <v>19.823699999999999</v>
      </c>
      <c r="T6" s="20" t="s">
        <v>47</v>
      </c>
      <c r="U6" s="20" t="s">
        <v>19</v>
      </c>
      <c r="V6" s="21" t="s">
        <v>51</v>
      </c>
      <c r="W6" s="28">
        <f>D10</f>
        <v>62</v>
      </c>
      <c r="X6" s="28">
        <f>D11</f>
        <v>65</v>
      </c>
    </row>
    <row r="7" spans="1:24" x14ac:dyDescent="0.3">
      <c r="A7" s="18" t="s">
        <v>16</v>
      </c>
      <c r="B7" s="18" t="s">
        <v>18</v>
      </c>
      <c r="C7" s="9" t="s">
        <v>39</v>
      </c>
      <c r="D7" s="10">
        <f>0.98*D3</f>
        <v>19.252688000000003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>
        <f t="shared" si="0"/>
        <v>19.252688000000003</v>
      </c>
    </row>
    <row r="8" spans="1:24" x14ac:dyDescent="0.3">
      <c r="A8" s="18" t="s">
        <v>16</v>
      </c>
      <c r="B8" s="18" t="s">
        <v>18</v>
      </c>
      <c r="C8" s="9" t="s">
        <v>40</v>
      </c>
      <c r="D8" s="35">
        <f>0.98*D4</f>
        <v>19.252688000000003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6">
        <f t="shared" si="0"/>
        <v>19.252688000000003</v>
      </c>
      <c r="T8" s="20" t="s">
        <v>47</v>
      </c>
      <c r="U8" s="20" t="s">
        <v>52</v>
      </c>
      <c r="V8" s="21" t="s">
        <v>53</v>
      </c>
      <c r="W8" s="29">
        <v>3728</v>
      </c>
      <c r="X8" s="29">
        <f>W19</f>
        <v>3012.7904539307492</v>
      </c>
    </row>
    <row r="9" spans="1:24" x14ac:dyDescent="0.3">
      <c r="A9" s="18" t="s">
        <v>16</v>
      </c>
      <c r="B9" s="18" t="s">
        <v>18</v>
      </c>
      <c r="C9" s="9" t="s">
        <v>41</v>
      </c>
      <c r="D9" s="35">
        <f>0.98*D5</f>
        <v>19.252688000000003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>
        <f t="shared" si="0"/>
        <v>19.252688000000003</v>
      </c>
      <c r="T9" s="20" t="s">
        <v>47</v>
      </c>
      <c r="U9" s="20" t="s">
        <v>22</v>
      </c>
      <c r="V9" s="21" t="s">
        <v>53</v>
      </c>
      <c r="W9" s="29">
        <f>P22</f>
        <v>165</v>
      </c>
      <c r="X9" s="29">
        <f>P23</f>
        <v>181.50000000000003</v>
      </c>
    </row>
    <row r="10" spans="1:24" ht="14.4" thickBot="1" x14ac:dyDescent="0.35">
      <c r="A10" s="18" t="s">
        <v>16</v>
      </c>
      <c r="B10" s="18" t="s">
        <v>19</v>
      </c>
      <c r="C10" s="9" t="s">
        <v>38</v>
      </c>
      <c r="D10" s="11">
        <v>62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8">
        <f t="shared" ref="P10:P17" si="2">D10</f>
        <v>62</v>
      </c>
      <c r="T10" s="20" t="s">
        <v>47</v>
      </c>
      <c r="U10" s="20" t="s">
        <v>20</v>
      </c>
      <c r="V10" s="21" t="s">
        <v>53</v>
      </c>
      <c r="W10" s="29">
        <f>P14</f>
        <v>33449.790453930749</v>
      </c>
      <c r="X10" s="29">
        <f>P15</f>
        <v>34058.202614814894</v>
      </c>
    </row>
    <row r="11" spans="1:24" ht="14.4" thickTop="1" x14ac:dyDescent="0.3">
      <c r="A11" s="18" t="s">
        <v>16</v>
      </c>
      <c r="B11" s="18" t="s">
        <v>19</v>
      </c>
      <c r="C11" s="9" t="s">
        <v>39</v>
      </c>
      <c r="D11" s="11">
        <v>65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8">
        <f t="shared" si="2"/>
        <v>65</v>
      </c>
      <c r="T11" s="22" t="s">
        <v>47</v>
      </c>
      <c r="U11" s="22" t="s">
        <v>54</v>
      </c>
      <c r="V11" s="23" t="s">
        <v>53</v>
      </c>
      <c r="W11" s="30">
        <f t="shared" ref="W11:X11" si="3">W8+W9+W10</f>
        <v>37342.790453930749</v>
      </c>
      <c r="X11" s="30">
        <f t="shared" si="3"/>
        <v>37252.493068745644</v>
      </c>
    </row>
    <row r="12" spans="1:24" x14ac:dyDescent="0.3">
      <c r="A12" s="18" t="s">
        <v>16</v>
      </c>
      <c r="B12" s="18" t="s">
        <v>19</v>
      </c>
      <c r="C12" s="9" t="s">
        <v>40</v>
      </c>
      <c r="D12" s="37">
        <v>62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8">
        <f t="shared" si="2"/>
        <v>62</v>
      </c>
    </row>
    <row r="13" spans="1:24" x14ac:dyDescent="0.3">
      <c r="A13" s="18" t="s">
        <v>16</v>
      </c>
      <c r="B13" s="18" t="s">
        <v>19</v>
      </c>
      <c r="C13" s="9" t="s">
        <v>41</v>
      </c>
      <c r="D13" s="37">
        <v>62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8">
        <f t="shared" si="2"/>
        <v>62</v>
      </c>
      <c r="T13" s="20" t="s">
        <v>47</v>
      </c>
      <c r="U13" s="20" t="s">
        <v>23</v>
      </c>
      <c r="V13" s="21" t="s">
        <v>53</v>
      </c>
      <c r="W13" s="29">
        <f>P26</f>
        <v>2880</v>
      </c>
      <c r="X13" s="29">
        <f>P27</f>
        <v>2966.3999999999996</v>
      </c>
    </row>
    <row r="14" spans="1:24" x14ac:dyDescent="0.3">
      <c r="A14" s="18" t="s">
        <v>16</v>
      </c>
      <c r="B14" s="18" t="s">
        <v>20</v>
      </c>
      <c r="C14" s="9" t="s">
        <v>38</v>
      </c>
      <c r="D14" s="12">
        <f>D10*D6*1000/36.74371</f>
        <v>33449.790453930749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40">
        <f t="shared" si="2"/>
        <v>33449.790453930749</v>
      </c>
      <c r="T14" s="20" t="s">
        <v>47</v>
      </c>
      <c r="U14" s="20" t="s">
        <v>24</v>
      </c>
      <c r="V14" s="21" t="s">
        <v>53</v>
      </c>
      <c r="W14" s="29">
        <f>P30</f>
        <v>540</v>
      </c>
      <c r="X14" s="29">
        <f>P31</f>
        <v>539.45999999999992</v>
      </c>
    </row>
    <row r="15" spans="1:24" x14ac:dyDescent="0.3">
      <c r="A15" s="18" t="s">
        <v>16</v>
      </c>
      <c r="B15" s="18" t="s">
        <v>20</v>
      </c>
      <c r="C15" s="9" t="s">
        <v>39</v>
      </c>
      <c r="D15" s="12">
        <f>D11*D7*1000/36.74371</f>
        <v>34058.202614814894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40">
        <f t="shared" si="2"/>
        <v>34058.202614814894</v>
      </c>
      <c r="T15" s="20" t="s">
        <v>47</v>
      </c>
      <c r="U15" s="20" t="s">
        <v>27</v>
      </c>
      <c r="V15" s="21" t="s">
        <v>53</v>
      </c>
      <c r="W15" s="29">
        <f>P42</f>
        <v>5736</v>
      </c>
      <c r="X15" s="29">
        <f>P43</f>
        <v>5760</v>
      </c>
    </row>
    <row r="16" spans="1:24" ht="14.4" thickBot="1" x14ac:dyDescent="0.35">
      <c r="A16" s="18" t="s">
        <v>16</v>
      </c>
      <c r="B16" s="18" t="s">
        <v>20</v>
      </c>
      <c r="C16" s="9" t="s">
        <v>40</v>
      </c>
      <c r="D16" s="39">
        <f t="shared" ref="D16:D17" si="4">D12*D8*1000/36.74371</f>
        <v>32486.285571054206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>
        <f t="shared" si="2"/>
        <v>32486.285571054206</v>
      </c>
      <c r="T16" s="20" t="s">
        <v>47</v>
      </c>
      <c r="U16" s="20" t="s">
        <v>21</v>
      </c>
      <c r="V16" s="21" t="s">
        <v>53</v>
      </c>
      <c r="W16" s="29">
        <f>P19</f>
        <v>25174</v>
      </c>
      <c r="X16" s="29">
        <f>P20</f>
        <v>24000</v>
      </c>
    </row>
    <row r="17" spans="1:24" ht="14.4" thickTop="1" x14ac:dyDescent="0.3">
      <c r="A17" s="18" t="s">
        <v>16</v>
      </c>
      <c r="B17" s="18" t="s">
        <v>20</v>
      </c>
      <c r="C17" s="9" t="s">
        <v>41</v>
      </c>
      <c r="D17" s="39">
        <f t="shared" si="4"/>
        <v>32486.285571054206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>
        <f t="shared" si="2"/>
        <v>32486.285571054206</v>
      </c>
      <c r="T17" s="22" t="s">
        <v>47</v>
      </c>
      <c r="U17" s="22" t="s">
        <v>55</v>
      </c>
      <c r="V17" s="23" t="s">
        <v>53</v>
      </c>
      <c r="W17" s="30">
        <f t="shared" ref="W17:X17" si="5">W13+W14+W15+W16</f>
        <v>34330</v>
      </c>
      <c r="X17" s="30">
        <f t="shared" si="5"/>
        <v>33265.86</v>
      </c>
    </row>
    <row r="18" spans="1:24" x14ac:dyDescent="0.3">
      <c r="A18" s="18" t="s">
        <v>16</v>
      </c>
      <c r="B18" s="18" t="s">
        <v>21</v>
      </c>
      <c r="C18" s="9" t="s">
        <v>38</v>
      </c>
      <c r="D18" s="12">
        <v>1253</v>
      </c>
      <c r="E18" s="12">
        <v>1913</v>
      </c>
      <c r="F18" s="12">
        <v>2393</v>
      </c>
      <c r="G18" s="12">
        <v>2179</v>
      </c>
      <c r="H18" s="12">
        <v>2243</v>
      </c>
      <c r="I18" s="12">
        <v>1645</v>
      </c>
      <c r="J18" s="12">
        <v>1527</v>
      </c>
      <c r="K18" s="12">
        <v>1527</v>
      </c>
      <c r="L18" s="12">
        <v>2377</v>
      </c>
      <c r="M18" s="12">
        <v>2322</v>
      </c>
      <c r="N18" s="12">
        <v>2025</v>
      </c>
      <c r="O18" s="12">
        <v>2224</v>
      </c>
      <c r="P18" s="40">
        <f t="shared" ref="P18:P25" si="6">SUM(D18:O18)</f>
        <v>23628</v>
      </c>
    </row>
    <row r="19" spans="1:24" x14ac:dyDescent="0.3">
      <c r="A19" s="18" t="s">
        <v>16</v>
      </c>
      <c r="B19" s="18" t="s">
        <v>21</v>
      </c>
      <c r="C19" s="9" t="s">
        <v>39</v>
      </c>
      <c r="D19" s="13">
        <v>2074</v>
      </c>
      <c r="E19" s="15">
        <v>2100</v>
      </c>
      <c r="F19" s="15">
        <f>E19</f>
        <v>2100</v>
      </c>
      <c r="G19" s="15">
        <f t="shared" ref="G19:O19" si="7">F19</f>
        <v>2100</v>
      </c>
      <c r="H19" s="15">
        <f t="shared" si="7"/>
        <v>2100</v>
      </c>
      <c r="I19" s="15">
        <f t="shared" si="7"/>
        <v>2100</v>
      </c>
      <c r="J19" s="15">
        <f t="shared" si="7"/>
        <v>2100</v>
      </c>
      <c r="K19" s="15">
        <f t="shared" si="7"/>
        <v>2100</v>
      </c>
      <c r="L19" s="15">
        <f t="shared" si="7"/>
        <v>2100</v>
      </c>
      <c r="M19" s="15">
        <f t="shared" si="7"/>
        <v>2100</v>
      </c>
      <c r="N19" s="15">
        <f t="shared" si="7"/>
        <v>2100</v>
      </c>
      <c r="O19" s="15">
        <f t="shared" si="7"/>
        <v>2100</v>
      </c>
      <c r="P19" s="40">
        <f t="shared" si="6"/>
        <v>25174</v>
      </c>
      <c r="T19" s="24" t="s">
        <v>47</v>
      </c>
      <c r="U19" s="24" t="s">
        <v>56</v>
      </c>
      <c r="V19" s="25" t="s">
        <v>53</v>
      </c>
      <c r="W19" s="31">
        <f t="shared" ref="W19:X19" si="8">W11-W17</f>
        <v>3012.7904539307492</v>
      </c>
      <c r="X19" s="31">
        <f t="shared" si="8"/>
        <v>3986.633068745643</v>
      </c>
    </row>
    <row r="20" spans="1:24" x14ac:dyDescent="0.3">
      <c r="A20" s="18" t="s">
        <v>16</v>
      </c>
      <c r="B20" s="18" t="s">
        <v>21</v>
      </c>
      <c r="C20" s="9" t="s">
        <v>40</v>
      </c>
      <c r="D20" s="15">
        <v>2000</v>
      </c>
      <c r="E20" s="15">
        <v>2000</v>
      </c>
      <c r="F20" s="15">
        <v>2000</v>
      </c>
      <c r="G20" s="15">
        <v>2000</v>
      </c>
      <c r="H20" s="15">
        <v>2000</v>
      </c>
      <c r="I20" s="15">
        <v>2000</v>
      </c>
      <c r="J20" s="15">
        <v>2000</v>
      </c>
      <c r="K20" s="15">
        <v>2000</v>
      </c>
      <c r="L20" s="15">
        <v>2000</v>
      </c>
      <c r="M20" s="15">
        <v>2000</v>
      </c>
      <c r="N20" s="15">
        <v>2000</v>
      </c>
      <c r="O20" s="15">
        <v>2000</v>
      </c>
      <c r="P20" s="40">
        <f t="shared" si="6"/>
        <v>24000</v>
      </c>
      <c r="T20" s="20" t="s">
        <v>47</v>
      </c>
      <c r="U20" s="20" t="s">
        <v>57</v>
      </c>
      <c r="V20" s="21" t="s">
        <v>50</v>
      </c>
      <c r="W20" s="27">
        <f t="shared" ref="W20:X20" si="9">IF(W17&lt;&gt;0,W19/W17,"")</f>
        <v>8.7759698628917832E-2</v>
      </c>
      <c r="X20" s="27">
        <f t="shared" si="9"/>
        <v>0.11984157537925197</v>
      </c>
    </row>
    <row r="21" spans="1:24" x14ac:dyDescent="0.3">
      <c r="A21" s="18" t="s">
        <v>16</v>
      </c>
      <c r="B21" s="18" t="s">
        <v>21</v>
      </c>
      <c r="C21" s="9" t="s">
        <v>41</v>
      </c>
      <c r="D21" s="15">
        <v>2000</v>
      </c>
      <c r="E21" s="15">
        <v>2000</v>
      </c>
      <c r="F21" s="15">
        <v>2000</v>
      </c>
      <c r="G21" s="15">
        <v>2000</v>
      </c>
      <c r="H21" s="15">
        <v>2000</v>
      </c>
      <c r="I21" s="15">
        <v>2000</v>
      </c>
      <c r="J21" s="15">
        <v>2000</v>
      </c>
      <c r="K21" s="15">
        <v>2000</v>
      </c>
      <c r="L21" s="15">
        <v>2000</v>
      </c>
      <c r="M21" s="15">
        <v>2000</v>
      </c>
      <c r="N21" s="15">
        <v>2000</v>
      </c>
      <c r="O21" s="15">
        <v>2000</v>
      </c>
      <c r="P21" s="40">
        <f t="shared" si="6"/>
        <v>24000</v>
      </c>
      <c r="T21" s="20" t="s">
        <v>47</v>
      </c>
      <c r="U21" s="20" t="s">
        <v>58</v>
      </c>
      <c r="V21" s="21" t="s">
        <v>59</v>
      </c>
      <c r="W21" s="29">
        <f t="shared" ref="W21:X21" si="10">IF(W17&lt;&gt;0,W19/W17*365,"")</f>
        <v>32.032289999555012</v>
      </c>
      <c r="X21" s="29">
        <f t="shared" si="10"/>
        <v>43.742175013426966</v>
      </c>
    </row>
    <row r="22" spans="1:24" x14ac:dyDescent="0.3">
      <c r="A22" s="18" t="s">
        <v>16</v>
      </c>
      <c r="B22" s="18" t="s">
        <v>22</v>
      </c>
      <c r="C22" s="9" t="s">
        <v>38</v>
      </c>
      <c r="D22" s="12">
        <v>13</v>
      </c>
      <c r="E22" s="12">
        <v>27</v>
      </c>
      <c r="F22" s="12">
        <v>14</v>
      </c>
      <c r="G22" s="12">
        <v>12</v>
      </c>
      <c r="H22" s="12">
        <v>11</v>
      </c>
      <c r="I22" s="12">
        <v>15</v>
      </c>
      <c r="J22" s="12">
        <v>10</v>
      </c>
      <c r="K22" s="12">
        <v>15</v>
      </c>
      <c r="L22" s="12">
        <v>11</v>
      </c>
      <c r="M22" s="12">
        <v>13</v>
      </c>
      <c r="N22" s="12">
        <v>13</v>
      </c>
      <c r="O22" s="12">
        <v>11</v>
      </c>
      <c r="P22" s="40">
        <f t="shared" si="6"/>
        <v>165</v>
      </c>
      <c r="T22" s="24" t="s">
        <v>47</v>
      </c>
      <c r="U22" s="24" t="s">
        <v>60</v>
      </c>
      <c r="V22" s="25" t="s">
        <v>53</v>
      </c>
      <c r="W22" s="31"/>
      <c r="X22" s="31"/>
    </row>
    <row r="23" spans="1:24" x14ac:dyDescent="0.3">
      <c r="A23" s="18" t="s">
        <v>16</v>
      </c>
      <c r="B23" s="18" t="s">
        <v>22</v>
      </c>
      <c r="C23" s="9" t="s">
        <v>39</v>
      </c>
      <c r="D23" s="15">
        <f>AVERAGE(D22:O22)*1.1</f>
        <v>15.125000000000002</v>
      </c>
      <c r="E23" s="15">
        <f>D23</f>
        <v>15.125000000000002</v>
      </c>
      <c r="F23" s="15">
        <f t="shared" ref="F23:O23" si="11">E23</f>
        <v>15.125000000000002</v>
      </c>
      <c r="G23" s="15">
        <f t="shared" si="11"/>
        <v>15.125000000000002</v>
      </c>
      <c r="H23" s="15">
        <f t="shared" si="11"/>
        <v>15.125000000000002</v>
      </c>
      <c r="I23" s="15">
        <f t="shared" si="11"/>
        <v>15.125000000000002</v>
      </c>
      <c r="J23" s="15">
        <f t="shared" si="11"/>
        <v>15.125000000000002</v>
      </c>
      <c r="K23" s="15">
        <f t="shared" si="11"/>
        <v>15.125000000000002</v>
      </c>
      <c r="L23" s="15">
        <f t="shared" si="11"/>
        <v>15.125000000000002</v>
      </c>
      <c r="M23" s="15">
        <f t="shared" si="11"/>
        <v>15.125000000000002</v>
      </c>
      <c r="N23" s="15">
        <f t="shared" si="11"/>
        <v>15.125000000000002</v>
      </c>
      <c r="O23" s="15">
        <f t="shared" si="11"/>
        <v>15.125000000000002</v>
      </c>
      <c r="P23" s="40">
        <f t="shared" si="6"/>
        <v>181.50000000000003</v>
      </c>
    </row>
    <row r="24" spans="1:24" x14ac:dyDescent="0.3">
      <c r="A24" s="18" t="s">
        <v>16</v>
      </c>
      <c r="B24" s="18" t="s">
        <v>22</v>
      </c>
      <c r="C24" s="9" t="s">
        <v>40</v>
      </c>
      <c r="D24" s="15">
        <f t="shared" ref="D24:D25" si="12">AVERAGE(D23:O23)*1.1</f>
        <v>16.637500000000003</v>
      </c>
      <c r="E24" s="15">
        <f t="shared" ref="E24:E25" si="13">D24</f>
        <v>16.637500000000003</v>
      </c>
      <c r="F24" s="15">
        <f t="shared" ref="F24:F25" si="14">E24</f>
        <v>16.637500000000003</v>
      </c>
      <c r="G24" s="15">
        <f t="shared" ref="G24:G25" si="15">F24</f>
        <v>16.637500000000003</v>
      </c>
      <c r="H24" s="15">
        <f t="shared" ref="H24:H25" si="16">G24</f>
        <v>16.637500000000003</v>
      </c>
      <c r="I24" s="15">
        <f t="shared" ref="I24:I25" si="17">H24</f>
        <v>16.637500000000003</v>
      </c>
      <c r="J24" s="15">
        <f t="shared" ref="J24:J25" si="18">I24</f>
        <v>16.637500000000003</v>
      </c>
      <c r="K24" s="15">
        <f t="shared" ref="K24:K25" si="19">J24</f>
        <v>16.637500000000003</v>
      </c>
      <c r="L24" s="15">
        <f t="shared" ref="L24:L25" si="20">K24</f>
        <v>16.637500000000003</v>
      </c>
      <c r="M24" s="15">
        <f t="shared" ref="M24:M25" si="21">L24</f>
        <v>16.637500000000003</v>
      </c>
      <c r="N24" s="15">
        <f t="shared" ref="N24:N25" si="22">M24</f>
        <v>16.637500000000003</v>
      </c>
      <c r="O24" s="15">
        <f t="shared" ref="O24:O25" si="23">N24</f>
        <v>16.637500000000003</v>
      </c>
      <c r="P24" s="40">
        <f t="shared" si="6"/>
        <v>199.64999999999998</v>
      </c>
    </row>
    <row r="25" spans="1:24" x14ac:dyDescent="0.3">
      <c r="A25" s="18" t="s">
        <v>16</v>
      </c>
      <c r="B25" s="18" t="s">
        <v>22</v>
      </c>
      <c r="C25" s="9" t="s">
        <v>41</v>
      </c>
      <c r="D25" s="15">
        <f t="shared" si="12"/>
        <v>18.30125</v>
      </c>
      <c r="E25" s="15">
        <f t="shared" si="13"/>
        <v>18.30125</v>
      </c>
      <c r="F25" s="15">
        <f t="shared" si="14"/>
        <v>18.30125</v>
      </c>
      <c r="G25" s="15">
        <f t="shared" si="15"/>
        <v>18.30125</v>
      </c>
      <c r="H25" s="15">
        <f t="shared" si="16"/>
        <v>18.30125</v>
      </c>
      <c r="I25" s="15">
        <f t="shared" si="17"/>
        <v>18.30125</v>
      </c>
      <c r="J25" s="15">
        <f t="shared" si="18"/>
        <v>18.30125</v>
      </c>
      <c r="K25" s="15">
        <f t="shared" si="19"/>
        <v>18.30125</v>
      </c>
      <c r="L25" s="15">
        <f t="shared" si="20"/>
        <v>18.30125</v>
      </c>
      <c r="M25" s="15">
        <f t="shared" si="21"/>
        <v>18.30125</v>
      </c>
      <c r="N25" s="15">
        <f t="shared" si="22"/>
        <v>18.30125</v>
      </c>
      <c r="O25" s="15">
        <f t="shared" si="23"/>
        <v>18.30125</v>
      </c>
      <c r="P25" s="40">
        <f t="shared" si="6"/>
        <v>219.61500000000004</v>
      </c>
      <c r="T25" s="34" t="s">
        <v>62</v>
      </c>
      <c r="W25" s="41">
        <f>SUM(W13:W14)/W$10</f>
        <v>0.1022427929618946</v>
      </c>
      <c r="X25" s="41">
        <f>SUM(X13:X14)/X$10</f>
        <v>0.10293731702902591</v>
      </c>
    </row>
    <row r="26" spans="1:24" x14ac:dyDescent="0.3">
      <c r="A26" s="18" t="s">
        <v>16</v>
      </c>
      <c r="B26" s="18" t="s">
        <v>23</v>
      </c>
      <c r="C26" s="9" t="s">
        <v>38</v>
      </c>
      <c r="D26" s="15">
        <v>240</v>
      </c>
      <c r="E26" s="15">
        <f>D26</f>
        <v>240</v>
      </c>
      <c r="F26" s="15">
        <f t="shared" ref="F26:O26" si="24">E26</f>
        <v>240</v>
      </c>
      <c r="G26" s="15">
        <f t="shared" si="24"/>
        <v>240</v>
      </c>
      <c r="H26" s="15">
        <f t="shared" si="24"/>
        <v>240</v>
      </c>
      <c r="I26" s="15">
        <f t="shared" si="24"/>
        <v>240</v>
      </c>
      <c r="J26" s="15">
        <f t="shared" si="24"/>
        <v>240</v>
      </c>
      <c r="K26" s="15">
        <f t="shared" si="24"/>
        <v>240</v>
      </c>
      <c r="L26" s="15">
        <f t="shared" si="24"/>
        <v>240</v>
      </c>
      <c r="M26" s="15">
        <f t="shared" si="24"/>
        <v>240</v>
      </c>
      <c r="N26" s="15">
        <f t="shared" si="24"/>
        <v>240</v>
      </c>
      <c r="O26" s="15">
        <f t="shared" si="24"/>
        <v>240</v>
      </c>
      <c r="P26" s="40">
        <f t="shared" ref="P26:P37" si="25">SUM(D26:O26)</f>
        <v>2880</v>
      </c>
      <c r="T26" s="34" t="s">
        <v>63</v>
      </c>
      <c r="W26" s="41">
        <f t="shared" ref="W25:X26" si="26">W15/W$10</f>
        <v>0.17148089486240567</v>
      </c>
      <c r="X26" s="41">
        <f t="shared" si="26"/>
        <v>0.16912225419360422</v>
      </c>
    </row>
    <row r="27" spans="1:24" x14ac:dyDescent="0.3">
      <c r="A27" s="18" t="s">
        <v>16</v>
      </c>
      <c r="B27" s="18" t="s">
        <v>23</v>
      </c>
      <c r="C27" s="9" t="s">
        <v>39</v>
      </c>
      <c r="D27" s="15">
        <f>D26*1.03</f>
        <v>247.20000000000002</v>
      </c>
      <c r="E27" s="15">
        <f>D27</f>
        <v>247.20000000000002</v>
      </c>
      <c r="F27" s="15">
        <f t="shared" ref="F27:O27" si="27">E27</f>
        <v>247.20000000000002</v>
      </c>
      <c r="G27" s="15">
        <f t="shared" si="27"/>
        <v>247.20000000000002</v>
      </c>
      <c r="H27" s="15">
        <f t="shared" si="27"/>
        <v>247.20000000000002</v>
      </c>
      <c r="I27" s="15">
        <f t="shared" si="27"/>
        <v>247.20000000000002</v>
      </c>
      <c r="J27" s="15">
        <f t="shared" si="27"/>
        <v>247.20000000000002</v>
      </c>
      <c r="K27" s="15">
        <f t="shared" si="27"/>
        <v>247.20000000000002</v>
      </c>
      <c r="L27" s="15">
        <f t="shared" si="27"/>
        <v>247.20000000000002</v>
      </c>
      <c r="M27" s="15">
        <f t="shared" si="27"/>
        <v>247.20000000000002</v>
      </c>
      <c r="N27" s="15">
        <f t="shared" si="27"/>
        <v>247.20000000000002</v>
      </c>
      <c r="O27" s="15">
        <f t="shared" si="27"/>
        <v>247.20000000000002</v>
      </c>
      <c r="P27" s="40">
        <f t="shared" si="25"/>
        <v>2966.3999999999996</v>
      </c>
      <c r="T27" s="34" t="s">
        <v>61</v>
      </c>
      <c r="U27" s="42"/>
      <c r="V27" s="42"/>
      <c r="W27" s="41">
        <f t="shared" ref="U27:W27" si="28">W16/W$10</f>
        <v>0.75259066374933759</v>
      </c>
      <c r="X27" s="41">
        <f>X16/X$10</f>
        <v>0.70467605914001752</v>
      </c>
    </row>
    <row r="28" spans="1:24" x14ac:dyDescent="0.3">
      <c r="A28" s="18" t="s">
        <v>16</v>
      </c>
      <c r="B28" s="18" t="s">
        <v>23</v>
      </c>
      <c r="C28" s="9" t="s">
        <v>40</v>
      </c>
      <c r="D28" s="15">
        <f t="shared" ref="D28:D29" si="29">D27*1.03</f>
        <v>254.61600000000001</v>
      </c>
      <c r="E28" s="15">
        <f t="shared" ref="E28:O28" si="30">D28</f>
        <v>254.61600000000001</v>
      </c>
      <c r="F28" s="15">
        <f t="shared" si="30"/>
        <v>254.61600000000001</v>
      </c>
      <c r="G28" s="15">
        <f t="shared" si="30"/>
        <v>254.61600000000001</v>
      </c>
      <c r="H28" s="15">
        <f t="shared" si="30"/>
        <v>254.61600000000001</v>
      </c>
      <c r="I28" s="15">
        <f t="shared" si="30"/>
        <v>254.61600000000001</v>
      </c>
      <c r="J28" s="15">
        <f t="shared" si="30"/>
        <v>254.61600000000001</v>
      </c>
      <c r="K28" s="15">
        <f t="shared" si="30"/>
        <v>254.61600000000001</v>
      </c>
      <c r="L28" s="15">
        <f t="shared" si="30"/>
        <v>254.61600000000001</v>
      </c>
      <c r="M28" s="15">
        <f t="shared" si="30"/>
        <v>254.61600000000001</v>
      </c>
      <c r="N28" s="15">
        <f t="shared" si="30"/>
        <v>254.61600000000001</v>
      </c>
      <c r="O28" s="15">
        <f t="shared" si="30"/>
        <v>254.61600000000001</v>
      </c>
      <c r="P28" s="40">
        <f t="shared" si="25"/>
        <v>3055.3920000000003</v>
      </c>
    </row>
    <row r="29" spans="1:24" x14ac:dyDescent="0.3">
      <c r="A29" s="18" t="s">
        <v>16</v>
      </c>
      <c r="B29" s="18" t="s">
        <v>23</v>
      </c>
      <c r="C29" s="9" t="s">
        <v>41</v>
      </c>
      <c r="D29" s="15">
        <f t="shared" si="29"/>
        <v>262.25448</v>
      </c>
      <c r="E29" s="15">
        <f t="shared" ref="E29:O30" si="31">D29</f>
        <v>262.25448</v>
      </c>
      <c r="F29" s="15">
        <f t="shared" si="31"/>
        <v>262.25448</v>
      </c>
      <c r="G29" s="15">
        <f t="shared" si="31"/>
        <v>262.25448</v>
      </c>
      <c r="H29" s="15">
        <f t="shared" si="31"/>
        <v>262.25448</v>
      </c>
      <c r="I29" s="15">
        <f t="shared" si="31"/>
        <v>262.25448</v>
      </c>
      <c r="J29" s="15">
        <f t="shared" si="31"/>
        <v>262.25448</v>
      </c>
      <c r="K29" s="15">
        <f t="shared" si="31"/>
        <v>262.25448</v>
      </c>
      <c r="L29" s="15">
        <f t="shared" si="31"/>
        <v>262.25448</v>
      </c>
      <c r="M29" s="15">
        <f t="shared" si="31"/>
        <v>262.25448</v>
      </c>
      <c r="N29" s="15">
        <f t="shared" si="31"/>
        <v>262.25448</v>
      </c>
      <c r="O29" s="15">
        <f t="shared" si="31"/>
        <v>262.25448</v>
      </c>
      <c r="P29" s="40">
        <f t="shared" si="25"/>
        <v>3147.0537600000002</v>
      </c>
    </row>
    <row r="30" spans="1:24" x14ac:dyDescent="0.3">
      <c r="A30" s="18" t="s">
        <v>16</v>
      </c>
      <c r="B30" s="18" t="s">
        <v>24</v>
      </c>
      <c r="C30" s="9" t="s">
        <v>38</v>
      </c>
      <c r="D30" s="15">
        <v>45</v>
      </c>
      <c r="E30" s="15">
        <f>D30</f>
        <v>45</v>
      </c>
      <c r="F30" s="15">
        <f t="shared" si="31"/>
        <v>45</v>
      </c>
      <c r="G30" s="15">
        <f t="shared" si="31"/>
        <v>45</v>
      </c>
      <c r="H30" s="15">
        <f t="shared" si="31"/>
        <v>45</v>
      </c>
      <c r="I30" s="15">
        <f t="shared" si="31"/>
        <v>45</v>
      </c>
      <c r="J30" s="15">
        <f t="shared" si="31"/>
        <v>45</v>
      </c>
      <c r="K30" s="15">
        <f t="shared" si="31"/>
        <v>45</v>
      </c>
      <c r="L30" s="15">
        <f t="shared" si="31"/>
        <v>45</v>
      </c>
      <c r="M30" s="15">
        <f t="shared" si="31"/>
        <v>45</v>
      </c>
      <c r="N30" s="15">
        <f t="shared" si="31"/>
        <v>45</v>
      </c>
      <c r="O30" s="15">
        <f t="shared" si="31"/>
        <v>45</v>
      </c>
      <c r="P30" s="40">
        <f t="shared" si="25"/>
        <v>540</v>
      </c>
    </row>
    <row r="31" spans="1:24" x14ac:dyDescent="0.3">
      <c r="A31" s="18" t="s">
        <v>16</v>
      </c>
      <c r="B31" s="18" t="s">
        <v>24</v>
      </c>
      <c r="C31" s="9" t="s">
        <v>39</v>
      </c>
      <c r="D31" s="15">
        <f>D30*0.999</f>
        <v>44.954999999999998</v>
      </c>
      <c r="E31" s="15">
        <f t="shared" ref="E31:O31" si="32">E30*0.999</f>
        <v>44.954999999999998</v>
      </c>
      <c r="F31" s="15">
        <f t="shared" si="32"/>
        <v>44.954999999999998</v>
      </c>
      <c r="G31" s="15">
        <f t="shared" si="32"/>
        <v>44.954999999999998</v>
      </c>
      <c r="H31" s="15">
        <f t="shared" si="32"/>
        <v>44.954999999999998</v>
      </c>
      <c r="I31" s="15">
        <f t="shared" si="32"/>
        <v>44.954999999999998</v>
      </c>
      <c r="J31" s="15">
        <f t="shared" si="32"/>
        <v>44.954999999999998</v>
      </c>
      <c r="K31" s="15">
        <f t="shared" si="32"/>
        <v>44.954999999999998</v>
      </c>
      <c r="L31" s="15">
        <f t="shared" si="32"/>
        <v>44.954999999999998</v>
      </c>
      <c r="M31" s="15">
        <f t="shared" si="32"/>
        <v>44.954999999999998</v>
      </c>
      <c r="N31" s="15">
        <f t="shared" si="32"/>
        <v>44.954999999999998</v>
      </c>
      <c r="O31" s="15">
        <f t="shared" si="32"/>
        <v>44.954999999999998</v>
      </c>
      <c r="P31" s="40">
        <f t="shared" si="25"/>
        <v>539.45999999999992</v>
      </c>
    </row>
    <row r="32" spans="1:24" x14ac:dyDescent="0.3">
      <c r="A32" s="18" t="s">
        <v>16</v>
      </c>
      <c r="B32" s="18" t="s">
        <v>24</v>
      </c>
      <c r="C32" s="9" t="s">
        <v>40</v>
      </c>
      <c r="D32" s="15">
        <f t="shared" ref="D32:D33" si="33">D31*0.999</f>
        <v>44.910044999999997</v>
      </c>
      <c r="E32" s="15">
        <f t="shared" ref="E32:E33" si="34">E31*0.999</f>
        <v>44.910044999999997</v>
      </c>
      <c r="F32" s="15">
        <f t="shared" ref="F32:F33" si="35">F31*0.999</f>
        <v>44.910044999999997</v>
      </c>
      <c r="G32" s="15">
        <f t="shared" ref="G32:G33" si="36">G31*0.999</f>
        <v>44.910044999999997</v>
      </c>
      <c r="H32" s="15">
        <f t="shared" ref="H32:H33" si="37">H31*0.999</f>
        <v>44.910044999999997</v>
      </c>
      <c r="I32" s="15">
        <f t="shared" ref="I32:I33" si="38">I31*0.999</f>
        <v>44.910044999999997</v>
      </c>
      <c r="J32" s="15">
        <f t="shared" ref="J32:J33" si="39">J31*0.999</f>
        <v>44.910044999999997</v>
      </c>
      <c r="K32" s="15">
        <f t="shared" ref="K32:K33" si="40">K31*0.999</f>
        <v>44.910044999999997</v>
      </c>
      <c r="L32" s="15">
        <f t="shared" ref="L32:L33" si="41">L31*0.999</f>
        <v>44.910044999999997</v>
      </c>
      <c r="M32" s="15">
        <f t="shared" ref="M32:M33" si="42">M31*0.999</f>
        <v>44.910044999999997</v>
      </c>
      <c r="N32" s="15">
        <f t="shared" ref="N32:N33" si="43">N31*0.999</f>
        <v>44.910044999999997</v>
      </c>
      <c r="O32" s="15">
        <f t="shared" ref="O32:O33" si="44">O31*0.999</f>
        <v>44.910044999999997</v>
      </c>
      <c r="P32" s="40">
        <f t="shared" si="25"/>
        <v>538.92053999999985</v>
      </c>
    </row>
    <row r="33" spans="1:16" x14ac:dyDescent="0.3">
      <c r="A33" s="18" t="s">
        <v>16</v>
      </c>
      <c r="B33" s="18" t="s">
        <v>24</v>
      </c>
      <c r="C33" s="9" t="s">
        <v>41</v>
      </c>
      <c r="D33" s="15">
        <f t="shared" si="33"/>
        <v>44.865134954999995</v>
      </c>
      <c r="E33" s="15">
        <f t="shared" si="34"/>
        <v>44.865134954999995</v>
      </c>
      <c r="F33" s="15">
        <f t="shared" si="35"/>
        <v>44.865134954999995</v>
      </c>
      <c r="G33" s="15">
        <f t="shared" si="36"/>
        <v>44.865134954999995</v>
      </c>
      <c r="H33" s="15">
        <f t="shared" si="37"/>
        <v>44.865134954999995</v>
      </c>
      <c r="I33" s="15">
        <f t="shared" si="38"/>
        <v>44.865134954999995</v>
      </c>
      <c r="J33" s="15">
        <f t="shared" si="39"/>
        <v>44.865134954999995</v>
      </c>
      <c r="K33" s="15">
        <f t="shared" si="40"/>
        <v>44.865134954999995</v>
      </c>
      <c r="L33" s="15">
        <f t="shared" si="41"/>
        <v>44.865134954999995</v>
      </c>
      <c r="M33" s="15">
        <f t="shared" si="42"/>
        <v>44.865134954999995</v>
      </c>
      <c r="N33" s="15">
        <f t="shared" si="43"/>
        <v>44.865134954999995</v>
      </c>
      <c r="O33" s="15">
        <f t="shared" si="44"/>
        <v>44.865134954999995</v>
      </c>
      <c r="P33" s="40">
        <f t="shared" si="25"/>
        <v>538.3816194599998</v>
      </c>
    </row>
    <row r="34" spans="1:16" x14ac:dyDescent="0.3">
      <c r="A34" s="18" t="s">
        <v>16</v>
      </c>
      <c r="B34" s="18" t="s">
        <v>25</v>
      </c>
      <c r="C34" s="9" t="s">
        <v>38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40">
        <f t="shared" si="25"/>
        <v>0</v>
      </c>
    </row>
    <row r="35" spans="1:16" x14ac:dyDescent="0.3">
      <c r="A35" s="18" t="s">
        <v>16</v>
      </c>
      <c r="B35" s="18" t="s">
        <v>25</v>
      </c>
      <c r="C35" s="9" t="s">
        <v>39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40">
        <f t="shared" si="25"/>
        <v>0</v>
      </c>
    </row>
    <row r="36" spans="1:16" x14ac:dyDescent="0.3">
      <c r="A36" s="18" t="s">
        <v>16</v>
      </c>
      <c r="B36" s="18" t="s">
        <v>25</v>
      </c>
      <c r="C36" s="9" t="s">
        <v>40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40">
        <f t="shared" si="25"/>
        <v>0</v>
      </c>
    </row>
    <row r="37" spans="1:16" x14ac:dyDescent="0.3">
      <c r="A37" s="18" t="s">
        <v>16</v>
      </c>
      <c r="B37" s="18" t="s">
        <v>25</v>
      </c>
      <c r="C37" s="9" t="s">
        <v>41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 t="shared" si="25"/>
        <v>0</v>
      </c>
    </row>
    <row r="38" spans="1:16" x14ac:dyDescent="0.3">
      <c r="A38" s="18" t="s">
        <v>16</v>
      </c>
      <c r="B38" s="18" t="s">
        <v>26</v>
      </c>
      <c r="C38" s="9" t="s">
        <v>38</v>
      </c>
      <c r="D38" s="39">
        <f>SUM(D30,D26)</f>
        <v>285</v>
      </c>
      <c r="E38" s="39">
        <f t="shared" ref="E38:O38" si="45">SUM(E30,E26)</f>
        <v>285</v>
      </c>
      <c r="F38" s="39">
        <f t="shared" si="45"/>
        <v>285</v>
      </c>
      <c r="G38" s="39">
        <f t="shared" si="45"/>
        <v>285</v>
      </c>
      <c r="H38" s="39">
        <f t="shared" si="45"/>
        <v>285</v>
      </c>
      <c r="I38" s="39">
        <f t="shared" si="45"/>
        <v>285</v>
      </c>
      <c r="J38" s="39">
        <f t="shared" si="45"/>
        <v>285</v>
      </c>
      <c r="K38" s="39">
        <f t="shared" si="45"/>
        <v>285</v>
      </c>
      <c r="L38" s="39">
        <f t="shared" si="45"/>
        <v>285</v>
      </c>
      <c r="M38" s="39">
        <f t="shared" si="45"/>
        <v>285</v>
      </c>
      <c r="N38" s="39">
        <f t="shared" si="45"/>
        <v>285</v>
      </c>
      <c r="O38" s="39">
        <f t="shared" si="45"/>
        <v>285</v>
      </c>
      <c r="P38" s="40">
        <f t="shared" ref="P38:P45" si="46">SUM(D38:O38)</f>
        <v>3420</v>
      </c>
    </row>
    <row r="39" spans="1:16" x14ac:dyDescent="0.3">
      <c r="A39" s="18" t="s">
        <v>16</v>
      </c>
      <c r="B39" s="18" t="s">
        <v>26</v>
      </c>
      <c r="C39" s="9" t="s">
        <v>39</v>
      </c>
      <c r="D39" s="39">
        <f t="shared" ref="D39:O39" si="47">SUM(D31,D27)</f>
        <v>292.15500000000003</v>
      </c>
      <c r="E39" s="39">
        <f t="shared" si="47"/>
        <v>292.15500000000003</v>
      </c>
      <c r="F39" s="39">
        <f t="shared" si="47"/>
        <v>292.15500000000003</v>
      </c>
      <c r="G39" s="39">
        <f t="shared" si="47"/>
        <v>292.15500000000003</v>
      </c>
      <c r="H39" s="39">
        <f t="shared" si="47"/>
        <v>292.15500000000003</v>
      </c>
      <c r="I39" s="39">
        <f t="shared" si="47"/>
        <v>292.15500000000003</v>
      </c>
      <c r="J39" s="39">
        <f t="shared" si="47"/>
        <v>292.15500000000003</v>
      </c>
      <c r="K39" s="39">
        <f t="shared" si="47"/>
        <v>292.15500000000003</v>
      </c>
      <c r="L39" s="39">
        <f t="shared" si="47"/>
        <v>292.15500000000003</v>
      </c>
      <c r="M39" s="39">
        <f t="shared" si="47"/>
        <v>292.15500000000003</v>
      </c>
      <c r="N39" s="39">
        <f t="shared" si="47"/>
        <v>292.15500000000003</v>
      </c>
      <c r="O39" s="39">
        <f t="shared" si="47"/>
        <v>292.15500000000003</v>
      </c>
      <c r="P39" s="40">
        <f t="shared" si="46"/>
        <v>3505.860000000001</v>
      </c>
    </row>
    <row r="40" spans="1:16" x14ac:dyDescent="0.3">
      <c r="A40" s="18" t="s">
        <v>16</v>
      </c>
      <c r="B40" s="18" t="s">
        <v>26</v>
      </c>
      <c r="C40" s="9" t="s">
        <v>40</v>
      </c>
      <c r="D40" s="39">
        <f t="shared" ref="D40:O40" si="48">SUM(D32,D28)</f>
        <v>299.52604500000001</v>
      </c>
      <c r="E40" s="39">
        <f t="shared" si="48"/>
        <v>299.52604500000001</v>
      </c>
      <c r="F40" s="39">
        <f t="shared" si="48"/>
        <v>299.52604500000001</v>
      </c>
      <c r="G40" s="39">
        <f t="shared" si="48"/>
        <v>299.52604500000001</v>
      </c>
      <c r="H40" s="39">
        <f t="shared" si="48"/>
        <v>299.52604500000001</v>
      </c>
      <c r="I40" s="39">
        <f t="shared" si="48"/>
        <v>299.52604500000001</v>
      </c>
      <c r="J40" s="39">
        <f t="shared" si="48"/>
        <v>299.52604500000001</v>
      </c>
      <c r="K40" s="39">
        <f t="shared" si="48"/>
        <v>299.52604500000001</v>
      </c>
      <c r="L40" s="39">
        <f t="shared" si="48"/>
        <v>299.52604500000001</v>
      </c>
      <c r="M40" s="39">
        <f t="shared" si="48"/>
        <v>299.52604500000001</v>
      </c>
      <c r="N40" s="39">
        <f t="shared" si="48"/>
        <v>299.52604500000001</v>
      </c>
      <c r="O40" s="39">
        <f t="shared" si="48"/>
        <v>299.52604500000001</v>
      </c>
      <c r="P40" s="40">
        <f t="shared" si="46"/>
        <v>3594.3125400000004</v>
      </c>
    </row>
    <row r="41" spans="1:16" x14ac:dyDescent="0.3">
      <c r="A41" s="18" t="s">
        <v>16</v>
      </c>
      <c r="B41" s="18" t="s">
        <v>26</v>
      </c>
      <c r="C41" s="9" t="s">
        <v>41</v>
      </c>
      <c r="D41" s="39">
        <f t="shared" ref="D41:O41" si="49">SUM(D33,D29)</f>
        <v>307.11961495499997</v>
      </c>
      <c r="E41" s="39">
        <f t="shared" si="49"/>
        <v>307.11961495499997</v>
      </c>
      <c r="F41" s="39">
        <f t="shared" si="49"/>
        <v>307.11961495499997</v>
      </c>
      <c r="G41" s="39">
        <f t="shared" si="49"/>
        <v>307.11961495499997</v>
      </c>
      <c r="H41" s="39">
        <f t="shared" si="49"/>
        <v>307.11961495499997</v>
      </c>
      <c r="I41" s="39">
        <f t="shared" si="49"/>
        <v>307.11961495499997</v>
      </c>
      <c r="J41" s="39">
        <f t="shared" si="49"/>
        <v>307.11961495499997</v>
      </c>
      <c r="K41" s="39">
        <f t="shared" si="49"/>
        <v>307.11961495499997</v>
      </c>
      <c r="L41" s="39">
        <f t="shared" si="49"/>
        <v>307.11961495499997</v>
      </c>
      <c r="M41" s="39">
        <f t="shared" si="49"/>
        <v>307.11961495499997</v>
      </c>
      <c r="N41" s="39">
        <f t="shared" si="49"/>
        <v>307.11961495499997</v>
      </c>
      <c r="O41" s="39">
        <f t="shared" si="49"/>
        <v>307.11961495499997</v>
      </c>
      <c r="P41" s="40">
        <f t="shared" si="46"/>
        <v>3685.4353794600006</v>
      </c>
    </row>
    <row r="42" spans="1:16" x14ac:dyDescent="0.3">
      <c r="A42" s="18" t="s">
        <v>16</v>
      </c>
      <c r="B42" s="18" t="s">
        <v>27</v>
      </c>
      <c r="C42" s="9" t="s">
        <v>38</v>
      </c>
      <c r="D42" s="15">
        <v>478</v>
      </c>
      <c r="E42" s="15">
        <v>478</v>
      </c>
      <c r="F42" s="15">
        <v>478</v>
      </c>
      <c r="G42" s="15">
        <v>478</v>
      </c>
      <c r="H42" s="15">
        <v>478</v>
      </c>
      <c r="I42" s="15">
        <v>478</v>
      </c>
      <c r="J42" s="15">
        <v>478</v>
      </c>
      <c r="K42" s="15">
        <v>478</v>
      </c>
      <c r="L42" s="15">
        <v>478</v>
      </c>
      <c r="M42" s="15">
        <v>478</v>
      </c>
      <c r="N42" s="15">
        <v>478</v>
      </c>
      <c r="O42" s="15">
        <v>478</v>
      </c>
      <c r="P42" s="40">
        <f t="shared" si="46"/>
        <v>5736</v>
      </c>
    </row>
    <row r="43" spans="1:16" x14ac:dyDescent="0.3">
      <c r="A43" s="18" t="s">
        <v>16</v>
      </c>
      <c r="B43" s="18" t="s">
        <v>27</v>
      </c>
      <c r="C43" s="9" t="s">
        <v>39</v>
      </c>
      <c r="D43" s="15">
        <v>480</v>
      </c>
      <c r="E43" s="15">
        <v>480</v>
      </c>
      <c r="F43" s="15">
        <v>480</v>
      </c>
      <c r="G43" s="15">
        <v>480</v>
      </c>
      <c r="H43" s="15">
        <v>480</v>
      </c>
      <c r="I43" s="15">
        <v>480</v>
      </c>
      <c r="J43" s="15">
        <v>480</v>
      </c>
      <c r="K43" s="15">
        <v>480</v>
      </c>
      <c r="L43" s="15">
        <v>480</v>
      </c>
      <c r="M43" s="15">
        <v>480</v>
      </c>
      <c r="N43" s="15">
        <v>480</v>
      </c>
      <c r="O43" s="15">
        <v>480</v>
      </c>
      <c r="P43" s="40">
        <f t="shared" si="46"/>
        <v>5760</v>
      </c>
    </row>
    <row r="44" spans="1:16" x14ac:dyDescent="0.3">
      <c r="A44" s="18" t="s">
        <v>16</v>
      </c>
      <c r="B44" s="18" t="s">
        <v>27</v>
      </c>
      <c r="C44" s="9" t="s">
        <v>40</v>
      </c>
      <c r="D44" s="15">
        <v>480</v>
      </c>
      <c r="E44" s="15">
        <v>480</v>
      </c>
      <c r="F44" s="15">
        <v>480</v>
      </c>
      <c r="G44" s="15">
        <v>480</v>
      </c>
      <c r="H44" s="15">
        <v>480</v>
      </c>
      <c r="I44" s="15">
        <v>480</v>
      </c>
      <c r="J44" s="15">
        <v>480</v>
      </c>
      <c r="K44" s="15">
        <v>480</v>
      </c>
      <c r="L44" s="15">
        <v>480</v>
      </c>
      <c r="M44" s="15">
        <v>480</v>
      </c>
      <c r="N44" s="15">
        <v>480</v>
      </c>
      <c r="O44" s="15">
        <v>480</v>
      </c>
      <c r="P44" s="40">
        <f t="shared" si="46"/>
        <v>5760</v>
      </c>
    </row>
    <row r="45" spans="1:16" x14ac:dyDescent="0.3">
      <c r="A45" s="18" t="s">
        <v>16</v>
      </c>
      <c r="B45" s="18" t="s">
        <v>27</v>
      </c>
      <c r="C45" s="9" t="s">
        <v>41</v>
      </c>
      <c r="D45" s="15">
        <v>480</v>
      </c>
      <c r="E45" s="15">
        <v>480</v>
      </c>
      <c r="F45" s="15">
        <v>480</v>
      </c>
      <c r="G45" s="15">
        <v>480</v>
      </c>
      <c r="H45" s="15">
        <v>480</v>
      </c>
      <c r="I45" s="15">
        <v>480</v>
      </c>
      <c r="J45" s="15">
        <v>480</v>
      </c>
      <c r="K45" s="15">
        <v>480</v>
      </c>
      <c r="L45" s="15">
        <v>480</v>
      </c>
      <c r="M45" s="15">
        <v>480</v>
      </c>
      <c r="N45" s="15">
        <v>480</v>
      </c>
      <c r="O45" s="15">
        <v>480</v>
      </c>
      <c r="P45" s="40">
        <f t="shared" si="46"/>
        <v>5760</v>
      </c>
    </row>
    <row r="46" spans="1:16" x14ac:dyDescent="0.3">
      <c r="A46" s="18" t="s">
        <v>16</v>
      </c>
      <c r="B46" s="18" t="s">
        <v>28</v>
      </c>
      <c r="C46" s="9" t="s">
        <v>38</v>
      </c>
      <c r="D46" s="39">
        <f>3728+D14+D22-D18-D38-D42-D34</f>
        <v>35174.790453930749</v>
      </c>
      <c r="E46" s="39">
        <f t="shared" ref="E46:O46" si="50">D46+E14+E22-E18-E38-E42-E34</f>
        <v>32525.790453930749</v>
      </c>
      <c r="F46" s="39">
        <f t="shared" si="50"/>
        <v>29383.790453930749</v>
      </c>
      <c r="G46" s="39">
        <f t="shared" si="50"/>
        <v>26453.790453930749</v>
      </c>
      <c r="H46" s="39">
        <f t="shared" si="50"/>
        <v>23458.790453930749</v>
      </c>
      <c r="I46" s="39">
        <f t="shared" si="50"/>
        <v>21065.790453930749</v>
      </c>
      <c r="J46" s="39">
        <f t="shared" si="50"/>
        <v>18785.790453930749</v>
      </c>
      <c r="K46" s="39">
        <f t="shared" si="50"/>
        <v>16510.790453930749</v>
      </c>
      <c r="L46" s="39">
        <f t="shared" si="50"/>
        <v>13381.790453930749</v>
      </c>
      <c r="M46" s="39">
        <f t="shared" si="50"/>
        <v>10309.790453930749</v>
      </c>
      <c r="N46" s="39">
        <f t="shared" si="50"/>
        <v>7534.7904539307492</v>
      </c>
      <c r="O46" s="39">
        <f t="shared" si="50"/>
        <v>4558.7904539307492</v>
      </c>
      <c r="P46" s="40">
        <f t="shared" ref="P46:P49" si="51">O46</f>
        <v>4558.7904539307492</v>
      </c>
    </row>
    <row r="47" spans="1:16" x14ac:dyDescent="0.3">
      <c r="A47" s="18" t="s">
        <v>16</v>
      </c>
      <c r="B47" s="18" t="s">
        <v>28</v>
      </c>
      <c r="C47" s="9" t="s">
        <v>39</v>
      </c>
      <c r="D47" s="39">
        <f>O46+D15+D23-D19-D39-D43-D35</f>
        <v>35785.963068745645</v>
      </c>
      <c r="E47" s="39">
        <f t="shared" ref="E47:O47" si="52">D47+E15+E23-E19-E39-E43-E35</f>
        <v>32928.933068745646</v>
      </c>
      <c r="F47" s="39">
        <f t="shared" si="52"/>
        <v>30071.903068745647</v>
      </c>
      <c r="G47" s="39">
        <f t="shared" si="52"/>
        <v>27214.873068745648</v>
      </c>
      <c r="H47" s="39">
        <f t="shared" si="52"/>
        <v>24357.843068745649</v>
      </c>
      <c r="I47" s="39">
        <f t="shared" si="52"/>
        <v>21500.813068745651</v>
      </c>
      <c r="J47" s="39">
        <f t="shared" si="52"/>
        <v>18643.783068745652</v>
      </c>
      <c r="K47" s="39">
        <f t="shared" si="52"/>
        <v>15786.753068745651</v>
      </c>
      <c r="L47" s="39">
        <f t="shared" si="52"/>
        <v>12929.72306874565</v>
      </c>
      <c r="M47" s="39">
        <f t="shared" si="52"/>
        <v>10072.69306874565</v>
      </c>
      <c r="N47" s="39">
        <f t="shared" si="52"/>
        <v>7215.66306874565</v>
      </c>
      <c r="O47" s="39">
        <f t="shared" si="52"/>
        <v>4358.6330687456502</v>
      </c>
      <c r="P47" s="40">
        <f t="shared" si="51"/>
        <v>4358.6330687456502</v>
      </c>
    </row>
    <row r="48" spans="1:16" x14ac:dyDescent="0.3">
      <c r="A48" s="18" t="s">
        <v>16</v>
      </c>
      <c r="B48" s="18" t="s">
        <v>28</v>
      </c>
      <c r="C48" s="9" t="s">
        <v>40</v>
      </c>
      <c r="D48" s="39">
        <f>O47+D16+D24-D20-D40-D44-D36</f>
        <v>34082.030094799855</v>
      </c>
      <c r="E48" s="39">
        <f t="shared" ref="E48:O48" si="53">D48+E16+E24-E20-E40-E44-E36</f>
        <v>31319.141549799853</v>
      </c>
      <c r="F48" s="39">
        <f t="shared" si="53"/>
        <v>28556.253004799855</v>
      </c>
      <c r="G48" s="39">
        <f t="shared" si="53"/>
        <v>25793.364459799857</v>
      </c>
      <c r="H48" s="39">
        <f t="shared" si="53"/>
        <v>23030.475914799859</v>
      </c>
      <c r="I48" s="39">
        <f t="shared" si="53"/>
        <v>20267.587369799861</v>
      </c>
      <c r="J48" s="39">
        <f t="shared" si="53"/>
        <v>17504.698824799863</v>
      </c>
      <c r="K48" s="39">
        <f t="shared" si="53"/>
        <v>14741.810279799864</v>
      </c>
      <c r="L48" s="39">
        <f t="shared" si="53"/>
        <v>11978.921734799864</v>
      </c>
      <c r="M48" s="39">
        <f t="shared" si="53"/>
        <v>9216.033189799864</v>
      </c>
      <c r="N48" s="39">
        <f t="shared" si="53"/>
        <v>6453.1446447998651</v>
      </c>
      <c r="O48" s="39">
        <f t="shared" si="53"/>
        <v>3690.2560997998653</v>
      </c>
      <c r="P48" s="40">
        <f t="shared" si="51"/>
        <v>3690.2560997998653</v>
      </c>
    </row>
    <row r="49" spans="1:16" x14ac:dyDescent="0.3">
      <c r="A49" s="18" t="s">
        <v>16</v>
      </c>
      <c r="B49" s="18" t="s">
        <v>28</v>
      </c>
      <c r="C49" s="9" t="s">
        <v>41</v>
      </c>
      <c r="D49" s="39">
        <f>O48+D17+D25-D21-D41-D45-D37</f>
        <v>33407.723305899068</v>
      </c>
      <c r="E49" s="39">
        <f t="shared" ref="E49:O49" si="54">D49+E17+E25-E21-E41-E45-E37</f>
        <v>30638.904940944063</v>
      </c>
      <c r="F49" s="39">
        <f t="shared" si="54"/>
        <v>27870.086575989062</v>
      </c>
      <c r="G49" s="39">
        <f t="shared" si="54"/>
        <v>25101.268211034061</v>
      </c>
      <c r="H49" s="39">
        <f t="shared" si="54"/>
        <v>22332.44984607906</v>
      </c>
      <c r="I49" s="39">
        <f t="shared" si="54"/>
        <v>19563.631481124059</v>
      </c>
      <c r="J49" s="39">
        <f t="shared" si="54"/>
        <v>16794.813116169058</v>
      </c>
      <c r="K49" s="39">
        <f t="shared" si="54"/>
        <v>14025.994751214059</v>
      </c>
      <c r="L49" s="39">
        <f t="shared" si="54"/>
        <v>11257.17638625906</v>
      </c>
      <c r="M49" s="39">
        <f t="shared" si="54"/>
        <v>8488.3580213040605</v>
      </c>
      <c r="N49" s="39">
        <f t="shared" si="54"/>
        <v>5719.5396563490613</v>
      </c>
      <c r="O49" s="39">
        <f t="shared" si="54"/>
        <v>2950.7212913940616</v>
      </c>
      <c r="P49" s="40">
        <f t="shared" si="51"/>
        <v>2950.7212913940616</v>
      </c>
    </row>
  </sheetData>
  <autoFilter ref="A1:P49" xr:uid="{7C1F70FC-ACFC-4730-932F-327702353D10}"/>
  <phoneticPr fontId="12" type="noConversion"/>
  <conditionalFormatting sqref="W22:X22">
    <cfRule type="cellIs" dxfId="0" priority="1" operator="between">
      <formula>-0.0009</formula>
      <formula>0.0009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DC8A-1E1D-4B06-9F3D-C822930E770C}">
  <dimension ref="A1:P49"/>
  <sheetViews>
    <sheetView workbookViewId="0">
      <pane xSplit="3" ySplit="1" topLeftCell="D2" activePane="bottomRight" state="frozen"/>
      <selection activeCell="S35" sqref="S35"/>
      <selection pane="topRight" activeCell="S35" sqref="S35"/>
      <selection pane="bottomLeft" activeCell="S35" sqref="S35"/>
      <selection pane="bottomRight" activeCell="S35" sqref="S35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29</v>
      </c>
      <c r="B2" s="2" t="s">
        <v>17</v>
      </c>
      <c r="C2" s="9" t="s">
        <v>38</v>
      </c>
      <c r="D2" s="3">
        <v>5.7365139999999997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9" si="0">D2</f>
        <v>5.7365139999999997</v>
      </c>
    </row>
    <row r="3" spans="1:16" x14ac:dyDescent="0.3">
      <c r="A3" s="2" t="s">
        <v>29</v>
      </c>
      <c r="B3" s="2" t="s">
        <v>17</v>
      </c>
      <c r="C3" s="9" t="s">
        <v>39</v>
      </c>
      <c r="D3" s="3">
        <v>6.0061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6.0061</v>
      </c>
    </row>
    <row r="4" spans="1:16" x14ac:dyDescent="0.3">
      <c r="A4" s="2" t="s">
        <v>29</v>
      </c>
      <c r="B4" s="2" t="s">
        <v>17</v>
      </c>
      <c r="C4" s="9" t="s">
        <v>40</v>
      </c>
      <c r="D4" s="3">
        <v>6.0338000000000003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6.0338000000000003</v>
      </c>
    </row>
    <row r="5" spans="1:16" x14ac:dyDescent="0.3">
      <c r="A5" s="2" t="s">
        <v>29</v>
      </c>
      <c r="B5" s="2" t="s">
        <v>17</v>
      </c>
      <c r="C5" s="9" t="s">
        <v>41</v>
      </c>
      <c r="D5" s="3">
        <v>6.3643999999999998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6.3643999999999998</v>
      </c>
    </row>
    <row r="6" spans="1:16" x14ac:dyDescent="0.3">
      <c r="A6" s="2" t="s">
        <v>29</v>
      </c>
      <c r="B6" s="2" t="s">
        <v>18</v>
      </c>
      <c r="C6" s="9" t="s">
        <v>38</v>
      </c>
      <c r="D6" s="3">
        <v>5.5124050000000002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5.5124050000000002</v>
      </c>
    </row>
    <row r="7" spans="1:16" x14ac:dyDescent="0.3">
      <c r="A7" s="2" t="s">
        <v>29</v>
      </c>
      <c r="B7" s="2" t="s">
        <v>18</v>
      </c>
      <c r="C7" s="9" t="s">
        <v>39</v>
      </c>
      <c r="D7" s="3">
        <v>5.9292999999999996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5.9292999999999996</v>
      </c>
    </row>
    <row r="8" spans="1:16" x14ac:dyDescent="0.3">
      <c r="A8" s="2" t="s">
        <v>29</v>
      </c>
      <c r="B8" s="2" t="s">
        <v>18</v>
      </c>
      <c r="C8" s="9" t="s">
        <v>40</v>
      </c>
      <c r="D8" s="3">
        <v>5.8932000000000002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5.8932000000000002</v>
      </c>
    </row>
    <row r="9" spans="1:16" x14ac:dyDescent="0.3">
      <c r="A9" s="2" t="s">
        <v>29</v>
      </c>
      <c r="B9" s="2" t="s">
        <v>18</v>
      </c>
      <c r="C9" s="9" t="s">
        <v>41</v>
      </c>
      <c r="D9" s="3">
        <v>6.3388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6.3388</v>
      </c>
    </row>
    <row r="10" spans="1:16" x14ac:dyDescent="0.3">
      <c r="A10" s="2" t="s">
        <v>29</v>
      </c>
      <c r="B10" s="2" t="s">
        <v>19</v>
      </c>
      <c r="C10" s="9" t="s">
        <v>38</v>
      </c>
      <c r="D10" s="5">
        <v>20.213549303797521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>
        <f t="shared" ref="P10:P17" si="1">D10</f>
        <v>20.213549303797521</v>
      </c>
    </row>
    <row r="11" spans="1:16" x14ac:dyDescent="0.3">
      <c r="A11" s="2" t="s">
        <v>29</v>
      </c>
      <c r="B11" s="2" t="s">
        <v>19</v>
      </c>
      <c r="C11" s="9" t="s">
        <v>39</v>
      </c>
      <c r="D11" s="5">
        <v>35.882940731620927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>
        <f t="shared" si="1"/>
        <v>35.882940731620927</v>
      </c>
    </row>
    <row r="12" spans="1:16" x14ac:dyDescent="0.3">
      <c r="A12" s="2" t="s">
        <v>29</v>
      </c>
      <c r="B12" s="2" t="s">
        <v>19</v>
      </c>
      <c r="C12" s="9" t="s">
        <v>40</v>
      </c>
      <c r="D12" s="5">
        <v>26.479131801058841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>
        <f t="shared" si="1"/>
        <v>26.479131801058841</v>
      </c>
    </row>
    <row r="13" spans="1:16" x14ac:dyDescent="0.3">
      <c r="A13" s="2" t="s">
        <v>29</v>
      </c>
      <c r="B13" s="2" t="s">
        <v>19</v>
      </c>
      <c r="C13" s="9" t="s">
        <v>41</v>
      </c>
      <c r="D13" s="5">
        <v>36.984260287436101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>
        <f t="shared" si="1"/>
        <v>36.984260287436101</v>
      </c>
    </row>
    <row r="14" spans="1:16" x14ac:dyDescent="0.3">
      <c r="A14" s="2" t="s">
        <v>29</v>
      </c>
      <c r="B14" s="2" t="s">
        <v>20</v>
      </c>
      <c r="C14" s="9" t="s">
        <v>38</v>
      </c>
      <c r="D14" s="7">
        <v>3032.5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>
        <f t="shared" si="1"/>
        <v>3032.5</v>
      </c>
    </row>
    <row r="15" spans="1:16" x14ac:dyDescent="0.3">
      <c r="A15" s="2" t="s">
        <v>29</v>
      </c>
      <c r="B15" s="2" t="s">
        <v>20</v>
      </c>
      <c r="C15" s="9" t="s">
        <v>39</v>
      </c>
      <c r="D15" s="7">
        <v>5790.4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>
        <f t="shared" si="1"/>
        <v>5790.4</v>
      </c>
    </row>
    <row r="16" spans="1:16" x14ac:dyDescent="0.3">
      <c r="A16" s="2" t="s">
        <v>29</v>
      </c>
      <c r="B16" s="2" t="s">
        <v>20</v>
      </c>
      <c r="C16" s="9" t="s">
        <v>40</v>
      </c>
      <c r="D16" s="7">
        <v>4246.8999999999996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>
        <f t="shared" si="1"/>
        <v>4246.8999999999996</v>
      </c>
    </row>
    <row r="17" spans="1:16" x14ac:dyDescent="0.3">
      <c r="A17" s="2" t="s">
        <v>29</v>
      </c>
      <c r="B17" s="2" t="s">
        <v>20</v>
      </c>
      <c r="C17" s="9" t="s">
        <v>41</v>
      </c>
      <c r="D17" s="7">
        <v>6380.3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>
        <f t="shared" si="1"/>
        <v>6380.3</v>
      </c>
    </row>
    <row r="18" spans="1:16" x14ac:dyDescent="0.3">
      <c r="A18" s="2" t="s">
        <v>29</v>
      </c>
      <c r="B18" s="2" t="s">
        <v>21</v>
      </c>
      <c r="C18" s="9" t="s">
        <v>38</v>
      </c>
      <c r="D18" s="7">
        <v>404.714</v>
      </c>
      <c r="E18" s="7">
        <v>224.798</v>
      </c>
      <c r="F18" s="7">
        <v>263.80399999999997</v>
      </c>
      <c r="G18" s="7">
        <v>228.40199999999999</v>
      </c>
      <c r="H18" s="7">
        <v>99.891999999999996</v>
      </c>
      <c r="I18" s="7">
        <v>149.309</v>
      </c>
      <c r="J18" s="7">
        <v>147.04300000000001</v>
      </c>
      <c r="K18" s="7">
        <v>182.148</v>
      </c>
      <c r="L18" s="7">
        <v>243.91800000000001</v>
      </c>
      <c r="M18" s="7">
        <v>267.95999999999998</v>
      </c>
      <c r="N18" s="7">
        <v>192.16900000000001</v>
      </c>
      <c r="O18" s="7">
        <v>298.86599999999999</v>
      </c>
      <c r="P18" s="8">
        <f t="shared" ref="P18:P25" si="2">SUM(D18:O18)</f>
        <v>2703.0229999999997</v>
      </c>
    </row>
    <row r="19" spans="1:16" x14ac:dyDescent="0.3">
      <c r="A19" s="2" t="s">
        <v>29</v>
      </c>
      <c r="B19" s="2" t="s">
        <v>21</v>
      </c>
      <c r="C19" s="9" t="s">
        <v>39</v>
      </c>
      <c r="D19" s="7">
        <v>140.85400000000001</v>
      </c>
      <c r="E19" s="7">
        <v>229.215</v>
      </c>
      <c r="F19" s="7">
        <v>478.04</v>
      </c>
      <c r="G19" s="7">
        <v>736.34</v>
      </c>
      <c r="H19" s="7">
        <v>343.38499999999999</v>
      </c>
      <c r="I19" s="7">
        <v>801.84</v>
      </c>
      <c r="J19" s="7">
        <v>482.64699999999999</v>
      </c>
      <c r="K19" s="7">
        <v>433.80399999999997</v>
      </c>
      <c r="L19" s="7">
        <v>567.05899999999997</v>
      </c>
      <c r="M19" s="7">
        <v>285.77</v>
      </c>
      <c r="N19" s="7">
        <v>360.20800000000003</v>
      </c>
      <c r="O19" s="7">
        <v>183.89099999999999</v>
      </c>
      <c r="P19" s="8">
        <f t="shared" si="2"/>
        <v>5043.052999999999</v>
      </c>
    </row>
    <row r="20" spans="1:16" x14ac:dyDescent="0.3">
      <c r="A20" s="2" t="s">
        <v>29</v>
      </c>
      <c r="B20" s="2" t="s">
        <v>21</v>
      </c>
      <c r="C20" s="9" t="s">
        <v>40</v>
      </c>
      <c r="D20" s="7">
        <v>177.66499999999999</v>
      </c>
      <c r="E20" s="7">
        <v>163.69200000000001</v>
      </c>
      <c r="F20" s="7">
        <v>320.61200000000002</v>
      </c>
      <c r="G20" s="7">
        <v>349.86200000000002</v>
      </c>
      <c r="H20" s="7">
        <v>265.791</v>
      </c>
      <c r="I20" s="7">
        <v>385.95800000000003</v>
      </c>
      <c r="J20" s="7">
        <v>301.142</v>
      </c>
      <c r="K20" s="7">
        <v>417.62400000000002</v>
      </c>
      <c r="L20" s="7">
        <v>446.75700000000001</v>
      </c>
      <c r="M20" s="7">
        <v>296.23500000000001</v>
      </c>
      <c r="N20" s="7">
        <v>208.36799999999999</v>
      </c>
      <c r="O20" s="7">
        <v>190.964</v>
      </c>
      <c r="P20" s="8">
        <f t="shared" si="2"/>
        <v>3524.6700000000005</v>
      </c>
    </row>
    <row r="21" spans="1:16" x14ac:dyDescent="0.3">
      <c r="A21" s="2" t="s">
        <v>29</v>
      </c>
      <c r="B21" s="2" t="s">
        <v>21</v>
      </c>
      <c r="C21" s="9" t="s">
        <v>41</v>
      </c>
      <c r="D21" s="7">
        <v>240.17</v>
      </c>
      <c r="E21" s="7">
        <v>154.905</v>
      </c>
      <c r="F21" s="7">
        <v>533.24299999999994</v>
      </c>
      <c r="G21" s="7">
        <v>520.28800000000001</v>
      </c>
      <c r="H21" s="7">
        <v>782.35699999999997</v>
      </c>
      <c r="I21" s="7">
        <v>693.19499999999994</v>
      </c>
      <c r="J21" s="7">
        <v>292.16399999999999</v>
      </c>
      <c r="K21" s="7">
        <v>512.58199999999999</v>
      </c>
      <c r="L21" s="7">
        <v>739.00800000000004</v>
      </c>
      <c r="M21" s="7">
        <v>557.60300000000007</v>
      </c>
      <c r="N21" s="7">
        <v>321.892</v>
      </c>
      <c r="O21" s="7">
        <v>452.08699999999999</v>
      </c>
      <c r="P21" s="8">
        <f t="shared" si="2"/>
        <v>5799.4939999999988</v>
      </c>
    </row>
    <row r="22" spans="1:16" x14ac:dyDescent="0.3">
      <c r="A22" s="2" t="s">
        <v>29</v>
      </c>
      <c r="B22" s="2" t="s">
        <v>22</v>
      </c>
      <c r="C22" s="9" t="s">
        <v>38</v>
      </c>
      <c r="D22" s="7">
        <v>0.98399999999999999</v>
      </c>
      <c r="E22" s="7">
        <v>1.6060000000000001</v>
      </c>
      <c r="F22" s="7">
        <v>2.5139999999999998</v>
      </c>
      <c r="G22" s="7">
        <v>0.82299999999999995</v>
      </c>
      <c r="H22" s="7">
        <v>0.85499999999999998</v>
      </c>
      <c r="I22" s="7">
        <v>0.25900000000000001</v>
      </c>
      <c r="J22" s="7">
        <v>0.127</v>
      </c>
      <c r="K22" s="7">
        <v>0.20699999999999999</v>
      </c>
      <c r="L22" s="7">
        <v>0.184</v>
      </c>
      <c r="M22" s="7">
        <v>0.17499999999999999</v>
      </c>
      <c r="N22" s="7">
        <v>3.1E-2</v>
      </c>
      <c r="O22" s="7">
        <v>9.0999999999999998E-2</v>
      </c>
      <c r="P22" s="8">
        <f t="shared" si="2"/>
        <v>7.8559999999999999</v>
      </c>
    </row>
    <row r="23" spans="1:16" x14ac:dyDescent="0.3">
      <c r="A23" s="2" t="s">
        <v>29</v>
      </c>
      <c r="B23" s="2" t="s">
        <v>22</v>
      </c>
      <c r="C23" s="9" t="s">
        <v>39</v>
      </c>
      <c r="D23" s="7">
        <v>0.113</v>
      </c>
      <c r="E23" s="7">
        <v>0.219</v>
      </c>
      <c r="F23" s="7">
        <v>6.5000000000000002E-2</v>
      </c>
      <c r="G23" s="7">
        <v>4.5999999999999999E-2</v>
      </c>
      <c r="H23" s="7">
        <v>3.2000000000000001E-2</v>
      </c>
      <c r="I23" s="7">
        <v>0</v>
      </c>
      <c r="J23" s="7">
        <v>0.1</v>
      </c>
      <c r="K23" s="7">
        <v>1.4999999999999999E-2</v>
      </c>
      <c r="L23" s="7">
        <v>3.3000000000000002E-2</v>
      </c>
      <c r="M23" s="7">
        <v>0.621</v>
      </c>
      <c r="N23" s="7">
        <v>0.16500000000000001</v>
      </c>
      <c r="O23" s="7">
        <v>6.8000000000000005E-2</v>
      </c>
      <c r="P23" s="8">
        <f t="shared" si="2"/>
        <v>1.4770000000000001</v>
      </c>
    </row>
    <row r="24" spans="1:16" x14ac:dyDescent="0.3">
      <c r="A24" s="2" t="s">
        <v>29</v>
      </c>
      <c r="B24" s="2" t="s">
        <v>22</v>
      </c>
      <c r="C24" s="9" t="s">
        <v>40</v>
      </c>
      <c r="D24" s="7">
        <v>1.107</v>
      </c>
      <c r="E24" s="7">
        <v>0.53600000000000003</v>
      </c>
      <c r="F24" s="7">
        <v>0.63400000000000001</v>
      </c>
      <c r="G24" s="7">
        <v>0.28399999999999997</v>
      </c>
      <c r="H24" s="7">
        <v>0.11700000000000001</v>
      </c>
      <c r="I24" s="7">
        <v>0</v>
      </c>
      <c r="J24" s="7">
        <v>0</v>
      </c>
      <c r="K24" s="7">
        <v>0.23799999999999999</v>
      </c>
      <c r="L24" s="7">
        <v>0.26900000000000002</v>
      </c>
      <c r="M24" s="7">
        <v>8.8999999999999996E-2</v>
      </c>
      <c r="N24" s="7">
        <v>0.34799999999999998</v>
      </c>
      <c r="O24" s="7">
        <v>1.0680000000000001</v>
      </c>
      <c r="P24" s="8">
        <f t="shared" si="2"/>
        <v>4.6899999999999995</v>
      </c>
    </row>
    <row r="25" spans="1:16" x14ac:dyDescent="0.3">
      <c r="A25" s="2" t="s">
        <v>29</v>
      </c>
      <c r="B25" s="2" t="s">
        <v>22</v>
      </c>
      <c r="C25" s="9" t="s">
        <v>41</v>
      </c>
      <c r="D25" s="7">
        <v>0.38700000000000001</v>
      </c>
      <c r="E25" s="7">
        <v>1.2999999999999999E-2</v>
      </c>
      <c r="F25" s="7">
        <v>8.3000000000000004E-2</v>
      </c>
      <c r="G25" s="7">
        <v>0</v>
      </c>
      <c r="H25" s="7">
        <v>0</v>
      </c>
      <c r="I25" s="7">
        <v>0</v>
      </c>
      <c r="J25" s="7">
        <v>0.99299999999999999</v>
      </c>
      <c r="K25" s="7">
        <v>2.5000000000000001E-2</v>
      </c>
      <c r="L25" s="7">
        <v>7.0999999999999994E-2</v>
      </c>
      <c r="M25" s="7">
        <v>7.5999999999999998E-2</v>
      </c>
      <c r="N25" s="7">
        <v>1.1259999999999999</v>
      </c>
      <c r="O25" s="7">
        <v>2.3010000000000002</v>
      </c>
      <c r="P25" s="8">
        <f t="shared" si="2"/>
        <v>5.0750000000000002</v>
      </c>
    </row>
    <row r="26" spans="1:16" x14ac:dyDescent="0.3">
      <c r="A26" s="2" t="s">
        <v>29</v>
      </c>
      <c r="B26" s="2" t="s">
        <v>23</v>
      </c>
      <c r="C26" s="9" t="s">
        <v>38</v>
      </c>
      <c r="D26" s="7">
        <v>17.508333333333329</v>
      </c>
      <c r="E26" s="7">
        <v>17.508333333333329</v>
      </c>
      <c r="F26" s="7">
        <v>17.508333333333329</v>
      </c>
      <c r="G26" s="7">
        <v>17.508333333333329</v>
      </c>
      <c r="H26" s="7">
        <v>17.508333333333329</v>
      </c>
      <c r="I26" s="7">
        <v>17.508333333333329</v>
      </c>
      <c r="J26" s="7">
        <v>17.508333333333329</v>
      </c>
      <c r="K26" s="7">
        <v>17.508333333333329</v>
      </c>
      <c r="L26" s="7">
        <v>17.508333333333329</v>
      </c>
      <c r="M26" s="7">
        <v>17.508333333333329</v>
      </c>
      <c r="N26" s="7">
        <v>17.508333333333329</v>
      </c>
      <c r="O26" s="7">
        <v>17.508333333333329</v>
      </c>
      <c r="P26" s="8">
        <f t="shared" ref="P26:P37" si="3">SUM(D26:O26)</f>
        <v>210.09999999999994</v>
      </c>
    </row>
    <row r="27" spans="1:16" x14ac:dyDescent="0.3">
      <c r="A27" s="2" t="s">
        <v>29</v>
      </c>
      <c r="B27" s="2" t="s">
        <v>23</v>
      </c>
      <c r="C27" s="9" t="s">
        <v>39</v>
      </c>
      <c r="D27" s="7">
        <v>16.18333333333333</v>
      </c>
      <c r="E27" s="7">
        <v>16.18333333333333</v>
      </c>
      <c r="F27" s="7">
        <v>16.18333333333333</v>
      </c>
      <c r="G27" s="7">
        <v>16.18333333333333</v>
      </c>
      <c r="H27" s="7">
        <v>16.18333333333333</v>
      </c>
      <c r="I27" s="7">
        <v>16.18333333333333</v>
      </c>
      <c r="J27" s="7">
        <v>16.18333333333333</v>
      </c>
      <c r="K27" s="7">
        <v>16.18333333333333</v>
      </c>
      <c r="L27" s="7">
        <v>16.18333333333333</v>
      </c>
      <c r="M27" s="7">
        <v>16.18333333333333</v>
      </c>
      <c r="N27" s="7">
        <v>16.18333333333333</v>
      </c>
      <c r="O27" s="7">
        <v>16.18333333333333</v>
      </c>
      <c r="P27" s="8">
        <f t="shared" si="3"/>
        <v>194.20000000000002</v>
      </c>
    </row>
    <row r="28" spans="1:16" x14ac:dyDescent="0.3">
      <c r="A28" s="2" t="s">
        <v>29</v>
      </c>
      <c r="B28" s="2" t="s">
        <v>23</v>
      </c>
      <c r="C28" s="9" t="s">
        <v>40</v>
      </c>
      <c r="D28" s="7">
        <v>15.925000000000001</v>
      </c>
      <c r="E28" s="7">
        <v>15.925000000000001</v>
      </c>
      <c r="F28" s="7">
        <v>15.925000000000001</v>
      </c>
      <c r="G28" s="7">
        <v>15.925000000000001</v>
      </c>
      <c r="H28" s="7">
        <v>15.925000000000001</v>
      </c>
      <c r="I28" s="7">
        <v>15.925000000000001</v>
      </c>
      <c r="J28" s="7">
        <v>15.925000000000001</v>
      </c>
      <c r="K28" s="7">
        <v>15.925000000000001</v>
      </c>
      <c r="L28" s="7">
        <v>15.925000000000001</v>
      </c>
      <c r="M28" s="7">
        <v>15.925000000000001</v>
      </c>
      <c r="N28" s="7">
        <v>15.925000000000001</v>
      </c>
      <c r="O28" s="7">
        <v>15.925000000000001</v>
      </c>
      <c r="P28" s="8">
        <f t="shared" si="3"/>
        <v>191.10000000000002</v>
      </c>
    </row>
    <row r="29" spans="1:16" x14ac:dyDescent="0.3">
      <c r="A29" s="2" t="s">
        <v>29</v>
      </c>
      <c r="B29" s="2" t="s">
        <v>23</v>
      </c>
      <c r="C29" s="9" t="s">
        <v>41</v>
      </c>
      <c r="D29" s="7">
        <v>16.074999999999999</v>
      </c>
      <c r="E29" s="7">
        <v>16.074999999999999</v>
      </c>
      <c r="F29" s="7">
        <v>16.074999999999999</v>
      </c>
      <c r="G29" s="7">
        <v>16.074999999999999</v>
      </c>
      <c r="H29" s="7">
        <v>16.074999999999999</v>
      </c>
      <c r="I29" s="7">
        <v>16.074999999999999</v>
      </c>
      <c r="J29" s="7">
        <v>16.074999999999999</v>
      </c>
      <c r="K29" s="7">
        <v>16.074999999999999</v>
      </c>
      <c r="L29" s="7">
        <v>16.074999999999999</v>
      </c>
      <c r="M29" s="7">
        <v>16.074999999999999</v>
      </c>
      <c r="N29" s="7">
        <v>16.074999999999999</v>
      </c>
      <c r="O29" s="7">
        <v>16.074999999999999</v>
      </c>
      <c r="P29" s="8">
        <f t="shared" si="3"/>
        <v>192.89999999999995</v>
      </c>
    </row>
    <row r="30" spans="1:16" x14ac:dyDescent="0.3">
      <c r="A30" s="2" t="s">
        <v>29</v>
      </c>
      <c r="B30" s="2" t="s">
        <v>24</v>
      </c>
      <c r="C30" s="9" t="s">
        <v>38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8">
        <f t="shared" si="3"/>
        <v>0</v>
      </c>
    </row>
    <row r="31" spans="1:16" x14ac:dyDescent="0.3">
      <c r="A31" s="2" t="s">
        <v>29</v>
      </c>
      <c r="B31" s="2" t="s">
        <v>24</v>
      </c>
      <c r="C31" s="9" t="s">
        <v>39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8">
        <f t="shared" si="3"/>
        <v>0</v>
      </c>
    </row>
    <row r="32" spans="1:16" x14ac:dyDescent="0.3">
      <c r="A32" s="2" t="s">
        <v>29</v>
      </c>
      <c r="B32" s="2" t="s">
        <v>24</v>
      </c>
      <c r="C32" s="9" t="s">
        <v>40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8">
        <f t="shared" si="3"/>
        <v>0</v>
      </c>
    </row>
    <row r="33" spans="1:16" x14ac:dyDescent="0.3">
      <c r="A33" s="2" t="s">
        <v>29</v>
      </c>
      <c r="B33" s="2" t="s">
        <v>24</v>
      </c>
      <c r="C33" s="9" t="s">
        <v>41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8">
        <f t="shared" si="3"/>
        <v>0</v>
      </c>
    </row>
    <row r="34" spans="1:16" x14ac:dyDescent="0.3">
      <c r="A34" s="2" t="s">
        <v>29</v>
      </c>
      <c r="B34" s="2" t="s">
        <v>25</v>
      </c>
      <c r="C34" s="9" t="s">
        <v>38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8">
        <f t="shared" si="3"/>
        <v>0</v>
      </c>
    </row>
    <row r="35" spans="1:16" x14ac:dyDescent="0.3">
      <c r="A35" s="2" t="s">
        <v>29</v>
      </c>
      <c r="B35" s="2" t="s">
        <v>25</v>
      </c>
      <c r="C35" s="9" t="s">
        <v>39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8">
        <f t="shared" si="3"/>
        <v>0</v>
      </c>
    </row>
    <row r="36" spans="1:16" x14ac:dyDescent="0.3">
      <c r="A36" s="2" t="s">
        <v>29</v>
      </c>
      <c r="B36" s="2" t="s">
        <v>25</v>
      </c>
      <c r="C36" s="9" t="s">
        <v>40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8">
        <f t="shared" si="3"/>
        <v>0</v>
      </c>
    </row>
    <row r="37" spans="1:16" x14ac:dyDescent="0.3">
      <c r="A37" s="2" t="s">
        <v>29</v>
      </c>
      <c r="B37" s="2" t="s">
        <v>25</v>
      </c>
      <c r="C37" s="9" t="s">
        <v>41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8">
        <f t="shared" si="3"/>
        <v>0</v>
      </c>
    </row>
    <row r="38" spans="1:16" x14ac:dyDescent="0.3">
      <c r="A38" s="2" t="s">
        <v>29</v>
      </c>
      <c r="B38" s="2" t="s">
        <v>26</v>
      </c>
      <c r="C38" s="9" t="s">
        <v>38</v>
      </c>
      <c r="D38" s="7">
        <f t="shared" ref="D38:O38" si="4">D26+D30</f>
        <v>17.508333333333329</v>
      </c>
      <c r="E38" s="7">
        <f t="shared" si="4"/>
        <v>17.508333333333329</v>
      </c>
      <c r="F38" s="7">
        <f t="shared" si="4"/>
        <v>17.508333333333329</v>
      </c>
      <c r="G38" s="7">
        <f t="shared" si="4"/>
        <v>17.508333333333329</v>
      </c>
      <c r="H38" s="7">
        <f t="shared" si="4"/>
        <v>17.508333333333329</v>
      </c>
      <c r="I38" s="7">
        <f t="shared" si="4"/>
        <v>17.508333333333329</v>
      </c>
      <c r="J38" s="7">
        <f t="shared" si="4"/>
        <v>17.508333333333329</v>
      </c>
      <c r="K38" s="7">
        <f t="shared" si="4"/>
        <v>17.508333333333329</v>
      </c>
      <c r="L38" s="7">
        <f t="shared" si="4"/>
        <v>17.508333333333329</v>
      </c>
      <c r="M38" s="7">
        <f t="shared" si="4"/>
        <v>17.508333333333329</v>
      </c>
      <c r="N38" s="7">
        <f t="shared" si="4"/>
        <v>17.508333333333329</v>
      </c>
      <c r="O38" s="7">
        <f t="shared" si="4"/>
        <v>17.508333333333329</v>
      </c>
      <c r="P38" s="8">
        <f t="shared" ref="P38:P45" si="5">SUM(D38:O38)</f>
        <v>210.09999999999994</v>
      </c>
    </row>
    <row r="39" spans="1:16" x14ac:dyDescent="0.3">
      <c r="A39" s="2" t="s">
        <v>29</v>
      </c>
      <c r="B39" s="2" t="s">
        <v>26</v>
      </c>
      <c r="C39" s="9" t="s">
        <v>39</v>
      </c>
      <c r="D39" s="7">
        <f t="shared" ref="D39:O39" si="6">D27+D31</f>
        <v>16.18333333333333</v>
      </c>
      <c r="E39" s="7">
        <f t="shared" si="6"/>
        <v>16.18333333333333</v>
      </c>
      <c r="F39" s="7">
        <f t="shared" si="6"/>
        <v>16.18333333333333</v>
      </c>
      <c r="G39" s="7">
        <f t="shared" si="6"/>
        <v>16.18333333333333</v>
      </c>
      <c r="H39" s="7">
        <f t="shared" si="6"/>
        <v>16.18333333333333</v>
      </c>
      <c r="I39" s="7">
        <f t="shared" si="6"/>
        <v>16.18333333333333</v>
      </c>
      <c r="J39" s="7">
        <f t="shared" si="6"/>
        <v>16.18333333333333</v>
      </c>
      <c r="K39" s="7">
        <f t="shared" si="6"/>
        <v>16.18333333333333</v>
      </c>
      <c r="L39" s="7">
        <f t="shared" si="6"/>
        <v>16.18333333333333</v>
      </c>
      <c r="M39" s="7">
        <f t="shared" si="6"/>
        <v>16.18333333333333</v>
      </c>
      <c r="N39" s="7">
        <f t="shared" si="6"/>
        <v>16.18333333333333</v>
      </c>
      <c r="O39" s="7">
        <f t="shared" si="6"/>
        <v>16.18333333333333</v>
      </c>
      <c r="P39" s="8">
        <f t="shared" si="5"/>
        <v>194.20000000000002</v>
      </c>
    </row>
    <row r="40" spans="1:16" x14ac:dyDescent="0.3">
      <c r="A40" s="2" t="s">
        <v>29</v>
      </c>
      <c r="B40" s="2" t="s">
        <v>26</v>
      </c>
      <c r="C40" s="9" t="s">
        <v>40</v>
      </c>
      <c r="D40" s="7">
        <f t="shared" ref="D40:O40" si="7">D28+D32</f>
        <v>15.925000000000001</v>
      </c>
      <c r="E40" s="7">
        <f t="shared" si="7"/>
        <v>15.925000000000001</v>
      </c>
      <c r="F40" s="7">
        <f t="shared" si="7"/>
        <v>15.925000000000001</v>
      </c>
      <c r="G40" s="7">
        <f t="shared" si="7"/>
        <v>15.925000000000001</v>
      </c>
      <c r="H40" s="7">
        <f t="shared" si="7"/>
        <v>15.925000000000001</v>
      </c>
      <c r="I40" s="7">
        <f t="shared" si="7"/>
        <v>15.925000000000001</v>
      </c>
      <c r="J40" s="7">
        <f t="shared" si="7"/>
        <v>15.925000000000001</v>
      </c>
      <c r="K40" s="7">
        <f t="shared" si="7"/>
        <v>15.925000000000001</v>
      </c>
      <c r="L40" s="7">
        <f t="shared" si="7"/>
        <v>15.925000000000001</v>
      </c>
      <c r="M40" s="7">
        <f t="shared" si="7"/>
        <v>15.925000000000001</v>
      </c>
      <c r="N40" s="7">
        <f t="shared" si="7"/>
        <v>15.925000000000001</v>
      </c>
      <c r="O40" s="7">
        <f t="shared" si="7"/>
        <v>15.925000000000001</v>
      </c>
      <c r="P40" s="8">
        <f t="shared" si="5"/>
        <v>191.10000000000002</v>
      </c>
    </row>
    <row r="41" spans="1:16" x14ac:dyDescent="0.3">
      <c r="A41" s="2" t="s">
        <v>29</v>
      </c>
      <c r="B41" s="2" t="s">
        <v>26</v>
      </c>
      <c r="C41" s="9" t="s">
        <v>41</v>
      </c>
      <c r="D41" s="7">
        <f t="shared" ref="D41:O41" si="8">D29+D33</f>
        <v>16.074999999999999</v>
      </c>
      <c r="E41" s="7">
        <f t="shared" si="8"/>
        <v>16.074999999999999</v>
      </c>
      <c r="F41" s="7">
        <f t="shared" si="8"/>
        <v>16.074999999999999</v>
      </c>
      <c r="G41" s="7">
        <f t="shared" si="8"/>
        <v>16.074999999999999</v>
      </c>
      <c r="H41" s="7">
        <f t="shared" si="8"/>
        <v>16.074999999999999</v>
      </c>
      <c r="I41" s="7">
        <f t="shared" si="8"/>
        <v>16.074999999999999</v>
      </c>
      <c r="J41" s="7">
        <f t="shared" si="8"/>
        <v>16.074999999999999</v>
      </c>
      <c r="K41" s="7">
        <f t="shared" si="8"/>
        <v>16.074999999999999</v>
      </c>
      <c r="L41" s="7">
        <f t="shared" si="8"/>
        <v>16.074999999999999</v>
      </c>
      <c r="M41" s="7">
        <f t="shared" si="8"/>
        <v>16.074999999999999</v>
      </c>
      <c r="N41" s="7">
        <f t="shared" si="8"/>
        <v>16.074999999999999</v>
      </c>
      <c r="O41" s="7">
        <f t="shared" si="8"/>
        <v>16.074999999999999</v>
      </c>
      <c r="P41" s="8">
        <f t="shared" si="5"/>
        <v>192.89999999999995</v>
      </c>
    </row>
    <row r="42" spans="1:16" x14ac:dyDescent="0.3">
      <c r="A42" s="2" t="s">
        <v>29</v>
      </c>
      <c r="B42" s="2" t="s">
        <v>27</v>
      </c>
      <c r="C42" s="9" t="s">
        <v>38</v>
      </c>
      <c r="D42" s="7">
        <v>29.47775000000005</v>
      </c>
      <c r="E42" s="7">
        <v>29.47775000000005</v>
      </c>
      <c r="F42" s="7">
        <v>29.47775000000005</v>
      </c>
      <c r="G42" s="7">
        <v>29.47775000000005</v>
      </c>
      <c r="H42" s="7">
        <v>29.47775000000005</v>
      </c>
      <c r="I42" s="7">
        <v>29.47775000000005</v>
      </c>
      <c r="J42" s="7">
        <v>29.47775000000005</v>
      </c>
      <c r="K42" s="7">
        <v>29.47775000000005</v>
      </c>
      <c r="L42" s="7">
        <v>29.47775000000005</v>
      </c>
      <c r="M42" s="7">
        <v>29.47775000000005</v>
      </c>
      <c r="N42" s="7">
        <v>29.47775000000005</v>
      </c>
      <c r="O42" s="7">
        <v>29.47775000000005</v>
      </c>
      <c r="P42" s="8">
        <f t="shared" si="5"/>
        <v>353.73300000000063</v>
      </c>
    </row>
    <row r="43" spans="1:16" x14ac:dyDescent="0.3">
      <c r="A43" s="2" t="s">
        <v>29</v>
      </c>
      <c r="B43" s="2" t="s">
        <v>27</v>
      </c>
      <c r="C43" s="9" t="s">
        <v>39</v>
      </c>
      <c r="D43" s="7">
        <v>47.410333333333313</v>
      </c>
      <c r="E43" s="7">
        <v>47.410333333333313</v>
      </c>
      <c r="F43" s="7">
        <v>47.410333333333313</v>
      </c>
      <c r="G43" s="7">
        <v>47.410333333333313</v>
      </c>
      <c r="H43" s="7">
        <v>47.410333333333313</v>
      </c>
      <c r="I43" s="7">
        <v>47.410333333333313</v>
      </c>
      <c r="J43" s="7">
        <v>47.410333333333313</v>
      </c>
      <c r="K43" s="7">
        <v>47.410333333333313</v>
      </c>
      <c r="L43" s="7">
        <v>47.410333333333313</v>
      </c>
      <c r="M43" s="7">
        <v>47.410333333333313</v>
      </c>
      <c r="N43" s="7">
        <v>47.410333333333313</v>
      </c>
      <c r="O43" s="7">
        <v>47.410333333333313</v>
      </c>
      <c r="P43" s="8">
        <f t="shared" si="5"/>
        <v>568.92399999999975</v>
      </c>
    </row>
    <row r="44" spans="1:16" x14ac:dyDescent="0.3">
      <c r="A44" s="2" t="s">
        <v>29</v>
      </c>
      <c r="B44" s="2" t="s">
        <v>27</v>
      </c>
      <c r="C44" s="9" t="s">
        <v>40</v>
      </c>
      <c r="D44" s="7">
        <v>36.593333333333298</v>
      </c>
      <c r="E44" s="7">
        <v>36.593333333333298</v>
      </c>
      <c r="F44" s="7">
        <v>36.593333333333298</v>
      </c>
      <c r="G44" s="7">
        <v>36.593333333333298</v>
      </c>
      <c r="H44" s="7">
        <v>36.593333333333298</v>
      </c>
      <c r="I44" s="7">
        <v>36.593333333333298</v>
      </c>
      <c r="J44" s="7">
        <v>36.593333333333298</v>
      </c>
      <c r="K44" s="7">
        <v>36.593333333333298</v>
      </c>
      <c r="L44" s="7">
        <v>36.593333333333298</v>
      </c>
      <c r="M44" s="7">
        <v>36.593333333333298</v>
      </c>
      <c r="N44" s="7">
        <v>36.593333333333298</v>
      </c>
      <c r="O44" s="7">
        <v>36.593333333333298</v>
      </c>
      <c r="P44" s="8">
        <f t="shared" si="5"/>
        <v>439.11999999999961</v>
      </c>
    </row>
    <row r="45" spans="1:16" x14ac:dyDescent="0.3">
      <c r="A45" s="2" t="s">
        <v>29</v>
      </c>
      <c r="B45" s="2" t="s">
        <v>27</v>
      </c>
      <c r="C45" s="9" t="s">
        <v>41</v>
      </c>
      <c r="D45" s="7">
        <v>45.83174999999995</v>
      </c>
      <c r="E45" s="7">
        <v>45.83174999999995</v>
      </c>
      <c r="F45" s="7">
        <v>45.83174999999995</v>
      </c>
      <c r="G45" s="7">
        <v>45.83174999999995</v>
      </c>
      <c r="H45" s="7">
        <v>45.83174999999995</v>
      </c>
      <c r="I45" s="7">
        <v>45.83174999999995</v>
      </c>
      <c r="J45" s="7">
        <v>45.83174999999995</v>
      </c>
      <c r="K45" s="7">
        <v>45.83174999999995</v>
      </c>
      <c r="L45" s="7">
        <v>45.83174999999995</v>
      </c>
      <c r="M45" s="7">
        <v>45.83174999999995</v>
      </c>
      <c r="N45" s="7">
        <v>45.83174999999995</v>
      </c>
      <c r="O45" s="7">
        <v>45.83174999999995</v>
      </c>
      <c r="P45" s="8">
        <f t="shared" si="5"/>
        <v>549.98099999999943</v>
      </c>
    </row>
    <row r="46" spans="1:16" x14ac:dyDescent="0.3">
      <c r="A46" s="2" t="s">
        <v>29</v>
      </c>
      <c r="B46" s="2" t="s">
        <v>28</v>
      </c>
      <c r="C46" s="9" t="s">
        <v>38</v>
      </c>
      <c r="D46" s="7" t="e">
        <f>#REF!+D14+D22-D18-D38-D42-D34</f>
        <v>#REF!</v>
      </c>
      <c r="E46" s="7" t="e">
        <f t="shared" ref="E46:O46" si="9">D46+E14+E22-E18-E38-E42-E34</f>
        <v>#REF!</v>
      </c>
      <c r="F46" s="7" t="e">
        <f t="shared" si="9"/>
        <v>#REF!</v>
      </c>
      <c r="G46" s="7" t="e">
        <f t="shared" si="9"/>
        <v>#REF!</v>
      </c>
      <c r="H46" s="7" t="e">
        <f t="shared" si="9"/>
        <v>#REF!</v>
      </c>
      <c r="I46" s="7" t="e">
        <f t="shared" si="9"/>
        <v>#REF!</v>
      </c>
      <c r="J46" s="7" t="e">
        <f t="shared" si="9"/>
        <v>#REF!</v>
      </c>
      <c r="K46" s="7" t="e">
        <f t="shared" si="9"/>
        <v>#REF!</v>
      </c>
      <c r="L46" s="7" t="e">
        <f t="shared" si="9"/>
        <v>#REF!</v>
      </c>
      <c r="M46" s="7" t="e">
        <f t="shared" si="9"/>
        <v>#REF!</v>
      </c>
      <c r="N46" s="7" t="e">
        <f t="shared" si="9"/>
        <v>#REF!</v>
      </c>
      <c r="O46" s="7" t="e">
        <f t="shared" si="9"/>
        <v>#REF!</v>
      </c>
      <c r="P46" s="8" t="e">
        <f t="shared" ref="P46:P49" si="10">O46</f>
        <v>#REF!</v>
      </c>
    </row>
    <row r="47" spans="1:16" x14ac:dyDescent="0.3">
      <c r="A47" s="2" t="s">
        <v>29</v>
      </c>
      <c r="B47" s="2" t="s">
        <v>28</v>
      </c>
      <c r="C47" s="9" t="s">
        <v>39</v>
      </c>
      <c r="D47" s="7" t="e">
        <f>O46+D15+D23-D19-D39-D43-D35</f>
        <v>#REF!</v>
      </c>
      <c r="E47" s="7" t="e">
        <f t="shared" ref="E47:O47" si="11">D47+E15+E23-E19-E39-E43-E35</f>
        <v>#REF!</v>
      </c>
      <c r="F47" s="7" t="e">
        <f t="shared" si="11"/>
        <v>#REF!</v>
      </c>
      <c r="G47" s="7" t="e">
        <f t="shared" si="11"/>
        <v>#REF!</v>
      </c>
      <c r="H47" s="7" t="e">
        <f t="shared" si="11"/>
        <v>#REF!</v>
      </c>
      <c r="I47" s="7" t="e">
        <f t="shared" si="11"/>
        <v>#REF!</v>
      </c>
      <c r="J47" s="7" t="e">
        <f t="shared" si="11"/>
        <v>#REF!</v>
      </c>
      <c r="K47" s="7" t="e">
        <f t="shared" si="11"/>
        <v>#REF!</v>
      </c>
      <c r="L47" s="7" t="e">
        <f t="shared" si="11"/>
        <v>#REF!</v>
      </c>
      <c r="M47" s="7" t="e">
        <f t="shared" si="11"/>
        <v>#REF!</v>
      </c>
      <c r="N47" s="7" t="e">
        <f t="shared" si="11"/>
        <v>#REF!</v>
      </c>
      <c r="O47" s="7" t="e">
        <f t="shared" si="11"/>
        <v>#REF!</v>
      </c>
      <c r="P47" s="8" t="e">
        <f t="shared" si="10"/>
        <v>#REF!</v>
      </c>
    </row>
    <row r="48" spans="1:16" x14ac:dyDescent="0.3">
      <c r="A48" s="2" t="s">
        <v>29</v>
      </c>
      <c r="B48" s="2" t="s">
        <v>28</v>
      </c>
      <c r="C48" s="9" t="s">
        <v>40</v>
      </c>
      <c r="D48" s="7" t="e">
        <f>O47+D16+D24-D20-D40-D44-D36</f>
        <v>#REF!</v>
      </c>
      <c r="E48" s="7" t="e">
        <f t="shared" ref="E48:O48" si="12">D48+E16+E24-E20-E40-E44-E36</f>
        <v>#REF!</v>
      </c>
      <c r="F48" s="7" t="e">
        <f t="shared" si="12"/>
        <v>#REF!</v>
      </c>
      <c r="G48" s="7" t="e">
        <f t="shared" si="12"/>
        <v>#REF!</v>
      </c>
      <c r="H48" s="7" t="e">
        <f t="shared" si="12"/>
        <v>#REF!</v>
      </c>
      <c r="I48" s="7" t="e">
        <f t="shared" si="12"/>
        <v>#REF!</v>
      </c>
      <c r="J48" s="7" t="e">
        <f t="shared" si="12"/>
        <v>#REF!</v>
      </c>
      <c r="K48" s="7" t="e">
        <f t="shared" si="12"/>
        <v>#REF!</v>
      </c>
      <c r="L48" s="7" t="e">
        <f t="shared" si="12"/>
        <v>#REF!</v>
      </c>
      <c r="M48" s="7" t="e">
        <f t="shared" si="12"/>
        <v>#REF!</v>
      </c>
      <c r="N48" s="7" t="e">
        <f t="shared" si="12"/>
        <v>#REF!</v>
      </c>
      <c r="O48" s="7" t="e">
        <f t="shared" si="12"/>
        <v>#REF!</v>
      </c>
      <c r="P48" s="8" t="e">
        <f t="shared" si="10"/>
        <v>#REF!</v>
      </c>
    </row>
    <row r="49" spans="1:16" x14ac:dyDescent="0.3">
      <c r="A49" s="2" t="s">
        <v>29</v>
      </c>
      <c r="B49" s="2" t="s">
        <v>28</v>
      </c>
      <c r="C49" s="9" t="s">
        <v>41</v>
      </c>
      <c r="D49" s="7" t="e">
        <f>O48+D17+D25-D21-D41-D45-D37</f>
        <v>#REF!</v>
      </c>
      <c r="E49" s="7" t="e">
        <f t="shared" ref="E49:O49" si="13">D49+E17+E25-E21-E41-E45-E37</f>
        <v>#REF!</v>
      </c>
      <c r="F49" s="7" t="e">
        <f t="shared" si="13"/>
        <v>#REF!</v>
      </c>
      <c r="G49" s="7" t="e">
        <f t="shared" si="13"/>
        <v>#REF!</v>
      </c>
      <c r="H49" s="7" t="e">
        <f t="shared" si="13"/>
        <v>#REF!</v>
      </c>
      <c r="I49" s="7" t="e">
        <f t="shared" si="13"/>
        <v>#REF!</v>
      </c>
      <c r="J49" s="7" t="e">
        <f t="shared" si="13"/>
        <v>#REF!</v>
      </c>
      <c r="K49" s="7" t="e">
        <f t="shared" si="13"/>
        <v>#REF!</v>
      </c>
      <c r="L49" s="7" t="e">
        <f t="shared" si="13"/>
        <v>#REF!</v>
      </c>
      <c r="M49" s="7" t="e">
        <f t="shared" si="13"/>
        <v>#REF!</v>
      </c>
      <c r="N49" s="7" t="e">
        <f t="shared" si="13"/>
        <v>#REF!</v>
      </c>
      <c r="O49" s="7" t="e">
        <f t="shared" si="13"/>
        <v>#REF!</v>
      </c>
      <c r="P49" s="8" t="e">
        <f t="shared" si="10"/>
        <v>#REF!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D839-E855-474D-BDDD-9E62A7F84CFB}">
  <dimension ref="A1:P49"/>
  <sheetViews>
    <sheetView workbookViewId="0">
      <pane xSplit="3" ySplit="1" topLeftCell="D2" activePane="bottomRight" state="frozen"/>
      <selection activeCell="S35" sqref="S35"/>
      <selection pane="topRight" activeCell="S35" sqref="S35"/>
      <selection pane="bottomLeft" activeCell="S35" sqref="S35"/>
      <selection pane="bottomRight" activeCell="S35" sqref="S35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30</v>
      </c>
      <c r="B2" s="2" t="s">
        <v>17</v>
      </c>
      <c r="C2" s="9" t="s">
        <v>38</v>
      </c>
      <c r="D2" s="3">
        <v>22.270249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9" si="0">D2</f>
        <v>22.270249</v>
      </c>
    </row>
    <row r="3" spans="1:16" x14ac:dyDescent="0.3">
      <c r="A3" s="2" t="s">
        <v>30</v>
      </c>
      <c r="B3" s="2" t="s">
        <v>17</v>
      </c>
      <c r="C3" s="9" t="s">
        <v>39</v>
      </c>
      <c r="D3" s="3">
        <v>21.395700000000001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21.395700000000001</v>
      </c>
    </row>
    <row r="4" spans="1:16" x14ac:dyDescent="0.3">
      <c r="A4" s="2" t="s">
        <v>30</v>
      </c>
      <c r="B4" s="2" t="s">
        <v>17</v>
      </c>
      <c r="C4" s="9" t="s">
        <v>40</v>
      </c>
      <c r="D4" s="3">
        <v>22.0867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22.0867</v>
      </c>
    </row>
    <row r="5" spans="1:16" x14ac:dyDescent="0.3">
      <c r="A5" s="2" t="s">
        <v>30</v>
      </c>
      <c r="B5" s="2" t="s">
        <v>17</v>
      </c>
      <c r="C5" s="9" t="s">
        <v>41</v>
      </c>
      <c r="D5" s="3">
        <v>22.0108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22.0108</v>
      </c>
    </row>
    <row r="6" spans="1:16" x14ac:dyDescent="0.3">
      <c r="A6" s="2" t="s">
        <v>30</v>
      </c>
      <c r="B6" s="2" t="s">
        <v>18</v>
      </c>
      <c r="C6" s="9" t="s">
        <v>38</v>
      </c>
      <c r="D6" s="3">
        <v>22.10622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22.10622</v>
      </c>
    </row>
    <row r="7" spans="1:16" x14ac:dyDescent="0.3">
      <c r="A7" s="2" t="s">
        <v>30</v>
      </c>
      <c r="B7" s="2" t="s">
        <v>18</v>
      </c>
      <c r="C7" s="9" t="s">
        <v>39</v>
      </c>
      <c r="D7" s="3">
        <v>21.241800000000001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21.241800000000001</v>
      </c>
    </row>
    <row r="8" spans="1:16" x14ac:dyDescent="0.3">
      <c r="A8" s="2" t="s">
        <v>30</v>
      </c>
      <c r="B8" s="2" t="s">
        <v>18</v>
      </c>
      <c r="C8" s="9" t="s">
        <v>40</v>
      </c>
      <c r="D8" s="3">
        <v>21.885200000000001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21.885200000000001</v>
      </c>
    </row>
    <row r="9" spans="1:16" x14ac:dyDescent="0.3">
      <c r="A9" s="2" t="s">
        <v>30</v>
      </c>
      <c r="B9" s="2" t="s">
        <v>18</v>
      </c>
      <c r="C9" s="9" t="s">
        <v>41</v>
      </c>
      <c r="D9" s="3">
        <v>21.858599999999999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21.858599999999999</v>
      </c>
    </row>
    <row r="10" spans="1:16" x14ac:dyDescent="0.3">
      <c r="A10" s="2" t="s">
        <v>30</v>
      </c>
      <c r="B10" s="2" t="s">
        <v>19</v>
      </c>
      <c r="C10" s="9" t="s">
        <v>38</v>
      </c>
      <c r="D10" s="5">
        <v>28.419294105912279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>
        <f t="shared" ref="P10:P17" si="1">D10</f>
        <v>28.419294105912279</v>
      </c>
    </row>
    <row r="11" spans="1:16" x14ac:dyDescent="0.3">
      <c r="A11" s="2" t="s">
        <v>30</v>
      </c>
      <c r="B11" s="2" t="s">
        <v>19</v>
      </c>
      <c r="C11" s="9" t="s">
        <v>39</v>
      </c>
      <c r="D11" s="5">
        <v>39.127324732367313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>
        <f t="shared" si="1"/>
        <v>39.127324732367313</v>
      </c>
    </row>
    <row r="12" spans="1:16" x14ac:dyDescent="0.3">
      <c r="A12" s="2" t="s">
        <v>30</v>
      </c>
      <c r="B12" s="2" t="s">
        <v>19</v>
      </c>
      <c r="C12" s="9" t="s">
        <v>40</v>
      </c>
      <c r="D12" s="5">
        <v>39.213659596439612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>
        <f t="shared" si="1"/>
        <v>39.213659596439612</v>
      </c>
    </row>
    <row r="13" spans="1:16" x14ac:dyDescent="0.3">
      <c r="A13" s="2" t="s">
        <v>30</v>
      </c>
      <c r="B13" s="2" t="s">
        <v>19</v>
      </c>
      <c r="C13" s="9" t="s">
        <v>41</v>
      </c>
      <c r="D13" s="5">
        <v>38.809331510252257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>
        <f t="shared" si="1"/>
        <v>38.809331510252257</v>
      </c>
    </row>
    <row r="14" spans="1:16" x14ac:dyDescent="0.3">
      <c r="A14" s="2" t="s">
        <v>30</v>
      </c>
      <c r="B14" s="2" t="s">
        <v>20</v>
      </c>
      <c r="C14" s="9" t="s">
        <v>38</v>
      </c>
      <c r="D14" s="7">
        <v>14248.3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>
        <f t="shared" si="1"/>
        <v>14248.3</v>
      </c>
    </row>
    <row r="15" spans="1:16" x14ac:dyDescent="0.3">
      <c r="A15" s="2" t="s">
        <v>30</v>
      </c>
      <c r="B15" s="2" t="s">
        <v>20</v>
      </c>
      <c r="C15" s="9" t="s">
        <v>39</v>
      </c>
      <c r="D15" s="7">
        <v>18849.8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>
        <f t="shared" si="1"/>
        <v>18849.8</v>
      </c>
    </row>
    <row r="16" spans="1:16" x14ac:dyDescent="0.3">
      <c r="A16" s="2" t="s">
        <v>30</v>
      </c>
      <c r="B16" s="2" t="s">
        <v>20</v>
      </c>
      <c r="C16" s="9" t="s">
        <v>40</v>
      </c>
      <c r="D16" s="7">
        <v>19463.599999999999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>
        <f t="shared" si="1"/>
        <v>19463.599999999999</v>
      </c>
    </row>
    <row r="17" spans="1:16" x14ac:dyDescent="0.3">
      <c r="A17" s="2" t="s">
        <v>30</v>
      </c>
      <c r="B17" s="2" t="s">
        <v>20</v>
      </c>
      <c r="C17" s="9" t="s">
        <v>41</v>
      </c>
      <c r="D17" s="7">
        <v>19239.5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>
        <f t="shared" si="1"/>
        <v>19239.5</v>
      </c>
    </row>
    <row r="18" spans="1:16" x14ac:dyDescent="0.3">
      <c r="A18" s="2" t="s">
        <v>30</v>
      </c>
      <c r="B18" s="2" t="s">
        <v>21</v>
      </c>
      <c r="C18" s="9" t="s">
        <v>38</v>
      </c>
      <c r="D18" s="7">
        <v>243.14699999999999</v>
      </c>
      <c r="E18" s="7">
        <v>270.76</v>
      </c>
      <c r="F18" s="7">
        <v>1023.502</v>
      </c>
      <c r="G18" s="7">
        <v>811.80399999999997</v>
      </c>
      <c r="H18" s="7">
        <v>580.61900000000003</v>
      </c>
      <c r="I18" s="7">
        <v>492.05200000000002</v>
      </c>
      <c r="J18" s="7">
        <v>299.35599999999999</v>
      </c>
      <c r="K18" s="7">
        <v>315.01499999999999</v>
      </c>
      <c r="L18" s="7">
        <v>252.54400000000001</v>
      </c>
      <c r="M18" s="7">
        <v>350.01799999999997</v>
      </c>
      <c r="N18" s="7">
        <v>294.95299999999997</v>
      </c>
      <c r="O18" s="7">
        <v>311.78899999999999</v>
      </c>
      <c r="P18" s="8">
        <f t="shared" ref="P18:P25" si="2">SUM(D18:O18)</f>
        <v>5245.5590000000002</v>
      </c>
    </row>
    <row r="19" spans="1:16" x14ac:dyDescent="0.3">
      <c r="A19" s="2" t="s">
        <v>30</v>
      </c>
      <c r="B19" s="2" t="s">
        <v>21</v>
      </c>
      <c r="C19" s="9" t="s">
        <v>39</v>
      </c>
      <c r="D19" s="7">
        <v>111.41200000000001</v>
      </c>
      <c r="E19" s="7">
        <v>230.667</v>
      </c>
      <c r="F19" s="7">
        <v>1162.202</v>
      </c>
      <c r="G19" s="7">
        <v>1133.9749999999999</v>
      </c>
      <c r="H19" s="7">
        <v>710.69100000000003</v>
      </c>
      <c r="I19" s="7">
        <v>752.89399999999989</v>
      </c>
      <c r="J19" s="7">
        <v>773.82100000000003</v>
      </c>
      <c r="K19" s="7">
        <v>928.41</v>
      </c>
      <c r="L19" s="7">
        <v>681.07599999999991</v>
      </c>
      <c r="M19" s="7">
        <v>560.84900000000005</v>
      </c>
      <c r="N19" s="7">
        <v>295.541</v>
      </c>
      <c r="O19" s="7">
        <v>609.14499999999998</v>
      </c>
      <c r="P19" s="8">
        <f t="shared" si="2"/>
        <v>7950.6830000000009</v>
      </c>
    </row>
    <row r="20" spans="1:16" x14ac:dyDescent="0.3">
      <c r="A20" s="2" t="s">
        <v>30</v>
      </c>
      <c r="B20" s="2" t="s">
        <v>21</v>
      </c>
      <c r="C20" s="9" t="s">
        <v>40</v>
      </c>
      <c r="D20" s="7">
        <v>415.76100000000002</v>
      </c>
      <c r="E20" s="7">
        <v>255.5</v>
      </c>
      <c r="F20" s="7">
        <v>895.21199999999999</v>
      </c>
      <c r="G20" s="7">
        <v>505.07900000000001</v>
      </c>
      <c r="H20" s="7">
        <v>414.75</v>
      </c>
      <c r="I20" s="7">
        <v>496.85</v>
      </c>
      <c r="J20" s="7">
        <v>368.017</v>
      </c>
      <c r="K20" s="7">
        <v>616.06500000000005</v>
      </c>
      <c r="L20" s="7">
        <v>524.25699999999995</v>
      </c>
      <c r="M20" s="7">
        <v>925.03099999999995</v>
      </c>
      <c r="N20" s="7">
        <v>815.99599999999998</v>
      </c>
      <c r="O20" s="7">
        <v>579.05899999999997</v>
      </c>
      <c r="P20" s="8">
        <f t="shared" si="2"/>
        <v>6811.5770000000002</v>
      </c>
    </row>
    <row r="21" spans="1:16" x14ac:dyDescent="0.3">
      <c r="A21" s="2" t="s">
        <v>30</v>
      </c>
      <c r="B21" s="2" t="s">
        <v>21</v>
      </c>
      <c r="C21" s="9" t="s">
        <v>41</v>
      </c>
      <c r="D21" s="7">
        <v>978.96299999999997</v>
      </c>
      <c r="E21" s="7">
        <v>708.81600000000003</v>
      </c>
      <c r="F21" s="7">
        <v>1195.8699999999999</v>
      </c>
      <c r="G21" s="7">
        <v>867.95600000000002</v>
      </c>
      <c r="H21" s="7">
        <v>656.15700000000004</v>
      </c>
      <c r="I21" s="7">
        <v>873.74199999999996</v>
      </c>
      <c r="J21" s="7">
        <v>652.03800000000001</v>
      </c>
      <c r="K21" s="7">
        <v>838.56299999999999</v>
      </c>
      <c r="L21" s="7">
        <v>917.45100000000002</v>
      </c>
      <c r="M21" s="7">
        <v>637.02599999999995</v>
      </c>
      <c r="N21" s="7">
        <v>651.26099999999997</v>
      </c>
      <c r="O21" s="7">
        <v>408.815</v>
      </c>
      <c r="P21" s="8">
        <f t="shared" si="2"/>
        <v>9386.6580000000013</v>
      </c>
    </row>
    <row r="22" spans="1:16" x14ac:dyDescent="0.3">
      <c r="A22" s="2" t="s">
        <v>30</v>
      </c>
      <c r="B22" s="2" t="s">
        <v>22</v>
      </c>
      <c r="C22" s="9" t="s">
        <v>38</v>
      </c>
      <c r="D22" s="7">
        <v>9.1609999999999996</v>
      </c>
      <c r="E22" s="7">
        <v>15.521000000000001</v>
      </c>
      <c r="F22" s="7">
        <v>11.851000000000001</v>
      </c>
      <c r="G22" s="7">
        <v>6.9819999999999993</v>
      </c>
      <c r="H22" s="7">
        <v>15.928000000000001</v>
      </c>
      <c r="I22" s="7">
        <v>9.5630000000000006</v>
      </c>
      <c r="J22" s="7">
        <v>8.0269999999999992</v>
      </c>
      <c r="K22" s="7">
        <v>14.311</v>
      </c>
      <c r="L22" s="7">
        <v>4.0659999999999998</v>
      </c>
      <c r="M22" s="7">
        <v>2.12</v>
      </c>
      <c r="N22" s="7">
        <v>3.4609999999999999</v>
      </c>
      <c r="O22" s="7">
        <v>3.746</v>
      </c>
      <c r="P22" s="8">
        <f t="shared" si="2"/>
        <v>104.73699999999999</v>
      </c>
    </row>
    <row r="23" spans="1:16" x14ac:dyDescent="0.3">
      <c r="A23" s="2" t="s">
        <v>30</v>
      </c>
      <c r="B23" s="2" t="s">
        <v>22</v>
      </c>
      <c r="C23" s="9" t="s">
        <v>39</v>
      </c>
      <c r="D23" s="7">
        <v>6.5</v>
      </c>
      <c r="E23" s="7">
        <v>15.962999999999999</v>
      </c>
      <c r="F23" s="7">
        <v>27.297999999999998</v>
      </c>
      <c r="G23" s="7">
        <v>17.443000000000001</v>
      </c>
      <c r="H23" s="7">
        <v>15.926</v>
      </c>
      <c r="I23" s="7">
        <v>15.103</v>
      </c>
      <c r="J23" s="7">
        <v>9.99</v>
      </c>
      <c r="K23" s="7">
        <v>17.408999999999999</v>
      </c>
      <c r="L23" s="7">
        <v>10.428000000000001</v>
      </c>
      <c r="M23" s="7">
        <v>4.407</v>
      </c>
      <c r="N23" s="7">
        <v>0.51600000000000001</v>
      </c>
      <c r="O23" s="7">
        <v>10.346</v>
      </c>
      <c r="P23" s="8">
        <f t="shared" si="2"/>
        <v>151.32899999999998</v>
      </c>
    </row>
    <row r="24" spans="1:16" x14ac:dyDescent="0.3">
      <c r="A24" s="2" t="s">
        <v>30</v>
      </c>
      <c r="B24" s="2" t="s">
        <v>22</v>
      </c>
      <c r="C24" s="9" t="s">
        <v>40</v>
      </c>
      <c r="D24" s="7">
        <v>53.197000000000003</v>
      </c>
      <c r="E24" s="7">
        <v>20.873000000000001</v>
      </c>
      <c r="F24" s="7">
        <v>51.703000000000003</v>
      </c>
      <c r="G24" s="7">
        <v>67.614000000000004</v>
      </c>
      <c r="H24" s="7">
        <v>14.102</v>
      </c>
      <c r="I24" s="7">
        <v>16.524000000000001</v>
      </c>
      <c r="J24" s="7">
        <v>9.31</v>
      </c>
      <c r="K24" s="7">
        <v>13.781000000000001</v>
      </c>
      <c r="L24" s="7">
        <v>5.9779999999999998</v>
      </c>
      <c r="M24" s="7">
        <v>5.23</v>
      </c>
      <c r="N24" s="7">
        <v>6.6280000000000001</v>
      </c>
      <c r="O24" s="7">
        <v>11.156000000000001</v>
      </c>
      <c r="P24" s="8">
        <f t="shared" si="2"/>
        <v>276.096</v>
      </c>
    </row>
    <row r="25" spans="1:16" x14ac:dyDescent="0.3">
      <c r="A25" s="2" t="s">
        <v>30</v>
      </c>
      <c r="B25" s="2" t="s">
        <v>22</v>
      </c>
      <c r="C25" s="9" t="s">
        <v>41</v>
      </c>
      <c r="D25" s="7">
        <v>10.93</v>
      </c>
      <c r="E25" s="7">
        <v>17.125</v>
      </c>
      <c r="F25" s="7">
        <v>31.084</v>
      </c>
      <c r="G25" s="7">
        <v>14.513999999999999</v>
      </c>
      <c r="H25" s="7">
        <v>11.859</v>
      </c>
      <c r="I25" s="7">
        <v>13.565</v>
      </c>
      <c r="J25" s="7">
        <v>5.7719999999999994</v>
      </c>
      <c r="K25" s="7">
        <v>2.6549999999999998</v>
      </c>
      <c r="L25" s="7">
        <v>3.871</v>
      </c>
      <c r="M25" s="7">
        <v>3.7839999999999998</v>
      </c>
      <c r="N25" s="7">
        <v>3.1749999999999998</v>
      </c>
      <c r="O25" s="7">
        <v>12.54</v>
      </c>
      <c r="P25" s="8">
        <f t="shared" si="2"/>
        <v>130.874</v>
      </c>
    </row>
    <row r="26" spans="1:16" x14ac:dyDescent="0.3">
      <c r="A26" s="2" t="s">
        <v>30</v>
      </c>
      <c r="B26" s="2" t="s">
        <v>23</v>
      </c>
      <c r="C26" s="9" t="s">
        <v>38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8">
        <f t="shared" ref="P26:P37" si="3">SUM(D26:O26)</f>
        <v>0</v>
      </c>
    </row>
    <row r="27" spans="1:16" x14ac:dyDescent="0.3">
      <c r="A27" s="2" t="s">
        <v>30</v>
      </c>
      <c r="B27" s="2" t="s">
        <v>23</v>
      </c>
      <c r="C27" s="9" t="s">
        <v>39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8">
        <f t="shared" si="3"/>
        <v>0</v>
      </c>
    </row>
    <row r="28" spans="1:16" x14ac:dyDescent="0.3">
      <c r="A28" s="2" t="s">
        <v>30</v>
      </c>
      <c r="B28" s="2" t="s">
        <v>23</v>
      </c>
      <c r="C28" s="9" t="s">
        <v>40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8">
        <f t="shared" si="3"/>
        <v>0</v>
      </c>
    </row>
    <row r="29" spans="1:16" x14ac:dyDescent="0.3">
      <c r="A29" s="2" t="s">
        <v>30</v>
      </c>
      <c r="B29" s="2" t="s">
        <v>23</v>
      </c>
      <c r="C29" s="9" t="s">
        <v>41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8">
        <f t="shared" si="3"/>
        <v>0</v>
      </c>
    </row>
    <row r="30" spans="1:16" x14ac:dyDescent="0.3">
      <c r="A30" s="2" t="s">
        <v>30</v>
      </c>
      <c r="B30" s="2" t="s">
        <v>31</v>
      </c>
      <c r="C30" s="9" t="s">
        <v>38</v>
      </c>
      <c r="D30" s="7">
        <v>712.94999999999993</v>
      </c>
      <c r="E30" s="7">
        <v>712.94999999999993</v>
      </c>
      <c r="F30" s="7">
        <v>712.94999999999993</v>
      </c>
      <c r="G30" s="7">
        <v>712.94999999999993</v>
      </c>
      <c r="H30" s="7">
        <v>712.94999999999993</v>
      </c>
      <c r="I30" s="7">
        <v>712.94999999999993</v>
      </c>
      <c r="J30" s="7">
        <v>712.94999999999993</v>
      </c>
      <c r="K30" s="7">
        <v>712.94999999999993</v>
      </c>
      <c r="L30" s="7">
        <v>712.94999999999993</v>
      </c>
      <c r="M30" s="7">
        <v>712.94999999999993</v>
      </c>
      <c r="N30" s="7">
        <v>712.94999999999993</v>
      </c>
      <c r="O30" s="7">
        <v>712.94999999999993</v>
      </c>
      <c r="P30" s="8">
        <f t="shared" si="3"/>
        <v>8555.4</v>
      </c>
    </row>
    <row r="31" spans="1:16" x14ac:dyDescent="0.3">
      <c r="A31" s="2" t="s">
        <v>30</v>
      </c>
      <c r="B31" s="2" t="s">
        <v>31</v>
      </c>
      <c r="C31" s="9" t="s">
        <v>39</v>
      </c>
      <c r="D31" s="7">
        <v>830.11666666666667</v>
      </c>
      <c r="E31" s="7">
        <v>830.11666666666667</v>
      </c>
      <c r="F31" s="7">
        <v>830.11666666666667</v>
      </c>
      <c r="G31" s="7">
        <v>830.11666666666667</v>
      </c>
      <c r="H31" s="7">
        <v>830.11666666666667</v>
      </c>
      <c r="I31" s="7">
        <v>830.11666666666667</v>
      </c>
      <c r="J31" s="7">
        <v>830.11666666666667</v>
      </c>
      <c r="K31" s="7">
        <v>830.11666666666667</v>
      </c>
      <c r="L31" s="7">
        <v>830.11666666666667</v>
      </c>
      <c r="M31" s="7">
        <v>830.11666666666667</v>
      </c>
      <c r="N31" s="7">
        <v>830.11666666666667</v>
      </c>
      <c r="O31" s="7">
        <v>830.11666666666667</v>
      </c>
      <c r="P31" s="8">
        <f t="shared" si="3"/>
        <v>9961.4</v>
      </c>
    </row>
    <row r="32" spans="1:16" x14ac:dyDescent="0.3">
      <c r="A32" s="2" t="s">
        <v>30</v>
      </c>
      <c r="B32" s="2" t="s">
        <v>31</v>
      </c>
      <c r="C32" s="9" t="s">
        <v>40</v>
      </c>
      <c r="D32" s="7">
        <v>919.40833333333319</v>
      </c>
      <c r="E32" s="7">
        <v>919.40833333333319</v>
      </c>
      <c r="F32" s="7">
        <v>919.40833333333319</v>
      </c>
      <c r="G32" s="7">
        <v>919.40833333333319</v>
      </c>
      <c r="H32" s="7">
        <v>919.40833333333319</v>
      </c>
      <c r="I32" s="7">
        <v>919.40833333333319</v>
      </c>
      <c r="J32" s="7">
        <v>919.40833333333319</v>
      </c>
      <c r="K32" s="7">
        <v>919.40833333333319</v>
      </c>
      <c r="L32" s="7">
        <v>919.40833333333319</v>
      </c>
      <c r="M32" s="7">
        <v>919.40833333333319</v>
      </c>
      <c r="N32" s="7">
        <v>919.40833333333319</v>
      </c>
      <c r="O32" s="7">
        <v>919.40833333333319</v>
      </c>
      <c r="P32" s="8">
        <f t="shared" si="3"/>
        <v>11032.899999999996</v>
      </c>
    </row>
    <row r="33" spans="1:16" x14ac:dyDescent="0.3">
      <c r="A33" s="2" t="s">
        <v>30</v>
      </c>
      <c r="B33" s="2" t="s">
        <v>31</v>
      </c>
      <c r="C33" s="9" t="s">
        <v>41</v>
      </c>
      <c r="D33" s="7">
        <v>951</v>
      </c>
      <c r="E33" s="7">
        <v>951</v>
      </c>
      <c r="F33" s="7">
        <v>951</v>
      </c>
      <c r="G33" s="7">
        <v>951</v>
      </c>
      <c r="H33" s="7">
        <v>951</v>
      </c>
      <c r="I33" s="7">
        <v>951</v>
      </c>
      <c r="J33" s="7">
        <v>951</v>
      </c>
      <c r="K33" s="7">
        <v>951</v>
      </c>
      <c r="L33" s="7">
        <v>951</v>
      </c>
      <c r="M33" s="7">
        <v>951</v>
      </c>
      <c r="N33" s="7">
        <v>951</v>
      </c>
      <c r="O33" s="7">
        <v>951</v>
      </c>
      <c r="P33" s="8">
        <f t="shared" si="3"/>
        <v>11412</v>
      </c>
    </row>
    <row r="34" spans="1:16" x14ac:dyDescent="0.3">
      <c r="A34" s="2" t="s">
        <v>30</v>
      </c>
      <c r="B34" s="2" t="s">
        <v>25</v>
      </c>
      <c r="C34" s="9" t="s">
        <v>38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8">
        <f t="shared" si="3"/>
        <v>0</v>
      </c>
    </row>
    <row r="35" spans="1:16" x14ac:dyDescent="0.3">
      <c r="A35" s="2" t="s">
        <v>30</v>
      </c>
      <c r="B35" s="2" t="s">
        <v>25</v>
      </c>
      <c r="C35" s="9" t="s">
        <v>39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8">
        <f t="shared" si="3"/>
        <v>0</v>
      </c>
    </row>
    <row r="36" spans="1:16" x14ac:dyDescent="0.3">
      <c r="A36" s="2" t="s">
        <v>30</v>
      </c>
      <c r="B36" s="2" t="s">
        <v>25</v>
      </c>
      <c r="C36" s="9" t="s">
        <v>40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8">
        <f t="shared" si="3"/>
        <v>0</v>
      </c>
    </row>
    <row r="37" spans="1:16" x14ac:dyDescent="0.3">
      <c r="A37" s="2" t="s">
        <v>30</v>
      </c>
      <c r="B37" s="2" t="s">
        <v>25</v>
      </c>
      <c r="C37" s="9" t="s">
        <v>41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8">
        <f t="shared" si="3"/>
        <v>0</v>
      </c>
    </row>
    <row r="38" spans="1:16" x14ac:dyDescent="0.3">
      <c r="A38" s="2" t="s">
        <v>30</v>
      </c>
      <c r="B38" s="2" t="s">
        <v>26</v>
      </c>
      <c r="C38" s="9" t="s">
        <v>38</v>
      </c>
      <c r="D38" s="7">
        <f t="shared" ref="D38:O38" si="4">D26+D30</f>
        <v>712.94999999999993</v>
      </c>
      <c r="E38" s="7">
        <f t="shared" si="4"/>
        <v>712.94999999999993</v>
      </c>
      <c r="F38" s="7">
        <f t="shared" si="4"/>
        <v>712.94999999999993</v>
      </c>
      <c r="G38" s="7">
        <f t="shared" si="4"/>
        <v>712.94999999999993</v>
      </c>
      <c r="H38" s="7">
        <f t="shared" si="4"/>
        <v>712.94999999999993</v>
      </c>
      <c r="I38" s="7">
        <f t="shared" si="4"/>
        <v>712.94999999999993</v>
      </c>
      <c r="J38" s="7">
        <f t="shared" si="4"/>
        <v>712.94999999999993</v>
      </c>
      <c r="K38" s="7">
        <f t="shared" si="4"/>
        <v>712.94999999999993</v>
      </c>
      <c r="L38" s="7">
        <f t="shared" si="4"/>
        <v>712.94999999999993</v>
      </c>
      <c r="M38" s="7">
        <f t="shared" si="4"/>
        <v>712.94999999999993</v>
      </c>
      <c r="N38" s="7">
        <f t="shared" si="4"/>
        <v>712.94999999999993</v>
      </c>
      <c r="O38" s="7">
        <f t="shared" si="4"/>
        <v>712.94999999999993</v>
      </c>
      <c r="P38" s="8">
        <f t="shared" ref="P38:P45" si="5">SUM(D38:O38)</f>
        <v>8555.4</v>
      </c>
    </row>
    <row r="39" spans="1:16" x14ac:dyDescent="0.3">
      <c r="A39" s="2" t="s">
        <v>30</v>
      </c>
      <c r="B39" s="2" t="s">
        <v>26</v>
      </c>
      <c r="C39" s="9" t="s">
        <v>39</v>
      </c>
      <c r="D39" s="7">
        <f t="shared" ref="D39:O39" si="6">D27+D31</f>
        <v>830.11666666666667</v>
      </c>
      <c r="E39" s="7">
        <f t="shared" si="6"/>
        <v>830.11666666666667</v>
      </c>
      <c r="F39" s="7">
        <f t="shared" si="6"/>
        <v>830.11666666666667</v>
      </c>
      <c r="G39" s="7">
        <f t="shared" si="6"/>
        <v>830.11666666666667</v>
      </c>
      <c r="H39" s="7">
        <f t="shared" si="6"/>
        <v>830.11666666666667</v>
      </c>
      <c r="I39" s="7">
        <f t="shared" si="6"/>
        <v>830.11666666666667</v>
      </c>
      <c r="J39" s="7">
        <f t="shared" si="6"/>
        <v>830.11666666666667</v>
      </c>
      <c r="K39" s="7">
        <f t="shared" si="6"/>
        <v>830.11666666666667</v>
      </c>
      <c r="L39" s="7">
        <f t="shared" si="6"/>
        <v>830.11666666666667</v>
      </c>
      <c r="M39" s="7">
        <f t="shared" si="6"/>
        <v>830.11666666666667</v>
      </c>
      <c r="N39" s="7">
        <f t="shared" si="6"/>
        <v>830.11666666666667</v>
      </c>
      <c r="O39" s="7">
        <f t="shared" si="6"/>
        <v>830.11666666666667</v>
      </c>
      <c r="P39" s="8">
        <f t="shared" si="5"/>
        <v>9961.4</v>
      </c>
    </row>
    <row r="40" spans="1:16" x14ac:dyDescent="0.3">
      <c r="A40" s="2" t="s">
        <v>30</v>
      </c>
      <c r="B40" s="2" t="s">
        <v>26</v>
      </c>
      <c r="C40" s="9" t="s">
        <v>40</v>
      </c>
      <c r="D40" s="7">
        <f t="shared" ref="D40:O40" si="7">D28+D32</f>
        <v>919.40833333333319</v>
      </c>
      <c r="E40" s="7">
        <f t="shared" si="7"/>
        <v>919.40833333333319</v>
      </c>
      <c r="F40" s="7">
        <f t="shared" si="7"/>
        <v>919.40833333333319</v>
      </c>
      <c r="G40" s="7">
        <f t="shared" si="7"/>
        <v>919.40833333333319</v>
      </c>
      <c r="H40" s="7">
        <f t="shared" si="7"/>
        <v>919.40833333333319</v>
      </c>
      <c r="I40" s="7">
        <f t="shared" si="7"/>
        <v>919.40833333333319</v>
      </c>
      <c r="J40" s="7">
        <f t="shared" si="7"/>
        <v>919.40833333333319</v>
      </c>
      <c r="K40" s="7">
        <f t="shared" si="7"/>
        <v>919.40833333333319</v>
      </c>
      <c r="L40" s="7">
        <f t="shared" si="7"/>
        <v>919.40833333333319</v>
      </c>
      <c r="M40" s="7">
        <f t="shared" si="7"/>
        <v>919.40833333333319</v>
      </c>
      <c r="N40" s="7">
        <f t="shared" si="7"/>
        <v>919.40833333333319</v>
      </c>
      <c r="O40" s="7">
        <f t="shared" si="7"/>
        <v>919.40833333333319</v>
      </c>
      <c r="P40" s="8">
        <f t="shared" si="5"/>
        <v>11032.899999999996</v>
      </c>
    </row>
    <row r="41" spans="1:16" x14ac:dyDescent="0.3">
      <c r="A41" s="2" t="s">
        <v>30</v>
      </c>
      <c r="B41" s="2" t="s">
        <v>26</v>
      </c>
      <c r="C41" s="9" t="s">
        <v>41</v>
      </c>
      <c r="D41" s="7">
        <f t="shared" ref="D41:O41" si="8">D29+D33</f>
        <v>951</v>
      </c>
      <c r="E41" s="7">
        <f t="shared" si="8"/>
        <v>951</v>
      </c>
      <c r="F41" s="7">
        <f t="shared" si="8"/>
        <v>951</v>
      </c>
      <c r="G41" s="7">
        <f t="shared" si="8"/>
        <v>951</v>
      </c>
      <c r="H41" s="7">
        <f t="shared" si="8"/>
        <v>951</v>
      </c>
      <c r="I41" s="7">
        <f t="shared" si="8"/>
        <v>951</v>
      </c>
      <c r="J41" s="7">
        <f t="shared" si="8"/>
        <v>951</v>
      </c>
      <c r="K41" s="7">
        <f t="shared" si="8"/>
        <v>951</v>
      </c>
      <c r="L41" s="7">
        <f t="shared" si="8"/>
        <v>951</v>
      </c>
      <c r="M41" s="7">
        <f t="shared" si="8"/>
        <v>951</v>
      </c>
      <c r="N41" s="7">
        <f t="shared" si="8"/>
        <v>951</v>
      </c>
      <c r="O41" s="7">
        <f t="shared" si="8"/>
        <v>951</v>
      </c>
      <c r="P41" s="8">
        <f t="shared" si="5"/>
        <v>11412</v>
      </c>
    </row>
    <row r="42" spans="1:16" x14ac:dyDescent="0.3">
      <c r="A42" s="2" t="s">
        <v>30</v>
      </c>
      <c r="B42" s="2" t="s">
        <v>27</v>
      </c>
      <c r="C42" s="9" t="s">
        <v>38</v>
      </c>
      <c r="D42" s="7">
        <v>70.331499999999821</v>
      </c>
      <c r="E42" s="7">
        <v>70.331499999999821</v>
      </c>
      <c r="F42" s="7">
        <v>70.331499999999821</v>
      </c>
      <c r="G42" s="7">
        <v>70.331499999999821</v>
      </c>
      <c r="H42" s="7">
        <v>70.331499999999821</v>
      </c>
      <c r="I42" s="7">
        <v>70.331499999999821</v>
      </c>
      <c r="J42" s="7">
        <v>70.331499999999821</v>
      </c>
      <c r="K42" s="7">
        <v>70.331499999999821</v>
      </c>
      <c r="L42" s="7">
        <v>70.331499999999821</v>
      </c>
      <c r="M42" s="7">
        <v>70.331499999999821</v>
      </c>
      <c r="N42" s="7">
        <v>70.331499999999821</v>
      </c>
      <c r="O42" s="7">
        <v>70.331499999999821</v>
      </c>
      <c r="P42" s="8">
        <f t="shared" si="5"/>
        <v>843.97799999999768</v>
      </c>
    </row>
    <row r="43" spans="1:16" x14ac:dyDescent="0.3">
      <c r="A43" s="2" t="s">
        <v>30</v>
      </c>
      <c r="B43" s="2" t="s">
        <v>27</v>
      </c>
      <c r="C43" s="9" t="s">
        <v>39</v>
      </c>
      <c r="D43" s="7">
        <v>59.220500000000051</v>
      </c>
      <c r="E43" s="7">
        <v>59.220500000000051</v>
      </c>
      <c r="F43" s="7">
        <v>59.220500000000051</v>
      </c>
      <c r="G43" s="7">
        <v>59.220500000000051</v>
      </c>
      <c r="H43" s="7">
        <v>59.220500000000051</v>
      </c>
      <c r="I43" s="7">
        <v>59.220500000000051</v>
      </c>
      <c r="J43" s="7">
        <v>59.220500000000051</v>
      </c>
      <c r="K43" s="7">
        <v>59.220500000000051</v>
      </c>
      <c r="L43" s="7">
        <v>59.220500000000051</v>
      </c>
      <c r="M43" s="7">
        <v>59.220500000000051</v>
      </c>
      <c r="N43" s="7">
        <v>59.220500000000051</v>
      </c>
      <c r="O43" s="7">
        <v>59.220500000000051</v>
      </c>
      <c r="P43" s="8">
        <f t="shared" si="5"/>
        <v>710.64600000000053</v>
      </c>
    </row>
    <row r="44" spans="1:16" x14ac:dyDescent="0.3">
      <c r="A44" s="2" t="s">
        <v>30</v>
      </c>
      <c r="B44" s="2" t="s">
        <v>27</v>
      </c>
      <c r="C44" s="9" t="s">
        <v>40</v>
      </c>
      <c r="D44" s="7">
        <v>44.409916666667037</v>
      </c>
      <c r="E44" s="7">
        <v>44.409916666667037</v>
      </c>
      <c r="F44" s="7">
        <v>44.409916666667037</v>
      </c>
      <c r="G44" s="7">
        <v>44.409916666667037</v>
      </c>
      <c r="H44" s="7">
        <v>44.409916666667037</v>
      </c>
      <c r="I44" s="7">
        <v>44.409916666667037</v>
      </c>
      <c r="J44" s="7">
        <v>44.409916666667037</v>
      </c>
      <c r="K44" s="7">
        <v>44.409916666667037</v>
      </c>
      <c r="L44" s="7">
        <v>44.409916666667037</v>
      </c>
      <c r="M44" s="7">
        <v>44.409916666667037</v>
      </c>
      <c r="N44" s="7">
        <v>44.409916666667037</v>
      </c>
      <c r="O44" s="7">
        <v>44.409916666667037</v>
      </c>
      <c r="P44" s="8">
        <f t="shared" si="5"/>
        <v>532.9190000000043</v>
      </c>
    </row>
    <row r="45" spans="1:16" x14ac:dyDescent="0.3">
      <c r="A45" s="2" t="s">
        <v>30</v>
      </c>
      <c r="B45" s="2" t="s">
        <v>27</v>
      </c>
      <c r="C45" s="9" t="s">
        <v>41</v>
      </c>
      <c r="D45" s="7">
        <v>16.601333333333301</v>
      </c>
      <c r="E45" s="7">
        <v>16.601333333333301</v>
      </c>
      <c r="F45" s="7">
        <v>16.601333333333301</v>
      </c>
      <c r="G45" s="7">
        <v>16.601333333333301</v>
      </c>
      <c r="H45" s="7">
        <v>16.601333333333301</v>
      </c>
      <c r="I45" s="7">
        <v>16.601333333333301</v>
      </c>
      <c r="J45" s="7">
        <v>16.601333333333301</v>
      </c>
      <c r="K45" s="7">
        <v>16.601333333333301</v>
      </c>
      <c r="L45" s="7">
        <v>16.601333333333301</v>
      </c>
      <c r="M45" s="7">
        <v>16.601333333333301</v>
      </c>
      <c r="N45" s="7">
        <v>16.601333333333301</v>
      </c>
      <c r="O45" s="7">
        <v>16.601333333333301</v>
      </c>
      <c r="P45" s="8">
        <f t="shared" si="5"/>
        <v>199.21599999999955</v>
      </c>
    </row>
    <row r="46" spans="1:16" x14ac:dyDescent="0.3">
      <c r="A46" s="2" t="s">
        <v>30</v>
      </c>
      <c r="B46" s="2" t="s">
        <v>28</v>
      </c>
      <c r="C46" s="9" t="s">
        <v>38</v>
      </c>
      <c r="D46" s="7" t="e">
        <f>#REF!+D14+D22-D18-D38-D42-D34</f>
        <v>#REF!</v>
      </c>
      <c r="E46" s="7" t="e">
        <f t="shared" ref="E46:O46" si="9">D46+E14+E22-E18-E38-E42-E34</f>
        <v>#REF!</v>
      </c>
      <c r="F46" s="7" t="e">
        <f t="shared" si="9"/>
        <v>#REF!</v>
      </c>
      <c r="G46" s="7" t="e">
        <f t="shared" si="9"/>
        <v>#REF!</v>
      </c>
      <c r="H46" s="7" t="e">
        <f t="shared" si="9"/>
        <v>#REF!</v>
      </c>
      <c r="I46" s="7" t="e">
        <f t="shared" si="9"/>
        <v>#REF!</v>
      </c>
      <c r="J46" s="7" t="e">
        <f t="shared" si="9"/>
        <v>#REF!</v>
      </c>
      <c r="K46" s="7" t="e">
        <f t="shared" si="9"/>
        <v>#REF!</v>
      </c>
      <c r="L46" s="7" t="e">
        <f t="shared" si="9"/>
        <v>#REF!</v>
      </c>
      <c r="M46" s="7" t="e">
        <f t="shared" si="9"/>
        <v>#REF!</v>
      </c>
      <c r="N46" s="7" t="e">
        <f t="shared" si="9"/>
        <v>#REF!</v>
      </c>
      <c r="O46" s="7" t="e">
        <f t="shared" si="9"/>
        <v>#REF!</v>
      </c>
      <c r="P46" s="8" t="e">
        <f t="shared" ref="P46:P49" si="10">O46</f>
        <v>#REF!</v>
      </c>
    </row>
    <row r="47" spans="1:16" x14ac:dyDescent="0.3">
      <c r="A47" s="2" t="s">
        <v>30</v>
      </c>
      <c r="B47" s="2" t="s">
        <v>28</v>
      </c>
      <c r="C47" s="9" t="s">
        <v>39</v>
      </c>
      <c r="D47" s="7" t="e">
        <f>O46+D15+D23-D19-D39-D43-D35</f>
        <v>#REF!</v>
      </c>
      <c r="E47" s="7" t="e">
        <f t="shared" ref="E47:O47" si="11">D47+E15+E23-E19-E39-E43-E35</f>
        <v>#REF!</v>
      </c>
      <c r="F47" s="7" t="e">
        <f t="shared" si="11"/>
        <v>#REF!</v>
      </c>
      <c r="G47" s="7" t="e">
        <f t="shared" si="11"/>
        <v>#REF!</v>
      </c>
      <c r="H47" s="7" t="e">
        <f t="shared" si="11"/>
        <v>#REF!</v>
      </c>
      <c r="I47" s="7" t="e">
        <f t="shared" si="11"/>
        <v>#REF!</v>
      </c>
      <c r="J47" s="7" t="e">
        <f t="shared" si="11"/>
        <v>#REF!</v>
      </c>
      <c r="K47" s="7" t="e">
        <f t="shared" si="11"/>
        <v>#REF!</v>
      </c>
      <c r="L47" s="7" t="e">
        <f t="shared" si="11"/>
        <v>#REF!</v>
      </c>
      <c r="M47" s="7" t="e">
        <f t="shared" si="11"/>
        <v>#REF!</v>
      </c>
      <c r="N47" s="7" t="e">
        <f t="shared" si="11"/>
        <v>#REF!</v>
      </c>
      <c r="O47" s="7" t="e">
        <f t="shared" si="11"/>
        <v>#REF!</v>
      </c>
      <c r="P47" s="8" t="e">
        <f t="shared" si="10"/>
        <v>#REF!</v>
      </c>
    </row>
    <row r="48" spans="1:16" x14ac:dyDescent="0.3">
      <c r="A48" s="2" t="s">
        <v>30</v>
      </c>
      <c r="B48" s="2" t="s">
        <v>28</v>
      </c>
      <c r="C48" s="9" t="s">
        <v>40</v>
      </c>
      <c r="D48" s="7" t="e">
        <f>O47+D16+D24-D20-D40-D44-D36</f>
        <v>#REF!</v>
      </c>
      <c r="E48" s="7" t="e">
        <f t="shared" ref="E48:O48" si="12">D48+E16+E24-E20-E40-E44-E36</f>
        <v>#REF!</v>
      </c>
      <c r="F48" s="7" t="e">
        <f t="shared" si="12"/>
        <v>#REF!</v>
      </c>
      <c r="G48" s="7" t="e">
        <f t="shared" si="12"/>
        <v>#REF!</v>
      </c>
      <c r="H48" s="7" t="e">
        <f t="shared" si="12"/>
        <v>#REF!</v>
      </c>
      <c r="I48" s="7" t="e">
        <f t="shared" si="12"/>
        <v>#REF!</v>
      </c>
      <c r="J48" s="7" t="e">
        <f t="shared" si="12"/>
        <v>#REF!</v>
      </c>
      <c r="K48" s="7" t="e">
        <f t="shared" si="12"/>
        <v>#REF!</v>
      </c>
      <c r="L48" s="7" t="e">
        <f t="shared" si="12"/>
        <v>#REF!</v>
      </c>
      <c r="M48" s="7" t="e">
        <f t="shared" si="12"/>
        <v>#REF!</v>
      </c>
      <c r="N48" s="7" t="e">
        <f t="shared" si="12"/>
        <v>#REF!</v>
      </c>
      <c r="O48" s="7" t="e">
        <f t="shared" si="12"/>
        <v>#REF!</v>
      </c>
      <c r="P48" s="8" t="e">
        <f t="shared" si="10"/>
        <v>#REF!</v>
      </c>
    </row>
    <row r="49" spans="1:16" x14ac:dyDescent="0.3">
      <c r="A49" s="2" t="s">
        <v>30</v>
      </c>
      <c r="B49" s="2" t="s">
        <v>28</v>
      </c>
      <c r="C49" s="9" t="s">
        <v>41</v>
      </c>
      <c r="D49" s="7" t="e">
        <f>O48+D17+D25-D21-D41-D45-D37</f>
        <v>#REF!</v>
      </c>
      <c r="E49" s="7" t="e">
        <f t="shared" ref="E49:O49" si="13">D49+E17+E25-E21-E41-E45-E37</f>
        <v>#REF!</v>
      </c>
      <c r="F49" s="7" t="e">
        <f t="shared" si="13"/>
        <v>#REF!</v>
      </c>
      <c r="G49" s="7" t="e">
        <f t="shared" si="13"/>
        <v>#REF!</v>
      </c>
      <c r="H49" s="7" t="e">
        <f t="shared" si="13"/>
        <v>#REF!</v>
      </c>
      <c r="I49" s="7" t="e">
        <f t="shared" si="13"/>
        <v>#REF!</v>
      </c>
      <c r="J49" s="7" t="e">
        <f t="shared" si="13"/>
        <v>#REF!</v>
      </c>
      <c r="K49" s="7" t="e">
        <f t="shared" si="13"/>
        <v>#REF!</v>
      </c>
      <c r="L49" s="7" t="e">
        <f t="shared" si="13"/>
        <v>#REF!</v>
      </c>
      <c r="M49" s="7" t="e">
        <f t="shared" si="13"/>
        <v>#REF!</v>
      </c>
      <c r="N49" s="7" t="e">
        <f t="shared" si="13"/>
        <v>#REF!</v>
      </c>
      <c r="O49" s="7" t="e">
        <f t="shared" si="13"/>
        <v>#REF!</v>
      </c>
      <c r="P49" s="8" t="e">
        <f t="shared" si="10"/>
        <v>#REF!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A736-E70B-41BD-8FDD-9B21E3F525E0}">
  <dimension ref="A1:P49"/>
  <sheetViews>
    <sheetView workbookViewId="0">
      <pane xSplit="3" ySplit="1" topLeftCell="D2" activePane="bottomRight" state="frozen"/>
      <selection activeCell="S35" sqref="S35"/>
      <selection pane="topRight" activeCell="S35" sqref="S35"/>
      <selection pane="bottomLeft" activeCell="S35" sqref="S35"/>
      <selection pane="bottomRight" activeCell="S35" sqref="S35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32</v>
      </c>
      <c r="B2" s="2" t="s">
        <v>17</v>
      </c>
      <c r="C2" s="9" t="s">
        <v>38</v>
      </c>
      <c r="D2" s="3">
        <v>8.322139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9" si="0">D2</f>
        <v>8.322139</v>
      </c>
    </row>
    <row r="3" spans="1:16" x14ac:dyDescent="0.3">
      <c r="A3" s="2" t="s">
        <v>32</v>
      </c>
      <c r="B3" s="2" t="s">
        <v>17</v>
      </c>
      <c r="C3" s="9" t="s">
        <v>39</v>
      </c>
      <c r="D3" s="3">
        <v>7.0446999999999997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7.0446999999999997</v>
      </c>
    </row>
    <row r="4" spans="1:16" x14ac:dyDescent="0.3">
      <c r="A4" s="2" t="s">
        <v>32</v>
      </c>
      <c r="B4" s="2" t="s">
        <v>17</v>
      </c>
      <c r="C4" s="9" t="s">
        <v>40</v>
      </c>
      <c r="D4" s="3">
        <v>7.3305999999999996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7.3305999999999996</v>
      </c>
    </row>
    <row r="5" spans="1:16" x14ac:dyDescent="0.3">
      <c r="A5" s="2" t="s">
        <v>32</v>
      </c>
      <c r="B5" s="2" t="s">
        <v>17</v>
      </c>
      <c r="C5" s="9" t="s">
        <v>41</v>
      </c>
      <c r="D5" s="3">
        <v>6.4054000000000002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6.4054000000000002</v>
      </c>
    </row>
    <row r="6" spans="1:16" x14ac:dyDescent="0.3">
      <c r="A6" s="2" t="s">
        <v>32</v>
      </c>
      <c r="B6" s="2" t="s">
        <v>18</v>
      </c>
      <c r="C6" s="9" t="s">
        <v>38</v>
      </c>
      <c r="D6" s="3">
        <v>7.4408570000000003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7.4408570000000003</v>
      </c>
    </row>
    <row r="7" spans="1:16" x14ac:dyDescent="0.3">
      <c r="A7" s="2" t="s">
        <v>32</v>
      </c>
      <c r="B7" s="2" t="s">
        <v>18</v>
      </c>
      <c r="C7" s="9" t="s">
        <v>39</v>
      </c>
      <c r="D7" s="3">
        <v>6.5130999999999997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6.5130999999999997</v>
      </c>
    </row>
    <row r="8" spans="1:16" x14ac:dyDescent="0.3">
      <c r="A8" s="2" t="s">
        <v>32</v>
      </c>
      <c r="B8" s="2" t="s">
        <v>18</v>
      </c>
      <c r="C8" s="9" t="s">
        <v>40</v>
      </c>
      <c r="D8" s="3">
        <v>6.6786000000000003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6.6786000000000003</v>
      </c>
    </row>
    <row r="9" spans="1:16" x14ac:dyDescent="0.3">
      <c r="A9" s="2" t="s">
        <v>32</v>
      </c>
      <c r="B9" s="2" t="s">
        <v>18</v>
      </c>
      <c r="C9" s="9" t="s">
        <v>41</v>
      </c>
      <c r="D9" s="3">
        <v>5.9156000000000004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5.9156000000000004</v>
      </c>
    </row>
    <row r="10" spans="1:16" x14ac:dyDescent="0.3">
      <c r="A10" s="2" t="s">
        <v>32</v>
      </c>
      <c r="B10" s="2" t="s">
        <v>19</v>
      </c>
      <c r="C10" s="9" t="s">
        <v>38</v>
      </c>
      <c r="D10" s="5">
        <v>43.108977022404822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>
        <f t="shared" ref="P10:P17" si="1">D10</f>
        <v>43.108977022404822</v>
      </c>
    </row>
    <row r="11" spans="1:16" x14ac:dyDescent="0.3">
      <c r="A11" s="2" t="s">
        <v>32</v>
      </c>
      <c r="B11" s="2" t="s">
        <v>19</v>
      </c>
      <c r="C11" s="9" t="s">
        <v>39</v>
      </c>
      <c r="D11" s="5">
        <v>70.425010566396949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>
        <f t="shared" si="1"/>
        <v>70.425010566396949</v>
      </c>
    </row>
    <row r="12" spans="1:16" x14ac:dyDescent="0.3">
      <c r="A12" s="2" t="s">
        <v>32</v>
      </c>
      <c r="B12" s="2" t="s">
        <v>19</v>
      </c>
      <c r="C12" s="9" t="s">
        <v>40</v>
      </c>
      <c r="D12" s="5">
        <v>61.243592944629121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>
        <f t="shared" si="1"/>
        <v>61.243592944629121</v>
      </c>
    </row>
    <row r="13" spans="1:16" x14ac:dyDescent="0.3">
      <c r="A13" s="2" t="s">
        <v>32</v>
      </c>
      <c r="B13" s="2" t="s">
        <v>19</v>
      </c>
      <c r="C13" s="9" t="s">
        <v>41</v>
      </c>
      <c r="D13" s="5">
        <v>63.23045328284536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>
        <f t="shared" si="1"/>
        <v>63.23045328284536</v>
      </c>
    </row>
    <row r="14" spans="1:16" x14ac:dyDescent="0.3">
      <c r="A14" s="2" t="s">
        <v>32</v>
      </c>
      <c r="B14" s="2" t="s">
        <v>20</v>
      </c>
      <c r="C14" s="9" t="s">
        <v>38</v>
      </c>
      <c r="D14" s="7">
        <v>6983.9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>
        <f t="shared" si="1"/>
        <v>6983.9</v>
      </c>
    </row>
    <row r="15" spans="1:16" x14ac:dyDescent="0.3">
      <c r="A15" s="2" t="s">
        <v>32</v>
      </c>
      <c r="B15" s="2" t="s">
        <v>20</v>
      </c>
      <c r="C15" s="9" t="s">
        <v>39</v>
      </c>
      <c r="D15" s="7">
        <v>9986.7000000000007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>
        <f t="shared" si="1"/>
        <v>9986.7000000000007</v>
      </c>
    </row>
    <row r="16" spans="1:16" x14ac:dyDescent="0.3">
      <c r="A16" s="2" t="s">
        <v>32</v>
      </c>
      <c r="B16" s="2" t="s">
        <v>20</v>
      </c>
      <c r="C16" s="9" t="s">
        <v>40</v>
      </c>
      <c r="D16" s="7">
        <v>8905.4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>
        <f t="shared" si="1"/>
        <v>8905.4</v>
      </c>
    </row>
    <row r="17" spans="1:16" x14ac:dyDescent="0.3">
      <c r="A17" s="2" t="s">
        <v>32</v>
      </c>
      <c r="B17" s="2" t="s">
        <v>20</v>
      </c>
      <c r="C17" s="9" t="s">
        <v>41</v>
      </c>
      <c r="D17" s="7">
        <v>8143.9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>
        <f t="shared" si="1"/>
        <v>8143.9</v>
      </c>
    </row>
    <row r="18" spans="1:16" x14ac:dyDescent="0.3">
      <c r="A18" s="2" t="s">
        <v>32</v>
      </c>
      <c r="B18" s="2" t="s">
        <v>21</v>
      </c>
      <c r="C18" s="9" t="s">
        <v>38</v>
      </c>
      <c r="D18" s="7">
        <v>11.401</v>
      </c>
      <c r="E18" s="7">
        <v>366.20299999999997</v>
      </c>
      <c r="F18" s="7">
        <v>611.51900000000001</v>
      </c>
      <c r="G18" s="7">
        <v>222.71199999999999</v>
      </c>
      <c r="H18" s="7">
        <v>237.25299999999999</v>
      </c>
      <c r="I18" s="7">
        <v>69.617999999999995</v>
      </c>
      <c r="J18" s="7">
        <v>96.596999999999994</v>
      </c>
      <c r="K18" s="7">
        <v>89.317999999999998</v>
      </c>
      <c r="L18" s="7">
        <v>40.545000000000002</v>
      </c>
      <c r="M18" s="7">
        <v>29.744</v>
      </c>
      <c r="N18" s="7">
        <v>91.33</v>
      </c>
      <c r="O18" s="7">
        <v>115.18300000000001</v>
      </c>
      <c r="P18" s="8">
        <f t="shared" ref="P18:P25" si="2">SUM(D18:O18)</f>
        <v>1981.4229999999998</v>
      </c>
    </row>
    <row r="19" spans="1:16" x14ac:dyDescent="0.3">
      <c r="A19" s="2" t="s">
        <v>32</v>
      </c>
      <c r="B19" s="2" t="s">
        <v>21</v>
      </c>
      <c r="C19" s="9" t="s">
        <v>39</v>
      </c>
      <c r="D19" s="7">
        <v>92.05</v>
      </c>
      <c r="E19" s="7">
        <v>277.23500000000001</v>
      </c>
      <c r="F19" s="7">
        <v>449.40100000000001</v>
      </c>
      <c r="G19" s="7">
        <v>476.791</v>
      </c>
      <c r="H19" s="7">
        <v>304.06299999999999</v>
      </c>
      <c r="I19" s="7">
        <v>219.07499999999999</v>
      </c>
      <c r="J19" s="7">
        <v>306.06799999999998</v>
      </c>
      <c r="K19" s="7">
        <v>277.375</v>
      </c>
      <c r="L19" s="7">
        <v>188.78</v>
      </c>
      <c r="M19" s="7">
        <v>296.70299999999997</v>
      </c>
      <c r="N19" s="7">
        <v>192.572</v>
      </c>
      <c r="O19" s="7">
        <v>67.555000000000007</v>
      </c>
      <c r="P19" s="8">
        <f t="shared" si="2"/>
        <v>3147.6680000000001</v>
      </c>
    </row>
    <row r="20" spans="1:16" x14ac:dyDescent="0.3">
      <c r="A20" s="2" t="s">
        <v>32</v>
      </c>
      <c r="B20" s="2" t="s">
        <v>21</v>
      </c>
      <c r="C20" s="9" t="s">
        <v>40</v>
      </c>
      <c r="D20" s="7">
        <v>13.765000000000001</v>
      </c>
      <c r="E20" s="7">
        <v>106.931</v>
      </c>
      <c r="F20" s="7">
        <v>276.22000000000003</v>
      </c>
      <c r="G20" s="7">
        <v>389.613</v>
      </c>
      <c r="H20" s="7">
        <v>96.495000000000005</v>
      </c>
      <c r="I20" s="7">
        <v>69.930000000000007</v>
      </c>
      <c r="J20" s="7">
        <v>238.51400000000001</v>
      </c>
      <c r="K20" s="7">
        <v>167.25899999999999</v>
      </c>
      <c r="L20" s="7">
        <v>332.49</v>
      </c>
      <c r="M20" s="7">
        <v>195.774</v>
      </c>
      <c r="N20" s="7">
        <v>378.93099999999998</v>
      </c>
      <c r="O20" s="7">
        <v>44.750999999999998</v>
      </c>
      <c r="P20" s="8">
        <f t="shared" si="2"/>
        <v>2310.6730000000002</v>
      </c>
    </row>
    <row r="21" spans="1:16" x14ac:dyDescent="0.3">
      <c r="A21" s="2" t="s">
        <v>32</v>
      </c>
      <c r="B21" s="2" t="s">
        <v>21</v>
      </c>
      <c r="C21" s="9" t="s">
        <v>41</v>
      </c>
      <c r="D21" s="7">
        <v>119.033</v>
      </c>
      <c r="E21" s="7">
        <v>160.51499999999999</v>
      </c>
      <c r="F21" s="7">
        <v>378.74400000000003</v>
      </c>
      <c r="G21" s="7">
        <v>305.5</v>
      </c>
      <c r="H21" s="7">
        <v>179.39500000000001</v>
      </c>
      <c r="I21" s="7">
        <v>47.045000000000002</v>
      </c>
      <c r="J21" s="7">
        <v>121.964</v>
      </c>
      <c r="K21" s="7">
        <v>214.346</v>
      </c>
      <c r="L21" s="7">
        <v>182.602</v>
      </c>
      <c r="M21" s="7">
        <v>207.92</v>
      </c>
      <c r="N21" s="7">
        <v>133.17599999999999</v>
      </c>
      <c r="O21" s="7">
        <v>52.046999999999997</v>
      </c>
      <c r="P21" s="8">
        <f t="shared" si="2"/>
        <v>2102.2870000000003</v>
      </c>
    </row>
    <row r="22" spans="1:16" x14ac:dyDescent="0.3">
      <c r="A22" s="2" t="s">
        <v>32</v>
      </c>
      <c r="B22" s="2" t="s">
        <v>22</v>
      </c>
      <c r="C22" s="9" t="s">
        <v>38</v>
      </c>
      <c r="D22" s="7">
        <v>19.635999999999999</v>
      </c>
      <c r="E22" s="7">
        <v>14.629</v>
      </c>
      <c r="F22" s="7">
        <v>10.545</v>
      </c>
      <c r="G22" s="7">
        <v>20.751000000000001</v>
      </c>
      <c r="H22" s="7">
        <v>3.851</v>
      </c>
      <c r="I22" s="7">
        <v>26.622</v>
      </c>
      <c r="J22" s="7">
        <v>30.753</v>
      </c>
      <c r="K22" s="7">
        <v>0.98199999999999998</v>
      </c>
      <c r="L22" s="7">
        <v>34.774999999999999</v>
      </c>
      <c r="M22" s="7">
        <v>1.3819999999999999</v>
      </c>
      <c r="N22" s="7">
        <v>33.313000000000002</v>
      </c>
      <c r="O22" s="7">
        <v>30.881</v>
      </c>
      <c r="P22" s="8">
        <f t="shared" si="2"/>
        <v>228.12000000000003</v>
      </c>
    </row>
    <row r="23" spans="1:16" x14ac:dyDescent="0.3">
      <c r="A23" s="2" t="s">
        <v>32</v>
      </c>
      <c r="B23" s="2" t="s">
        <v>22</v>
      </c>
      <c r="C23" s="9" t="s">
        <v>39</v>
      </c>
      <c r="D23" s="7">
        <v>4.7530000000000001</v>
      </c>
      <c r="E23" s="7">
        <v>4.26</v>
      </c>
      <c r="F23" s="7">
        <v>2.0630000000000002</v>
      </c>
      <c r="G23" s="7">
        <v>1.391</v>
      </c>
      <c r="H23" s="7">
        <v>1.014</v>
      </c>
      <c r="I23" s="7">
        <v>0.78</v>
      </c>
      <c r="J23" s="7">
        <v>2.2589999999999999</v>
      </c>
      <c r="K23" s="7">
        <v>1.0640000000000001</v>
      </c>
      <c r="L23" s="7">
        <v>1.542</v>
      </c>
      <c r="M23" s="7">
        <v>2.0449999999999999</v>
      </c>
      <c r="N23" s="7">
        <v>1.1839999999999999</v>
      </c>
      <c r="O23" s="7">
        <v>3.0539999999999998</v>
      </c>
      <c r="P23" s="8">
        <f t="shared" si="2"/>
        <v>25.408999999999999</v>
      </c>
    </row>
    <row r="24" spans="1:16" x14ac:dyDescent="0.3">
      <c r="A24" s="2" t="s">
        <v>32</v>
      </c>
      <c r="B24" s="2" t="s">
        <v>22</v>
      </c>
      <c r="C24" s="9" t="s">
        <v>40</v>
      </c>
      <c r="D24" s="7">
        <v>12.504</v>
      </c>
      <c r="E24" s="7">
        <v>7.3520000000000003</v>
      </c>
      <c r="F24" s="7">
        <v>5.6590000000000007</v>
      </c>
      <c r="G24" s="7">
        <v>7.8109999999999999</v>
      </c>
      <c r="H24" s="7">
        <v>5.7169999999999996</v>
      </c>
      <c r="I24" s="7">
        <v>5.4880000000000004</v>
      </c>
      <c r="J24" s="7">
        <v>4.2719999999999994</v>
      </c>
      <c r="K24" s="7">
        <v>8.7969999999999988</v>
      </c>
      <c r="L24" s="7">
        <v>12.000999999999999</v>
      </c>
      <c r="M24" s="7">
        <v>9.7690000000000001</v>
      </c>
      <c r="N24" s="7">
        <v>14.827</v>
      </c>
      <c r="O24" s="7">
        <v>23.404</v>
      </c>
      <c r="P24" s="8">
        <f t="shared" si="2"/>
        <v>117.601</v>
      </c>
    </row>
    <row r="25" spans="1:16" x14ac:dyDescent="0.3">
      <c r="A25" s="2" t="s">
        <v>32</v>
      </c>
      <c r="B25" s="2" t="s">
        <v>22</v>
      </c>
      <c r="C25" s="9" t="s">
        <v>41</v>
      </c>
      <c r="D25" s="7">
        <v>15.977</v>
      </c>
      <c r="E25" s="7">
        <v>8.8520000000000003</v>
      </c>
      <c r="F25" s="7">
        <v>11.677</v>
      </c>
      <c r="G25" s="7">
        <v>14.476000000000001</v>
      </c>
      <c r="H25" s="7">
        <v>12.141</v>
      </c>
      <c r="I25" s="7">
        <v>12.78</v>
      </c>
      <c r="J25" s="7">
        <v>19.382999999999999</v>
      </c>
      <c r="K25" s="7">
        <v>2.31</v>
      </c>
      <c r="L25" s="7">
        <v>2.8860000000000001</v>
      </c>
      <c r="M25" s="7">
        <v>5.7839999999999998</v>
      </c>
      <c r="N25" s="7">
        <v>20.937000000000001</v>
      </c>
      <c r="O25" s="7">
        <v>41.731000000000002</v>
      </c>
      <c r="P25" s="8">
        <f t="shared" si="2"/>
        <v>168.934</v>
      </c>
    </row>
    <row r="26" spans="1:16" x14ac:dyDescent="0.3">
      <c r="A26" s="2" t="s">
        <v>32</v>
      </c>
      <c r="B26" s="2" t="s">
        <v>23</v>
      </c>
      <c r="C26" s="9" t="s">
        <v>38</v>
      </c>
      <c r="D26" s="7">
        <v>1.4750000000000001</v>
      </c>
      <c r="E26" s="7">
        <v>1.4750000000000001</v>
      </c>
      <c r="F26" s="7">
        <v>1.4750000000000001</v>
      </c>
      <c r="G26" s="7">
        <v>1.4750000000000001</v>
      </c>
      <c r="H26" s="7">
        <v>1.4750000000000001</v>
      </c>
      <c r="I26" s="7">
        <v>1.4750000000000001</v>
      </c>
      <c r="J26" s="7">
        <v>1.4750000000000001</v>
      </c>
      <c r="K26" s="7">
        <v>1.4750000000000001</v>
      </c>
      <c r="L26" s="7">
        <v>1.4750000000000001</v>
      </c>
      <c r="M26" s="7">
        <v>1.4750000000000001</v>
      </c>
      <c r="N26" s="7">
        <v>1.4750000000000001</v>
      </c>
      <c r="O26" s="7">
        <v>1.4750000000000001</v>
      </c>
      <c r="P26" s="8">
        <f t="shared" ref="P26:P37" si="3">SUM(D26:O26)</f>
        <v>17.7</v>
      </c>
    </row>
    <row r="27" spans="1:16" x14ac:dyDescent="0.3">
      <c r="A27" s="2" t="s">
        <v>32</v>
      </c>
      <c r="B27" s="2" t="s">
        <v>23</v>
      </c>
      <c r="C27" s="9" t="s">
        <v>39</v>
      </c>
      <c r="D27" s="7">
        <v>1.541666666666667</v>
      </c>
      <c r="E27" s="7">
        <v>1.541666666666667</v>
      </c>
      <c r="F27" s="7">
        <v>1.541666666666667</v>
      </c>
      <c r="G27" s="7">
        <v>1.541666666666667</v>
      </c>
      <c r="H27" s="7">
        <v>1.541666666666667</v>
      </c>
      <c r="I27" s="7">
        <v>1.541666666666667</v>
      </c>
      <c r="J27" s="7">
        <v>1.541666666666667</v>
      </c>
      <c r="K27" s="7">
        <v>1.541666666666667</v>
      </c>
      <c r="L27" s="7">
        <v>1.541666666666667</v>
      </c>
      <c r="M27" s="7">
        <v>1.541666666666667</v>
      </c>
      <c r="N27" s="7">
        <v>1.541666666666667</v>
      </c>
      <c r="O27" s="7">
        <v>1.541666666666667</v>
      </c>
      <c r="P27" s="8">
        <f t="shared" si="3"/>
        <v>18.500000000000007</v>
      </c>
    </row>
    <row r="28" spans="1:16" x14ac:dyDescent="0.3">
      <c r="A28" s="2" t="s">
        <v>32</v>
      </c>
      <c r="B28" s="2" t="s">
        <v>23</v>
      </c>
      <c r="C28" s="9" t="s">
        <v>40</v>
      </c>
      <c r="D28" s="7">
        <v>1.55</v>
      </c>
      <c r="E28" s="7">
        <v>1.55</v>
      </c>
      <c r="F28" s="7">
        <v>1.55</v>
      </c>
      <c r="G28" s="7">
        <v>1.55</v>
      </c>
      <c r="H28" s="7">
        <v>1.55</v>
      </c>
      <c r="I28" s="7">
        <v>1.55</v>
      </c>
      <c r="J28" s="7">
        <v>1.55</v>
      </c>
      <c r="K28" s="7">
        <v>1.55</v>
      </c>
      <c r="L28" s="7">
        <v>1.55</v>
      </c>
      <c r="M28" s="7">
        <v>1.55</v>
      </c>
      <c r="N28" s="7">
        <v>1.55</v>
      </c>
      <c r="O28" s="7">
        <v>1.55</v>
      </c>
      <c r="P28" s="8">
        <f t="shared" si="3"/>
        <v>18.600000000000005</v>
      </c>
    </row>
    <row r="29" spans="1:16" x14ac:dyDescent="0.3">
      <c r="A29" s="2" t="s">
        <v>32</v>
      </c>
      <c r="B29" s="2" t="s">
        <v>23</v>
      </c>
      <c r="C29" s="9" t="s">
        <v>41</v>
      </c>
      <c r="D29" s="7">
        <v>1.55</v>
      </c>
      <c r="E29" s="7">
        <v>1.55</v>
      </c>
      <c r="F29" s="7">
        <v>1.55</v>
      </c>
      <c r="G29" s="7">
        <v>1.55</v>
      </c>
      <c r="H29" s="7">
        <v>1.55</v>
      </c>
      <c r="I29" s="7">
        <v>1.55</v>
      </c>
      <c r="J29" s="7">
        <v>1.55</v>
      </c>
      <c r="K29" s="7">
        <v>1.55</v>
      </c>
      <c r="L29" s="7">
        <v>1.55</v>
      </c>
      <c r="M29" s="7">
        <v>1.55</v>
      </c>
      <c r="N29" s="7">
        <v>1.55</v>
      </c>
      <c r="O29" s="7">
        <v>1.55</v>
      </c>
      <c r="P29" s="8">
        <f t="shared" si="3"/>
        <v>18.600000000000005</v>
      </c>
    </row>
    <row r="30" spans="1:16" x14ac:dyDescent="0.3">
      <c r="A30" s="2" t="s">
        <v>32</v>
      </c>
      <c r="B30" s="2" t="s">
        <v>24</v>
      </c>
      <c r="C30" s="9" t="s">
        <v>38</v>
      </c>
      <c r="D30" s="7">
        <v>22.216666666666669</v>
      </c>
      <c r="E30" s="7">
        <v>22.216666666666669</v>
      </c>
      <c r="F30" s="7">
        <v>22.216666666666669</v>
      </c>
      <c r="G30" s="7">
        <v>22.216666666666669</v>
      </c>
      <c r="H30" s="7">
        <v>22.216666666666669</v>
      </c>
      <c r="I30" s="7">
        <v>22.216666666666669</v>
      </c>
      <c r="J30" s="7">
        <v>22.216666666666669</v>
      </c>
      <c r="K30" s="7">
        <v>22.216666666666669</v>
      </c>
      <c r="L30" s="7">
        <v>22.216666666666669</v>
      </c>
      <c r="M30" s="7">
        <v>22.216666666666669</v>
      </c>
      <c r="N30" s="7">
        <v>22.216666666666669</v>
      </c>
      <c r="O30" s="7">
        <v>22.216666666666669</v>
      </c>
      <c r="P30" s="8">
        <f t="shared" si="3"/>
        <v>266.60000000000002</v>
      </c>
    </row>
    <row r="31" spans="1:16" x14ac:dyDescent="0.3">
      <c r="A31" s="2" t="s">
        <v>32</v>
      </c>
      <c r="B31" s="2" t="s">
        <v>24</v>
      </c>
      <c r="C31" s="9" t="s">
        <v>39</v>
      </c>
      <c r="D31" s="7">
        <v>7.1749999999999998</v>
      </c>
      <c r="E31" s="7">
        <v>7.1749999999999998</v>
      </c>
      <c r="F31" s="7">
        <v>7.1749999999999998</v>
      </c>
      <c r="G31" s="7">
        <v>7.1749999999999998</v>
      </c>
      <c r="H31" s="7">
        <v>7.1749999999999998</v>
      </c>
      <c r="I31" s="7">
        <v>7.1749999999999998</v>
      </c>
      <c r="J31" s="7">
        <v>7.1749999999999998</v>
      </c>
      <c r="K31" s="7">
        <v>7.1749999999999998</v>
      </c>
      <c r="L31" s="7">
        <v>7.1749999999999998</v>
      </c>
      <c r="M31" s="7">
        <v>7.1749999999999998</v>
      </c>
      <c r="N31" s="7">
        <v>7.1749999999999998</v>
      </c>
      <c r="O31" s="7">
        <v>7.1749999999999998</v>
      </c>
      <c r="P31" s="8">
        <f t="shared" si="3"/>
        <v>86.09999999999998</v>
      </c>
    </row>
    <row r="32" spans="1:16" x14ac:dyDescent="0.3">
      <c r="A32" s="2" t="s">
        <v>32</v>
      </c>
      <c r="B32" s="2" t="s">
        <v>24</v>
      </c>
      <c r="C32" s="9" t="s">
        <v>40</v>
      </c>
      <c r="D32" s="7">
        <v>5.9249999999999998</v>
      </c>
      <c r="E32" s="7">
        <v>5.9249999999999998</v>
      </c>
      <c r="F32" s="7">
        <v>5.9249999999999998</v>
      </c>
      <c r="G32" s="7">
        <v>5.9249999999999998</v>
      </c>
      <c r="H32" s="7">
        <v>5.9249999999999998</v>
      </c>
      <c r="I32" s="7">
        <v>5.9249999999999998</v>
      </c>
      <c r="J32" s="7">
        <v>5.9249999999999998</v>
      </c>
      <c r="K32" s="7">
        <v>5.9249999999999998</v>
      </c>
      <c r="L32" s="7">
        <v>5.9249999999999998</v>
      </c>
      <c r="M32" s="7">
        <v>5.9249999999999998</v>
      </c>
      <c r="N32" s="7">
        <v>5.9249999999999998</v>
      </c>
      <c r="O32" s="7">
        <v>5.9249999999999998</v>
      </c>
      <c r="P32" s="8">
        <f t="shared" si="3"/>
        <v>71.09999999999998</v>
      </c>
    </row>
    <row r="33" spans="1:16" x14ac:dyDescent="0.3">
      <c r="A33" s="2" t="s">
        <v>32</v>
      </c>
      <c r="B33" s="2" t="s">
        <v>24</v>
      </c>
      <c r="C33" s="9" t="s">
        <v>41</v>
      </c>
      <c r="D33" s="7">
        <v>6.1916666666666664</v>
      </c>
      <c r="E33" s="7">
        <v>6.1916666666666664</v>
      </c>
      <c r="F33" s="7">
        <v>6.1916666666666664</v>
      </c>
      <c r="G33" s="7">
        <v>6.1916666666666664</v>
      </c>
      <c r="H33" s="7">
        <v>6.1916666666666664</v>
      </c>
      <c r="I33" s="7">
        <v>6.1916666666666664</v>
      </c>
      <c r="J33" s="7">
        <v>6.1916666666666664</v>
      </c>
      <c r="K33" s="7">
        <v>6.1916666666666664</v>
      </c>
      <c r="L33" s="7">
        <v>6.1916666666666664</v>
      </c>
      <c r="M33" s="7">
        <v>6.1916666666666664</v>
      </c>
      <c r="N33" s="7">
        <v>6.1916666666666664</v>
      </c>
      <c r="O33" s="7">
        <v>6.1916666666666664</v>
      </c>
      <c r="P33" s="8">
        <f t="shared" si="3"/>
        <v>74.299999999999983</v>
      </c>
    </row>
    <row r="34" spans="1:16" x14ac:dyDescent="0.3">
      <c r="A34" s="2" t="s">
        <v>32</v>
      </c>
      <c r="B34" s="2" t="s">
        <v>25</v>
      </c>
      <c r="C34" s="9" t="s">
        <v>38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8">
        <f t="shared" si="3"/>
        <v>0</v>
      </c>
    </row>
    <row r="35" spans="1:16" x14ac:dyDescent="0.3">
      <c r="A35" s="2" t="s">
        <v>32</v>
      </c>
      <c r="B35" s="2" t="s">
        <v>25</v>
      </c>
      <c r="C35" s="9" t="s">
        <v>39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8">
        <f t="shared" si="3"/>
        <v>0</v>
      </c>
    </row>
    <row r="36" spans="1:16" x14ac:dyDescent="0.3">
      <c r="A36" s="2" t="s">
        <v>32</v>
      </c>
      <c r="B36" s="2" t="s">
        <v>25</v>
      </c>
      <c r="C36" s="9" t="s">
        <v>40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8">
        <f t="shared" si="3"/>
        <v>0</v>
      </c>
    </row>
    <row r="37" spans="1:16" x14ac:dyDescent="0.3">
      <c r="A37" s="2" t="s">
        <v>32</v>
      </c>
      <c r="B37" s="2" t="s">
        <v>25</v>
      </c>
      <c r="C37" s="9" t="s">
        <v>41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8">
        <f t="shared" si="3"/>
        <v>0</v>
      </c>
    </row>
    <row r="38" spans="1:16" x14ac:dyDescent="0.3">
      <c r="A38" s="2" t="s">
        <v>32</v>
      </c>
      <c r="B38" s="2" t="s">
        <v>26</v>
      </c>
      <c r="C38" s="9" t="s">
        <v>38</v>
      </c>
      <c r="D38" s="7">
        <f t="shared" ref="D38:O38" si="4">D26+D30</f>
        <v>23.69166666666667</v>
      </c>
      <c r="E38" s="7">
        <f t="shared" si="4"/>
        <v>23.69166666666667</v>
      </c>
      <c r="F38" s="7">
        <f t="shared" si="4"/>
        <v>23.69166666666667</v>
      </c>
      <c r="G38" s="7">
        <f t="shared" si="4"/>
        <v>23.69166666666667</v>
      </c>
      <c r="H38" s="7">
        <f t="shared" si="4"/>
        <v>23.69166666666667</v>
      </c>
      <c r="I38" s="7">
        <f t="shared" si="4"/>
        <v>23.69166666666667</v>
      </c>
      <c r="J38" s="7">
        <f t="shared" si="4"/>
        <v>23.69166666666667</v>
      </c>
      <c r="K38" s="7">
        <f t="shared" si="4"/>
        <v>23.69166666666667</v>
      </c>
      <c r="L38" s="7">
        <f t="shared" si="4"/>
        <v>23.69166666666667</v>
      </c>
      <c r="M38" s="7">
        <f t="shared" si="4"/>
        <v>23.69166666666667</v>
      </c>
      <c r="N38" s="7">
        <f t="shared" si="4"/>
        <v>23.69166666666667</v>
      </c>
      <c r="O38" s="7">
        <f t="shared" si="4"/>
        <v>23.69166666666667</v>
      </c>
      <c r="P38" s="8">
        <f t="shared" ref="P38:P45" si="5">SUM(D38:O38)</f>
        <v>284.3</v>
      </c>
    </row>
    <row r="39" spans="1:16" x14ac:dyDescent="0.3">
      <c r="A39" s="2" t="s">
        <v>32</v>
      </c>
      <c r="B39" s="2" t="s">
        <v>26</v>
      </c>
      <c r="C39" s="9" t="s">
        <v>39</v>
      </c>
      <c r="D39" s="7">
        <f t="shared" ref="D39:O39" si="6">D27+D31</f>
        <v>8.7166666666666668</v>
      </c>
      <c r="E39" s="7">
        <f t="shared" si="6"/>
        <v>8.7166666666666668</v>
      </c>
      <c r="F39" s="7">
        <f t="shared" si="6"/>
        <v>8.7166666666666668</v>
      </c>
      <c r="G39" s="7">
        <f t="shared" si="6"/>
        <v>8.7166666666666668</v>
      </c>
      <c r="H39" s="7">
        <f t="shared" si="6"/>
        <v>8.7166666666666668</v>
      </c>
      <c r="I39" s="7">
        <f t="shared" si="6"/>
        <v>8.7166666666666668</v>
      </c>
      <c r="J39" s="7">
        <f t="shared" si="6"/>
        <v>8.7166666666666668</v>
      </c>
      <c r="K39" s="7">
        <f t="shared" si="6"/>
        <v>8.7166666666666668</v>
      </c>
      <c r="L39" s="7">
        <f t="shared" si="6"/>
        <v>8.7166666666666668</v>
      </c>
      <c r="M39" s="7">
        <f t="shared" si="6"/>
        <v>8.7166666666666668</v>
      </c>
      <c r="N39" s="7">
        <f t="shared" si="6"/>
        <v>8.7166666666666668</v>
      </c>
      <c r="O39" s="7">
        <f t="shared" si="6"/>
        <v>8.7166666666666668</v>
      </c>
      <c r="P39" s="8">
        <f t="shared" si="5"/>
        <v>104.60000000000001</v>
      </c>
    </row>
    <row r="40" spans="1:16" x14ac:dyDescent="0.3">
      <c r="A40" s="2" t="s">
        <v>32</v>
      </c>
      <c r="B40" s="2" t="s">
        <v>26</v>
      </c>
      <c r="C40" s="9" t="s">
        <v>40</v>
      </c>
      <c r="D40" s="7">
        <f t="shared" ref="D40:O40" si="7">D28+D32</f>
        <v>7.4749999999999996</v>
      </c>
      <c r="E40" s="7">
        <f t="shared" si="7"/>
        <v>7.4749999999999996</v>
      </c>
      <c r="F40" s="7">
        <f t="shared" si="7"/>
        <v>7.4749999999999996</v>
      </c>
      <c r="G40" s="7">
        <f t="shared" si="7"/>
        <v>7.4749999999999996</v>
      </c>
      <c r="H40" s="7">
        <f t="shared" si="7"/>
        <v>7.4749999999999996</v>
      </c>
      <c r="I40" s="7">
        <f t="shared" si="7"/>
        <v>7.4749999999999996</v>
      </c>
      <c r="J40" s="7">
        <f t="shared" si="7"/>
        <v>7.4749999999999996</v>
      </c>
      <c r="K40" s="7">
        <f t="shared" si="7"/>
        <v>7.4749999999999996</v>
      </c>
      <c r="L40" s="7">
        <f t="shared" si="7"/>
        <v>7.4749999999999996</v>
      </c>
      <c r="M40" s="7">
        <f t="shared" si="7"/>
        <v>7.4749999999999996</v>
      </c>
      <c r="N40" s="7">
        <f t="shared" si="7"/>
        <v>7.4749999999999996</v>
      </c>
      <c r="O40" s="7">
        <f t="shared" si="7"/>
        <v>7.4749999999999996</v>
      </c>
      <c r="P40" s="8">
        <f t="shared" si="5"/>
        <v>89.699999999999989</v>
      </c>
    </row>
    <row r="41" spans="1:16" x14ac:dyDescent="0.3">
      <c r="A41" s="2" t="s">
        <v>32</v>
      </c>
      <c r="B41" s="2" t="s">
        <v>26</v>
      </c>
      <c r="C41" s="9" t="s">
        <v>41</v>
      </c>
      <c r="D41" s="7">
        <f t="shared" ref="D41:O41" si="8">D29+D33</f>
        <v>7.7416666666666663</v>
      </c>
      <c r="E41" s="7">
        <f t="shared" si="8"/>
        <v>7.7416666666666663</v>
      </c>
      <c r="F41" s="7">
        <f t="shared" si="8"/>
        <v>7.7416666666666663</v>
      </c>
      <c r="G41" s="7">
        <f t="shared" si="8"/>
        <v>7.7416666666666663</v>
      </c>
      <c r="H41" s="7">
        <f t="shared" si="8"/>
        <v>7.7416666666666663</v>
      </c>
      <c r="I41" s="7">
        <f t="shared" si="8"/>
        <v>7.7416666666666663</v>
      </c>
      <c r="J41" s="7">
        <f t="shared" si="8"/>
        <v>7.7416666666666663</v>
      </c>
      <c r="K41" s="7">
        <f t="shared" si="8"/>
        <v>7.7416666666666663</v>
      </c>
      <c r="L41" s="7">
        <f t="shared" si="8"/>
        <v>7.7416666666666663</v>
      </c>
      <c r="M41" s="7">
        <f t="shared" si="8"/>
        <v>7.7416666666666663</v>
      </c>
      <c r="N41" s="7">
        <f t="shared" si="8"/>
        <v>7.7416666666666663</v>
      </c>
      <c r="O41" s="7">
        <f t="shared" si="8"/>
        <v>7.7416666666666663</v>
      </c>
      <c r="P41" s="8">
        <f t="shared" si="5"/>
        <v>92.899999999999977</v>
      </c>
    </row>
    <row r="42" spans="1:16" x14ac:dyDescent="0.3">
      <c r="A42" s="2" t="s">
        <v>32</v>
      </c>
      <c r="B42" s="2" t="s">
        <v>27</v>
      </c>
      <c r="C42" s="9" t="s">
        <v>38</v>
      </c>
      <c r="D42" s="7">
        <v>426.19141666666661</v>
      </c>
      <c r="E42" s="7">
        <v>426.19141666666661</v>
      </c>
      <c r="F42" s="7">
        <v>426.19141666666661</v>
      </c>
      <c r="G42" s="7">
        <v>426.19141666666661</v>
      </c>
      <c r="H42" s="7">
        <v>426.19141666666661</v>
      </c>
      <c r="I42" s="7">
        <v>426.19141666666661</v>
      </c>
      <c r="J42" s="7">
        <v>426.19141666666661</v>
      </c>
      <c r="K42" s="7">
        <v>426.19141666666661</v>
      </c>
      <c r="L42" s="7">
        <v>426.19141666666661</v>
      </c>
      <c r="M42" s="7">
        <v>426.19141666666661</v>
      </c>
      <c r="N42" s="7">
        <v>426.19141666666661</v>
      </c>
      <c r="O42" s="7">
        <v>426.19141666666661</v>
      </c>
      <c r="P42" s="8">
        <f t="shared" si="5"/>
        <v>5114.2969999999996</v>
      </c>
    </row>
    <row r="43" spans="1:16" x14ac:dyDescent="0.3">
      <c r="A43" s="2" t="s">
        <v>32</v>
      </c>
      <c r="B43" s="2" t="s">
        <v>27</v>
      </c>
      <c r="C43" s="9" t="s">
        <v>39</v>
      </c>
      <c r="D43" s="7">
        <v>549.51175000000001</v>
      </c>
      <c r="E43" s="7">
        <v>549.51175000000001</v>
      </c>
      <c r="F43" s="7">
        <v>549.51175000000001</v>
      </c>
      <c r="G43" s="7">
        <v>549.51175000000001</v>
      </c>
      <c r="H43" s="7">
        <v>549.51175000000001</v>
      </c>
      <c r="I43" s="7">
        <v>549.51175000000001</v>
      </c>
      <c r="J43" s="7">
        <v>549.51175000000001</v>
      </c>
      <c r="K43" s="7">
        <v>549.51175000000001</v>
      </c>
      <c r="L43" s="7">
        <v>549.51175000000001</v>
      </c>
      <c r="M43" s="7">
        <v>549.51175000000001</v>
      </c>
      <c r="N43" s="7">
        <v>549.51175000000001</v>
      </c>
      <c r="O43" s="7">
        <v>549.51175000000001</v>
      </c>
      <c r="P43" s="8">
        <f t="shared" si="5"/>
        <v>6594.1409999999987</v>
      </c>
    </row>
    <row r="44" spans="1:16" x14ac:dyDescent="0.3">
      <c r="A44" s="2" t="s">
        <v>32</v>
      </c>
      <c r="B44" s="2" t="s">
        <v>27</v>
      </c>
      <c r="C44" s="9" t="s">
        <v>40</v>
      </c>
      <c r="D44" s="7">
        <v>514.96066666666673</v>
      </c>
      <c r="E44" s="7">
        <v>514.96066666666673</v>
      </c>
      <c r="F44" s="7">
        <v>514.96066666666673</v>
      </c>
      <c r="G44" s="7">
        <v>514.96066666666673</v>
      </c>
      <c r="H44" s="7">
        <v>514.96066666666673</v>
      </c>
      <c r="I44" s="7">
        <v>514.96066666666673</v>
      </c>
      <c r="J44" s="7">
        <v>514.96066666666673</v>
      </c>
      <c r="K44" s="7">
        <v>514.96066666666673</v>
      </c>
      <c r="L44" s="7">
        <v>514.96066666666673</v>
      </c>
      <c r="M44" s="7">
        <v>514.96066666666673</v>
      </c>
      <c r="N44" s="7">
        <v>514.96066666666673</v>
      </c>
      <c r="O44" s="7">
        <v>514.96066666666673</v>
      </c>
      <c r="P44" s="8">
        <f t="shared" si="5"/>
        <v>6179.5280000000012</v>
      </c>
    </row>
    <row r="45" spans="1:16" x14ac:dyDescent="0.3">
      <c r="A45" s="2" t="s">
        <v>32</v>
      </c>
      <c r="B45" s="2" t="s">
        <v>27</v>
      </c>
      <c r="C45" s="9" t="s">
        <v>41</v>
      </c>
      <c r="D45" s="7">
        <v>501.71224999999998</v>
      </c>
      <c r="E45" s="7">
        <v>501.71224999999998</v>
      </c>
      <c r="F45" s="7">
        <v>501.71224999999998</v>
      </c>
      <c r="G45" s="7">
        <v>501.71224999999998</v>
      </c>
      <c r="H45" s="7">
        <v>501.71224999999998</v>
      </c>
      <c r="I45" s="7">
        <v>501.71224999999998</v>
      </c>
      <c r="J45" s="7">
        <v>501.71224999999998</v>
      </c>
      <c r="K45" s="7">
        <v>501.71224999999998</v>
      </c>
      <c r="L45" s="7">
        <v>501.71224999999998</v>
      </c>
      <c r="M45" s="7">
        <v>501.71224999999998</v>
      </c>
      <c r="N45" s="7">
        <v>501.71224999999998</v>
      </c>
      <c r="O45" s="7">
        <v>501.71224999999998</v>
      </c>
      <c r="P45" s="8">
        <f t="shared" si="5"/>
        <v>6020.5469999999987</v>
      </c>
    </row>
    <row r="46" spans="1:16" x14ac:dyDescent="0.3">
      <c r="A46" s="2" t="s">
        <v>32</v>
      </c>
      <c r="B46" s="2" t="s">
        <v>28</v>
      </c>
      <c r="C46" s="9" t="s">
        <v>38</v>
      </c>
      <c r="D46" s="7" t="e">
        <f>#REF!+D14+D22-D18-D38-D42-D34</f>
        <v>#REF!</v>
      </c>
      <c r="E46" s="7" t="e">
        <f t="shared" ref="E46:O46" si="9">D46+E14+E22-E18-E38-E42-E34</f>
        <v>#REF!</v>
      </c>
      <c r="F46" s="7" t="e">
        <f t="shared" si="9"/>
        <v>#REF!</v>
      </c>
      <c r="G46" s="7" t="e">
        <f t="shared" si="9"/>
        <v>#REF!</v>
      </c>
      <c r="H46" s="7" t="e">
        <f t="shared" si="9"/>
        <v>#REF!</v>
      </c>
      <c r="I46" s="7" t="e">
        <f t="shared" si="9"/>
        <v>#REF!</v>
      </c>
      <c r="J46" s="7" t="e">
        <f t="shared" si="9"/>
        <v>#REF!</v>
      </c>
      <c r="K46" s="7" t="e">
        <f t="shared" si="9"/>
        <v>#REF!</v>
      </c>
      <c r="L46" s="7" t="e">
        <f t="shared" si="9"/>
        <v>#REF!</v>
      </c>
      <c r="M46" s="7" t="e">
        <f t="shared" si="9"/>
        <v>#REF!</v>
      </c>
      <c r="N46" s="7" t="e">
        <f t="shared" si="9"/>
        <v>#REF!</v>
      </c>
      <c r="O46" s="7" t="e">
        <f t="shared" si="9"/>
        <v>#REF!</v>
      </c>
      <c r="P46" s="8" t="e">
        <f t="shared" ref="P46:P49" si="10">O46</f>
        <v>#REF!</v>
      </c>
    </row>
    <row r="47" spans="1:16" x14ac:dyDescent="0.3">
      <c r="A47" s="2" t="s">
        <v>32</v>
      </c>
      <c r="B47" s="2" t="s">
        <v>28</v>
      </c>
      <c r="C47" s="9" t="s">
        <v>39</v>
      </c>
      <c r="D47" s="7" t="e">
        <f>O46+D15+D23-D19-D39-D43-D35</f>
        <v>#REF!</v>
      </c>
      <c r="E47" s="7" t="e">
        <f t="shared" ref="E47:O47" si="11">D47+E15+E23-E19-E39-E43-E35</f>
        <v>#REF!</v>
      </c>
      <c r="F47" s="7" t="e">
        <f t="shared" si="11"/>
        <v>#REF!</v>
      </c>
      <c r="G47" s="7" t="e">
        <f t="shared" si="11"/>
        <v>#REF!</v>
      </c>
      <c r="H47" s="7" t="e">
        <f t="shared" si="11"/>
        <v>#REF!</v>
      </c>
      <c r="I47" s="7" t="e">
        <f t="shared" si="11"/>
        <v>#REF!</v>
      </c>
      <c r="J47" s="7" t="e">
        <f t="shared" si="11"/>
        <v>#REF!</v>
      </c>
      <c r="K47" s="7" t="e">
        <f t="shared" si="11"/>
        <v>#REF!</v>
      </c>
      <c r="L47" s="7" t="e">
        <f t="shared" si="11"/>
        <v>#REF!</v>
      </c>
      <c r="M47" s="7" t="e">
        <f t="shared" si="11"/>
        <v>#REF!</v>
      </c>
      <c r="N47" s="7" t="e">
        <f t="shared" si="11"/>
        <v>#REF!</v>
      </c>
      <c r="O47" s="7" t="e">
        <f t="shared" si="11"/>
        <v>#REF!</v>
      </c>
      <c r="P47" s="8" t="e">
        <f t="shared" si="10"/>
        <v>#REF!</v>
      </c>
    </row>
    <row r="48" spans="1:16" x14ac:dyDescent="0.3">
      <c r="A48" s="2" t="s">
        <v>32</v>
      </c>
      <c r="B48" s="2" t="s">
        <v>28</v>
      </c>
      <c r="C48" s="9" t="s">
        <v>40</v>
      </c>
      <c r="D48" s="7" t="e">
        <f>O47+D16+D24-D20-D40-D44-D36</f>
        <v>#REF!</v>
      </c>
      <c r="E48" s="7" t="e">
        <f t="shared" ref="E48:O48" si="12">D48+E16+E24-E20-E40-E44-E36</f>
        <v>#REF!</v>
      </c>
      <c r="F48" s="7" t="e">
        <f t="shared" si="12"/>
        <v>#REF!</v>
      </c>
      <c r="G48" s="7" t="e">
        <f t="shared" si="12"/>
        <v>#REF!</v>
      </c>
      <c r="H48" s="7" t="e">
        <f t="shared" si="12"/>
        <v>#REF!</v>
      </c>
      <c r="I48" s="7" t="e">
        <f t="shared" si="12"/>
        <v>#REF!</v>
      </c>
      <c r="J48" s="7" t="e">
        <f t="shared" si="12"/>
        <v>#REF!</v>
      </c>
      <c r="K48" s="7" t="e">
        <f t="shared" si="12"/>
        <v>#REF!</v>
      </c>
      <c r="L48" s="7" t="e">
        <f t="shared" si="12"/>
        <v>#REF!</v>
      </c>
      <c r="M48" s="7" t="e">
        <f t="shared" si="12"/>
        <v>#REF!</v>
      </c>
      <c r="N48" s="7" t="e">
        <f t="shared" si="12"/>
        <v>#REF!</v>
      </c>
      <c r="O48" s="7" t="e">
        <f t="shared" si="12"/>
        <v>#REF!</v>
      </c>
      <c r="P48" s="8" t="e">
        <f t="shared" si="10"/>
        <v>#REF!</v>
      </c>
    </row>
    <row r="49" spans="1:16" x14ac:dyDescent="0.3">
      <c r="A49" s="2" t="s">
        <v>32</v>
      </c>
      <c r="B49" s="2" t="s">
        <v>28</v>
      </c>
      <c r="C49" s="9" t="s">
        <v>41</v>
      </c>
      <c r="D49" s="7" t="e">
        <f>O48+D17+D25-D21-D41-D45-D37</f>
        <v>#REF!</v>
      </c>
      <c r="E49" s="7" t="e">
        <f t="shared" ref="E49:O49" si="13">D49+E17+E25-E21-E41-E45-E37</f>
        <v>#REF!</v>
      </c>
      <c r="F49" s="7" t="e">
        <f t="shared" si="13"/>
        <v>#REF!</v>
      </c>
      <c r="G49" s="7" t="e">
        <f t="shared" si="13"/>
        <v>#REF!</v>
      </c>
      <c r="H49" s="7" t="e">
        <f t="shared" si="13"/>
        <v>#REF!</v>
      </c>
      <c r="I49" s="7" t="e">
        <f t="shared" si="13"/>
        <v>#REF!</v>
      </c>
      <c r="J49" s="7" t="e">
        <f t="shared" si="13"/>
        <v>#REF!</v>
      </c>
      <c r="K49" s="7" t="e">
        <f t="shared" si="13"/>
        <v>#REF!</v>
      </c>
      <c r="L49" s="7" t="e">
        <f t="shared" si="13"/>
        <v>#REF!</v>
      </c>
      <c r="M49" s="7" t="e">
        <f t="shared" si="13"/>
        <v>#REF!</v>
      </c>
      <c r="N49" s="7" t="e">
        <f t="shared" si="13"/>
        <v>#REF!</v>
      </c>
      <c r="O49" s="7" t="e">
        <f t="shared" si="13"/>
        <v>#REF!</v>
      </c>
      <c r="P49" s="8" t="e">
        <f t="shared" si="10"/>
        <v>#REF!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85CF-560A-47CB-A25F-7009173DE923}">
  <dimension ref="A1:P49"/>
  <sheetViews>
    <sheetView workbookViewId="0">
      <pane xSplit="3" ySplit="1" topLeftCell="D173" activePane="bottomRight" state="frozen"/>
      <selection activeCell="S35" sqref="S35"/>
      <selection pane="topRight" activeCell="S35" sqref="S35"/>
      <selection pane="bottomLeft" activeCell="S35" sqref="S35"/>
      <selection pane="bottomRight" activeCell="S35" sqref="S35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33</v>
      </c>
      <c r="B2" s="2" t="s">
        <v>17</v>
      </c>
      <c r="C2" s="9" t="s">
        <v>38</v>
      </c>
      <c r="D2" s="3">
        <v>3.711811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9" si="0">D2</f>
        <v>3.711811</v>
      </c>
    </row>
    <row r="3" spans="1:16" x14ac:dyDescent="0.3">
      <c r="A3" s="2" t="s">
        <v>33</v>
      </c>
      <c r="B3" s="2" t="s">
        <v>17</v>
      </c>
      <c r="C3" s="9" t="s">
        <v>39</v>
      </c>
      <c r="D3" s="3">
        <v>3.9367000000000001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3.9367000000000001</v>
      </c>
    </row>
    <row r="4" spans="1:16" x14ac:dyDescent="0.3">
      <c r="A4" s="2" t="s">
        <v>33</v>
      </c>
      <c r="B4" s="2" t="s">
        <v>17</v>
      </c>
      <c r="C4" s="9" t="s">
        <v>40</v>
      </c>
      <c r="D4" s="3">
        <v>2.5350999999999999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2.5350999999999999</v>
      </c>
    </row>
    <row r="5" spans="1:16" x14ac:dyDescent="0.3">
      <c r="A5" s="2" t="s">
        <v>33</v>
      </c>
      <c r="B5" s="2" t="s">
        <v>17</v>
      </c>
      <c r="C5" s="9" t="s">
        <v>41</v>
      </c>
      <c r="D5" s="3">
        <v>2.8999000000000001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2.8999000000000001</v>
      </c>
    </row>
    <row r="6" spans="1:16" x14ac:dyDescent="0.3">
      <c r="A6" s="2" t="s">
        <v>33</v>
      </c>
      <c r="B6" s="2" t="s">
        <v>18</v>
      </c>
      <c r="C6" s="9" t="s">
        <v>38</v>
      </c>
      <c r="D6" s="3">
        <v>2.9993110000000001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2.9993110000000001</v>
      </c>
    </row>
    <row r="7" spans="1:16" x14ac:dyDescent="0.3">
      <c r="A7" s="2" t="s">
        <v>33</v>
      </c>
      <c r="B7" s="2" t="s">
        <v>18</v>
      </c>
      <c r="C7" s="9" t="s">
        <v>39</v>
      </c>
      <c r="D7" s="3">
        <v>3.4645000000000001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3.4645000000000001</v>
      </c>
    </row>
    <row r="8" spans="1:16" x14ac:dyDescent="0.3">
      <c r="A8" s="2" t="s">
        <v>33</v>
      </c>
      <c r="B8" s="2" t="s">
        <v>18</v>
      </c>
      <c r="C8" s="9" t="s">
        <v>40</v>
      </c>
      <c r="D8" s="3">
        <v>2.0404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2.0404</v>
      </c>
    </row>
    <row r="9" spans="1:16" x14ac:dyDescent="0.3">
      <c r="A9" s="2" t="s">
        <v>33</v>
      </c>
      <c r="B9" s="2" t="s">
        <v>18</v>
      </c>
      <c r="C9" s="9" t="s">
        <v>41</v>
      </c>
      <c r="D9" s="3">
        <v>2.4542999999999999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2.4542999999999999</v>
      </c>
    </row>
    <row r="10" spans="1:16" x14ac:dyDescent="0.3">
      <c r="A10" s="2" t="s">
        <v>33</v>
      </c>
      <c r="B10" s="2" t="s">
        <v>19</v>
      </c>
      <c r="C10" s="9" t="s">
        <v>38</v>
      </c>
      <c r="D10" s="5">
        <v>62.664539115816943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>
        <f t="shared" ref="P10:P17" si="1">D10</f>
        <v>62.664539115816943</v>
      </c>
    </row>
    <row r="11" spans="1:16" x14ac:dyDescent="0.3">
      <c r="A11" s="2" t="s">
        <v>33</v>
      </c>
      <c r="B11" s="2" t="s">
        <v>19</v>
      </c>
      <c r="C11" s="9" t="s">
        <v>39</v>
      </c>
      <c r="D11" s="5">
        <v>97.819502871987325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>
        <f t="shared" si="1"/>
        <v>97.819502871987325</v>
      </c>
    </row>
    <row r="12" spans="1:16" x14ac:dyDescent="0.3">
      <c r="A12" s="2" t="s">
        <v>33</v>
      </c>
      <c r="B12" s="2" t="s">
        <v>19</v>
      </c>
      <c r="C12" s="9" t="s">
        <v>40</v>
      </c>
      <c r="D12" s="5">
        <v>83.994982150558712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>
        <f t="shared" si="1"/>
        <v>83.994982150558712</v>
      </c>
    </row>
    <row r="13" spans="1:16" x14ac:dyDescent="0.3">
      <c r="A13" s="2" t="s">
        <v>33</v>
      </c>
      <c r="B13" s="2" t="s">
        <v>19</v>
      </c>
      <c r="C13" s="9" t="s">
        <v>41</v>
      </c>
      <c r="D13" s="5">
        <v>88.706689353379801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>
        <f t="shared" si="1"/>
        <v>88.706689353379801</v>
      </c>
    </row>
    <row r="14" spans="1:16" x14ac:dyDescent="0.3">
      <c r="A14" s="2" t="s">
        <v>33</v>
      </c>
      <c r="B14" s="2" t="s">
        <v>20</v>
      </c>
      <c r="C14" s="9" t="s">
        <v>38</v>
      </c>
      <c r="D14" s="7">
        <v>2898.6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>
        <f t="shared" si="1"/>
        <v>2898.6</v>
      </c>
    </row>
    <row r="15" spans="1:16" x14ac:dyDescent="0.3">
      <c r="A15" s="2" t="s">
        <v>33</v>
      </c>
      <c r="B15" s="2" t="s">
        <v>20</v>
      </c>
      <c r="C15" s="9" t="s">
        <v>39</v>
      </c>
      <c r="D15" s="7">
        <v>5226.5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>
        <f t="shared" si="1"/>
        <v>5226.5</v>
      </c>
    </row>
    <row r="16" spans="1:16" x14ac:dyDescent="0.3">
      <c r="A16" s="2" t="s">
        <v>33</v>
      </c>
      <c r="B16" s="2" t="s">
        <v>20</v>
      </c>
      <c r="C16" s="9" t="s">
        <v>40</v>
      </c>
      <c r="D16" s="7">
        <v>2643.1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>
        <f t="shared" si="1"/>
        <v>2643.1</v>
      </c>
    </row>
    <row r="17" spans="1:16" x14ac:dyDescent="0.3">
      <c r="A17" s="2" t="s">
        <v>33</v>
      </c>
      <c r="B17" s="2" t="s">
        <v>20</v>
      </c>
      <c r="C17" s="9" t="s">
        <v>41</v>
      </c>
      <c r="D17" s="7">
        <v>3357.6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>
        <f t="shared" si="1"/>
        <v>3357.6</v>
      </c>
    </row>
    <row r="18" spans="1:16" x14ac:dyDescent="0.3">
      <c r="A18" s="2" t="s">
        <v>33</v>
      </c>
      <c r="B18" s="2" t="s">
        <v>21</v>
      </c>
      <c r="C18" s="9" t="s">
        <v>38</v>
      </c>
      <c r="D18" s="7">
        <v>232.04300000000001</v>
      </c>
      <c r="E18" s="7">
        <v>225.72399999999999</v>
      </c>
      <c r="F18" s="7">
        <v>232.589</v>
      </c>
      <c r="G18" s="7">
        <v>185.77</v>
      </c>
      <c r="H18" s="7">
        <v>156.001</v>
      </c>
      <c r="I18" s="7">
        <v>151.22900000000001</v>
      </c>
      <c r="J18" s="7">
        <v>137.11000000000001</v>
      </c>
      <c r="K18" s="7">
        <v>163.75399999999999</v>
      </c>
      <c r="L18" s="7">
        <v>144.22200000000001</v>
      </c>
      <c r="M18" s="7">
        <v>143.542</v>
      </c>
      <c r="N18" s="7">
        <v>134.64400000000001</v>
      </c>
      <c r="O18" s="7">
        <v>115.75</v>
      </c>
      <c r="P18" s="8">
        <f t="shared" ref="P18:P25" si="2">SUM(D18:O18)</f>
        <v>2022.3779999999997</v>
      </c>
    </row>
    <row r="19" spans="1:16" x14ac:dyDescent="0.3">
      <c r="A19" s="2" t="s">
        <v>33</v>
      </c>
      <c r="B19" s="2" t="s">
        <v>21</v>
      </c>
      <c r="C19" s="9" t="s">
        <v>39</v>
      </c>
      <c r="D19" s="7">
        <v>131.887</v>
      </c>
      <c r="E19" s="7">
        <v>222.63300000000001</v>
      </c>
      <c r="F19" s="7">
        <v>247.614</v>
      </c>
      <c r="G19" s="7">
        <v>200.077</v>
      </c>
      <c r="H19" s="7">
        <v>162.209</v>
      </c>
      <c r="I19" s="7">
        <v>229.93899999999999</v>
      </c>
      <c r="J19" s="7">
        <v>157.56</v>
      </c>
      <c r="K19" s="7">
        <v>221.71299999999999</v>
      </c>
      <c r="L19" s="7">
        <v>186.11500000000001</v>
      </c>
      <c r="M19" s="7">
        <v>214.76</v>
      </c>
      <c r="N19" s="7">
        <v>223.721</v>
      </c>
      <c r="O19" s="7">
        <v>193.33</v>
      </c>
      <c r="P19" s="8">
        <f t="shared" si="2"/>
        <v>2391.558</v>
      </c>
    </row>
    <row r="20" spans="1:16" x14ac:dyDescent="0.3">
      <c r="A20" s="2" t="s">
        <v>33</v>
      </c>
      <c r="B20" s="2" t="s">
        <v>21</v>
      </c>
      <c r="C20" s="9" t="s">
        <v>40</v>
      </c>
      <c r="D20" s="7">
        <v>261.096</v>
      </c>
      <c r="E20" s="7">
        <v>211.12899999999999</v>
      </c>
      <c r="F20" s="7">
        <v>189.11500000000001</v>
      </c>
      <c r="G20" s="7">
        <v>142.55699999999999</v>
      </c>
      <c r="H20" s="7">
        <v>120.523</v>
      </c>
      <c r="I20" s="7">
        <v>187.75399999999999</v>
      </c>
      <c r="J20" s="7">
        <v>139.72</v>
      </c>
      <c r="K20" s="7">
        <v>188.22900000000001</v>
      </c>
      <c r="L20" s="7">
        <v>228.00899999999999</v>
      </c>
      <c r="M20" s="7">
        <v>113.41</v>
      </c>
      <c r="N20" s="7">
        <v>113.97199999999999</v>
      </c>
      <c r="O20" s="7">
        <v>170.745</v>
      </c>
      <c r="P20" s="8">
        <f t="shared" si="2"/>
        <v>2066.259</v>
      </c>
    </row>
    <row r="21" spans="1:16" x14ac:dyDescent="0.3">
      <c r="A21" s="2" t="s">
        <v>33</v>
      </c>
      <c r="B21" s="2" t="s">
        <v>21</v>
      </c>
      <c r="C21" s="9" t="s">
        <v>41</v>
      </c>
      <c r="D21" s="7">
        <v>158.57400000000001</v>
      </c>
      <c r="E21" s="7">
        <v>246.279</v>
      </c>
      <c r="F21" s="7">
        <v>174.673</v>
      </c>
      <c r="G21" s="7">
        <v>177.458</v>
      </c>
      <c r="H21" s="7">
        <v>205.49600000000001</v>
      </c>
      <c r="I21" s="7">
        <v>219.691</v>
      </c>
      <c r="J21" s="7">
        <v>141.047</v>
      </c>
      <c r="K21" s="7">
        <v>227.518</v>
      </c>
      <c r="L21" s="7">
        <v>162.21799999999999</v>
      </c>
      <c r="M21" s="7">
        <v>177.85499999999999</v>
      </c>
      <c r="N21" s="7">
        <v>165.91900000000001</v>
      </c>
      <c r="O21" s="7">
        <v>159.559</v>
      </c>
      <c r="P21" s="8">
        <f t="shared" si="2"/>
        <v>2216.2870000000003</v>
      </c>
    </row>
    <row r="22" spans="1:16" x14ac:dyDescent="0.3">
      <c r="A22" s="2" t="s">
        <v>33</v>
      </c>
      <c r="B22" s="2" t="s">
        <v>22</v>
      </c>
      <c r="C22" s="9" t="s">
        <v>38</v>
      </c>
      <c r="D22" s="7">
        <v>4.6050000000000004</v>
      </c>
      <c r="E22" s="7">
        <v>4.7690000000000001</v>
      </c>
      <c r="F22" s="7">
        <v>2.2410000000000001</v>
      </c>
      <c r="G22" s="7">
        <v>1.825</v>
      </c>
      <c r="H22" s="7">
        <v>2.3940000000000001</v>
      </c>
      <c r="I22" s="7">
        <v>2.0939999999999999</v>
      </c>
      <c r="J22" s="7">
        <v>3.3980000000000001</v>
      </c>
      <c r="K22" s="7">
        <v>2.6040000000000001</v>
      </c>
      <c r="L22" s="7">
        <v>2.125</v>
      </c>
      <c r="M22" s="7">
        <v>1.9890000000000001</v>
      </c>
      <c r="N22" s="7">
        <v>3.9849999999999999</v>
      </c>
      <c r="O22" s="7">
        <v>8.1180000000000003</v>
      </c>
      <c r="P22" s="8">
        <f t="shared" si="2"/>
        <v>40.147000000000006</v>
      </c>
    </row>
    <row r="23" spans="1:16" x14ac:dyDescent="0.3">
      <c r="A23" s="2" t="s">
        <v>33</v>
      </c>
      <c r="B23" s="2" t="s">
        <v>22</v>
      </c>
      <c r="C23" s="9" t="s">
        <v>39</v>
      </c>
      <c r="D23" s="7">
        <v>7.2589999999999986</v>
      </c>
      <c r="E23" s="7">
        <v>6.8660000000000014</v>
      </c>
      <c r="F23" s="7">
        <v>2.5449999999999999</v>
      </c>
      <c r="G23" s="7">
        <v>3.2090000000000001</v>
      </c>
      <c r="H23" s="7">
        <v>1.226</v>
      </c>
      <c r="I23" s="7">
        <v>3.3159999999999998</v>
      </c>
      <c r="J23" s="7">
        <v>2.8559999999999999</v>
      </c>
      <c r="K23" s="7">
        <v>1.7390000000000001</v>
      </c>
      <c r="L23" s="7">
        <v>1.341</v>
      </c>
      <c r="M23" s="7">
        <v>2.0259999999999998</v>
      </c>
      <c r="N23" s="7">
        <v>8.9150000000000009</v>
      </c>
      <c r="O23" s="7">
        <v>6.2939999999999996</v>
      </c>
      <c r="P23" s="8">
        <f t="shared" si="2"/>
        <v>47.591999999999999</v>
      </c>
    </row>
    <row r="24" spans="1:16" x14ac:dyDescent="0.3">
      <c r="A24" s="2" t="s">
        <v>33</v>
      </c>
      <c r="B24" s="2" t="s">
        <v>22</v>
      </c>
      <c r="C24" s="9" t="s">
        <v>40</v>
      </c>
      <c r="D24" s="7">
        <v>5.636000000000001</v>
      </c>
      <c r="E24" s="7">
        <v>9.9970000000000017</v>
      </c>
      <c r="F24" s="7">
        <v>1.9590000000000001</v>
      </c>
      <c r="G24" s="7">
        <v>1.6060000000000001</v>
      </c>
      <c r="H24" s="7">
        <v>1.361</v>
      </c>
      <c r="I24" s="7">
        <v>1.8260000000000001</v>
      </c>
      <c r="J24" s="7">
        <v>3.4860000000000002</v>
      </c>
      <c r="K24" s="7">
        <v>2.4470000000000001</v>
      </c>
      <c r="L24" s="7">
        <v>2.234</v>
      </c>
      <c r="M24" s="7">
        <v>2.258</v>
      </c>
      <c r="N24" s="7">
        <v>2.7989999999999999</v>
      </c>
      <c r="O24" s="7">
        <v>1.9510000000000001</v>
      </c>
      <c r="P24" s="8">
        <f t="shared" si="2"/>
        <v>37.560000000000009</v>
      </c>
    </row>
    <row r="25" spans="1:16" x14ac:dyDescent="0.3">
      <c r="A25" s="2" t="s">
        <v>33</v>
      </c>
      <c r="B25" s="2" t="s">
        <v>22</v>
      </c>
      <c r="C25" s="9" t="s">
        <v>41</v>
      </c>
      <c r="D25" s="7">
        <v>7.0590000000000011</v>
      </c>
      <c r="E25" s="7">
        <v>4.3519999999999994</v>
      </c>
      <c r="F25" s="7">
        <v>2.78</v>
      </c>
      <c r="G25" s="7">
        <v>2.2200000000000002</v>
      </c>
      <c r="H25" s="7">
        <v>1.875</v>
      </c>
      <c r="I25" s="7">
        <v>9.7579999999999991</v>
      </c>
      <c r="J25" s="7">
        <v>7.1300000000000008</v>
      </c>
      <c r="K25" s="7">
        <v>2.9329999999999998</v>
      </c>
      <c r="L25" s="7">
        <v>1.593</v>
      </c>
      <c r="M25" s="7">
        <v>1.581</v>
      </c>
      <c r="N25" s="7">
        <v>1.7829999999999999</v>
      </c>
      <c r="O25" s="7">
        <v>2.444</v>
      </c>
      <c r="P25" s="8">
        <f t="shared" si="2"/>
        <v>45.50800000000001</v>
      </c>
    </row>
    <row r="26" spans="1:16" x14ac:dyDescent="0.3">
      <c r="A26" s="2" t="s">
        <v>33</v>
      </c>
      <c r="B26" s="2" t="s">
        <v>23</v>
      </c>
      <c r="C26" s="9" t="s">
        <v>38</v>
      </c>
      <c r="D26" s="7">
        <v>8.1333333333333329</v>
      </c>
      <c r="E26" s="7">
        <v>8.1333333333333329</v>
      </c>
      <c r="F26" s="7">
        <v>8.1333333333333329</v>
      </c>
      <c r="G26" s="7">
        <v>8.1333333333333329</v>
      </c>
      <c r="H26" s="7">
        <v>8.1333333333333329</v>
      </c>
      <c r="I26" s="7">
        <v>8.1333333333333329</v>
      </c>
      <c r="J26" s="7">
        <v>8.1333333333333329</v>
      </c>
      <c r="K26" s="7">
        <v>8.1333333333333329</v>
      </c>
      <c r="L26" s="7">
        <v>8.1333333333333329</v>
      </c>
      <c r="M26" s="7">
        <v>8.1333333333333329</v>
      </c>
      <c r="N26" s="7">
        <v>8.1333333333333329</v>
      </c>
      <c r="O26" s="7">
        <v>8.1333333333333329</v>
      </c>
      <c r="P26" s="8">
        <f t="shared" ref="P26:P37" si="3">SUM(D26:O26)</f>
        <v>97.599999999999966</v>
      </c>
    </row>
    <row r="27" spans="1:16" x14ac:dyDescent="0.3">
      <c r="A27" s="2" t="s">
        <v>33</v>
      </c>
      <c r="B27" s="2" t="s">
        <v>23</v>
      </c>
      <c r="C27" s="9" t="s">
        <v>39</v>
      </c>
      <c r="D27" s="7">
        <v>7.5249999999999986</v>
      </c>
      <c r="E27" s="7">
        <v>7.5249999999999986</v>
      </c>
      <c r="F27" s="7">
        <v>7.5249999999999986</v>
      </c>
      <c r="G27" s="7">
        <v>7.5249999999999986</v>
      </c>
      <c r="H27" s="7">
        <v>7.5249999999999986</v>
      </c>
      <c r="I27" s="7">
        <v>7.5249999999999986</v>
      </c>
      <c r="J27" s="7">
        <v>7.5249999999999986</v>
      </c>
      <c r="K27" s="7">
        <v>7.5249999999999986</v>
      </c>
      <c r="L27" s="7">
        <v>7.5249999999999986</v>
      </c>
      <c r="M27" s="7">
        <v>7.5249999999999986</v>
      </c>
      <c r="N27" s="7">
        <v>7.5249999999999986</v>
      </c>
      <c r="O27" s="7">
        <v>7.5249999999999986</v>
      </c>
      <c r="P27" s="8">
        <f t="shared" si="3"/>
        <v>90.300000000000011</v>
      </c>
    </row>
    <row r="28" spans="1:16" x14ac:dyDescent="0.3">
      <c r="A28" s="2" t="s">
        <v>33</v>
      </c>
      <c r="B28" s="2" t="s">
        <v>23</v>
      </c>
      <c r="C28" s="9" t="s">
        <v>40</v>
      </c>
      <c r="D28" s="7">
        <v>6.5666666666666664</v>
      </c>
      <c r="E28" s="7">
        <v>6.5666666666666664</v>
      </c>
      <c r="F28" s="7">
        <v>6.5666666666666664</v>
      </c>
      <c r="G28" s="7">
        <v>6.5666666666666664</v>
      </c>
      <c r="H28" s="7">
        <v>6.5666666666666664</v>
      </c>
      <c r="I28" s="7">
        <v>6.5666666666666664</v>
      </c>
      <c r="J28" s="7">
        <v>6.5666666666666664</v>
      </c>
      <c r="K28" s="7">
        <v>6.5666666666666664</v>
      </c>
      <c r="L28" s="7">
        <v>6.5666666666666664</v>
      </c>
      <c r="M28" s="7">
        <v>6.5666666666666664</v>
      </c>
      <c r="N28" s="7">
        <v>6.5666666666666664</v>
      </c>
      <c r="O28" s="7">
        <v>6.5666666666666664</v>
      </c>
      <c r="P28" s="8">
        <f t="shared" si="3"/>
        <v>78.799999999999969</v>
      </c>
    </row>
    <row r="29" spans="1:16" x14ac:dyDescent="0.3">
      <c r="A29" s="2" t="s">
        <v>33</v>
      </c>
      <c r="B29" s="2" t="s">
        <v>23</v>
      </c>
      <c r="C29" s="9" t="s">
        <v>41</v>
      </c>
      <c r="D29" s="7">
        <v>6.2666666666666666</v>
      </c>
      <c r="E29" s="7">
        <v>6.2666666666666666</v>
      </c>
      <c r="F29" s="7">
        <v>6.2666666666666666</v>
      </c>
      <c r="G29" s="7">
        <v>6.2666666666666666</v>
      </c>
      <c r="H29" s="7">
        <v>6.2666666666666666</v>
      </c>
      <c r="I29" s="7">
        <v>6.2666666666666666</v>
      </c>
      <c r="J29" s="7">
        <v>6.2666666666666666</v>
      </c>
      <c r="K29" s="7">
        <v>6.2666666666666666</v>
      </c>
      <c r="L29" s="7">
        <v>6.2666666666666666</v>
      </c>
      <c r="M29" s="7">
        <v>6.2666666666666666</v>
      </c>
      <c r="N29" s="7">
        <v>6.2666666666666666</v>
      </c>
      <c r="O29" s="7">
        <v>6.2666666666666666</v>
      </c>
      <c r="P29" s="8">
        <f t="shared" si="3"/>
        <v>75.2</v>
      </c>
    </row>
    <row r="30" spans="1:16" x14ac:dyDescent="0.3">
      <c r="A30" s="2" t="s">
        <v>33</v>
      </c>
      <c r="B30" s="2" t="s">
        <v>24</v>
      </c>
      <c r="C30" s="9" t="s">
        <v>38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8">
        <f t="shared" si="3"/>
        <v>0</v>
      </c>
    </row>
    <row r="31" spans="1:16" x14ac:dyDescent="0.3">
      <c r="A31" s="2" t="s">
        <v>33</v>
      </c>
      <c r="B31" s="2" t="s">
        <v>24</v>
      </c>
      <c r="C31" s="9" t="s">
        <v>39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8">
        <f t="shared" si="3"/>
        <v>0</v>
      </c>
    </row>
    <row r="32" spans="1:16" x14ac:dyDescent="0.3">
      <c r="A32" s="2" t="s">
        <v>33</v>
      </c>
      <c r="B32" s="2" t="s">
        <v>24</v>
      </c>
      <c r="C32" s="9" t="s">
        <v>40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8">
        <f t="shared" si="3"/>
        <v>0</v>
      </c>
    </row>
    <row r="33" spans="1:16" x14ac:dyDescent="0.3">
      <c r="A33" s="2" t="s">
        <v>33</v>
      </c>
      <c r="B33" s="2" t="s">
        <v>24</v>
      </c>
      <c r="C33" s="9" t="s">
        <v>41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8">
        <f t="shared" si="3"/>
        <v>0</v>
      </c>
    </row>
    <row r="34" spans="1:16" x14ac:dyDescent="0.3">
      <c r="A34" s="2" t="s">
        <v>33</v>
      </c>
      <c r="B34" s="2" t="s">
        <v>25</v>
      </c>
      <c r="C34" s="9" t="s">
        <v>38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8">
        <f t="shared" si="3"/>
        <v>0</v>
      </c>
    </row>
    <row r="35" spans="1:16" x14ac:dyDescent="0.3">
      <c r="A35" s="2" t="s">
        <v>33</v>
      </c>
      <c r="B35" s="2" t="s">
        <v>25</v>
      </c>
      <c r="C35" s="9" t="s">
        <v>39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8">
        <f t="shared" si="3"/>
        <v>0</v>
      </c>
    </row>
    <row r="36" spans="1:16" x14ac:dyDescent="0.3">
      <c r="A36" s="2" t="s">
        <v>33</v>
      </c>
      <c r="B36" s="2" t="s">
        <v>25</v>
      </c>
      <c r="C36" s="9" t="s">
        <v>40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8">
        <f t="shared" si="3"/>
        <v>0</v>
      </c>
    </row>
    <row r="37" spans="1:16" x14ac:dyDescent="0.3">
      <c r="A37" s="2" t="s">
        <v>33</v>
      </c>
      <c r="B37" s="2" t="s">
        <v>25</v>
      </c>
      <c r="C37" s="9" t="s">
        <v>41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8">
        <f t="shared" si="3"/>
        <v>0</v>
      </c>
    </row>
    <row r="38" spans="1:16" x14ac:dyDescent="0.3">
      <c r="A38" s="2" t="s">
        <v>33</v>
      </c>
      <c r="B38" s="2" t="s">
        <v>26</v>
      </c>
      <c r="C38" s="9" t="s">
        <v>38</v>
      </c>
      <c r="D38" s="7">
        <f t="shared" ref="D38:O38" si="4">D26+D30</f>
        <v>8.1333333333333329</v>
      </c>
      <c r="E38" s="7">
        <f t="shared" si="4"/>
        <v>8.1333333333333329</v>
      </c>
      <c r="F38" s="7">
        <f t="shared" si="4"/>
        <v>8.1333333333333329</v>
      </c>
      <c r="G38" s="7">
        <f t="shared" si="4"/>
        <v>8.1333333333333329</v>
      </c>
      <c r="H38" s="7">
        <f t="shared" si="4"/>
        <v>8.1333333333333329</v>
      </c>
      <c r="I38" s="7">
        <f t="shared" si="4"/>
        <v>8.1333333333333329</v>
      </c>
      <c r="J38" s="7">
        <f t="shared" si="4"/>
        <v>8.1333333333333329</v>
      </c>
      <c r="K38" s="7">
        <f t="shared" si="4"/>
        <v>8.1333333333333329</v>
      </c>
      <c r="L38" s="7">
        <f t="shared" si="4"/>
        <v>8.1333333333333329</v>
      </c>
      <c r="M38" s="7">
        <f t="shared" si="4"/>
        <v>8.1333333333333329</v>
      </c>
      <c r="N38" s="7">
        <f t="shared" si="4"/>
        <v>8.1333333333333329</v>
      </c>
      <c r="O38" s="7">
        <f t="shared" si="4"/>
        <v>8.1333333333333329</v>
      </c>
      <c r="P38" s="8">
        <f t="shared" ref="P38:P45" si="5">SUM(D38:O38)</f>
        <v>97.599999999999966</v>
      </c>
    </row>
    <row r="39" spans="1:16" x14ac:dyDescent="0.3">
      <c r="A39" s="2" t="s">
        <v>33</v>
      </c>
      <c r="B39" s="2" t="s">
        <v>26</v>
      </c>
      <c r="C39" s="9" t="s">
        <v>39</v>
      </c>
      <c r="D39" s="7">
        <f t="shared" ref="D39:O39" si="6">D27+D31</f>
        <v>7.5249999999999986</v>
      </c>
      <c r="E39" s="7">
        <f t="shared" si="6"/>
        <v>7.5249999999999986</v>
      </c>
      <c r="F39" s="7">
        <f t="shared" si="6"/>
        <v>7.5249999999999986</v>
      </c>
      <c r="G39" s="7">
        <f t="shared" si="6"/>
        <v>7.5249999999999986</v>
      </c>
      <c r="H39" s="7">
        <f t="shared" si="6"/>
        <v>7.5249999999999986</v>
      </c>
      <c r="I39" s="7">
        <f t="shared" si="6"/>
        <v>7.5249999999999986</v>
      </c>
      <c r="J39" s="7">
        <f t="shared" si="6"/>
        <v>7.5249999999999986</v>
      </c>
      <c r="K39" s="7">
        <f t="shared" si="6"/>
        <v>7.5249999999999986</v>
      </c>
      <c r="L39" s="7">
        <f t="shared" si="6"/>
        <v>7.5249999999999986</v>
      </c>
      <c r="M39" s="7">
        <f t="shared" si="6"/>
        <v>7.5249999999999986</v>
      </c>
      <c r="N39" s="7">
        <f t="shared" si="6"/>
        <v>7.5249999999999986</v>
      </c>
      <c r="O39" s="7">
        <f t="shared" si="6"/>
        <v>7.5249999999999986</v>
      </c>
      <c r="P39" s="8">
        <f t="shared" si="5"/>
        <v>90.300000000000011</v>
      </c>
    </row>
    <row r="40" spans="1:16" x14ac:dyDescent="0.3">
      <c r="A40" s="2" t="s">
        <v>33</v>
      </c>
      <c r="B40" s="2" t="s">
        <v>26</v>
      </c>
      <c r="C40" s="9" t="s">
        <v>40</v>
      </c>
      <c r="D40" s="7">
        <f t="shared" ref="D40:O40" si="7">D28+D32</f>
        <v>6.5666666666666664</v>
      </c>
      <c r="E40" s="7">
        <f t="shared" si="7"/>
        <v>6.5666666666666664</v>
      </c>
      <c r="F40" s="7">
        <f t="shared" si="7"/>
        <v>6.5666666666666664</v>
      </c>
      <c r="G40" s="7">
        <f t="shared" si="7"/>
        <v>6.5666666666666664</v>
      </c>
      <c r="H40" s="7">
        <f t="shared" si="7"/>
        <v>6.5666666666666664</v>
      </c>
      <c r="I40" s="7">
        <f t="shared" si="7"/>
        <v>6.5666666666666664</v>
      </c>
      <c r="J40" s="7">
        <f t="shared" si="7"/>
        <v>6.5666666666666664</v>
      </c>
      <c r="K40" s="7">
        <f t="shared" si="7"/>
        <v>6.5666666666666664</v>
      </c>
      <c r="L40" s="7">
        <f t="shared" si="7"/>
        <v>6.5666666666666664</v>
      </c>
      <c r="M40" s="7">
        <f t="shared" si="7"/>
        <v>6.5666666666666664</v>
      </c>
      <c r="N40" s="7">
        <f t="shared" si="7"/>
        <v>6.5666666666666664</v>
      </c>
      <c r="O40" s="7">
        <f t="shared" si="7"/>
        <v>6.5666666666666664</v>
      </c>
      <c r="P40" s="8">
        <f t="shared" si="5"/>
        <v>78.799999999999969</v>
      </c>
    </row>
    <row r="41" spans="1:16" x14ac:dyDescent="0.3">
      <c r="A41" s="2" t="s">
        <v>33</v>
      </c>
      <c r="B41" s="2" t="s">
        <v>26</v>
      </c>
      <c r="C41" s="9" t="s">
        <v>41</v>
      </c>
      <c r="D41" s="7">
        <f t="shared" ref="D41:O41" si="8">D29+D33</f>
        <v>6.2666666666666666</v>
      </c>
      <c r="E41" s="7">
        <f t="shared" si="8"/>
        <v>6.2666666666666666</v>
      </c>
      <c r="F41" s="7">
        <f t="shared" si="8"/>
        <v>6.2666666666666666</v>
      </c>
      <c r="G41" s="7">
        <f t="shared" si="8"/>
        <v>6.2666666666666666</v>
      </c>
      <c r="H41" s="7">
        <f t="shared" si="8"/>
        <v>6.2666666666666666</v>
      </c>
      <c r="I41" s="7">
        <f t="shared" si="8"/>
        <v>6.2666666666666666</v>
      </c>
      <c r="J41" s="7">
        <f t="shared" si="8"/>
        <v>6.2666666666666666</v>
      </c>
      <c r="K41" s="7">
        <f t="shared" si="8"/>
        <v>6.2666666666666666</v>
      </c>
      <c r="L41" s="7">
        <f t="shared" si="8"/>
        <v>6.2666666666666666</v>
      </c>
      <c r="M41" s="7">
        <f t="shared" si="8"/>
        <v>6.2666666666666666</v>
      </c>
      <c r="N41" s="7">
        <f t="shared" si="8"/>
        <v>6.2666666666666666</v>
      </c>
      <c r="O41" s="7">
        <f t="shared" si="8"/>
        <v>6.2666666666666666</v>
      </c>
      <c r="P41" s="8">
        <f t="shared" si="5"/>
        <v>75.2</v>
      </c>
    </row>
    <row r="42" spans="1:16" x14ac:dyDescent="0.3">
      <c r="A42" s="2" t="s">
        <v>33</v>
      </c>
      <c r="B42" s="2" t="s">
        <v>27</v>
      </c>
      <c r="C42" s="9" t="s">
        <v>38</v>
      </c>
      <c r="D42" s="7">
        <v>95.222416666666675</v>
      </c>
      <c r="E42" s="7">
        <v>95.222416666666675</v>
      </c>
      <c r="F42" s="7">
        <v>95.222416666666675</v>
      </c>
      <c r="G42" s="7">
        <v>95.222416666666675</v>
      </c>
      <c r="H42" s="7">
        <v>95.222416666666675</v>
      </c>
      <c r="I42" s="7">
        <v>95.222416666666675</v>
      </c>
      <c r="J42" s="7">
        <v>95.222416666666675</v>
      </c>
      <c r="K42" s="7">
        <v>95.222416666666675</v>
      </c>
      <c r="L42" s="7">
        <v>95.222416666666675</v>
      </c>
      <c r="M42" s="7">
        <v>95.222416666666675</v>
      </c>
      <c r="N42" s="7">
        <v>95.222416666666675</v>
      </c>
      <c r="O42" s="7">
        <v>95.222416666666675</v>
      </c>
      <c r="P42" s="8">
        <f t="shared" si="5"/>
        <v>1142.6690000000003</v>
      </c>
    </row>
    <row r="43" spans="1:16" x14ac:dyDescent="0.3">
      <c r="A43" s="2" t="s">
        <v>33</v>
      </c>
      <c r="B43" s="2" t="s">
        <v>27</v>
      </c>
      <c r="C43" s="9" t="s">
        <v>39</v>
      </c>
      <c r="D43" s="7">
        <v>135.15283333333329</v>
      </c>
      <c r="E43" s="7">
        <v>135.15283333333329</v>
      </c>
      <c r="F43" s="7">
        <v>135.15283333333329</v>
      </c>
      <c r="G43" s="7">
        <v>135.15283333333329</v>
      </c>
      <c r="H43" s="7">
        <v>135.15283333333329</v>
      </c>
      <c r="I43" s="7">
        <v>135.15283333333329</v>
      </c>
      <c r="J43" s="7">
        <v>135.15283333333329</v>
      </c>
      <c r="K43" s="7">
        <v>135.15283333333329</v>
      </c>
      <c r="L43" s="7">
        <v>135.15283333333329</v>
      </c>
      <c r="M43" s="7">
        <v>135.15283333333329</v>
      </c>
      <c r="N43" s="7">
        <v>135.15283333333329</v>
      </c>
      <c r="O43" s="7">
        <v>135.15283333333329</v>
      </c>
      <c r="P43" s="8">
        <f t="shared" si="5"/>
        <v>1621.8339999999996</v>
      </c>
    </row>
    <row r="44" spans="1:16" x14ac:dyDescent="0.3">
      <c r="A44" s="2" t="s">
        <v>33</v>
      </c>
      <c r="B44" s="2" t="s">
        <v>27</v>
      </c>
      <c r="C44" s="9" t="s">
        <v>40</v>
      </c>
      <c r="D44" s="7">
        <v>114.01675</v>
      </c>
      <c r="E44" s="7">
        <v>114.01675</v>
      </c>
      <c r="F44" s="7">
        <v>114.01675</v>
      </c>
      <c r="G44" s="7">
        <v>114.01675</v>
      </c>
      <c r="H44" s="7">
        <v>114.01675</v>
      </c>
      <c r="I44" s="7">
        <v>114.01675</v>
      </c>
      <c r="J44" s="7">
        <v>114.01675</v>
      </c>
      <c r="K44" s="7">
        <v>114.01675</v>
      </c>
      <c r="L44" s="7">
        <v>114.01675</v>
      </c>
      <c r="M44" s="7">
        <v>114.01675</v>
      </c>
      <c r="N44" s="7">
        <v>114.01675</v>
      </c>
      <c r="O44" s="7">
        <v>114.01675</v>
      </c>
      <c r="P44" s="8">
        <f t="shared" si="5"/>
        <v>1368.201</v>
      </c>
    </row>
    <row r="45" spans="1:16" x14ac:dyDescent="0.3">
      <c r="A45" s="2" t="s">
        <v>33</v>
      </c>
      <c r="B45" s="2" t="s">
        <v>27</v>
      </c>
      <c r="C45" s="9" t="s">
        <v>41</v>
      </c>
      <c r="D45" s="7">
        <v>106.27674999999989</v>
      </c>
      <c r="E45" s="7">
        <v>106.27674999999989</v>
      </c>
      <c r="F45" s="7">
        <v>106.27674999999989</v>
      </c>
      <c r="G45" s="7">
        <v>106.27674999999989</v>
      </c>
      <c r="H45" s="7">
        <v>106.27674999999989</v>
      </c>
      <c r="I45" s="7">
        <v>106.27674999999989</v>
      </c>
      <c r="J45" s="7">
        <v>106.27674999999989</v>
      </c>
      <c r="K45" s="7">
        <v>106.27674999999989</v>
      </c>
      <c r="L45" s="7">
        <v>106.27674999999989</v>
      </c>
      <c r="M45" s="7">
        <v>106.27674999999989</v>
      </c>
      <c r="N45" s="7">
        <v>106.27674999999989</v>
      </c>
      <c r="O45" s="7">
        <v>106.27674999999989</v>
      </c>
      <c r="P45" s="8">
        <f t="shared" si="5"/>
        <v>1275.320999999999</v>
      </c>
    </row>
    <row r="46" spans="1:16" x14ac:dyDescent="0.3">
      <c r="A46" s="2" t="s">
        <v>33</v>
      </c>
      <c r="B46" s="2" t="s">
        <v>28</v>
      </c>
      <c r="C46" s="9" t="s">
        <v>38</v>
      </c>
      <c r="D46" s="7" t="e">
        <f>#REF!+D14+D22-D18-D38-D42-D34</f>
        <v>#REF!</v>
      </c>
      <c r="E46" s="7" t="e">
        <f t="shared" ref="E46:O46" si="9">D46+E14+E22-E18-E38-E42-E34</f>
        <v>#REF!</v>
      </c>
      <c r="F46" s="7" t="e">
        <f t="shared" si="9"/>
        <v>#REF!</v>
      </c>
      <c r="G46" s="7" t="e">
        <f t="shared" si="9"/>
        <v>#REF!</v>
      </c>
      <c r="H46" s="7" t="e">
        <f t="shared" si="9"/>
        <v>#REF!</v>
      </c>
      <c r="I46" s="7" t="e">
        <f t="shared" si="9"/>
        <v>#REF!</v>
      </c>
      <c r="J46" s="7" t="e">
        <f t="shared" si="9"/>
        <v>#REF!</v>
      </c>
      <c r="K46" s="7" t="e">
        <f t="shared" si="9"/>
        <v>#REF!</v>
      </c>
      <c r="L46" s="7" t="e">
        <f t="shared" si="9"/>
        <v>#REF!</v>
      </c>
      <c r="M46" s="7" t="e">
        <f t="shared" si="9"/>
        <v>#REF!</v>
      </c>
      <c r="N46" s="7" t="e">
        <f t="shared" si="9"/>
        <v>#REF!</v>
      </c>
      <c r="O46" s="7" t="e">
        <f t="shared" si="9"/>
        <v>#REF!</v>
      </c>
      <c r="P46" s="8" t="e">
        <f t="shared" ref="P46:P49" si="10">O46</f>
        <v>#REF!</v>
      </c>
    </row>
    <row r="47" spans="1:16" x14ac:dyDescent="0.3">
      <c r="A47" s="2" t="s">
        <v>33</v>
      </c>
      <c r="B47" s="2" t="s">
        <v>28</v>
      </c>
      <c r="C47" s="9" t="s">
        <v>39</v>
      </c>
      <c r="D47" s="7" t="e">
        <f>O46+D15+D23-D19-D39-D43-D35</f>
        <v>#REF!</v>
      </c>
      <c r="E47" s="7" t="e">
        <f t="shared" ref="E47:O47" si="11">D47+E15+E23-E19-E39-E43-E35</f>
        <v>#REF!</v>
      </c>
      <c r="F47" s="7" t="e">
        <f t="shared" si="11"/>
        <v>#REF!</v>
      </c>
      <c r="G47" s="7" t="e">
        <f t="shared" si="11"/>
        <v>#REF!</v>
      </c>
      <c r="H47" s="7" t="e">
        <f t="shared" si="11"/>
        <v>#REF!</v>
      </c>
      <c r="I47" s="7" t="e">
        <f t="shared" si="11"/>
        <v>#REF!</v>
      </c>
      <c r="J47" s="7" t="e">
        <f t="shared" si="11"/>
        <v>#REF!</v>
      </c>
      <c r="K47" s="7" t="e">
        <f t="shared" si="11"/>
        <v>#REF!</v>
      </c>
      <c r="L47" s="7" t="e">
        <f t="shared" si="11"/>
        <v>#REF!</v>
      </c>
      <c r="M47" s="7" t="e">
        <f t="shared" si="11"/>
        <v>#REF!</v>
      </c>
      <c r="N47" s="7" t="e">
        <f t="shared" si="11"/>
        <v>#REF!</v>
      </c>
      <c r="O47" s="7" t="e">
        <f t="shared" si="11"/>
        <v>#REF!</v>
      </c>
      <c r="P47" s="8" t="e">
        <f t="shared" si="10"/>
        <v>#REF!</v>
      </c>
    </row>
    <row r="48" spans="1:16" x14ac:dyDescent="0.3">
      <c r="A48" s="2" t="s">
        <v>33</v>
      </c>
      <c r="B48" s="2" t="s">
        <v>28</v>
      </c>
      <c r="C48" s="9" t="s">
        <v>40</v>
      </c>
      <c r="D48" s="7" t="e">
        <f>O47+D16+D24-D20-D40-D44-D36</f>
        <v>#REF!</v>
      </c>
      <c r="E48" s="7" t="e">
        <f t="shared" ref="E48:O48" si="12">D48+E16+E24-E20-E40-E44-E36</f>
        <v>#REF!</v>
      </c>
      <c r="F48" s="7" t="e">
        <f t="shared" si="12"/>
        <v>#REF!</v>
      </c>
      <c r="G48" s="7" t="e">
        <f t="shared" si="12"/>
        <v>#REF!</v>
      </c>
      <c r="H48" s="7" t="e">
        <f t="shared" si="12"/>
        <v>#REF!</v>
      </c>
      <c r="I48" s="7" t="e">
        <f t="shared" si="12"/>
        <v>#REF!</v>
      </c>
      <c r="J48" s="7" t="e">
        <f t="shared" si="12"/>
        <v>#REF!</v>
      </c>
      <c r="K48" s="7" t="e">
        <f t="shared" si="12"/>
        <v>#REF!</v>
      </c>
      <c r="L48" s="7" t="e">
        <f t="shared" si="12"/>
        <v>#REF!</v>
      </c>
      <c r="M48" s="7" t="e">
        <f t="shared" si="12"/>
        <v>#REF!</v>
      </c>
      <c r="N48" s="7" t="e">
        <f t="shared" si="12"/>
        <v>#REF!</v>
      </c>
      <c r="O48" s="7" t="e">
        <f t="shared" si="12"/>
        <v>#REF!</v>
      </c>
      <c r="P48" s="8" t="e">
        <f t="shared" si="10"/>
        <v>#REF!</v>
      </c>
    </row>
    <row r="49" spans="1:16" x14ac:dyDescent="0.3">
      <c r="A49" s="2" t="s">
        <v>33</v>
      </c>
      <c r="B49" s="2" t="s">
        <v>28</v>
      </c>
      <c r="C49" s="9" t="s">
        <v>41</v>
      </c>
      <c r="D49" s="7" t="e">
        <f>O48+D17+D25-D21-D41-D45-D37</f>
        <v>#REF!</v>
      </c>
      <c r="E49" s="7" t="e">
        <f t="shared" ref="E49:O49" si="13">D49+E17+E25-E21-E41-E45-E37</f>
        <v>#REF!</v>
      </c>
      <c r="F49" s="7" t="e">
        <f t="shared" si="13"/>
        <v>#REF!</v>
      </c>
      <c r="G49" s="7" t="e">
        <f t="shared" si="13"/>
        <v>#REF!</v>
      </c>
      <c r="H49" s="7" t="e">
        <f t="shared" si="13"/>
        <v>#REF!</v>
      </c>
      <c r="I49" s="7" t="e">
        <f t="shared" si="13"/>
        <v>#REF!</v>
      </c>
      <c r="J49" s="7" t="e">
        <f t="shared" si="13"/>
        <v>#REF!</v>
      </c>
      <c r="K49" s="7" t="e">
        <f t="shared" si="13"/>
        <v>#REF!</v>
      </c>
      <c r="L49" s="7" t="e">
        <f t="shared" si="13"/>
        <v>#REF!</v>
      </c>
      <c r="M49" s="7" t="e">
        <f t="shared" si="13"/>
        <v>#REF!</v>
      </c>
      <c r="N49" s="7" t="e">
        <f t="shared" si="13"/>
        <v>#REF!</v>
      </c>
      <c r="O49" s="7" t="e">
        <f t="shared" si="13"/>
        <v>#REF!</v>
      </c>
      <c r="P49" s="8" t="e">
        <f t="shared" si="10"/>
        <v>#REF!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7715-0747-4FFC-8E22-E6EB7E2D24A5}">
  <dimension ref="A1:P49"/>
  <sheetViews>
    <sheetView workbookViewId="0">
      <pane xSplit="3" ySplit="1" topLeftCell="D2" activePane="bottomRight" state="frozen"/>
      <selection activeCell="S35" sqref="S35"/>
      <selection pane="topRight" activeCell="S35" sqref="S35"/>
      <selection pane="bottomLeft" activeCell="S35" sqref="S35"/>
      <selection pane="bottomRight" activeCell="S35" sqref="S35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3</v>
      </c>
      <c r="P1" s="1" t="s">
        <v>34</v>
      </c>
    </row>
    <row r="2" spans="1:16" x14ac:dyDescent="0.3">
      <c r="A2" s="2" t="s">
        <v>35</v>
      </c>
      <c r="B2" s="2" t="s">
        <v>17</v>
      </c>
      <c r="C2" s="9" t="s">
        <v>38</v>
      </c>
      <c r="D2" s="3">
        <v>5.1579860000000002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9" si="0">D2</f>
        <v>5.1579860000000002</v>
      </c>
    </row>
    <row r="3" spans="1:16" x14ac:dyDescent="0.3">
      <c r="A3" s="2" t="s">
        <v>35</v>
      </c>
      <c r="B3" s="2" t="s">
        <v>17</v>
      </c>
      <c r="C3" s="9" t="s">
        <v>39</v>
      </c>
      <c r="D3" s="3">
        <v>5.2742000000000004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5.2742000000000004</v>
      </c>
    </row>
    <row r="4" spans="1:16" x14ac:dyDescent="0.3">
      <c r="A4" s="2" t="s">
        <v>35</v>
      </c>
      <c r="B4" s="2" t="s">
        <v>17</v>
      </c>
      <c r="C4" s="9" t="s">
        <v>40</v>
      </c>
      <c r="D4" s="3">
        <v>5.6307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5.6307</v>
      </c>
    </row>
    <row r="5" spans="1:16" x14ac:dyDescent="0.3">
      <c r="A5" s="2" t="s">
        <v>35</v>
      </c>
      <c r="B5" s="2" t="s">
        <v>17</v>
      </c>
      <c r="C5" s="9" t="s">
        <v>41</v>
      </c>
      <c r="D5" s="3">
        <v>5.7096999999999998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5.7096999999999998</v>
      </c>
    </row>
    <row r="6" spans="1:16" x14ac:dyDescent="0.3">
      <c r="A6" s="2" t="s">
        <v>35</v>
      </c>
      <c r="B6" s="2" t="s">
        <v>18</v>
      </c>
      <c r="C6" s="9" t="s">
        <v>38</v>
      </c>
      <c r="D6" s="3">
        <v>5.1400030000000001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5.1400030000000001</v>
      </c>
    </row>
    <row r="7" spans="1:16" x14ac:dyDescent="0.3">
      <c r="A7" s="2" t="s">
        <v>35</v>
      </c>
      <c r="B7" s="2" t="s">
        <v>18</v>
      </c>
      <c r="C7" s="9" t="s">
        <v>39</v>
      </c>
      <c r="D7" s="3">
        <v>5.2335000000000003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5.2335000000000003</v>
      </c>
    </row>
    <row r="8" spans="1:16" x14ac:dyDescent="0.3">
      <c r="A8" s="2" t="s">
        <v>35</v>
      </c>
      <c r="B8" s="2" t="s">
        <v>18</v>
      </c>
      <c r="C8" s="9" t="s">
        <v>40</v>
      </c>
      <c r="D8" s="3">
        <v>5.5876000000000001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5.5876000000000001</v>
      </c>
    </row>
    <row r="9" spans="1:16" x14ac:dyDescent="0.3">
      <c r="A9" s="2" t="s">
        <v>35</v>
      </c>
      <c r="B9" s="2" t="s">
        <v>18</v>
      </c>
      <c r="C9" s="9" t="s">
        <v>41</v>
      </c>
      <c r="D9" s="3">
        <v>5.6577999999999999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5.6577999999999999</v>
      </c>
    </row>
    <row r="10" spans="1:16" x14ac:dyDescent="0.3">
      <c r="A10" s="2" t="s">
        <v>35</v>
      </c>
      <c r="B10" s="2" t="s">
        <v>19</v>
      </c>
      <c r="C10" s="9" t="s">
        <v>38</v>
      </c>
      <c r="D10" s="5">
        <v>44.492734498403991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>
        <f t="shared" ref="P10:P17" si="1">D10</f>
        <v>44.492734498403991</v>
      </c>
    </row>
    <row r="11" spans="1:16" x14ac:dyDescent="0.3">
      <c r="A11" s="2" t="s">
        <v>35</v>
      </c>
      <c r="B11" s="2" t="s">
        <v>19</v>
      </c>
      <c r="C11" s="9" t="s">
        <v>39</v>
      </c>
      <c r="D11" s="5">
        <v>45.938927646890228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>
        <f t="shared" si="1"/>
        <v>45.938927646890228</v>
      </c>
    </row>
    <row r="12" spans="1:16" x14ac:dyDescent="0.3">
      <c r="A12" s="2" t="s">
        <v>35</v>
      </c>
      <c r="B12" s="2" t="s">
        <v>19</v>
      </c>
      <c r="C12" s="9" t="s">
        <v>40</v>
      </c>
      <c r="D12" s="5">
        <v>46.264340142458288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>
        <f t="shared" si="1"/>
        <v>46.264340142458288</v>
      </c>
    </row>
    <row r="13" spans="1:16" x14ac:dyDescent="0.3">
      <c r="A13" s="2" t="s">
        <v>35</v>
      </c>
      <c r="B13" s="2" t="s">
        <v>19</v>
      </c>
      <c r="C13" s="9" t="s">
        <v>41</v>
      </c>
      <c r="D13" s="5">
        <v>50.19023944112552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>
        <f t="shared" si="1"/>
        <v>50.19023944112552</v>
      </c>
    </row>
    <row r="14" spans="1:16" x14ac:dyDescent="0.3">
      <c r="A14" s="2" t="s">
        <v>35</v>
      </c>
      <c r="B14" s="2" t="s">
        <v>20</v>
      </c>
      <c r="C14" s="9" t="s">
        <v>38</v>
      </c>
      <c r="D14" s="7">
        <v>6224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>
        <f t="shared" si="1"/>
        <v>6224</v>
      </c>
    </row>
    <row r="15" spans="1:16" x14ac:dyDescent="0.3">
      <c r="A15" s="2" t="s">
        <v>35</v>
      </c>
      <c r="B15" s="2" t="s">
        <v>20</v>
      </c>
      <c r="C15" s="9" t="s">
        <v>39</v>
      </c>
      <c r="D15" s="7">
        <v>6543.2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>
        <f t="shared" si="1"/>
        <v>6543.2</v>
      </c>
    </row>
    <row r="16" spans="1:16" x14ac:dyDescent="0.3">
      <c r="A16" s="2" t="s">
        <v>35</v>
      </c>
      <c r="B16" s="2" t="s">
        <v>20</v>
      </c>
      <c r="C16" s="9" t="s">
        <v>40</v>
      </c>
      <c r="D16" s="7">
        <v>7035.4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>
        <f t="shared" si="1"/>
        <v>7035.4</v>
      </c>
    </row>
    <row r="17" spans="1:16" x14ac:dyDescent="0.3">
      <c r="A17" s="2" t="s">
        <v>35</v>
      </c>
      <c r="B17" s="2" t="s">
        <v>20</v>
      </c>
      <c r="C17" s="9" t="s">
        <v>41</v>
      </c>
      <c r="D17" s="7">
        <v>7728.3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>
        <f t="shared" si="1"/>
        <v>7728.3</v>
      </c>
    </row>
    <row r="18" spans="1:16" x14ac:dyDescent="0.3">
      <c r="A18" s="2" t="s">
        <v>35</v>
      </c>
      <c r="B18" s="2" t="s">
        <v>21</v>
      </c>
      <c r="C18" s="9" t="s">
        <v>38</v>
      </c>
      <c r="D18" s="7">
        <v>110.80200000000001</v>
      </c>
      <c r="E18" s="7">
        <v>975.01300000000003</v>
      </c>
      <c r="F18" s="7">
        <v>970.84799999999996</v>
      </c>
      <c r="G18" s="7">
        <v>797.07399999999996</v>
      </c>
      <c r="H18" s="7">
        <v>323.91399999999999</v>
      </c>
      <c r="I18" s="7">
        <v>119.337</v>
      </c>
      <c r="J18" s="7">
        <v>180.13200000000001</v>
      </c>
      <c r="K18" s="7">
        <v>157.11699999999999</v>
      </c>
      <c r="L18" s="7">
        <v>275.89400000000001</v>
      </c>
      <c r="M18" s="7">
        <v>109.675</v>
      </c>
      <c r="N18" s="7">
        <v>141.66900000000001</v>
      </c>
      <c r="O18" s="7">
        <v>116.17100000000001</v>
      </c>
      <c r="P18" s="8">
        <f t="shared" ref="P18:P25" si="2">SUM(D18:O18)</f>
        <v>4277.6460000000006</v>
      </c>
    </row>
    <row r="19" spans="1:16" x14ac:dyDescent="0.3">
      <c r="A19" s="2" t="s">
        <v>35</v>
      </c>
      <c r="B19" s="2" t="s">
        <v>21</v>
      </c>
      <c r="C19" s="9" t="s">
        <v>39</v>
      </c>
      <c r="D19" s="7">
        <v>106.404</v>
      </c>
      <c r="E19" s="7">
        <v>581.91899999999998</v>
      </c>
      <c r="F19" s="7">
        <v>1252.18</v>
      </c>
      <c r="G19" s="7">
        <v>919.95600000000002</v>
      </c>
      <c r="H19" s="7">
        <v>518.49599999999998</v>
      </c>
      <c r="I19" s="7">
        <v>173.35499999999999</v>
      </c>
      <c r="J19" s="7">
        <v>139.583</v>
      </c>
      <c r="K19" s="7">
        <v>106.554</v>
      </c>
      <c r="L19" s="7">
        <v>158.57599999999999</v>
      </c>
      <c r="M19" s="7">
        <v>87.843999999999994</v>
      </c>
      <c r="N19" s="7">
        <v>78.707999999999998</v>
      </c>
      <c r="O19" s="7">
        <v>109.331</v>
      </c>
      <c r="P19" s="8">
        <f t="shared" si="2"/>
        <v>4232.9060000000009</v>
      </c>
    </row>
    <row r="20" spans="1:16" x14ac:dyDescent="0.3">
      <c r="A20" s="2" t="s">
        <v>35</v>
      </c>
      <c r="B20" s="2" t="s">
        <v>21</v>
      </c>
      <c r="C20" s="9" t="s">
        <v>40</v>
      </c>
      <c r="D20" s="7">
        <v>85.350999999999999</v>
      </c>
      <c r="E20" s="7">
        <v>747.68600000000004</v>
      </c>
      <c r="F20" s="7">
        <v>1182.0070000000001</v>
      </c>
      <c r="G20" s="7">
        <v>1109.268</v>
      </c>
      <c r="H20" s="7">
        <v>449.91399999999999</v>
      </c>
      <c r="I20" s="7">
        <v>344.99799999999999</v>
      </c>
      <c r="J20" s="7">
        <v>140.94399999999999</v>
      </c>
      <c r="K20" s="7">
        <v>139.577</v>
      </c>
      <c r="L20" s="7">
        <v>138.749</v>
      </c>
      <c r="M20" s="7">
        <v>164.94499999999999</v>
      </c>
      <c r="N20" s="7">
        <v>248.155</v>
      </c>
      <c r="O20" s="7">
        <v>194.55199999999999</v>
      </c>
      <c r="P20" s="8">
        <f t="shared" si="2"/>
        <v>4946.1459999999988</v>
      </c>
    </row>
    <row r="21" spans="1:16" x14ac:dyDescent="0.3">
      <c r="A21" s="2" t="s">
        <v>35</v>
      </c>
      <c r="B21" s="2" t="s">
        <v>21</v>
      </c>
      <c r="C21" s="9" t="s">
        <v>41</v>
      </c>
      <c r="D21" s="7">
        <v>149.24799999999999</v>
      </c>
      <c r="E21" s="7">
        <v>884.70899999999995</v>
      </c>
      <c r="F21" s="7">
        <v>1515.279</v>
      </c>
      <c r="G21" s="7">
        <v>762.702</v>
      </c>
      <c r="H21" s="7">
        <v>547.39300000000003</v>
      </c>
      <c r="I21" s="7">
        <v>314.12799999999999</v>
      </c>
      <c r="J21" s="7">
        <v>261.23899999999998</v>
      </c>
      <c r="K21" s="7">
        <v>165.29599999999999</v>
      </c>
      <c r="L21" s="7">
        <v>233.339</v>
      </c>
      <c r="M21" s="7">
        <v>271.02</v>
      </c>
      <c r="N21" s="7">
        <v>261.529</v>
      </c>
      <c r="O21" s="7">
        <v>166.35900000000001</v>
      </c>
      <c r="P21" s="8">
        <f t="shared" si="2"/>
        <v>5532.241</v>
      </c>
    </row>
    <row r="22" spans="1:16" x14ac:dyDescent="0.3">
      <c r="A22" s="2" t="s">
        <v>35</v>
      </c>
      <c r="B22" s="2" t="s">
        <v>22</v>
      </c>
      <c r="C22" s="9" t="s">
        <v>38</v>
      </c>
      <c r="D22" s="7">
        <v>35.393999999999998</v>
      </c>
      <c r="E22" s="7">
        <v>36.079000000000001</v>
      </c>
      <c r="F22" s="7">
        <v>50.61</v>
      </c>
      <c r="G22" s="7">
        <v>43.759</v>
      </c>
      <c r="H22" s="7">
        <v>47.345999999999997</v>
      </c>
      <c r="I22" s="7">
        <v>37.417000000000002</v>
      </c>
      <c r="J22" s="7">
        <v>65.498000000000005</v>
      </c>
      <c r="K22" s="7">
        <v>38.079000000000001</v>
      </c>
      <c r="L22" s="7">
        <v>43.962000000000003</v>
      </c>
      <c r="M22" s="7">
        <v>53.728999999999999</v>
      </c>
      <c r="N22" s="7">
        <v>59.238999999999997</v>
      </c>
      <c r="O22" s="7">
        <v>40.729999999999997</v>
      </c>
      <c r="P22" s="8">
        <f t="shared" si="2"/>
        <v>551.84199999999998</v>
      </c>
    </row>
    <row r="23" spans="1:16" x14ac:dyDescent="0.3">
      <c r="A23" s="2" t="s">
        <v>35</v>
      </c>
      <c r="B23" s="2" t="s">
        <v>22</v>
      </c>
      <c r="C23" s="9" t="s">
        <v>39</v>
      </c>
      <c r="D23" s="7">
        <v>36.6</v>
      </c>
      <c r="E23" s="7">
        <v>42.213000000000001</v>
      </c>
      <c r="F23" s="7">
        <v>45.435999999999993</v>
      </c>
      <c r="G23" s="7">
        <v>41.152000000000001</v>
      </c>
      <c r="H23" s="7">
        <v>43.506</v>
      </c>
      <c r="I23" s="7">
        <v>53.579000000000001</v>
      </c>
      <c r="J23" s="7">
        <v>54.45</v>
      </c>
      <c r="K23" s="7">
        <v>71.757999999999996</v>
      </c>
      <c r="L23" s="7">
        <v>35.770000000000003</v>
      </c>
      <c r="M23" s="7">
        <v>18.565000000000001</v>
      </c>
      <c r="N23" s="7">
        <v>15.895</v>
      </c>
      <c r="O23" s="7">
        <v>23.856000000000002</v>
      </c>
      <c r="P23" s="8">
        <f t="shared" si="2"/>
        <v>482.77999999999992</v>
      </c>
    </row>
    <row r="24" spans="1:16" x14ac:dyDescent="0.3">
      <c r="A24" s="2" t="s">
        <v>35</v>
      </c>
      <c r="B24" s="2" t="s">
        <v>22</v>
      </c>
      <c r="C24" s="9" t="s">
        <v>40</v>
      </c>
      <c r="D24" s="7">
        <v>37.281999999999996</v>
      </c>
      <c r="E24" s="7">
        <v>36.661000000000001</v>
      </c>
      <c r="F24" s="7">
        <v>29.901</v>
      </c>
      <c r="G24" s="7">
        <v>18.241</v>
      </c>
      <c r="H24" s="7">
        <v>23.649000000000001</v>
      </c>
      <c r="I24" s="7">
        <v>30.17</v>
      </c>
      <c r="J24" s="7">
        <v>34.978999999999999</v>
      </c>
      <c r="K24" s="7">
        <v>28.428999999999998</v>
      </c>
      <c r="L24" s="7">
        <v>40.298999999999999</v>
      </c>
      <c r="M24" s="7">
        <v>14.494</v>
      </c>
      <c r="N24" s="7">
        <v>16.800999999999998</v>
      </c>
      <c r="O24" s="7">
        <v>11.122</v>
      </c>
      <c r="P24" s="8">
        <f t="shared" si="2"/>
        <v>322.02800000000002</v>
      </c>
    </row>
    <row r="25" spans="1:16" x14ac:dyDescent="0.3">
      <c r="A25" s="2" t="s">
        <v>35</v>
      </c>
      <c r="B25" s="2" t="s">
        <v>22</v>
      </c>
      <c r="C25" s="9" t="s">
        <v>41</v>
      </c>
      <c r="D25" s="7">
        <v>17.318000000000001</v>
      </c>
      <c r="E25" s="7">
        <v>31.655999999999999</v>
      </c>
      <c r="F25" s="7">
        <v>27.745000000000001</v>
      </c>
      <c r="G25" s="7">
        <v>23.832000000000001</v>
      </c>
      <c r="H25" s="7">
        <v>30.484000000000002</v>
      </c>
      <c r="I25" s="7">
        <v>21.86</v>
      </c>
      <c r="J25" s="7">
        <v>21.24</v>
      </c>
      <c r="K25" s="7">
        <v>23.001999999999999</v>
      </c>
      <c r="L25" s="7">
        <v>20.617999999999999</v>
      </c>
      <c r="M25" s="7">
        <v>7.8540000000000001</v>
      </c>
      <c r="N25" s="7">
        <v>12.907999999999999</v>
      </c>
      <c r="O25" s="7">
        <v>28.882999999999999</v>
      </c>
      <c r="P25" s="8">
        <f t="shared" si="2"/>
        <v>267.40000000000003</v>
      </c>
    </row>
    <row r="26" spans="1:16" x14ac:dyDescent="0.3">
      <c r="A26" s="2" t="s">
        <v>35</v>
      </c>
      <c r="B26" s="2" t="s">
        <v>23</v>
      </c>
      <c r="C26" s="9" t="s">
        <v>38</v>
      </c>
      <c r="D26" s="7">
        <v>37.116666666666667</v>
      </c>
      <c r="E26" s="7">
        <v>37.116666666666667</v>
      </c>
      <c r="F26" s="7">
        <v>37.116666666666667</v>
      </c>
      <c r="G26" s="7">
        <v>37.116666666666667</v>
      </c>
      <c r="H26" s="7">
        <v>37.116666666666667</v>
      </c>
      <c r="I26" s="7">
        <v>37.116666666666667</v>
      </c>
      <c r="J26" s="7">
        <v>37.116666666666667</v>
      </c>
      <c r="K26" s="7">
        <v>37.116666666666667</v>
      </c>
      <c r="L26" s="7">
        <v>37.116666666666667</v>
      </c>
      <c r="M26" s="7">
        <v>37.116666666666667</v>
      </c>
      <c r="N26" s="7">
        <v>37.116666666666667</v>
      </c>
      <c r="O26" s="7">
        <v>37.116666666666667</v>
      </c>
      <c r="P26" s="8">
        <f t="shared" ref="P26:P37" si="3">SUM(D26:O26)</f>
        <v>445.40000000000003</v>
      </c>
    </row>
    <row r="27" spans="1:16" x14ac:dyDescent="0.3">
      <c r="A27" s="2" t="s">
        <v>35</v>
      </c>
      <c r="B27" s="2" t="s">
        <v>23</v>
      </c>
      <c r="C27" s="9" t="s">
        <v>39</v>
      </c>
      <c r="D27" s="7">
        <v>59.733333333333327</v>
      </c>
      <c r="E27" s="7">
        <v>59.733333333333327</v>
      </c>
      <c r="F27" s="7">
        <v>59.733333333333327</v>
      </c>
      <c r="G27" s="7">
        <v>59.733333333333327</v>
      </c>
      <c r="H27" s="7">
        <v>59.733333333333327</v>
      </c>
      <c r="I27" s="7">
        <v>59.733333333333327</v>
      </c>
      <c r="J27" s="7">
        <v>59.733333333333327</v>
      </c>
      <c r="K27" s="7">
        <v>59.733333333333327</v>
      </c>
      <c r="L27" s="7">
        <v>59.733333333333327</v>
      </c>
      <c r="M27" s="7">
        <v>59.733333333333327</v>
      </c>
      <c r="N27" s="7">
        <v>59.733333333333327</v>
      </c>
      <c r="O27" s="7">
        <v>59.733333333333327</v>
      </c>
      <c r="P27" s="8">
        <f t="shared" si="3"/>
        <v>716.80000000000007</v>
      </c>
    </row>
    <row r="28" spans="1:16" x14ac:dyDescent="0.3">
      <c r="A28" s="2" t="s">
        <v>35</v>
      </c>
      <c r="B28" s="2" t="s">
        <v>23</v>
      </c>
      <c r="C28" s="9" t="s">
        <v>40</v>
      </c>
      <c r="D28" s="7">
        <v>25.324999999999999</v>
      </c>
      <c r="E28" s="7">
        <v>25.324999999999999</v>
      </c>
      <c r="F28" s="7">
        <v>25.324999999999999</v>
      </c>
      <c r="G28" s="7">
        <v>25.324999999999999</v>
      </c>
      <c r="H28" s="7">
        <v>25.324999999999999</v>
      </c>
      <c r="I28" s="7">
        <v>25.324999999999999</v>
      </c>
      <c r="J28" s="7">
        <v>25.324999999999999</v>
      </c>
      <c r="K28" s="7">
        <v>25.324999999999999</v>
      </c>
      <c r="L28" s="7">
        <v>25.324999999999999</v>
      </c>
      <c r="M28" s="7">
        <v>25.324999999999999</v>
      </c>
      <c r="N28" s="7">
        <v>25.324999999999999</v>
      </c>
      <c r="O28" s="7">
        <v>25.324999999999999</v>
      </c>
      <c r="P28" s="8">
        <f t="shared" si="3"/>
        <v>303.89999999999992</v>
      </c>
    </row>
    <row r="29" spans="1:16" x14ac:dyDescent="0.3">
      <c r="A29" s="2" t="s">
        <v>35</v>
      </c>
      <c r="B29" s="2" t="s">
        <v>23</v>
      </c>
      <c r="C29" s="9" t="s">
        <v>41</v>
      </c>
      <c r="D29" s="7">
        <v>53.15</v>
      </c>
      <c r="E29" s="7">
        <v>53.15</v>
      </c>
      <c r="F29" s="7">
        <v>53.15</v>
      </c>
      <c r="G29" s="7">
        <v>53.15</v>
      </c>
      <c r="H29" s="7">
        <v>53.15</v>
      </c>
      <c r="I29" s="7">
        <v>53.15</v>
      </c>
      <c r="J29" s="7">
        <v>53.15</v>
      </c>
      <c r="K29" s="7">
        <v>53.15</v>
      </c>
      <c r="L29" s="7">
        <v>53.15</v>
      </c>
      <c r="M29" s="7">
        <v>53.15</v>
      </c>
      <c r="N29" s="7">
        <v>53.15</v>
      </c>
      <c r="O29" s="7">
        <v>53.15</v>
      </c>
      <c r="P29" s="8">
        <f t="shared" si="3"/>
        <v>637.79999999999984</v>
      </c>
    </row>
    <row r="30" spans="1:16" x14ac:dyDescent="0.3">
      <c r="A30" s="2" t="s">
        <v>35</v>
      </c>
      <c r="B30" s="2" t="s">
        <v>31</v>
      </c>
      <c r="C30" s="9" t="s">
        <v>38</v>
      </c>
      <c r="D30" s="7">
        <v>154.80000000000001</v>
      </c>
      <c r="E30" s="7">
        <v>154.80000000000001</v>
      </c>
      <c r="F30" s="7">
        <v>154.80000000000001</v>
      </c>
      <c r="G30" s="7">
        <v>154.80000000000001</v>
      </c>
      <c r="H30" s="7">
        <v>154.80000000000001</v>
      </c>
      <c r="I30" s="7">
        <v>154.80000000000001</v>
      </c>
      <c r="J30" s="7">
        <v>154.80000000000001</v>
      </c>
      <c r="K30" s="7">
        <v>154.80000000000001</v>
      </c>
      <c r="L30" s="7">
        <v>154.80000000000001</v>
      </c>
      <c r="M30" s="7">
        <v>154.80000000000001</v>
      </c>
      <c r="N30" s="7">
        <v>154.80000000000001</v>
      </c>
      <c r="O30" s="7">
        <v>154.80000000000001</v>
      </c>
      <c r="P30" s="8">
        <f t="shared" si="3"/>
        <v>1857.5999999999997</v>
      </c>
    </row>
    <row r="31" spans="1:16" x14ac:dyDescent="0.3">
      <c r="A31" s="2" t="s">
        <v>35</v>
      </c>
      <c r="B31" s="2" t="s">
        <v>31</v>
      </c>
      <c r="C31" s="9" t="s">
        <v>39</v>
      </c>
      <c r="D31" s="7">
        <v>147.31666666666669</v>
      </c>
      <c r="E31" s="7">
        <v>147.31666666666669</v>
      </c>
      <c r="F31" s="7">
        <v>147.31666666666669</v>
      </c>
      <c r="G31" s="7">
        <v>147.31666666666669</v>
      </c>
      <c r="H31" s="7">
        <v>147.31666666666669</v>
      </c>
      <c r="I31" s="7">
        <v>147.31666666666669</v>
      </c>
      <c r="J31" s="7">
        <v>147.31666666666669</v>
      </c>
      <c r="K31" s="7">
        <v>147.31666666666669</v>
      </c>
      <c r="L31" s="7">
        <v>147.31666666666669</v>
      </c>
      <c r="M31" s="7">
        <v>147.31666666666669</v>
      </c>
      <c r="N31" s="7">
        <v>147.31666666666669</v>
      </c>
      <c r="O31" s="7">
        <v>147.31666666666669</v>
      </c>
      <c r="P31" s="8">
        <f t="shared" si="3"/>
        <v>1767.8</v>
      </c>
    </row>
    <row r="32" spans="1:16" x14ac:dyDescent="0.3">
      <c r="A32" s="2" t="s">
        <v>35</v>
      </c>
      <c r="B32" s="2" t="s">
        <v>31</v>
      </c>
      <c r="C32" s="9" t="s">
        <v>40</v>
      </c>
      <c r="D32" s="7">
        <v>137.67500000000001</v>
      </c>
      <c r="E32" s="7">
        <v>137.67500000000001</v>
      </c>
      <c r="F32" s="7">
        <v>137.67500000000001</v>
      </c>
      <c r="G32" s="7">
        <v>137.67500000000001</v>
      </c>
      <c r="H32" s="7">
        <v>137.67500000000001</v>
      </c>
      <c r="I32" s="7">
        <v>137.67500000000001</v>
      </c>
      <c r="J32" s="7">
        <v>137.67500000000001</v>
      </c>
      <c r="K32" s="7">
        <v>137.67500000000001</v>
      </c>
      <c r="L32" s="7">
        <v>137.67500000000001</v>
      </c>
      <c r="M32" s="7">
        <v>137.67500000000001</v>
      </c>
      <c r="N32" s="7">
        <v>137.67500000000001</v>
      </c>
      <c r="O32" s="7">
        <v>137.67500000000001</v>
      </c>
      <c r="P32" s="8">
        <f t="shared" si="3"/>
        <v>1652.0999999999997</v>
      </c>
    </row>
    <row r="33" spans="1:16" x14ac:dyDescent="0.3">
      <c r="A33" s="2" t="s">
        <v>35</v>
      </c>
      <c r="B33" s="2" t="s">
        <v>31</v>
      </c>
      <c r="C33" s="9" t="s">
        <v>41</v>
      </c>
      <c r="D33" s="7">
        <v>139.85</v>
      </c>
      <c r="E33" s="7">
        <v>139.85</v>
      </c>
      <c r="F33" s="7">
        <v>139.85</v>
      </c>
      <c r="G33" s="7">
        <v>139.85</v>
      </c>
      <c r="H33" s="7">
        <v>139.85</v>
      </c>
      <c r="I33" s="7">
        <v>139.85</v>
      </c>
      <c r="J33" s="7">
        <v>139.85</v>
      </c>
      <c r="K33" s="7">
        <v>139.85</v>
      </c>
      <c r="L33" s="7">
        <v>139.85</v>
      </c>
      <c r="M33" s="7">
        <v>139.85</v>
      </c>
      <c r="N33" s="7">
        <v>139.85</v>
      </c>
      <c r="O33" s="7">
        <v>139.85</v>
      </c>
      <c r="P33" s="8">
        <f t="shared" si="3"/>
        <v>1678.1999999999996</v>
      </c>
    </row>
    <row r="34" spans="1:16" x14ac:dyDescent="0.3">
      <c r="A34" s="2" t="s">
        <v>35</v>
      </c>
      <c r="B34" s="2" t="s">
        <v>25</v>
      </c>
      <c r="C34" s="9" t="s">
        <v>38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8">
        <f t="shared" si="3"/>
        <v>0</v>
      </c>
    </row>
    <row r="35" spans="1:16" x14ac:dyDescent="0.3">
      <c r="A35" s="2" t="s">
        <v>35</v>
      </c>
      <c r="B35" s="2" t="s">
        <v>25</v>
      </c>
      <c r="C35" s="9" t="s">
        <v>39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8">
        <f t="shared" si="3"/>
        <v>0</v>
      </c>
    </row>
    <row r="36" spans="1:16" x14ac:dyDescent="0.3">
      <c r="A36" s="2" t="s">
        <v>35</v>
      </c>
      <c r="B36" s="2" t="s">
        <v>25</v>
      </c>
      <c r="C36" s="9" t="s">
        <v>40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8">
        <f t="shared" si="3"/>
        <v>0</v>
      </c>
    </row>
    <row r="37" spans="1:16" x14ac:dyDescent="0.3">
      <c r="A37" s="2" t="s">
        <v>35</v>
      </c>
      <c r="B37" s="2" t="s">
        <v>25</v>
      </c>
      <c r="C37" s="9" t="s">
        <v>41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8">
        <f t="shared" si="3"/>
        <v>0</v>
      </c>
    </row>
    <row r="38" spans="1:16" x14ac:dyDescent="0.3">
      <c r="A38" s="2" t="s">
        <v>35</v>
      </c>
      <c r="B38" s="2" t="s">
        <v>26</v>
      </c>
      <c r="C38" s="9" t="s">
        <v>38</v>
      </c>
      <c r="D38" s="7">
        <f t="shared" ref="D38:O38" si="4">D26+D30</f>
        <v>191.91666666666669</v>
      </c>
      <c r="E38" s="7">
        <f t="shared" si="4"/>
        <v>191.91666666666669</v>
      </c>
      <c r="F38" s="7">
        <f t="shared" si="4"/>
        <v>191.91666666666669</v>
      </c>
      <c r="G38" s="7">
        <f t="shared" si="4"/>
        <v>191.91666666666669</v>
      </c>
      <c r="H38" s="7">
        <f t="shared" si="4"/>
        <v>191.91666666666669</v>
      </c>
      <c r="I38" s="7">
        <f t="shared" si="4"/>
        <v>191.91666666666669</v>
      </c>
      <c r="J38" s="7">
        <f t="shared" si="4"/>
        <v>191.91666666666669</v>
      </c>
      <c r="K38" s="7">
        <f t="shared" si="4"/>
        <v>191.91666666666669</v>
      </c>
      <c r="L38" s="7">
        <f t="shared" si="4"/>
        <v>191.91666666666669</v>
      </c>
      <c r="M38" s="7">
        <f t="shared" si="4"/>
        <v>191.91666666666669</v>
      </c>
      <c r="N38" s="7">
        <f t="shared" si="4"/>
        <v>191.91666666666669</v>
      </c>
      <c r="O38" s="7">
        <f t="shared" si="4"/>
        <v>191.91666666666669</v>
      </c>
      <c r="P38" s="8">
        <f t="shared" ref="P38:P45" si="5">SUM(D38:O38)</f>
        <v>2303.0000000000005</v>
      </c>
    </row>
    <row r="39" spans="1:16" x14ac:dyDescent="0.3">
      <c r="A39" s="2" t="s">
        <v>35</v>
      </c>
      <c r="B39" s="2" t="s">
        <v>26</v>
      </c>
      <c r="C39" s="9" t="s">
        <v>39</v>
      </c>
      <c r="D39" s="7">
        <f t="shared" ref="D39:O39" si="6">D27+D31</f>
        <v>207.05</v>
      </c>
      <c r="E39" s="7">
        <f t="shared" si="6"/>
        <v>207.05</v>
      </c>
      <c r="F39" s="7">
        <f t="shared" si="6"/>
        <v>207.05</v>
      </c>
      <c r="G39" s="7">
        <f t="shared" si="6"/>
        <v>207.05</v>
      </c>
      <c r="H39" s="7">
        <f t="shared" si="6"/>
        <v>207.05</v>
      </c>
      <c r="I39" s="7">
        <f t="shared" si="6"/>
        <v>207.05</v>
      </c>
      <c r="J39" s="7">
        <f t="shared" si="6"/>
        <v>207.05</v>
      </c>
      <c r="K39" s="7">
        <f t="shared" si="6"/>
        <v>207.05</v>
      </c>
      <c r="L39" s="7">
        <f t="shared" si="6"/>
        <v>207.05</v>
      </c>
      <c r="M39" s="7">
        <f t="shared" si="6"/>
        <v>207.05</v>
      </c>
      <c r="N39" s="7">
        <f t="shared" si="6"/>
        <v>207.05</v>
      </c>
      <c r="O39" s="7">
        <f t="shared" si="6"/>
        <v>207.05</v>
      </c>
      <c r="P39" s="8">
        <f t="shared" si="5"/>
        <v>2484.6000000000004</v>
      </c>
    </row>
    <row r="40" spans="1:16" x14ac:dyDescent="0.3">
      <c r="A40" s="2" t="s">
        <v>35</v>
      </c>
      <c r="B40" s="2" t="s">
        <v>26</v>
      </c>
      <c r="C40" s="9" t="s">
        <v>40</v>
      </c>
      <c r="D40" s="7">
        <f t="shared" ref="D40:O40" si="7">D28+D32</f>
        <v>163</v>
      </c>
      <c r="E40" s="7">
        <f t="shared" si="7"/>
        <v>163</v>
      </c>
      <c r="F40" s="7">
        <f t="shared" si="7"/>
        <v>163</v>
      </c>
      <c r="G40" s="7">
        <f t="shared" si="7"/>
        <v>163</v>
      </c>
      <c r="H40" s="7">
        <f t="shared" si="7"/>
        <v>163</v>
      </c>
      <c r="I40" s="7">
        <f t="shared" si="7"/>
        <v>163</v>
      </c>
      <c r="J40" s="7">
        <f t="shared" si="7"/>
        <v>163</v>
      </c>
      <c r="K40" s="7">
        <f t="shared" si="7"/>
        <v>163</v>
      </c>
      <c r="L40" s="7">
        <f t="shared" si="7"/>
        <v>163</v>
      </c>
      <c r="M40" s="7">
        <f t="shared" si="7"/>
        <v>163</v>
      </c>
      <c r="N40" s="7">
        <f t="shared" si="7"/>
        <v>163</v>
      </c>
      <c r="O40" s="7">
        <f t="shared" si="7"/>
        <v>163</v>
      </c>
      <c r="P40" s="8">
        <f t="shared" si="5"/>
        <v>1956</v>
      </c>
    </row>
    <row r="41" spans="1:16" x14ac:dyDescent="0.3">
      <c r="A41" s="2" t="s">
        <v>35</v>
      </c>
      <c r="B41" s="2" t="s">
        <v>26</v>
      </c>
      <c r="C41" s="9" t="s">
        <v>41</v>
      </c>
      <c r="D41" s="7">
        <f t="shared" ref="D41:O41" si="8">D29+D33</f>
        <v>193</v>
      </c>
      <c r="E41" s="7">
        <f t="shared" si="8"/>
        <v>193</v>
      </c>
      <c r="F41" s="7">
        <f t="shared" si="8"/>
        <v>193</v>
      </c>
      <c r="G41" s="7">
        <f t="shared" si="8"/>
        <v>193</v>
      </c>
      <c r="H41" s="7">
        <f t="shared" si="8"/>
        <v>193</v>
      </c>
      <c r="I41" s="7">
        <f t="shared" si="8"/>
        <v>193</v>
      </c>
      <c r="J41" s="7">
        <f t="shared" si="8"/>
        <v>193</v>
      </c>
      <c r="K41" s="7">
        <f t="shared" si="8"/>
        <v>193</v>
      </c>
      <c r="L41" s="7">
        <f t="shared" si="8"/>
        <v>193</v>
      </c>
      <c r="M41" s="7">
        <f t="shared" si="8"/>
        <v>193</v>
      </c>
      <c r="N41" s="7">
        <f t="shared" si="8"/>
        <v>193</v>
      </c>
      <c r="O41" s="7">
        <f t="shared" si="8"/>
        <v>193</v>
      </c>
      <c r="P41" s="8">
        <f t="shared" si="5"/>
        <v>2316</v>
      </c>
    </row>
    <row r="42" spans="1:16" x14ac:dyDescent="0.3">
      <c r="A42" s="2" t="s">
        <v>35</v>
      </c>
      <c r="B42" s="2" t="s">
        <v>27</v>
      </c>
      <c r="C42" s="9" t="s">
        <v>38</v>
      </c>
      <c r="D42" s="7">
        <v>16.991333333333259</v>
      </c>
      <c r="E42" s="7">
        <v>16.991333333333259</v>
      </c>
      <c r="F42" s="7">
        <v>16.991333333333259</v>
      </c>
      <c r="G42" s="7">
        <v>16.991333333333259</v>
      </c>
      <c r="H42" s="7">
        <v>16.991333333333259</v>
      </c>
      <c r="I42" s="7">
        <v>16.991333333333259</v>
      </c>
      <c r="J42" s="7">
        <v>16.991333333333259</v>
      </c>
      <c r="K42" s="7">
        <v>16.991333333333259</v>
      </c>
      <c r="L42" s="7">
        <v>16.991333333333259</v>
      </c>
      <c r="M42" s="7">
        <v>16.991333333333259</v>
      </c>
      <c r="N42" s="7">
        <v>16.991333333333259</v>
      </c>
      <c r="O42" s="7">
        <v>16.991333333333259</v>
      </c>
      <c r="P42" s="8">
        <f t="shared" si="5"/>
        <v>203.89599999999916</v>
      </c>
    </row>
    <row r="43" spans="1:16" x14ac:dyDescent="0.3">
      <c r="A43" s="2" t="s">
        <v>35</v>
      </c>
      <c r="B43" s="2" t="s">
        <v>27</v>
      </c>
      <c r="C43" s="9" t="s">
        <v>39</v>
      </c>
      <c r="D43" s="7">
        <v>18.647833333333448</v>
      </c>
      <c r="E43" s="7">
        <v>18.647833333333448</v>
      </c>
      <c r="F43" s="7">
        <v>18.647833333333448</v>
      </c>
      <c r="G43" s="7">
        <v>18.647833333333448</v>
      </c>
      <c r="H43" s="7">
        <v>18.647833333333448</v>
      </c>
      <c r="I43" s="7">
        <v>18.647833333333448</v>
      </c>
      <c r="J43" s="7">
        <v>18.647833333333448</v>
      </c>
      <c r="K43" s="7">
        <v>18.647833333333448</v>
      </c>
      <c r="L43" s="7">
        <v>18.647833333333448</v>
      </c>
      <c r="M43" s="7">
        <v>18.647833333333448</v>
      </c>
      <c r="N43" s="7">
        <v>18.647833333333448</v>
      </c>
      <c r="O43" s="7">
        <v>18.647833333333448</v>
      </c>
      <c r="P43" s="8">
        <f t="shared" si="5"/>
        <v>223.77400000000134</v>
      </c>
    </row>
    <row r="44" spans="1:16" x14ac:dyDescent="0.3">
      <c r="A44" s="2" t="s">
        <v>35</v>
      </c>
      <c r="B44" s="2" t="s">
        <v>27</v>
      </c>
      <c r="C44" s="9" t="s">
        <v>40</v>
      </c>
      <c r="D44" s="7">
        <v>18.473500000000101</v>
      </c>
      <c r="E44" s="7">
        <v>18.473500000000101</v>
      </c>
      <c r="F44" s="7">
        <v>18.473500000000101</v>
      </c>
      <c r="G44" s="7">
        <v>18.473500000000101</v>
      </c>
      <c r="H44" s="7">
        <v>18.473500000000101</v>
      </c>
      <c r="I44" s="7">
        <v>18.473500000000101</v>
      </c>
      <c r="J44" s="7">
        <v>18.473500000000101</v>
      </c>
      <c r="K44" s="7">
        <v>18.473500000000101</v>
      </c>
      <c r="L44" s="7">
        <v>18.473500000000101</v>
      </c>
      <c r="M44" s="7">
        <v>18.473500000000101</v>
      </c>
      <c r="N44" s="7">
        <v>18.473500000000101</v>
      </c>
      <c r="O44" s="7">
        <v>18.473500000000101</v>
      </c>
      <c r="P44" s="8">
        <f t="shared" si="5"/>
        <v>221.68200000000127</v>
      </c>
    </row>
    <row r="45" spans="1:16" x14ac:dyDescent="0.3">
      <c r="A45" s="2" t="s">
        <v>35</v>
      </c>
      <c r="B45" s="2" t="s">
        <v>27</v>
      </c>
      <c r="C45" s="9" t="s">
        <v>41</v>
      </c>
      <c r="D45" s="7">
        <v>20.163250000000041</v>
      </c>
      <c r="E45" s="7">
        <v>20.163250000000041</v>
      </c>
      <c r="F45" s="7">
        <v>20.163250000000041</v>
      </c>
      <c r="G45" s="7">
        <v>20.163250000000041</v>
      </c>
      <c r="H45" s="7">
        <v>20.163250000000041</v>
      </c>
      <c r="I45" s="7">
        <v>20.163250000000041</v>
      </c>
      <c r="J45" s="7">
        <v>20.163250000000041</v>
      </c>
      <c r="K45" s="7">
        <v>20.163250000000041</v>
      </c>
      <c r="L45" s="7">
        <v>20.163250000000041</v>
      </c>
      <c r="M45" s="7">
        <v>20.163250000000041</v>
      </c>
      <c r="N45" s="7">
        <v>20.163250000000041</v>
      </c>
      <c r="O45" s="7">
        <v>20.163250000000041</v>
      </c>
      <c r="P45" s="8">
        <f t="shared" si="5"/>
        <v>241.95900000000043</v>
      </c>
    </row>
    <row r="46" spans="1:16" x14ac:dyDescent="0.3">
      <c r="A46" s="2" t="s">
        <v>35</v>
      </c>
      <c r="B46" s="2" t="s">
        <v>28</v>
      </c>
      <c r="C46" s="9" t="s">
        <v>38</v>
      </c>
      <c r="D46" s="7" t="e">
        <f>#REF!+D14+D22-D18-D38-D42-D34</f>
        <v>#REF!</v>
      </c>
      <c r="E46" s="7" t="e">
        <f t="shared" ref="E46:O46" si="9">D46+E14+E22-E18-E38-E42-E34</f>
        <v>#REF!</v>
      </c>
      <c r="F46" s="7" t="e">
        <f t="shared" si="9"/>
        <v>#REF!</v>
      </c>
      <c r="G46" s="7" t="e">
        <f t="shared" si="9"/>
        <v>#REF!</v>
      </c>
      <c r="H46" s="7" t="e">
        <f t="shared" si="9"/>
        <v>#REF!</v>
      </c>
      <c r="I46" s="7" t="e">
        <f t="shared" si="9"/>
        <v>#REF!</v>
      </c>
      <c r="J46" s="7" t="e">
        <f t="shared" si="9"/>
        <v>#REF!</v>
      </c>
      <c r="K46" s="7" t="e">
        <f t="shared" si="9"/>
        <v>#REF!</v>
      </c>
      <c r="L46" s="7" t="e">
        <f t="shared" si="9"/>
        <v>#REF!</v>
      </c>
      <c r="M46" s="7" t="e">
        <f t="shared" si="9"/>
        <v>#REF!</v>
      </c>
      <c r="N46" s="7" t="e">
        <f t="shared" si="9"/>
        <v>#REF!</v>
      </c>
      <c r="O46" s="7" t="e">
        <f t="shared" si="9"/>
        <v>#REF!</v>
      </c>
      <c r="P46" s="8" t="e">
        <f t="shared" ref="P46:P49" si="10">O46</f>
        <v>#REF!</v>
      </c>
    </row>
    <row r="47" spans="1:16" x14ac:dyDescent="0.3">
      <c r="A47" s="2" t="s">
        <v>35</v>
      </c>
      <c r="B47" s="2" t="s">
        <v>28</v>
      </c>
      <c r="C47" s="9" t="s">
        <v>39</v>
      </c>
      <c r="D47" s="7" t="e">
        <f>O46+D15+D23-D19-D39-D43-D35</f>
        <v>#REF!</v>
      </c>
      <c r="E47" s="7" t="e">
        <f t="shared" ref="E47:O47" si="11">D47+E15+E23-E19-E39-E43-E35</f>
        <v>#REF!</v>
      </c>
      <c r="F47" s="7" t="e">
        <f t="shared" si="11"/>
        <v>#REF!</v>
      </c>
      <c r="G47" s="7" t="e">
        <f t="shared" si="11"/>
        <v>#REF!</v>
      </c>
      <c r="H47" s="7" t="e">
        <f t="shared" si="11"/>
        <v>#REF!</v>
      </c>
      <c r="I47" s="7" t="e">
        <f t="shared" si="11"/>
        <v>#REF!</v>
      </c>
      <c r="J47" s="7" t="e">
        <f t="shared" si="11"/>
        <v>#REF!</v>
      </c>
      <c r="K47" s="7" t="e">
        <f t="shared" si="11"/>
        <v>#REF!</v>
      </c>
      <c r="L47" s="7" t="e">
        <f t="shared" si="11"/>
        <v>#REF!</v>
      </c>
      <c r="M47" s="7" t="e">
        <f t="shared" si="11"/>
        <v>#REF!</v>
      </c>
      <c r="N47" s="7" t="e">
        <f t="shared" si="11"/>
        <v>#REF!</v>
      </c>
      <c r="O47" s="7" t="e">
        <f t="shared" si="11"/>
        <v>#REF!</v>
      </c>
      <c r="P47" s="8" t="e">
        <f t="shared" si="10"/>
        <v>#REF!</v>
      </c>
    </row>
    <row r="48" spans="1:16" x14ac:dyDescent="0.3">
      <c r="A48" s="2" t="s">
        <v>35</v>
      </c>
      <c r="B48" s="2" t="s">
        <v>28</v>
      </c>
      <c r="C48" s="9" t="s">
        <v>40</v>
      </c>
      <c r="D48" s="7" t="e">
        <f>O47+D16+D24-D20-D40-D44-D36</f>
        <v>#REF!</v>
      </c>
      <c r="E48" s="7" t="e">
        <f t="shared" ref="E48:O48" si="12">D48+E16+E24-E20-E40-E44-E36</f>
        <v>#REF!</v>
      </c>
      <c r="F48" s="7" t="e">
        <f t="shared" si="12"/>
        <v>#REF!</v>
      </c>
      <c r="G48" s="7" t="e">
        <f t="shared" si="12"/>
        <v>#REF!</v>
      </c>
      <c r="H48" s="7" t="e">
        <f t="shared" si="12"/>
        <v>#REF!</v>
      </c>
      <c r="I48" s="7" t="e">
        <f t="shared" si="12"/>
        <v>#REF!</v>
      </c>
      <c r="J48" s="7" t="e">
        <f t="shared" si="12"/>
        <v>#REF!</v>
      </c>
      <c r="K48" s="7" t="e">
        <f t="shared" si="12"/>
        <v>#REF!</v>
      </c>
      <c r="L48" s="7" t="e">
        <f t="shared" si="12"/>
        <v>#REF!</v>
      </c>
      <c r="M48" s="7" t="e">
        <f t="shared" si="12"/>
        <v>#REF!</v>
      </c>
      <c r="N48" s="7" t="e">
        <f t="shared" si="12"/>
        <v>#REF!</v>
      </c>
      <c r="O48" s="7" t="e">
        <f t="shared" si="12"/>
        <v>#REF!</v>
      </c>
      <c r="P48" s="8" t="e">
        <f t="shared" si="10"/>
        <v>#REF!</v>
      </c>
    </row>
    <row r="49" spans="1:16" x14ac:dyDescent="0.3">
      <c r="A49" s="2" t="s">
        <v>35</v>
      </c>
      <c r="B49" s="2" t="s">
        <v>28</v>
      </c>
      <c r="C49" s="9" t="s">
        <v>41</v>
      </c>
      <c r="D49" s="7" t="e">
        <f>O48+D17+D25-D21-D41-D45-D37</f>
        <v>#REF!</v>
      </c>
      <c r="E49" s="7" t="e">
        <f t="shared" ref="E49:O49" si="13">D49+E17+E25-E21-E41-E45-E37</f>
        <v>#REF!</v>
      </c>
      <c r="F49" s="7" t="e">
        <f t="shared" si="13"/>
        <v>#REF!</v>
      </c>
      <c r="G49" s="7" t="e">
        <f t="shared" si="13"/>
        <v>#REF!</v>
      </c>
      <c r="H49" s="7" t="e">
        <f t="shared" si="13"/>
        <v>#REF!</v>
      </c>
      <c r="I49" s="7" t="e">
        <f t="shared" si="13"/>
        <v>#REF!</v>
      </c>
      <c r="J49" s="7" t="e">
        <f t="shared" si="13"/>
        <v>#REF!</v>
      </c>
      <c r="K49" s="7" t="e">
        <f t="shared" si="13"/>
        <v>#REF!</v>
      </c>
      <c r="L49" s="7" t="e">
        <f t="shared" si="13"/>
        <v>#REF!</v>
      </c>
      <c r="M49" s="7" t="e">
        <f t="shared" si="13"/>
        <v>#REF!</v>
      </c>
      <c r="N49" s="7" t="e">
        <f t="shared" si="13"/>
        <v>#REF!</v>
      </c>
      <c r="O49" s="7" t="e">
        <f t="shared" si="13"/>
        <v>#REF!</v>
      </c>
      <c r="P49" s="8" t="e">
        <f t="shared" si="10"/>
        <v>#REF!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84C8-BF95-4286-BB48-D27B8713220B}">
  <dimension ref="A1:P49"/>
  <sheetViews>
    <sheetView workbookViewId="0">
      <pane xSplit="3" ySplit="1" topLeftCell="D2" activePane="bottomRight" state="frozen"/>
      <selection activeCell="S35" sqref="S35"/>
      <selection pane="topRight" activeCell="S35" sqref="S35"/>
      <selection pane="bottomLeft" activeCell="S35" sqref="S35"/>
      <selection pane="bottomRight" activeCell="S35" sqref="S35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36</v>
      </c>
      <c r="B2" s="2" t="s">
        <v>17</v>
      </c>
      <c r="C2" s="9" t="s">
        <v>38</v>
      </c>
      <c r="D2" s="3">
        <v>3.8547289999999998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9" si="0">D2</f>
        <v>3.8547289999999998</v>
      </c>
    </row>
    <row r="3" spans="1:16" x14ac:dyDescent="0.3">
      <c r="A3" s="2" t="s">
        <v>36</v>
      </c>
      <c r="B3" s="2" t="s">
        <v>17</v>
      </c>
      <c r="C3" s="9" t="s">
        <v>39</v>
      </c>
      <c r="D3" s="3">
        <v>3.3681000000000001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3.3681000000000001</v>
      </c>
    </row>
    <row r="4" spans="1:16" x14ac:dyDescent="0.3">
      <c r="A4" s="2" t="s">
        <v>36</v>
      </c>
      <c r="B4" s="2" t="s">
        <v>17</v>
      </c>
      <c r="C4" s="9" t="s">
        <v>40</v>
      </c>
      <c r="D4" s="3">
        <v>3.0476000000000001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3.0476000000000001</v>
      </c>
    </row>
    <row r="5" spans="1:16" x14ac:dyDescent="0.3">
      <c r="A5" s="2" t="s">
        <v>36</v>
      </c>
      <c r="B5" s="2" t="s">
        <v>17</v>
      </c>
      <c r="C5" s="9" t="s">
        <v>41</v>
      </c>
      <c r="D5" s="3">
        <v>3.2128000000000001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3.2128000000000001</v>
      </c>
    </row>
    <row r="6" spans="1:16" x14ac:dyDescent="0.3">
      <c r="A6" s="2" t="s">
        <v>36</v>
      </c>
      <c r="B6" s="2" t="s">
        <v>18</v>
      </c>
      <c r="C6" s="9" t="s">
        <v>38</v>
      </c>
      <c r="D6" s="3">
        <v>3.719004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3.719004</v>
      </c>
    </row>
    <row r="7" spans="1:16" x14ac:dyDescent="0.3">
      <c r="A7" s="2" t="s">
        <v>36</v>
      </c>
      <c r="B7" s="2" t="s">
        <v>18</v>
      </c>
      <c r="C7" s="9" t="s">
        <v>39</v>
      </c>
      <c r="D7" s="3">
        <v>3.3311999999999999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3.3311999999999999</v>
      </c>
    </row>
    <row r="8" spans="1:16" x14ac:dyDescent="0.3">
      <c r="A8" s="2" t="s">
        <v>36</v>
      </c>
      <c r="B8" s="2" t="s">
        <v>18</v>
      </c>
      <c r="C8" s="9" t="s">
        <v>40</v>
      </c>
      <c r="D8" s="3">
        <v>2.9649000000000001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2.9649000000000001</v>
      </c>
    </row>
    <row r="9" spans="1:16" x14ac:dyDescent="0.3">
      <c r="A9" s="2" t="s">
        <v>36</v>
      </c>
      <c r="B9" s="2" t="s">
        <v>18</v>
      </c>
      <c r="C9" s="9" t="s">
        <v>41</v>
      </c>
      <c r="D9" s="3">
        <v>3.1642999999999999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3.1642999999999999</v>
      </c>
    </row>
    <row r="10" spans="1:16" x14ac:dyDescent="0.3">
      <c r="A10" s="2" t="s">
        <v>36</v>
      </c>
      <c r="B10" s="2" t="s">
        <v>19</v>
      </c>
      <c r="C10" s="9" t="s">
        <v>38</v>
      </c>
      <c r="D10" s="5">
        <v>22.16870808958528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>
        <f t="shared" ref="P10:P17" si="1">D10</f>
        <v>22.16870808958528</v>
      </c>
    </row>
    <row r="11" spans="1:16" x14ac:dyDescent="0.3">
      <c r="A11" s="2" t="s">
        <v>36</v>
      </c>
      <c r="B11" s="2" t="s">
        <v>19</v>
      </c>
      <c r="C11" s="9" t="s">
        <v>39</v>
      </c>
      <c r="D11" s="5">
        <v>37.759578593299707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>
        <f t="shared" si="1"/>
        <v>37.759578593299707</v>
      </c>
    </row>
    <row r="12" spans="1:16" x14ac:dyDescent="0.3">
      <c r="A12" s="2" t="s">
        <v>36</v>
      </c>
      <c r="B12" s="2" t="s">
        <v>19</v>
      </c>
      <c r="C12" s="9" t="s">
        <v>40</v>
      </c>
      <c r="D12" s="5">
        <v>32.330589416169182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>
        <f t="shared" si="1"/>
        <v>32.330589416169182</v>
      </c>
    </row>
    <row r="13" spans="1:16" x14ac:dyDescent="0.3">
      <c r="A13" s="2" t="s">
        <v>36</v>
      </c>
      <c r="B13" s="2" t="s">
        <v>19</v>
      </c>
      <c r="C13" s="9" t="s">
        <v>41</v>
      </c>
      <c r="D13" s="5">
        <v>34.805665196093919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>
        <f t="shared" si="1"/>
        <v>34.805665196093919</v>
      </c>
    </row>
    <row r="14" spans="1:16" x14ac:dyDescent="0.3">
      <c r="A14" s="2" t="s">
        <v>36</v>
      </c>
      <c r="B14" s="2" t="s">
        <v>20</v>
      </c>
      <c r="C14" s="9" t="s">
        <v>38</v>
      </c>
      <c r="D14" s="7">
        <v>2243.8000000000002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>
        <f t="shared" si="1"/>
        <v>2243.8000000000002</v>
      </c>
    </row>
    <row r="15" spans="1:16" x14ac:dyDescent="0.3">
      <c r="A15" s="2" t="s">
        <v>36</v>
      </c>
      <c r="B15" s="2" t="s">
        <v>20</v>
      </c>
      <c r="C15" s="9" t="s">
        <v>39</v>
      </c>
      <c r="D15" s="7">
        <v>3423.3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>
        <f t="shared" si="1"/>
        <v>3423.3</v>
      </c>
    </row>
    <row r="16" spans="1:16" x14ac:dyDescent="0.3">
      <c r="A16" s="2" t="s">
        <v>36</v>
      </c>
      <c r="B16" s="2" t="s">
        <v>20</v>
      </c>
      <c r="C16" s="9" t="s">
        <v>40</v>
      </c>
      <c r="D16" s="7">
        <v>2608.8000000000002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>
        <f t="shared" si="1"/>
        <v>2608.8000000000002</v>
      </c>
    </row>
    <row r="17" spans="1:16" x14ac:dyDescent="0.3">
      <c r="A17" s="2" t="s">
        <v>36</v>
      </c>
      <c r="B17" s="2" t="s">
        <v>20</v>
      </c>
      <c r="C17" s="9" t="s">
        <v>41</v>
      </c>
      <c r="D17" s="7">
        <v>2997.4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>
        <f t="shared" si="1"/>
        <v>2997.4</v>
      </c>
    </row>
    <row r="18" spans="1:16" x14ac:dyDescent="0.3">
      <c r="A18" s="2" t="s">
        <v>36</v>
      </c>
      <c r="B18" s="2" t="s">
        <v>21</v>
      </c>
      <c r="C18" s="9" t="s">
        <v>38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>
        <f t="shared" ref="P18:P25" si="2">SUM(D18:O18)</f>
        <v>0</v>
      </c>
    </row>
    <row r="19" spans="1:16" x14ac:dyDescent="0.3">
      <c r="A19" s="2" t="s">
        <v>36</v>
      </c>
      <c r="B19" s="2" t="s">
        <v>21</v>
      </c>
      <c r="C19" s="9" t="s">
        <v>39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>
        <f t="shared" si="2"/>
        <v>0</v>
      </c>
    </row>
    <row r="20" spans="1:16" x14ac:dyDescent="0.3">
      <c r="A20" s="2" t="s">
        <v>36</v>
      </c>
      <c r="B20" s="2" t="s">
        <v>21</v>
      </c>
      <c r="C20" s="9" t="s">
        <v>40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8">
        <f t="shared" si="2"/>
        <v>0</v>
      </c>
    </row>
    <row r="21" spans="1:16" x14ac:dyDescent="0.3">
      <c r="A21" s="2" t="s">
        <v>36</v>
      </c>
      <c r="B21" s="2" t="s">
        <v>21</v>
      </c>
      <c r="C21" s="9" t="s">
        <v>41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>
        <f t="shared" si="2"/>
        <v>0</v>
      </c>
    </row>
    <row r="22" spans="1:16" x14ac:dyDescent="0.3">
      <c r="A22" s="2" t="s">
        <v>36</v>
      </c>
      <c r="B22" s="2" t="s">
        <v>22</v>
      </c>
      <c r="C22" s="9" t="s">
        <v>38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8">
        <f t="shared" si="2"/>
        <v>0</v>
      </c>
    </row>
    <row r="23" spans="1:16" x14ac:dyDescent="0.3">
      <c r="A23" s="2" t="s">
        <v>36</v>
      </c>
      <c r="B23" s="2" t="s">
        <v>22</v>
      </c>
      <c r="C23" s="9" t="s">
        <v>39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8">
        <f t="shared" si="2"/>
        <v>0</v>
      </c>
    </row>
    <row r="24" spans="1:16" x14ac:dyDescent="0.3">
      <c r="A24" s="2" t="s">
        <v>36</v>
      </c>
      <c r="B24" s="2" t="s">
        <v>22</v>
      </c>
      <c r="C24" s="9" t="s">
        <v>40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>
        <f t="shared" si="2"/>
        <v>0</v>
      </c>
    </row>
    <row r="25" spans="1:16" x14ac:dyDescent="0.3">
      <c r="A25" s="2" t="s">
        <v>36</v>
      </c>
      <c r="B25" s="2" t="s">
        <v>22</v>
      </c>
      <c r="C25" s="9" t="s">
        <v>41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>
        <f t="shared" si="2"/>
        <v>0</v>
      </c>
    </row>
    <row r="26" spans="1:16" x14ac:dyDescent="0.3">
      <c r="A26" s="2" t="s">
        <v>36</v>
      </c>
      <c r="B26" s="2" t="s">
        <v>23</v>
      </c>
      <c r="C26" s="9" t="s">
        <v>38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8">
        <f t="shared" ref="P26:P37" si="3">SUM(D26:O26)</f>
        <v>0</v>
      </c>
    </row>
    <row r="27" spans="1:16" x14ac:dyDescent="0.3">
      <c r="A27" s="2" t="s">
        <v>36</v>
      </c>
      <c r="B27" s="2" t="s">
        <v>23</v>
      </c>
      <c r="C27" s="9" t="s">
        <v>39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8">
        <f t="shared" si="3"/>
        <v>0</v>
      </c>
    </row>
    <row r="28" spans="1:16" x14ac:dyDescent="0.3">
      <c r="A28" s="2" t="s">
        <v>36</v>
      </c>
      <c r="B28" s="2" t="s">
        <v>23</v>
      </c>
      <c r="C28" s="9" t="s">
        <v>40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8">
        <f t="shared" si="3"/>
        <v>0</v>
      </c>
    </row>
    <row r="29" spans="1:16" x14ac:dyDescent="0.3">
      <c r="A29" s="2" t="s">
        <v>36</v>
      </c>
      <c r="B29" s="2" t="s">
        <v>23</v>
      </c>
      <c r="C29" s="9" t="s">
        <v>41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8">
        <f t="shared" si="3"/>
        <v>0</v>
      </c>
    </row>
    <row r="30" spans="1:16" x14ac:dyDescent="0.3">
      <c r="A30" s="2" t="s">
        <v>36</v>
      </c>
      <c r="B30" s="2" t="s">
        <v>24</v>
      </c>
      <c r="C30" s="9" t="s">
        <v>38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8">
        <f t="shared" si="3"/>
        <v>0</v>
      </c>
    </row>
    <row r="31" spans="1:16" x14ac:dyDescent="0.3">
      <c r="A31" s="2" t="s">
        <v>36</v>
      </c>
      <c r="B31" s="2" t="s">
        <v>24</v>
      </c>
      <c r="C31" s="9" t="s">
        <v>39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8">
        <f t="shared" si="3"/>
        <v>0</v>
      </c>
    </row>
    <row r="32" spans="1:16" x14ac:dyDescent="0.3">
      <c r="A32" s="2" t="s">
        <v>36</v>
      </c>
      <c r="B32" s="2" t="s">
        <v>24</v>
      </c>
      <c r="C32" s="9" t="s">
        <v>40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8">
        <f t="shared" si="3"/>
        <v>0</v>
      </c>
    </row>
    <row r="33" spans="1:16" x14ac:dyDescent="0.3">
      <c r="A33" s="2" t="s">
        <v>36</v>
      </c>
      <c r="B33" s="2" t="s">
        <v>24</v>
      </c>
      <c r="C33" s="9" t="s">
        <v>41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8">
        <f t="shared" si="3"/>
        <v>0</v>
      </c>
    </row>
    <row r="34" spans="1:16" x14ac:dyDescent="0.3">
      <c r="A34" s="2" t="s">
        <v>36</v>
      </c>
      <c r="B34" s="2" t="s">
        <v>25</v>
      </c>
      <c r="C34" s="9" t="s">
        <v>38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8">
        <f t="shared" si="3"/>
        <v>0</v>
      </c>
    </row>
    <row r="35" spans="1:16" x14ac:dyDescent="0.3">
      <c r="A35" s="2" t="s">
        <v>36</v>
      </c>
      <c r="B35" s="2" t="s">
        <v>25</v>
      </c>
      <c r="C35" s="9" t="s">
        <v>39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8">
        <f t="shared" si="3"/>
        <v>0</v>
      </c>
    </row>
    <row r="36" spans="1:16" x14ac:dyDescent="0.3">
      <c r="A36" s="2" t="s">
        <v>36</v>
      </c>
      <c r="B36" s="2" t="s">
        <v>25</v>
      </c>
      <c r="C36" s="9" t="s">
        <v>40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8">
        <f t="shared" si="3"/>
        <v>0</v>
      </c>
    </row>
    <row r="37" spans="1:16" x14ac:dyDescent="0.3">
      <c r="A37" s="2" t="s">
        <v>36</v>
      </c>
      <c r="B37" s="2" t="s">
        <v>25</v>
      </c>
      <c r="C37" s="9" t="s">
        <v>41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8">
        <f t="shared" si="3"/>
        <v>0</v>
      </c>
    </row>
    <row r="38" spans="1:16" x14ac:dyDescent="0.3">
      <c r="A38" s="2" t="s">
        <v>36</v>
      </c>
      <c r="B38" s="2" t="s">
        <v>26</v>
      </c>
      <c r="C38" s="9" t="s">
        <v>38</v>
      </c>
      <c r="D38" s="7">
        <f t="shared" ref="D38:O38" si="4">D26+D30</f>
        <v>0</v>
      </c>
      <c r="E38" s="7">
        <f t="shared" si="4"/>
        <v>0</v>
      </c>
      <c r="F38" s="7">
        <f t="shared" si="4"/>
        <v>0</v>
      </c>
      <c r="G38" s="7">
        <f t="shared" si="4"/>
        <v>0</v>
      </c>
      <c r="H38" s="7">
        <f t="shared" si="4"/>
        <v>0</v>
      </c>
      <c r="I38" s="7">
        <f t="shared" si="4"/>
        <v>0</v>
      </c>
      <c r="J38" s="7">
        <f t="shared" si="4"/>
        <v>0</v>
      </c>
      <c r="K38" s="7">
        <f t="shared" si="4"/>
        <v>0</v>
      </c>
      <c r="L38" s="7">
        <f t="shared" si="4"/>
        <v>0</v>
      </c>
      <c r="M38" s="7">
        <f t="shared" si="4"/>
        <v>0</v>
      </c>
      <c r="N38" s="7">
        <f t="shared" si="4"/>
        <v>0</v>
      </c>
      <c r="O38" s="7">
        <f t="shared" si="4"/>
        <v>0</v>
      </c>
      <c r="P38" s="8">
        <f t="shared" ref="P38:P45" si="5">SUM(D38:O38)</f>
        <v>0</v>
      </c>
    </row>
    <row r="39" spans="1:16" x14ac:dyDescent="0.3">
      <c r="A39" s="2" t="s">
        <v>36</v>
      </c>
      <c r="B39" s="2" t="s">
        <v>26</v>
      </c>
      <c r="C39" s="9" t="s">
        <v>39</v>
      </c>
      <c r="D39" s="7">
        <f t="shared" ref="D39:O39" si="6">D27+D31</f>
        <v>0</v>
      </c>
      <c r="E39" s="7">
        <f t="shared" si="6"/>
        <v>0</v>
      </c>
      <c r="F39" s="7">
        <f t="shared" si="6"/>
        <v>0</v>
      </c>
      <c r="G39" s="7">
        <f t="shared" si="6"/>
        <v>0</v>
      </c>
      <c r="H39" s="7">
        <f t="shared" si="6"/>
        <v>0</v>
      </c>
      <c r="I39" s="7">
        <f t="shared" si="6"/>
        <v>0</v>
      </c>
      <c r="J39" s="7">
        <f t="shared" si="6"/>
        <v>0</v>
      </c>
      <c r="K39" s="7">
        <f t="shared" si="6"/>
        <v>0</v>
      </c>
      <c r="L39" s="7">
        <f t="shared" si="6"/>
        <v>0</v>
      </c>
      <c r="M39" s="7">
        <f t="shared" si="6"/>
        <v>0</v>
      </c>
      <c r="N39" s="7">
        <f t="shared" si="6"/>
        <v>0</v>
      </c>
      <c r="O39" s="7">
        <f t="shared" si="6"/>
        <v>0</v>
      </c>
      <c r="P39" s="8">
        <f t="shared" si="5"/>
        <v>0</v>
      </c>
    </row>
    <row r="40" spans="1:16" x14ac:dyDescent="0.3">
      <c r="A40" s="2" t="s">
        <v>36</v>
      </c>
      <c r="B40" s="2" t="s">
        <v>26</v>
      </c>
      <c r="C40" s="9" t="s">
        <v>40</v>
      </c>
      <c r="D40" s="7">
        <f t="shared" ref="D40:O40" si="7">D28+D32</f>
        <v>0</v>
      </c>
      <c r="E40" s="7">
        <f t="shared" si="7"/>
        <v>0</v>
      </c>
      <c r="F40" s="7">
        <f t="shared" si="7"/>
        <v>0</v>
      </c>
      <c r="G40" s="7">
        <f t="shared" si="7"/>
        <v>0</v>
      </c>
      <c r="H40" s="7">
        <f t="shared" si="7"/>
        <v>0</v>
      </c>
      <c r="I40" s="7">
        <f t="shared" si="7"/>
        <v>0</v>
      </c>
      <c r="J40" s="7">
        <f t="shared" si="7"/>
        <v>0</v>
      </c>
      <c r="K40" s="7">
        <f t="shared" si="7"/>
        <v>0</v>
      </c>
      <c r="L40" s="7">
        <f t="shared" si="7"/>
        <v>0</v>
      </c>
      <c r="M40" s="7">
        <f t="shared" si="7"/>
        <v>0</v>
      </c>
      <c r="N40" s="7">
        <f t="shared" si="7"/>
        <v>0</v>
      </c>
      <c r="O40" s="7">
        <f t="shared" si="7"/>
        <v>0</v>
      </c>
      <c r="P40" s="8">
        <f t="shared" si="5"/>
        <v>0</v>
      </c>
    </row>
    <row r="41" spans="1:16" x14ac:dyDescent="0.3">
      <c r="A41" s="2" t="s">
        <v>36</v>
      </c>
      <c r="B41" s="2" t="s">
        <v>26</v>
      </c>
      <c r="C41" s="9" t="s">
        <v>41</v>
      </c>
      <c r="D41" s="7">
        <f t="shared" ref="D41:O41" si="8">D29+D33</f>
        <v>0</v>
      </c>
      <c r="E41" s="7">
        <f t="shared" si="8"/>
        <v>0</v>
      </c>
      <c r="F41" s="7">
        <f t="shared" si="8"/>
        <v>0</v>
      </c>
      <c r="G41" s="7">
        <f t="shared" si="8"/>
        <v>0</v>
      </c>
      <c r="H41" s="7">
        <f t="shared" si="8"/>
        <v>0</v>
      </c>
      <c r="I41" s="7">
        <f t="shared" si="8"/>
        <v>0</v>
      </c>
      <c r="J41" s="7">
        <f t="shared" si="8"/>
        <v>0</v>
      </c>
      <c r="K41" s="7">
        <f t="shared" si="8"/>
        <v>0</v>
      </c>
      <c r="L41" s="7">
        <f t="shared" si="8"/>
        <v>0</v>
      </c>
      <c r="M41" s="7">
        <f t="shared" si="8"/>
        <v>0</v>
      </c>
      <c r="N41" s="7">
        <f t="shared" si="8"/>
        <v>0</v>
      </c>
      <c r="O41" s="7">
        <f t="shared" si="8"/>
        <v>0</v>
      </c>
      <c r="P41" s="8">
        <f t="shared" si="5"/>
        <v>0</v>
      </c>
    </row>
    <row r="42" spans="1:16" x14ac:dyDescent="0.3">
      <c r="A42" s="2" t="s">
        <v>36</v>
      </c>
      <c r="B42" s="2" t="s">
        <v>27</v>
      </c>
      <c r="C42" s="9" t="s">
        <v>38</v>
      </c>
      <c r="D42" s="7">
        <v>205.3333333333334</v>
      </c>
      <c r="E42" s="7">
        <v>205.3333333333334</v>
      </c>
      <c r="F42" s="7">
        <v>205.3333333333334</v>
      </c>
      <c r="G42" s="7">
        <v>205.3333333333334</v>
      </c>
      <c r="H42" s="7">
        <v>205.3333333333334</v>
      </c>
      <c r="I42" s="7">
        <v>205.3333333333334</v>
      </c>
      <c r="J42" s="7">
        <v>205.3333333333334</v>
      </c>
      <c r="K42" s="7">
        <v>205.3333333333334</v>
      </c>
      <c r="L42" s="7">
        <v>205.3333333333334</v>
      </c>
      <c r="M42" s="7">
        <v>205.3333333333334</v>
      </c>
      <c r="N42" s="7">
        <v>205.3333333333334</v>
      </c>
      <c r="O42" s="7">
        <v>205.3333333333334</v>
      </c>
      <c r="P42" s="8">
        <f t="shared" si="5"/>
        <v>2464.0000000000014</v>
      </c>
    </row>
    <row r="43" spans="1:16" x14ac:dyDescent="0.3">
      <c r="A43" s="2" t="s">
        <v>36</v>
      </c>
      <c r="B43" s="2" t="s">
        <v>27</v>
      </c>
      <c r="C43" s="9" t="s">
        <v>39</v>
      </c>
      <c r="D43" s="7">
        <v>267.70833333333331</v>
      </c>
      <c r="E43" s="7">
        <v>267.70833333333331</v>
      </c>
      <c r="F43" s="7">
        <v>267.70833333333331</v>
      </c>
      <c r="G43" s="7">
        <v>267.70833333333331</v>
      </c>
      <c r="H43" s="7">
        <v>267.70833333333331</v>
      </c>
      <c r="I43" s="7">
        <v>267.70833333333331</v>
      </c>
      <c r="J43" s="7">
        <v>267.70833333333331</v>
      </c>
      <c r="K43" s="7">
        <v>267.70833333333331</v>
      </c>
      <c r="L43" s="7">
        <v>267.70833333333331</v>
      </c>
      <c r="M43" s="7">
        <v>267.70833333333331</v>
      </c>
      <c r="N43" s="7">
        <v>267.70833333333331</v>
      </c>
      <c r="O43" s="7">
        <v>267.70833333333331</v>
      </c>
      <c r="P43" s="8">
        <f t="shared" si="5"/>
        <v>3212.5000000000005</v>
      </c>
    </row>
    <row r="44" spans="1:16" x14ac:dyDescent="0.3">
      <c r="A44" s="2" t="s">
        <v>36</v>
      </c>
      <c r="B44" s="2" t="s">
        <v>27</v>
      </c>
      <c r="C44" s="9" t="s">
        <v>40</v>
      </c>
      <c r="D44" s="7">
        <v>238.2833333333333</v>
      </c>
      <c r="E44" s="7">
        <v>238.2833333333333</v>
      </c>
      <c r="F44" s="7">
        <v>238.2833333333333</v>
      </c>
      <c r="G44" s="7">
        <v>238.2833333333333</v>
      </c>
      <c r="H44" s="7">
        <v>238.2833333333333</v>
      </c>
      <c r="I44" s="7">
        <v>238.2833333333333</v>
      </c>
      <c r="J44" s="7">
        <v>238.2833333333333</v>
      </c>
      <c r="K44" s="7">
        <v>238.2833333333333</v>
      </c>
      <c r="L44" s="7">
        <v>238.2833333333333</v>
      </c>
      <c r="M44" s="7">
        <v>238.2833333333333</v>
      </c>
      <c r="N44" s="7">
        <v>238.2833333333333</v>
      </c>
      <c r="O44" s="7">
        <v>238.2833333333333</v>
      </c>
      <c r="P44" s="8">
        <f t="shared" si="5"/>
        <v>2859.3999999999996</v>
      </c>
    </row>
    <row r="45" spans="1:16" x14ac:dyDescent="0.3">
      <c r="A45" s="2" t="s">
        <v>36</v>
      </c>
      <c r="B45" s="2" t="s">
        <v>27</v>
      </c>
      <c r="C45" s="9" t="s">
        <v>41</v>
      </c>
      <c r="D45" s="7">
        <v>233.97499999999999</v>
      </c>
      <c r="E45" s="7">
        <v>233.97499999999999</v>
      </c>
      <c r="F45" s="7">
        <v>233.97499999999999</v>
      </c>
      <c r="G45" s="7">
        <v>233.97499999999999</v>
      </c>
      <c r="H45" s="7">
        <v>233.97499999999999</v>
      </c>
      <c r="I45" s="7">
        <v>233.97499999999999</v>
      </c>
      <c r="J45" s="7">
        <v>233.97499999999999</v>
      </c>
      <c r="K45" s="7">
        <v>233.97499999999999</v>
      </c>
      <c r="L45" s="7">
        <v>233.97499999999999</v>
      </c>
      <c r="M45" s="7">
        <v>233.97499999999999</v>
      </c>
      <c r="N45" s="7">
        <v>233.97499999999999</v>
      </c>
      <c r="O45" s="7">
        <v>233.97499999999999</v>
      </c>
      <c r="P45" s="8">
        <f t="shared" si="5"/>
        <v>2807.6999999999994</v>
      </c>
    </row>
    <row r="46" spans="1:16" x14ac:dyDescent="0.3">
      <c r="A46" s="2" t="s">
        <v>36</v>
      </c>
      <c r="B46" s="2" t="s">
        <v>28</v>
      </c>
      <c r="C46" s="9" t="s">
        <v>38</v>
      </c>
      <c r="D46" s="7" t="e">
        <f>#REF!+D14+D22-D18-D38-D42-D34</f>
        <v>#REF!</v>
      </c>
      <c r="E46" s="7" t="e">
        <f t="shared" ref="E46:O46" si="9">D46+E14+E22-E18-E38-E42-E34</f>
        <v>#REF!</v>
      </c>
      <c r="F46" s="7" t="e">
        <f t="shared" si="9"/>
        <v>#REF!</v>
      </c>
      <c r="G46" s="7" t="e">
        <f t="shared" si="9"/>
        <v>#REF!</v>
      </c>
      <c r="H46" s="7" t="e">
        <f t="shared" si="9"/>
        <v>#REF!</v>
      </c>
      <c r="I46" s="7" t="e">
        <f t="shared" si="9"/>
        <v>#REF!</v>
      </c>
      <c r="J46" s="7" t="e">
        <f t="shared" si="9"/>
        <v>#REF!</v>
      </c>
      <c r="K46" s="7" t="e">
        <f t="shared" si="9"/>
        <v>#REF!</v>
      </c>
      <c r="L46" s="7" t="e">
        <f t="shared" si="9"/>
        <v>#REF!</v>
      </c>
      <c r="M46" s="7" t="e">
        <f t="shared" si="9"/>
        <v>#REF!</v>
      </c>
      <c r="N46" s="7" t="e">
        <f t="shared" si="9"/>
        <v>#REF!</v>
      </c>
      <c r="O46" s="7" t="e">
        <f t="shared" si="9"/>
        <v>#REF!</v>
      </c>
      <c r="P46" s="8" t="e">
        <f t="shared" ref="P46:P49" si="10">O46</f>
        <v>#REF!</v>
      </c>
    </row>
    <row r="47" spans="1:16" x14ac:dyDescent="0.3">
      <c r="A47" s="2" t="s">
        <v>36</v>
      </c>
      <c r="B47" s="2" t="s">
        <v>28</v>
      </c>
      <c r="C47" s="9" t="s">
        <v>39</v>
      </c>
      <c r="D47" s="7" t="e">
        <f>O46+D15+D23-D19-D39-D43-D35</f>
        <v>#REF!</v>
      </c>
      <c r="E47" s="7" t="e">
        <f t="shared" ref="E47:O47" si="11">D47+E15+E23-E19-E39-E43-E35</f>
        <v>#REF!</v>
      </c>
      <c r="F47" s="7" t="e">
        <f t="shared" si="11"/>
        <v>#REF!</v>
      </c>
      <c r="G47" s="7" t="e">
        <f t="shared" si="11"/>
        <v>#REF!</v>
      </c>
      <c r="H47" s="7" t="e">
        <f t="shared" si="11"/>
        <v>#REF!</v>
      </c>
      <c r="I47" s="7" t="e">
        <f t="shared" si="11"/>
        <v>#REF!</v>
      </c>
      <c r="J47" s="7" t="e">
        <f t="shared" si="11"/>
        <v>#REF!</v>
      </c>
      <c r="K47" s="7" t="e">
        <f t="shared" si="11"/>
        <v>#REF!</v>
      </c>
      <c r="L47" s="7" t="e">
        <f t="shared" si="11"/>
        <v>#REF!</v>
      </c>
      <c r="M47" s="7" t="e">
        <f t="shared" si="11"/>
        <v>#REF!</v>
      </c>
      <c r="N47" s="7" t="e">
        <f t="shared" si="11"/>
        <v>#REF!</v>
      </c>
      <c r="O47" s="7" t="e">
        <f t="shared" si="11"/>
        <v>#REF!</v>
      </c>
      <c r="P47" s="8" t="e">
        <f t="shared" si="10"/>
        <v>#REF!</v>
      </c>
    </row>
    <row r="48" spans="1:16" x14ac:dyDescent="0.3">
      <c r="A48" s="2" t="s">
        <v>36</v>
      </c>
      <c r="B48" s="2" t="s">
        <v>28</v>
      </c>
      <c r="C48" s="9" t="s">
        <v>40</v>
      </c>
      <c r="D48" s="7" t="e">
        <f>O47+D16+D24-D20-D40-D44-D36</f>
        <v>#REF!</v>
      </c>
      <c r="E48" s="7" t="e">
        <f t="shared" ref="E48:O48" si="12">D48+E16+E24-E20-E40-E44-E36</f>
        <v>#REF!</v>
      </c>
      <c r="F48" s="7" t="e">
        <f t="shared" si="12"/>
        <v>#REF!</v>
      </c>
      <c r="G48" s="7" t="e">
        <f t="shared" si="12"/>
        <v>#REF!</v>
      </c>
      <c r="H48" s="7" t="e">
        <f t="shared" si="12"/>
        <v>#REF!</v>
      </c>
      <c r="I48" s="7" t="e">
        <f t="shared" si="12"/>
        <v>#REF!</v>
      </c>
      <c r="J48" s="7" t="e">
        <f t="shared" si="12"/>
        <v>#REF!</v>
      </c>
      <c r="K48" s="7" t="e">
        <f t="shared" si="12"/>
        <v>#REF!</v>
      </c>
      <c r="L48" s="7" t="e">
        <f t="shared" si="12"/>
        <v>#REF!</v>
      </c>
      <c r="M48" s="7" t="e">
        <f t="shared" si="12"/>
        <v>#REF!</v>
      </c>
      <c r="N48" s="7" t="e">
        <f t="shared" si="12"/>
        <v>#REF!</v>
      </c>
      <c r="O48" s="7" t="e">
        <f t="shared" si="12"/>
        <v>#REF!</v>
      </c>
      <c r="P48" s="8" t="e">
        <f t="shared" si="10"/>
        <v>#REF!</v>
      </c>
    </row>
    <row r="49" spans="1:16" x14ac:dyDescent="0.3">
      <c r="A49" s="2" t="s">
        <v>36</v>
      </c>
      <c r="B49" s="2" t="s">
        <v>28</v>
      </c>
      <c r="C49" s="9" t="s">
        <v>41</v>
      </c>
      <c r="D49" s="7" t="e">
        <f>O48+D17+D25-D21-D41-D45-D37</f>
        <v>#REF!</v>
      </c>
      <c r="E49" s="7" t="e">
        <f t="shared" ref="E49:O49" si="13">D49+E17+E25-E21-E41-E45-E37</f>
        <v>#REF!</v>
      </c>
      <c r="F49" s="7" t="e">
        <f t="shared" si="13"/>
        <v>#REF!</v>
      </c>
      <c r="G49" s="7" t="e">
        <f t="shared" si="13"/>
        <v>#REF!</v>
      </c>
      <c r="H49" s="7" t="e">
        <f t="shared" si="13"/>
        <v>#REF!</v>
      </c>
      <c r="I49" s="7" t="e">
        <f t="shared" si="13"/>
        <v>#REF!</v>
      </c>
      <c r="J49" s="7" t="e">
        <f t="shared" si="13"/>
        <v>#REF!</v>
      </c>
      <c r="K49" s="7" t="e">
        <f t="shared" si="13"/>
        <v>#REF!</v>
      </c>
      <c r="L49" s="7" t="e">
        <f t="shared" si="13"/>
        <v>#REF!</v>
      </c>
      <c r="M49" s="7" t="e">
        <f t="shared" si="13"/>
        <v>#REF!</v>
      </c>
      <c r="N49" s="7" t="e">
        <f t="shared" si="13"/>
        <v>#REF!</v>
      </c>
      <c r="O49" s="7" t="e">
        <f t="shared" si="13"/>
        <v>#REF!</v>
      </c>
      <c r="P49" s="8" t="e">
        <f t="shared" si="10"/>
        <v>#REF!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43B1-2767-45E5-8DFD-78DF1F0B93E8}">
  <dimension ref="A1:P49"/>
  <sheetViews>
    <sheetView workbookViewId="0">
      <pane xSplit="3" ySplit="1" topLeftCell="D2" activePane="bottomRight" state="frozen"/>
      <selection activeCell="S35" sqref="S35"/>
      <selection pane="topRight" activeCell="S35" sqref="S35"/>
      <selection pane="bottomLeft" activeCell="S35" sqref="S35"/>
      <selection pane="bottomRight" activeCell="S35" sqref="S35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37</v>
      </c>
      <c r="B2" s="2" t="s">
        <v>17</v>
      </c>
      <c r="C2" s="9" t="s">
        <v>38</v>
      </c>
      <c r="D2" s="3">
        <v>4.2006860000000001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9" si="0">D2</f>
        <v>4.2006860000000001</v>
      </c>
    </row>
    <row r="3" spans="1:16" x14ac:dyDescent="0.3">
      <c r="A3" s="2" t="s">
        <v>37</v>
      </c>
      <c r="B3" s="2" t="s">
        <v>17</v>
      </c>
      <c r="C3" s="9" t="s">
        <v>39</v>
      </c>
      <c r="D3" s="3">
        <v>4.3212999999999999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4.3212999999999999</v>
      </c>
    </row>
    <row r="4" spans="1:16" x14ac:dyDescent="0.3">
      <c r="A4" s="2" t="s">
        <v>37</v>
      </c>
      <c r="B4" s="2" t="s">
        <v>17</v>
      </c>
      <c r="C4" s="9" t="s">
        <v>40</v>
      </c>
      <c r="D4" s="3">
        <v>3.6684999999999999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3.6684999999999999</v>
      </c>
    </row>
    <row r="5" spans="1:16" x14ac:dyDescent="0.3">
      <c r="A5" s="2" t="s">
        <v>37</v>
      </c>
      <c r="B5" s="2" t="s">
        <v>17</v>
      </c>
      <c r="C5" s="9" t="s">
        <v>41</v>
      </c>
      <c r="D5" s="3">
        <v>4.2100999999999997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4.2100999999999997</v>
      </c>
    </row>
    <row r="6" spans="1:16" x14ac:dyDescent="0.3">
      <c r="A6" s="2" t="s">
        <v>37</v>
      </c>
      <c r="B6" s="2" t="s">
        <v>18</v>
      </c>
      <c r="C6" s="9" t="s">
        <v>38</v>
      </c>
      <c r="D6" s="3">
        <v>4.13828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4.13828</v>
      </c>
    </row>
    <row r="7" spans="1:16" x14ac:dyDescent="0.3">
      <c r="A7" s="2" t="s">
        <v>37</v>
      </c>
      <c r="B7" s="2" t="s">
        <v>18</v>
      </c>
      <c r="C7" s="9" t="s">
        <v>39</v>
      </c>
      <c r="D7" s="3">
        <v>4.2378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4.2378</v>
      </c>
    </row>
    <row r="8" spans="1:16" x14ac:dyDescent="0.3">
      <c r="A8" s="2" t="s">
        <v>37</v>
      </c>
      <c r="B8" s="2" t="s">
        <v>18</v>
      </c>
      <c r="C8" s="9" t="s">
        <v>40</v>
      </c>
      <c r="D8" s="3">
        <v>3.6082000000000001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3.6082000000000001</v>
      </c>
    </row>
    <row r="9" spans="1:16" x14ac:dyDescent="0.3">
      <c r="A9" s="2" t="s">
        <v>37</v>
      </c>
      <c r="B9" s="2" t="s">
        <v>18</v>
      </c>
      <c r="C9" s="9" t="s">
        <v>41</v>
      </c>
      <c r="D9" s="3">
        <v>4.1826999999999996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4.1826999999999996</v>
      </c>
    </row>
    <row r="10" spans="1:16" x14ac:dyDescent="0.3">
      <c r="A10" s="2" t="s">
        <v>37</v>
      </c>
      <c r="B10" s="2" t="s">
        <v>19</v>
      </c>
      <c r="C10" s="9" t="s">
        <v>38</v>
      </c>
      <c r="D10" s="5">
        <v>14.149540466087361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>
        <f t="shared" ref="P10:P17" si="1">D10</f>
        <v>14.149540466087361</v>
      </c>
    </row>
    <row r="11" spans="1:16" x14ac:dyDescent="0.3">
      <c r="A11" s="2" t="s">
        <v>37</v>
      </c>
      <c r="B11" s="2" t="s">
        <v>19</v>
      </c>
      <c r="C11" s="9" t="s">
        <v>39</v>
      </c>
      <c r="D11" s="5">
        <v>20.207387611496529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>
        <f t="shared" si="1"/>
        <v>20.207387611496529</v>
      </c>
    </row>
    <row r="12" spans="1:16" x14ac:dyDescent="0.3">
      <c r="A12" s="2" t="s">
        <v>37</v>
      </c>
      <c r="B12" s="2" t="s">
        <v>19</v>
      </c>
      <c r="C12" s="9" t="s">
        <v>40</v>
      </c>
      <c r="D12" s="5">
        <v>18.341299836483561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>
        <f t="shared" si="1"/>
        <v>18.341299836483561</v>
      </c>
    </row>
    <row r="13" spans="1:16" x14ac:dyDescent="0.3">
      <c r="A13" s="2" t="s">
        <v>37</v>
      </c>
      <c r="B13" s="2" t="s">
        <v>19</v>
      </c>
      <c r="C13" s="9" t="s">
        <v>41</v>
      </c>
      <c r="D13" s="5">
        <v>21.358203507303891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>
        <f t="shared" si="1"/>
        <v>21.358203507303891</v>
      </c>
    </row>
    <row r="14" spans="1:16" x14ac:dyDescent="0.3">
      <c r="A14" s="2" t="s">
        <v>37</v>
      </c>
      <c r="B14" s="2" t="s">
        <v>20</v>
      </c>
      <c r="C14" s="9" t="s">
        <v>38</v>
      </c>
      <c r="D14" s="7">
        <v>1593.6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>
        <f t="shared" si="1"/>
        <v>1593.6</v>
      </c>
    </row>
    <row r="15" spans="1:16" x14ac:dyDescent="0.3">
      <c r="A15" s="2" t="s">
        <v>37</v>
      </c>
      <c r="B15" s="2" t="s">
        <v>20</v>
      </c>
      <c r="C15" s="9" t="s">
        <v>39</v>
      </c>
      <c r="D15" s="7">
        <v>2330.6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>
        <f t="shared" si="1"/>
        <v>2330.6</v>
      </c>
    </row>
    <row r="16" spans="1:16" x14ac:dyDescent="0.3">
      <c r="A16" s="2" t="s">
        <v>37</v>
      </c>
      <c r="B16" s="2" t="s">
        <v>20</v>
      </c>
      <c r="C16" s="9" t="s">
        <v>40</v>
      </c>
      <c r="D16" s="7">
        <v>1801.1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>
        <f t="shared" si="1"/>
        <v>1801.1</v>
      </c>
    </row>
    <row r="17" spans="1:16" x14ac:dyDescent="0.3">
      <c r="A17" s="2" t="s">
        <v>37</v>
      </c>
      <c r="B17" s="2" t="s">
        <v>20</v>
      </c>
      <c r="C17" s="9" t="s">
        <v>41</v>
      </c>
      <c r="D17" s="7">
        <v>2431.3000000000002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>
        <f t="shared" si="1"/>
        <v>2431.3000000000002</v>
      </c>
    </row>
    <row r="18" spans="1:16" x14ac:dyDescent="0.3">
      <c r="A18" s="2" t="s">
        <v>37</v>
      </c>
      <c r="B18" s="2" t="s">
        <v>21</v>
      </c>
      <c r="C18" s="9" t="s">
        <v>38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>
        <f t="shared" ref="P18:P25" si="2">SUM(D18:O18)</f>
        <v>0</v>
      </c>
    </row>
    <row r="19" spans="1:16" x14ac:dyDescent="0.3">
      <c r="A19" s="2" t="s">
        <v>37</v>
      </c>
      <c r="B19" s="2" t="s">
        <v>21</v>
      </c>
      <c r="C19" s="9" t="s">
        <v>39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>
        <f t="shared" si="2"/>
        <v>0</v>
      </c>
    </row>
    <row r="20" spans="1:16" x14ac:dyDescent="0.3">
      <c r="A20" s="2" t="s">
        <v>37</v>
      </c>
      <c r="B20" s="2" t="s">
        <v>21</v>
      </c>
      <c r="C20" s="9" t="s">
        <v>40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8">
        <f t="shared" si="2"/>
        <v>0</v>
      </c>
    </row>
    <row r="21" spans="1:16" x14ac:dyDescent="0.3">
      <c r="A21" s="2" t="s">
        <v>37</v>
      </c>
      <c r="B21" s="2" t="s">
        <v>21</v>
      </c>
      <c r="C21" s="9" t="s">
        <v>41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>
        <f t="shared" si="2"/>
        <v>0</v>
      </c>
    </row>
    <row r="22" spans="1:16" x14ac:dyDescent="0.3">
      <c r="A22" s="2" t="s">
        <v>37</v>
      </c>
      <c r="B22" s="2" t="s">
        <v>22</v>
      </c>
      <c r="C22" s="9" t="s">
        <v>38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8">
        <f t="shared" si="2"/>
        <v>0</v>
      </c>
    </row>
    <row r="23" spans="1:16" x14ac:dyDescent="0.3">
      <c r="A23" s="2" t="s">
        <v>37</v>
      </c>
      <c r="B23" s="2" t="s">
        <v>22</v>
      </c>
      <c r="C23" s="9" t="s">
        <v>39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8">
        <f t="shared" si="2"/>
        <v>0</v>
      </c>
    </row>
    <row r="24" spans="1:16" x14ac:dyDescent="0.3">
      <c r="A24" s="2" t="s">
        <v>37</v>
      </c>
      <c r="B24" s="2" t="s">
        <v>22</v>
      </c>
      <c r="C24" s="9" t="s">
        <v>40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>
        <f t="shared" si="2"/>
        <v>0</v>
      </c>
    </row>
    <row r="25" spans="1:16" x14ac:dyDescent="0.3">
      <c r="A25" s="2" t="s">
        <v>37</v>
      </c>
      <c r="B25" s="2" t="s">
        <v>22</v>
      </c>
      <c r="C25" s="9" t="s">
        <v>41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>
        <f t="shared" si="2"/>
        <v>0</v>
      </c>
    </row>
    <row r="26" spans="1:16" x14ac:dyDescent="0.3">
      <c r="A26" s="2" t="s">
        <v>37</v>
      </c>
      <c r="B26" s="2" t="s">
        <v>23</v>
      </c>
      <c r="C26" s="9" t="s">
        <v>38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8">
        <f t="shared" ref="P26:P37" si="3">SUM(D26:O26)</f>
        <v>0</v>
      </c>
    </row>
    <row r="27" spans="1:16" x14ac:dyDescent="0.3">
      <c r="A27" s="2" t="s">
        <v>37</v>
      </c>
      <c r="B27" s="2" t="s">
        <v>23</v>
      </c>
      <c r="C27" s="9" t="s">
        <v>39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8">
        <f t="shared" si="3"/>
        <v>0</v>
      </c>
    </row>
    <row r="28" spans="1:16" x14ac:dyDescent="0.3">
      <c r="A28" s="2" t="s">
        <v>37</v>
      </c>
      <c r="B28" s="2" t="s">
        <v>23</v>
      </c>
      <c r="C28" s="9" t="s">
        <v>40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8">
        <f t="shared" si="3"/>
        <v>0</v>
      </c>
    </row>
    <row r="29" spans="1:16" x14ac:dyDescent="0.3">
      <c r="A29" s="2" t="s">
        <v>37</v>
      </c>
      <c r="B29" s="2" t="s">
        <v>23</v>
      </c>
      <c r="C29" s="9" t="s">
        <v>41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8">
        <f t="shared" si="3"/>
        <v>0</v>
      </c>
    </row>
    <row r="30" spans="1:16" x14ac:dyDescent="0.3">
      <c r="A30" s="2" t="s">
        <v>37</v>
      </c>
      <c r="B30" s="2" t="s">
        <v>24</v>
      </c>
      <c r="C30" s="9" t="s">
        <v>38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8">
        <f t="shared" si="3"/>
        <v>0</v>
      </c>
    </row>
    <row r="31" spans="1:16" x14ac:dyDescent="0.3">
      <c r="A31" s="2" t="s">
        <v>37</v>
      </c>
      <c r="B31" s="2" t="s">
        <v>24</v>
      </c>
      <c r="C31" s="9" t="s">
        <v>39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8">
        <f t="shared" si="3"/>
        <v>0</v>
      </c>
    </row>
    <row r="32" spans="1:16" x14ac:dyDescent="0.3">
      <c r="A32" s="2" t="s">
        <v>37</v>
      </c>
      <c r="B32" s="2" t="s">
        <v>24</v>
      </c>
      <c r="C32" s="9" t="s">
        <v>40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8">
        <f t="shared" si="3"/>
        <v>0</v>
      </c>
    </row>
    <row r="33" spans="1:16" x14ac:dyDescent="0.3">
      <c r="A33" s="2" t="s">
        <v>37</v>
      </c>
      <c r="B33" s="2" t="s">
        <v>24</v>
      </c>
      <c r="C33" s="9" t="s">
        <v>41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8">
        <f t="shared" si="3"/>
        <v>0</v>
      </c>
    </row>
    <row r="34" spans="1:16" x14ac:dyDescent="0.3">
      <c r="A34" s="2" t="s">
        <v>37</v>
      </c>
      <c r="B34" s="2" t="s">
        <v>25</v>
      </c>
      <c r="C34" s="9" t="s">
        <v>38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8">
        <f t="shared" si="3"/>
        <v>0</v>
      </c>
    </row>
    <row r="35" spans="1:16" x14ac:dyDescent="0.3">
      <c r="A35" s="2" t="s">
        <v>37</v>
      </c>
      <c r="B35" s="2" t="s">
        <v>25</v>
      </c>
      <c r="C35" s="9" t="s">
        <v>39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8">
        <f t="shared" si="3"/>
        <v>0</v>
      </c>
    </row>
    <row r="36" spans="1:16" x14ac:dyDescent="0.3">
      <c r="A36" s="2" t="s">
        <v>37</v>
      </c>
      <c r="B36" s="2" t="s">
        <v>25</v>
      </c>
      <c r="C36" s="9" t="s">
        <v>40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8">
        <f t="shared" si="3"/>
        <v>0</v>
      </c>
    </row>
    <row r="37" spans="1:16" x14ac:dyDescent="0.3">
      <c r="A37" s="2" t="s">
        <v>37</v>
      </c>
      <c r="B37" s="2" t="s">
        <v>25</v>
      </c>
      <c r="C37" s="9" t="s">
        <v>41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8">
        <f t="shared" si="3"/>
        <v>0</v>
      </c>
    </row>
    <row r="38" spans="1:16" x14ac:dyDescent="0.3">
      <c r="A38" s="2" t="s">
        <v>37</v>
      </c>
      <c r="B38" s="2" t="s">
        <v>26</v>
      </c>
      <c r="C38" s="9" t="s">
        <v>38</v>
      </c>
      <c r="D38" s="7">
        <f t="shared" ref="D38:O38" si="4">D26+D30</f>
        <v>0</v>
      </c>
      <c r="E38" s="7">
        <f t="shared" si="4"/>
        <v>0</v>
      </c>
      <c r="F38" s="7">
        <f t="shared" si="4"/>
        <v>0</v>
      </c>
      <c r="G38" s="7">
        <f t="shared" si="4"/>
        <v>0</v>
      </c>
      <c r="H38" s="7">
        <f t="shared" si="4"/>
        <v>0</v>
      </c>
      <c r="I38" s="7">
        <f t="shared" si="4"/>
        <v>0</v>
      </c>
      <c r="J38" s="7">
        <f t="shared" si="4"/>
        <v>0</v>
      </c>
      <c r="K38" s="7">
        <f t="shared" si="4"/>
        <v>0</v>
      </c>
      <c r="L38" s="7">
        <f t="shared" si="4"/>
        <v>0</v>
      </c>
      <c r="M38" s="7">
        <f t="shared" si="4"/>
        <v>0</v>
      </c>
      <c r="N38" s="7">
        <f t="shared" si="4"/>
        <v>0</v>
      </c>
      <c r="O38" s="7">
        <f t="shared" si="4"/>
        <v>0</v>
      </c>
      <c r="P38" s="8">
        <f t="shared" ref="P38:P45" si="5">SUM(D38:O38)</f>
        <v>0</v>
      </c>
    </row>
    <row r="39" spans="1:16" x14ac:dyDescent="0.3">
      <c r="A39" s="2" t="s">
        <v>37</v>
      </c>
      <c r="B39" s="2" t="s">
        <v>26</v>
      </c>
      <c r="C39" s="9" t="s">
        <v>39</v>
      </c>
      <c r="D39" s="7">
        <f t="shared" ref="D39:O39" si="6">D27+D31</f>
        <v>0</v>
      </c>
      <c r="E39" s="7">
        <f t="shared" si="6"/>
        <v>0</v>
      </c>
      <c r="F39" s="7">
        <f t="shared" si="6"/>
        <v>0</v>
      </c>
      <c r="G39" s="7">
        <f t="shared" si="6"/>
        <v>0</v>
      </c>
      <c r="H39" s="7">
        <f t="shared" si="6"/>
        <v>0</v>
      </c>
      <c r="I39" s="7">
        <f t="shared" si="6"/>
        <v>0</v>
      </c>
      <c r="J39" s="7">
        <f t="shared" si="6"/>
        <v>0</v>
      </c>
      <c r="K39" s="7">
        <f t="shared" si="6"/>
        <v>0</v>
      </c>
      <c r="L39" s="7">
        <f t="shared" si="6"/>
        <v>0</v>
      </c>
      <c r="M39" s="7">
        <f t="shared" si="6"/>
        <v>0</v>
      </c>
      <c r="N39" s="7">
        <f t="shared" si="6"/>
        <v>0</v>
      </c>
      <c r="O39" s="7">
        <f t="shared" si="6"/>
        <v>0</v>
      </c>
      <c r="P39" s="8">
        <f t="shared" si="5"/>
        <v>0</v>
      </c>
    </row>
    <row r="40" spans="1:16" x14ac:dyDescent="0.3">
      <c r="A40" s="2" t="s">
        <v>37</v>
      </c>
      <c r="B40" s="2" t="s">
        <v>26</v>
      </c>
      <c r="C40" s="9" t="s">
        <v>40</v>
      </c>
      <c r="D40" s="7">
        <f t="shared" ref="D40:O40" si="7">D28+D32</f>
        <v>0</v>
      </c>
      <c r="E40" s="7">
        <f t="shared" si="7"/>
        <v>0</v>
      </c>
      <c r="F40" s="7">
        <f t="shared" si="7"/>
        <v>0</v>
      </c>
      <c r="G40" s="7">
        <f t="shared" si="7"/>
        <v>0</v>
      </c>
      <c r="H40" s="7">
        <f t="shared" si="7"/>
        <v>0</v>
      </c>
      <c r="I40" s="7">
        <f t="shared" si="7"/>
        <v>0</v>
      </c>
      <c r="J40" s="7">
        <f t="shared" si="7"/>
        <v>0</v>
      </c>
      <c r="K40" s="7">
        <f t="shared" si="7"/>
        <v>0</v>
      </c>
      <c r="L40" s="7">
        <f t="shared" si="7"/>
        <v>0</v>
      </c>
      <c r="M40" s="7">
        <f t="shared" si="7"/>
        <v>0</v>
      </c>
      <c r="N40" s="7">
        <f t="shared" si="7"/>
        <v>0</v>
      </c>
      <c r="O40" s="7">
        <f t="shared" si="7"/>
        <v>0</v>
      </c>
      <c r="P40" s="8">
        <f t="shared" si="5"/>
        <v>0</v>
      </c>
    </row>
    <row r="41" spans="1:16" x14ac:dyDescent="0.3">
      <c r="A41" s="2" t="s">
        <v>37</v>
      </c>
      <c r="B41" s="2" t="s">
        <v>26</v>
      </c>
      <c r="C41" s="9" t="s">
        <v>41</v>
      </c>
      <c r="D41" s="7">
        <f t="shared" ref="D41:O41" si="8">D29+D33</f>
        <v>0</v>
      </c>
      <c r="E41" s="7">
        <f t="shared" si="8"/>
        <v>0</v>
      </c>
      <c r="F41" s="7">
        <f t="shared" si="8"/>
        <v>0</v>
      </c>
      <c r="G41" s="7">
        <f t="shared" si="8"/>
        <v>0</v>
      </c>
      <c r="H41" s="7">
        <f t="shared" si="8"/>
        <v>0</v>
      </c>
      <c r="I41" s="7">
        <f t="shared" si="8"/>
        <v>0</v>
      </c>
      <c r="J41" s="7">
        <f t="shared" si="8"/>
        <v>0</v>
      </c>
      <c r="K41" s="7">
        <f t="shared" si="8"/>
        <v>0</v>
      </c>
      <c r="L41" s="7">
        <f t="shared" si="8"/>
        <v>0</v>
      </c>
      <c r="M41" s="7">
        <f t="shared" si="8"/>
        <v>0</v>
      </c>
      <c r="N41" s="7">
        <f t="shared" si="8"/>
        <v>0</v>
      </c>
      <c r="O41" s="7">
        <f t="shared" si="8"/>
        <v>0</v>
      </c>
      <c r="P41" s="8">
        <f t="shared" si="5"/>
        <v>0</v>
      </c>
    </row>
    <row r="42" spans="1:16" x14ac:dyDescent="0.3">
      <c r="A42" s="2" t="s">
        <v>37</v>
      </c>
      <c r="B42" s="2" t="s">
        <v>27</v>
      </c>
      <c r="C42" s="9" t="s">
        <v>38</v>
      </c>
      <c r="D42" s="7">
        <v>150.55000000000001</v>
      </c>
      <c r="E42" s="7">
        <v>150.55000000000001</v>
      </c>
      <c r="F42" s="7">
        <v>150.55000000000001</v>
      </c>
      <c r="G42" s="7">
        <v>150.55000000000001</v>
      </c>
      <c r="H42" s="7">
        <v>150.55000000000001</v>
      </c>
      <c r="I42" s="7">
        <v>150.55000000000001</v>
      </c>
      <c r="J42" s="7">
        <v>150.55000000000001</v>
      </c>
      <c r="K42" s="7">
        <v>150.55000000000001</v>
      </c>
      <c r="L42" s="7">
        <v>150.55000000000001</v>
      </c>
      <c r="M42" s="7">
        <v>150.55000000000001</v>
      </c>
      <c r="N42" s="7">
        <v>150.55000000000001</v>
      </c>
      <c r="O42" s="7">
        <v>150.55000000000001</v>
      </c>
      <c r="P42" s="8">
        <f t="shared" si="5"/>
        <v>1806.5999999999997</v>
      </c>
    </row>
    <row r="43" spans="1:16" x14ac:dyDescent="0.3">
      <c r="A43" s="2" t="s">
        <v>37</v>
      </c>
      <c r="B43" s="2" t="s">
        <v>27</v>
      </c>
      <c r="C43" s="9" t="s">
        <v>39</v>
      </c>
      <c r="D43" s="7">
        <v>195.3666666666667</v>
      </c>
      <c r="E43" s="7">
        <v>195.3666666666667</v>
      </c>
      <c r="F43" s="7">
        <v>195.3666666666667</v>
      </c>
      <c r="G43" s="7">
        <v>195.3666666666667</v>
      </c>
      <c r="H43" s="7">
        <v>195.3666666666667</v>
      </c>
      <c r="I43" s="7">
        <v>195.3666666666667</v>
      </c>
      <c r="J43" s="7">
        <v>195.3666666666667</v>
      </c>
      <c r="K43" s="7">
        <v>195.3666666666667</v>
      </c>
      <c r="L43" s="7">
        <v>195.3666666666667</v>
      </c>
      <c r="M43" s="7">
        <v>195.3666666666667</v>
      </c>
      <c r="N43" s="7">
        <v>195.3666666666667</v>
      </c>
      <c r="O43" s="7">
        <v>195.3666666666667</v>
      </c>
      <c r="P43" s="8">
        <f t="shared" si="5"/>
        <v>2344.400000000001</v>
      </c>
    </row>
    <row r="44" spans="1:16" x14ac:dyDescent="0.3">
      <c r="A44" s="2" t="s">
        <v>37</v>
      </c>
      <c r="B44" s="2" t="s">
        <v>27</v>
      </c>
      <c r="C44" s="9" t="s">
        <v>40</v>
      </c>
      <c r="D44" s="7">
        <v>153.94166666666669</v>
      </c>
      <c r="E44" s="7">
        <v>153.94166666666669</v>
      </c>
      <c r="F44" s="7">
        <v>153.94166666666669</v>
      </c>
      <c r="G44" s="7">
        <v>153.94166666666669</v>
      </c>
      <c r="H44" s="7">
        <v>153.94166666666669</v>
      </c>
      <c r="I44" s="7">
        <v>153.94166666666669</v>
      </c>
      <c r="J44" s="7">
        <v>153.94166666666669</v>
      </c>
      <c r="K44" s="7">
        <v>153.94166666666669</v>
      </c>
      <c r="L44" s="7">
        <v>153.94166666666669</v>
      </c>
      <c r="M44" s="7">
        <v>153.94166666666669</v>
      </c>
      <c r="N44" s="7">
        <v>153.94166666666669</v>
      </c>
      <c r="O44" s="7">
        <v>153.94166666666669</v>
      </c>
      <c r="P44" s="8">
        <f t="shared" si="5"/>
        <v>1847.3</v>
      </c>
    </row>
    <row r="45" spans="1:16" x14ac:dyDescent="0.3">
      <c r="A45" s="2" t="s">
        <v>37</v>
      </c>
      <c r="B45" s="2" t="s">
        <v>27</v>
      </c>
      <c r="C45" s="9" t="s">
        <v>41</v>
      </c>
      <c r="D45" s="7">
        <v>169.5916666666667</v>
      </c>
      <c r="E45" s="7">
        <v>169.5916666666667</v>
      </c>
      <c r="F45" s="7">
        <v>169.5916666666667</v>
      </c>
      <c r="G45" s="7">
        <v>169.5916666666667</v>
      </c>
      <c r="H45" s="7">
        <v>169.5916666666667</v>
      </c>
      <c r="I45" s="7">
        <v>169.5916666666667</v>
      </c>
      <c r="J45" s="7">
        <v>169.5916666666667</v>
      </c>
      <c r="K45" s="7">
        <v>169.5916666666667</v>
      </c>
      <c r="L45" s="7">
        <v>169.5916666666667</v>
      </c>
      <c r="M45" s="7">
        <v>169.5916666666667</v>
      </c>
      <c r="N45" s="7">
        <v>169.5916666666667</v>
      </c>
      <c r="O45" s="7">
        <v>169.5916666666667</v>
      </c>
      <c r="P45" s="8">
        <f t="shared" si="5"/>
        <v>2035.1000000000004</v>
      </c>
    </row>
    <row r="46" spans="1:16" x14ac:dyDescent="0.3">
      <c r="A46" s="2" t="s">
        <v>37</v>
      </c>
      <c r="B46" s="2" t="s">
        <v>28</v>
      </c>
      <c r="C46" s="9" t="s">
        <v>38</v>
      </c>
      <c r="D46" s="7" t="e">
        <f>#REF!+D14+D22-D18-D38-D42-D34</f>
        <v>#REF!</v>
      </c>
      <c r="E46" s="7" t="e">
        <f t="shared" ref="E46:O46" si="9">D46+E14+E22-E18-E38-E42-E34</f>
        <v>#REF!</v>
      </c>
      <c r="F46" s="7" t="e">
        <f t="shared" si="9"/>
        <v>#REF!</v>
      </c>
      <c r="G46" s="7" t="e">
        <f t="shared" si="9"/>
        <v>#REF!</v>
      </c>
      <c r="H46" s="7" t="e">
        <f t="shared" si="9"/>
        <v>#REF!</v>
      </c>
      <c r="I46" s="7" t="e">
        <f t="shared" si="9"/>
        <v>#REF!</v>
      </c>
      <c r="J46" s="7" t="e">
        <f t="shared" si="9"/>
        <v>#REF!</v>
      </c>
      <c r="K46" s="7" t="e">
        <f t="shared" si="9"/>
        <v>#REF!</v>
      </c>
      <c r="L46" s="7" t="e">
        <f t="shared" si="9"/>
        <v>#REF!</v>
      </c>
      <c r="M46" s="7" t="e">
        <f t="shared" si="9"/>
        <v>#REF!</v>
      </c>
      <c r="N46" s="7" t="e">
        <f t="shared" si="9"/>
        <v>#REF!</v>
      </c>
      <c r="O46" s="7" t="e">
        <f t="shared" si="9"/>
        <v>#REF!</v>
      </c>
      <c r="P46" s="8" t="e">
        <f t="shared" ref="P46:P49" si="10">O46</f>
        <v>#REF!</v>
      </c>
    </row>
    <row r="47" spans="1:16" x14ac:dyDescent="0.3">
      <c r="A47" s="2" t="s">
        <v>37</v>
      </c>
      <c r="B47" s="2" t="s">
        <v>28</v>
      </c>
      <c r="C47" s="9" t="s">
        <v>39</v>
      </c>
      <c r="D47" s="7" t="e">
        <f>O46+D15+D23-D19-D39-D43-D35</f>
        <v>#REF!</v>
      </c>
      <c r="E47" s="7" t="e">
        <f t="shared" ref="E47:O47" si="11">D47+E15+E23-E19-E39-E43-E35</f>
        <v>#REF!</v>
      </c>
      <c r="F47" s="7" t="e">
        <f t="shared" si="11"/>
        <v>#REF!</v>
      </c>
      <c r="G47" s="7" t="e">
        <f t="shared" si="11"/>
        <v>#REF!</v>
      </c>
      <c r="H47" s="7" t="e">
        <f t="shared" si="11"/>
        <v>#REF!</v>
      </c>
      <c r="I47" s="7" t="e">
        <f t="shared" si="11"/>
        <v>#REF!</v>
      </c>
      <c r="J47" s="7" t="e">
        <f t="shared" si="11"/>
        <v>#REF!</v>
      </c>
      <c r="K47" s="7" t="e">
        <f t="shared" si="11"/>
        <v>#REF!</v>
      </c>
      <c r="L47" s="7" t="e">
        <f t="shared" si="11"/>
        <v>#REF!</v>
      </c>
      <c r="M47" s="7" t="e">
        <f t="shared" si="11"/>
        <v>#REF!</v>
      </c>
      <c r="N47" s="7" t="e">
        <f t="shared" si="11"/>
        <v>#REF!</v>
      </c>
      <c r="O47" s="7" t="e">
        <f t="shared" si="11"/>
        <v>#REF!</v>
      </c>
      <c r="P47" s="8" t="e">
        <f t="shared" si="10"/>
        <v>#REF!</v>
      </c>
    </row>
    <row r="48" spans="1:16" x14ac:dyDescent="0.3">
      <c r="A48" s="2" t="s">
        <v>37</v>
      </c>
      <c r="B48" s="2" t="s">
        <v>28</v>
      </c>
      <c r="C48" s="9" t="s">
        <v>40</v>
      </c>
      <c r="D48" s="7" t="e">
        <f>O47+D16+D24-D20-D40-D44-D36</f>
        <v>#REF!</v>
      </c>
      <c r="E48" s="7" t="e">
        <f t="shared" ref="E48:O48" si="12">D48+E16+E24-E20-E40-E44-E36</f>
        <v>#REF!</v>
      </c>
      <c r="F48" s="7" t="e">
        <f t="shared" si="12"/>
        <v>#REF!</v>
      </c>
      <c r="G48" s="7" t="e">
        <f t="shared" si="12"/>
        <v>#REF!</v>
      </c>
      <c r="H48" s="7" t="e">
        <f t="shared" si="12"/>
        <v>#REF!</v>
      </c>
      <c r="I48" s="7" t="e">
        <f t="shared" si="12"/>
        <v>#REF!</v>
      </c>
      <c r="J48" s="7" t="e">
        <f t="shared" si="12"/>
        <v>#REF!</v>
      </c>
      <c r="K48" s="7" t="e">
        <f t="shared" si="12"/>
        <v>#REF!</v>
      </c>
      <c r="L48" s="7" t="e">
        <f t="shared" si="12"/>
        <v>#REF!</v>
      </c>
      <c r="M48" s="7" t="e">
        <f t="shared" si="12"/>
        <v>#REF!</v>
      </c>
      <c r="N48" s="7" t="e">
        <f t="shared" si="12"/>
        <v>#REF!</v>
      </c>
      <c r="O48" s="7" t="e">
        <f t="shared" si="12"/>
        <v>#REF!</v>
      </c>
      <c r="P48" s="8" t="e">
        <f t="shared" si="10"/>
        <v>#REF!</v>
      </c>
    </row>
    <row r="49" spans="1:16" x14ac:dyDescent="0.3">
      <c r="A49" s="2" t="s">
        <v>37</v>
      </c>
      <c r="B49" s="2" t="s">
        <v>28</v>
      </c>
      <c r="C49" s="9" t="s">
        <v>41</v>
      </c>
      <c r="D49" s="7" t="e">
        <f>O48+D17+D25-D21-D41-D45-D37</f>
        <v>#REF!</v>
      </c>
      <c r="E49" s="7" t="e">
        <f t="shared" ref="E49:O49" si="13">D49+E17+E25-E21-E41-E45-E37</f>
        <v>#REF!</v>
      </c>
      <c r="F49" s="7" t="e">
        <f t="shared" si="13"/>
        <v>#REF!</v>
      </c>
      <c r="G49" s="7" t="e">
        <f t="shared" si="13"/>
        <v>#REF!</v>
      </c>
      <c r="H49" s="7" t="e">
        <f t="shared" si="13"/>
        <v>#REF!</v>
      </c>
      <c r="I49" s="7" t="e">
        <f t="shared" si="13"/>
        <v>#REF!</v>
      </c>
      <c r="J49" s="7" t="e">
        <f t="shared" si="13"/>
        <v>#REF!</v>
      </c>
      <c r="K49" s="7" t="e">
        <f t="shared" si="13"/>
        <v>#REF!</v>
      </c>
      <c r="L49" s="7" t="e">
        <f t="shared" si="13"/>
        <v>#REF!</v>
      </c>
      <c r="M49" s="7" t="e">
        <f t="shared" si="13"/>
        <v>#REF!</v>
      </c>
      <c r="N49" s="7" t="e">
        <f t="shared" si="13"/>
        <v>#REF!</v>
      </c>
      <c r="O49" s="7" t="e">
        <f t="shared" si="13"/>
        <v>#REF!</v>
      </c>
      <c r="P49" s="8" t="e">
        <f t="shared" si="10"/>
        <v>#REF!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7AC5-0DD9-47F2-A6E7-9C95F6F343AF}">
  <dimension ref="B2:B5"/>
  <sheetViews>
    <sheetView workbookViewId="0">
      <selection activeCell="F12" sqref="F12"/>
    </sheetView>
  </sheetViews>
  <sheetFormatPr defaultRowHeight="14.4" x14ac:dyDescent="0.3"/>
  <sheetData>
    <row r="2" spans="2:2" x14ac:dyDescent="0.3">
      <c r="B2" s="17" t="s">
        <v>42</v>
      </c>
    </row>
    <row r="3" spans="2:2" x14ac:dyDescent="0.3">
      <c r="B3" s="14" t="s">
        <v>43</v>
      </c>
    </row>
    <row r="4" spans="2:2" x14ac:dyDescent="0.3">
      <c r="B4" s="16" t="s">
        <v>44</v>
      </c>
    </row>
    <row r="5" spans="2:2" x14ac:dyDescent="0.3">
      <c r="B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Wheat_Mo_F</vt:lpstr>
      <vt:lpstr>Durum_Mo_F</vt:lpstr>
      <vt:lpstr>Canola_Mo_F</vt:lpstr>
      <vt:lpstr>Barley_Mo_F</vt:lpstr>
      <vt:lpstr>Oats_Mo_F</vt:lpstr>
      <vt:lpstr>Soybeans_Mo_F</vt:lpstr>
      <vt:lpstr>Dry peas_Mo_F</vt:lpstr>
      <vt:lpstr>Lentils_Mo_F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Chilmeran</dc:creator>
  <cp:lastModifiedBy>Ahmed Chilmeran</cp:lastModifiedBy>
  <dcterms:created xsi:type="dcterms:W3CDTF">2026-09-25T15:49:49Z</dcterms:created>
  <dcterms:modified xsi:type="dcterms:W3CDTF">2026-09-25T19:13:37Z</dcterms:modified>
</cp:coreProperties>
</file>