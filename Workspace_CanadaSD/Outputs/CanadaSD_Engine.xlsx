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space_CanadaSD\Outputs\"/>
    </mc:Choice>
  </mc:AlternateContent>
  <xr:revisionPtr revIDLastSave="0" documentId="13_ncr:1_{5337F075-2F2D-4BD7-926D-F77CAE71B36E}" xr6:coauthVersionLast="47" xr6:coauthVersionMax="47" xr10:uidLastSave="{00000000-0000-0000-0000-000000000000}"/>
  <bookViews>
    <workbookView xWindow="-108" yWindow="-108" windowWidth="30936" windowHeight="16776" activeTab="18" xr2:uid="{00000000-000D-0000-FFFF-FFFF00000000}"/>
  </bookViews>
  <sheets>
    <sheet name="Wheat_Mo" sheetId="1" r:id="rId1"/>
    <sheet name="Wheat_Yr" sheetId="2" r:id="rId2"/>
    <sheet name="Durum_Mo" sheetId="3" r:id="rId3"/>
    <sheet name="Durum_Yr" sheetId="4" r:id="rId4"/>
    <sheet name="Canola_Mo" sheetId="5" r:id="rId5"/>
    <sheet name="Canola_Yr" sheetId="6" r:id="rId6"/>
    <sheet name="Barley_Mo" sheetId="7" r:id="rId7"/>
    <sheet name="Barley_Yr" sheetId="8" r:id="rId8"/>
    <sheet name="Oats_Mo" sheetId="9" r:id="rId9"/>
    <sheet name="Oats_Yr" sheetId="10" r:id="rId10"/>
    <sheet name="Soybeans_Mo" sheetId="11" r:id="rId11"/>
    <sheet name="Soybeans_Yr" sheetId="12" r:id="rId12"/>
    <sheet name="Dry peas_Mo" sheetId="13" r:id="rId13"/>
    <sheet name="Dry peas_Yr" sheetId="14" r:id="rId14"/>
    <sheet name="Lentils_Mo" sheetId="15" r:id="rId15"/>
    <sheet name="Lentils_Yr" sheetId="16" r:id="rId16"/>
    <sheet name="Can_Cereals_Yr" sheetId="17" r:id="rId17"/>
    <sheet name="Can_Oilseeds_Yr" sheetId="18" r:id="rId18"/>
    <sheet name="Can_Pulses_Yr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2" i="19" l="1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A26" i="19"/>
  <c r="A27" i="19" s="1"/>
  <c r="Z25" i="19" a="1"/>
  <c r="Z25" i="19" s="1"/>
  <c r="Y25" i="19"/>
  <c r="Y25" i="19" a="1"/>
  <c r="X25" i="19" a="1"/>
  <c r="X25" i="19" s="1"/>
  <c r="W25" i="19" a="1"/>
  <c r="W25" i="19" s="1"/>
  <c r="V25" i="19" a="1"/>
  <c r="V25" i="19" s="1"/>
  <c r="U25" i="19" a="1"/>
  <c r="U25" i="19" s="1"/>
  <c r="T25" i="19" a="1"/>
  <c r="T25" i="19" s="1"/>
  <c r="S25" i="19"/>
  <c r="S25" i="19" a="1"/>
  <c r="R25" i="19" a="1"/>
  <c r="R25" i="19" s="1"/>
  <c r="Q25" i="19" a="1"/>
  <c r="Q25" i="19" s="1"/>
  <c r="P25" i="19" a="1"/>
  <c r="P25" i="19" s="1"/>
  <c r="O25" i="19" a="1"/>
  <c r="O25" i="19" s="1"/>
  <c r="N25" i="19" a="1"/>
  <c r="N25" i="19" s="1"/>
  <c r="M25" i="19"/>
  <c r="M25" i="19" a="1"/>
  <c r="L25" i="19" a="1"/>
  <c r="L25" i="19" s="1"/>
  <c r="K25" i="19" a="1"/>
  <c r="K25" i="19" s="1"/>
  <c r="J25" i="19" a="1"/>
  <c r="J25" i="19" s="1"/>
  <c r="I25" i="19" a="1"/>
  <c r="I25" i="19" s="1"/>
  <c r="H25" i="19" a="1"/>
  <c r="H25" i="19" s="1"/>
  <c r="G25" i="19"/>
  <c r="G25" i="19" a="1"/>
  <c r="F25" i="19" a="1"/>
  <c r="F25" i="19" s="1"/>
  <c r="E25" i="19" a="1"/>
  <c r="E25" i="19" s="1"/>
  <c r="D25" i="19" a="1"/>
  <c r="D25" i="19" s="1"/>
  <c r="A25" i="19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Z26" i="18"/>
  <c r="Y26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A26" i="18"/>
  <c r="A27" i="18" s="1"/>
  <c r="Z25" i="18"/>
  <c r="Z25" i="18" a="1"/>
  <c r="Y25" i="18" a="1"/>
  <c r="Y25" i="18" s="1"/>
  <c r="X25" i="18" a="1"/>
  <c r="X25" i="18" s="1"/>
  <c r="W25" i="18" a="1"/>
  <c r="W25" i="18" s="1"/>
  <c r="V25" i="18" a="1"/>
  <c r="V25" i="18" s="1"/>
  <c r="U25" i="18" a="1"/>
  <c r="U25" i="18" s="1"/>
  <c r="T25" i="18"/>
  <c r="T25" i="18" a="1"/>
  <c r="S25" i="18" a="1"/>
  <c r="S25" i="18" s="1"/>
  <c r="R25" i="18" a="1"/>
  <c r="R25" i="18" s="1"/>
  <c r="Q25" i="18" a="1"/>
  <c r="Q25" i="18" s="1"/>
  <c r="P25" i="18" a="1"/>
  <c r="P25" i="18" s="1"/>
  <c r="O25" i="18" a="1"/>
  <c r="O25" i="18" s="1"/>
  <c r="N25" i="18"/>
  <c r="N25" i="18" a="1"/>
  <c r="M25" i="18" a="1"/>
  <c r="M25" i="18" s="1"/>
  <c r="L25" i="18" a="1"/>
  <c r="L25" i="18" s="1"/>
  <c r="K25" i="18" a="1"/>
  <c r="K25" i="18" s="1"/>
  <c r="J25" i="18" a="1"/>
  <c r="J25" i="18" s="1"/>
  <c r="I25" i="18" a="1"/>
  <c r="I25" i="18" s="1"/>
  <c r="H25" i="18"/>
  <c r="H25" i="18" a="1"/>
  <c r="G25" i="18" a="1"/>
  <c r="G25" i="18" s="1"/>
  <c r="F25" i="18" a="1"/>
  <c r="F25" i="18" s="1"/>
  <c r="E25" i="18" a="1"/>
  <c r="E25" i="18" s="1"/>
  <c r="D25" i="18" a="1"/>
  <c r="D25" i="18" s="1"/>
  <c r="A25" i="18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Z26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A26" i="17"/>
  <c r="A27" i="17" s="1"/>
  <c r="Z25" i="17" a="1"/>
  <c r="Z25" i="17" s="1"/>
  <c r="Y25" i="17"/>
  <c r="Y25" i="17" a="1"/>
  <c r="X25" i="17" a="1"/>
  <c r="X25" i="17" s="1"/>
  <c r="W25" i="17" a="1"/>
  <c r="W25" i="17" s="1"/>
  <c r="V25" i="17" a="1"/>
  <c r="V25" i="17" s="1"/>
  <c r="U25" i="17" a="1"/>
  <c r="U25" i="17" s="1"/>
  <c r="T25" i="17" a="1"/>
  <c r="T25" i="17" s="1"/>
  <c r="S25" i="17"/>
  <c r="S25" i="17" a="1"/>
  <c r="R25" i="17" a="1"/>
  <c r="R25" i="17" s="1"/>
  <c r="Q25" i="17" a="1"/>
  <c r="Q25" i="17" s="1"/>
  <c r="P25" i="17" a="1"/>
  <c r="P25" i="17" s="1"/>
  <c r="O25" i="17" a="1"/>
  <c r="O25" i="17" s="1"/>
  <c r="N25" i="17" a="1"/>
  <c r="N25" i="17" s="1"/>
  <c r="M25" i="17"/>
  <c r="M25" i="17" a="1"/>
  <c r="L25" i="17" a="1"/>
  <c r="L25" i="17" s="1"/>
  <c r="K25" i="17" a="1"/>
  <c r="K25" i="17" s="1"/>
  <c r="J25" i="17" a="1"/>
  <c r="J25" i="17" s="1"/>
  <c r="I25" i="17" a="1"/>
  <c r="I25" i="17" s="1"/>
  <c r="H25" i="17" a="1"/>
  <c r="H25" i="17" s="1"/>
  <c r="G25" i="17"/>
  <c r="G25" i="17" a="1"/>
  <c r="F25" i="17" a="1"/>
  <c r="F25" i="17" s="1"/>
  <c r="E25" i="17" a="1"/>
  <c r="E25" i="17" s="1"/>
  <c r="D25" i="17" a="1"/>
  <c r="D25" i="17" s="1"/>
  <c r="A25" i="17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Z25" i="16" a="1"/>
  <c r="Z25" i="16" s="1"/>
  <c r="Y25" i="16"/>
  <c r="Y25" i="16" a="1"/>
  <c r="X25" i="16" a="1"/>
  <c r="X25" i="16" s="1"/>
  <c r="W25" i="16" a="1"/>
  <c r="W25" i="16" s="1"/>
  <c r="V25" i="16" a="1"/>
  <c r="V25" i="16" s="1"/>
  <c r="U25" i="16" a="1"/>
  <c r="U25" i="16" s="1"/>
  <c r="T25" i="16" a="1"/>
  <c r="T25" i="16" s="1"/>
  <c r="S25" i="16"/>
  <c r="S25" i="16" a="1"/>
  <c r="R25" i="16" a="1"/>
  <c r="R25" i="16" s="1"/>
  <c r="Q25" i="16" a="1"/>
  <c r="Q25" i="16" s="1"/>
  <c r="P25" i="16" a="1"/>
  <c r="P25" i="16" s="1"/>
  <c r="O25" i="16" a="1"/>
  <c r="O25" i="16" s="1"/>
  <c r="N25" i="16" a="1"/>
  <c r="N25" i="16" s="1"/>
  <c r="M25" i="16"/>
  <c r="M25" i="16" a="1"/>
  <c r="L25" i="16" a="1"/>
  <c r="L25" i="16" s="1"/>
  <c r="K25" i="16" a="1"/>
  <c r="K25" i="16" s="1"/>
  <c r="J25" i="16" a="1"/>
  <c r="J25" i="16" s="1"/>
  <c r="I25" i="16" a="1"/>
  <c r="I25" i="16" s="1"/>
  <c r="H25" i="16" a="1"/>
  <c r="H25" i="16" s="1"/>
  <c r="G25" i="16"/>
  <c r="G25" i="16" a="1"/>
  <c r="F25" i="16" a="1"/>
  <c r="F25" i="16" s="1"/>
  <c r="E25" i="16" a="1"/>
  <c r="E25" i="16" s="1"/>
  <c r="D25" i="16" a="1"/>
  <c r="D25" i="16" s="1"/>
  <c r="A25" i="16"/>
  <c r="A26" i="16" s="1"/>
  <c r="A27" i="16" s="1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A26" i="14"/>
  <c r="A27" i="14" s="1"/>
  <c r="Z25" i="14" a="1"/>
  <c r="Z25" i="14" s="1"/>
  <c r="Y25" i="14"/>
  <c r="Y25" i="14" a="1"/>
  <c r="X25" i="14" a="1"/>
  <c r="X25" i="14" s="1"/>
  <c r="W25" i="14" a="1"/>
  <c r="W25" i="14" s="1"/>
  <c r="V25" i="14" a="1"/>
  <c r="V25" i="14" s="1"/>
  <c r="U25" i="14" a="1"/>
  <c r="U25" i="14" s="1"/>
  <c r="T25" i="14" a="1"/>
  <c r="T25" i="14" s="1"/>
  <c r="S25" i="14"/>
  <c r="S25" i="14" a="1"/>
  <c r="R25" i="14" a="1"/>
  <c r="R25" i="14" s="1"/>
  <c r="Q25" i="14" a="1"/>
  <c r="Q25" i="14" s="1"/>
  <c r="P25" i="14" a="1"/>
  <c r="P25" i="14" s="1"/>
  <c r="O25" i="14" a="1"/>
  <c r="O25" i="14" s="1"/>
  <c r="N25" i="14" a="1"/>
  <c r="N25" i="14" s="1"/>
  <c r="M25" i="14"/>
  <c r="M25" i="14" a="1"/>
  <c r="L25" i="14" a="1"/>
  <c r="L25" i="14" s="1"/>
  <c r="K25" i="14" a="1"/>
  <c r="K25" i="14" s="1"/>
  <c r="J25" i="14" a="1"/>
  <c r="J25" i="14" s="1"/>
  <c r="I25" i="14" a="1"/>
  <c r="I25" i="14" s="1"/>
  <c r="H25" i="14" a="1"/>
  <c r="H25" i="14" s="1"/>
  <c r="G25" i="14"/>
  <c r="G25" i="14" a="1"/>
  <c r="F25" i="14" a="1"/>
  <c r="F25" i="14" s="1"/>
  <c r="E25" i="14" a="1"/>
  <c r="E25" i="14" s="1"/>
  <c r="D25" i="14" a="1"/>
  <c r="D25" i="14" s="1"/>
  <c r="A25" i="14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A26" i="12"/>
  <c r="A27" i="12" s="1"/>
  <c r="Z25" i="12" a="1"/>
  <c r="Z25" i="12" s="1"/>
  <c r="Y25" i="12" a="1"/>
  <c r="Y25" i="12" s="1"/>
  <c r="X25" i="12" a="1"/>
  <c r="X25" i="12" s="1"/>
  <c r="W25" i="12" a="1"/>
  <c r="W25" i="12" s="1"/>
  <c r="V25" i="12" a="1"/>
  <c r="V25" i="12" s="1"/>
  <c r="U25" i="12" a="1"/>
  <c r="U25" i="12" s="1"/>
  <c r="T25" i="12" a="1"/>
  <c r="T25" i="12" s="1"/>
  <c r="S25" i="12" a="1"/>
  <c r="S25" i="12" s="1"/>
  <c r="R25" i="12" a="1"/>
  <c r="R25" i="12" s="1"/>
  <c r="Q25" i="12" a="1"/>
  <c r="Q25" i="12" s="1"/>
  <c r="P25" i="12" a="1"/>
  <c r="P25" i="12" s="1"/>
  <c r="O25" i="12" a="1"/>
  <c r="O25" i="12" s="1"/>
  <c r="N25" i="12" a="1"/>
  <c r="N25" i="12" s="1"/>
  <c r="M25" i="12" a="1"/>
  <c r="M25" i="12" s="1"/>
  <c r="L25" i="12" a="1"/>
  <c r="L25" i="12" s="1"/>
  <c r="K25" i="12" a="1"/>
  <c r="K25" i="12" s="1"/>
  <c r="J25" i="12" a="1"/>
  <c r="J25" i="12" s="1"/>
  <c r="I25" i="12" a="1"/>
  <c r="I25" i="12" s="1"/>
  <c r="H25" i="12" a="1"/>
  <c r="H25" i="12" s="1"/>
  <c r="G25" i="12" a="1"/>
  <c r="G25" i="12" s="1"/>
  <c r="F25" i="12" a="1"/>
  <c r="F25" i="12" s="1"/>
  <c r="E25" i="12" a="1"/>
  <c r="E25" i="12" s="1"/>
  <c r="D25" i="12" a="1"/>
  <c r="D25" i="12" s="1"/>
  <c r="A25" i="12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A26" i="10"/>
  <c r="A27" i="10" s="1"/>
  <c r="Z25" i="10"/>
  <c r="Z25" i="10" a="1"/>
  <c r="Y25" i="10"/>
  <c r="Y25" i="10" a="1"/>
  <c r="X25" i="10"/>
  <c r="X25" i="10" a="1"/>
  <c r="W25" i="10" a="1"/>
  <c r="W25" i="10" s="1"/>
  <c r="V25" i="10" a="1"/>
  <c r="V25" i="10" s="1"/>
  <c r="U25" i="10" a="1"/>
  <c r="U25" i="10" s="1"/>
  <c r="T25" i="10"/>
  <c r="T25" i="10" a="1"/>
  <c r="S25" i="10"/>
  <c r="S25" i="10" a="1"/>
  <c r="R25" i="10"/>
  <c r="R25" i="10" a="1"/>
  <c r="Q25" i="10" a="1"/>
  <c r="Q25" i="10" s="1"/>
  <c r="P25" i="10" a="1"/>
  <c r="P25" i="10" s="1"/>
  <c r="O25" i="10" a="1"/>
  <c r="O25" i="10" s="1"/>
  <c r="N25" i="10"/>
  <c r="N25" i="10" a="1"/>
  <c r="M25" i="10"/>
  <c r="M25" i="10" a="1"/>
  <c r="L25" i="10"/>
  <c r="L25" i="10" a="1"/>
  <c r="K25" i="10" a="1"/>
  <c r="K25" i="10" s="1"/>
  <c r="J25" i="10" a="1"/>
  <c r="J25" i="10" s="1"/>
  <c r="I25" i="10" a="1"/>
  <c r="I25" i="10" s="1"/>
  <c r="H25" i="10"/>
  <c r="H25" i="10" a="1"/>
  <c r="G25" i="10"/>
  <c r="G25" i="10" a="1"/>
  <c r="F25" i="10"/>
  <c r="F25" i="10" a="1"/>
  <c r="E25" i="10" a="1"/>
  <c r="E25" i="10" s="1"/>
  <c r="D25" i="10" a="1"/>
  <c r="D25" i="10" s="1"/>
  <c r="A25" i="10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A26" i="8"/>
  <c r="A27" i="8" s="1"/>
  <c r="Z25" i="8" a="1"/>
  <c r="Z25" i="8" s="1"/>
  <c r="Y25" i="8" a="1"/>
  <c r="Y25" i="8" s="1"/>
  <c r="X25" i="8" a="1"/>
  <c r="X25" i="8" s="1"/>
  <c r="W25" i="8" a="1"/>
  <c r="W25" i="8" s="1"/>
  <c r="V25" i="8" a="1"/>
  <c r="V25" i="8" s="1"/>
  <c r="U25" i="8" a="1"/>
  <c r="U25" i="8" s="1"/>
  <c r="T25" i="8" a="1"/>
  <c r="T25" i="8" s="1"/>
  <c r="S25" i="8" a="1"/>
  <c r="S25" i="8" s="1"/>
  <c r="R25" i="8" a="1"/>
  <c r="R25" i="8" s="1"/>
  <c r="Q25" i="8" a="1"/>
  <c r="Q25" i="8" s="1"/>
  <c r="P25" i="8" a="1"/>
  <c r="P25" i="8" s="1"/>
  <c r="O25" i="8" a="1"/>
  <c r="O25" i="8" s="1"/>
  <c r="N25" i="8" a="1"/>
  <c r="N25" i="8" s="1"/>
  <c r="M25" i="8" a="1"/>
  <c r="M25" i="8" s="1"/>
  <c r="L25" i="8" a="1"/>
  <c r="L25" i="8" s="1"/>
  <c r="K25" i="8" a="1"/>
  <c r="K25" i="8" s="1"/>
  <c r="J25" i="8" a="1"/>
  <c r="J25" i="8" s="1"/>
  <c r="I25" i="8" a="1"/>
  <c r="I25" i="8" s="1"/>
  <c r="H25" i="8" a="1"/>
  <c r="H25" i="8" s="1"/>
  <c r="G25" i="8" a="1"/>
  <c r="G25" i="8" s="1"/>
  <c r="F25" i="8" a="1"/>
  <c r="F25" i="8" s="1"/>
  <c r="E25" i="8" a="1"/>
  <c r="E25" i="8" s="1"/>
  <c r="D25" i="8" a="1"/>
  <c r="D25" i="8" s="1"/>
  <c r="A25" i="8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A26" i="6"/>
  <c r="A27" i="6" s="1"/>
  <c r="Z25" i="6" a="1"/>
  <c r="Z25" i="6" s="1"/>
  <c r="Y25" i="6" a="1"/>
  <c r="Y25" i="6" s="1"/>
  <c r="X25" i="6" a="1"/>
  <c r="X25" i="6" s="1"/>
  <c r="W25" i="6" a="1"/>
  <c r="W25" i="6" s="1"/>
  <c r="V25" i="6" a="1"/>
  <c r="V25" i="6" s="1"/>
  <c r="U25" i="6" a="1"/>
  <c r="U25" i="6" s="1"/>
  <c r="T25" i="6" a="1"/>
  <c r="T25" i="6" s="1"/>
  <c r="S25" i="6" a="1"/>
  <c r="S25" i="6" s="1"/>
  <c r="R25" i="6" a="1"/>
  <c r="R25" i="6" s="1"/>
  <c r="Q25" i="6" a="1"/>
  <c r="Q25" i="6" s="1"/>
  <c r="P25" i="6" a="1"/>
  <c r="P25" i="6" s="1"/>
  <c r="O25" i="6" a="1"/>
  <c r="O25" i="6" s="1"/>
  <c r="N25" i="6" a="1"/>
  <c r="N25" i="6" s="1"/>
  <c r="M25" i="6" a="1"/>
  <c r="M25" i="6" s="1"/>
  <c r="L25" i="6" a="1"/>
  <c r="L25" i="6" s="1"/>
  <c r="K25" i="6" a="1"/>
  <c r="K25" i="6" s="1"/>
  <c r="J25" i="6" a="1"/>
  <c r="J25" i="6" s="1"/>
  <c r="I25" i="6" a="1"/>
  <c r="I25" i="6" s="1"/>
  <c r="H25" i="6" a="1"/>
  <c r="H25" i="6" s="1"/>
  <c r="G25" i="6" a="1"/>
  <c r="G25" i="6" s="1"/>
  <c r="F25" i="6" a="1"/>
  <c r="F25" i="6" s="1"/>
  <c r="E25" i="6" a="1"/>
  <c r="E25" i="6" s="1"/>
  <c r="D25" i="6" a="1"/>
  <c r="D25" i="6" s="1"/>
  <c r="A25" i="6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A26" i="4"/>
  <c r="A27" i="4" s="1"/>
  <c r="Z25" i="4" a="1"/>
  <c r="Z25" i="4" s="1"/>
  <c r="Y25" i="4" a="1"/>
  <c r="Y25" i="4" s="1"/>
  <c r="X25" i="4" a="1"/>
  <c r="X25" i="4" s="1"/>
  <c r="W25" i="4" a="1"/>
  <c r="W25" i="4" s="1"/>
  <c r="V25" i="4" a="1"/>
  <c r="V25" i="4" s="1"/>
  <c r="U25" i="4" a="1"/>
  <c r="U25" i="4" s="1"/>
  <c r="T25" i="4" a="1"/>
  <c r="T25" i="4" s="1"/>
  <c r="S25" i="4" a="1"/>
  <c r="S25" i="4" s="1"/>
  <c r="R25" i="4" a="1"/>
  <c r="R25" i="4" s="1"/>
  <c r="Q25" i="4" a="1"/>
  <c r="Q25" i="4" s="1"/>
  <c r="P25" i="4" a="1"/>
  <c r="P25" i="4" s="1"/>
  <c r="O25" i="4" a="1"/>
  <c r="O25" i="4" s="1"/>
  <c r="N25" i="4" a="1"/>
  <c r="N25" i="4" s="1"/>
  <c r="M25" i="4" a="1"/>
  <c r="M25" i="4" s="1"/>
  <c r="L25" i="4" a="1"/>
  <c r="L25" i="4" s="1"/>
  <c r="K25" i="4" a="1"/>
  <c r="K25" i="4" s="1"/>
  <c r="J25" i="4" a="1"/>
  <c r="J25" i="4" s="1"/>
  <c r="I25" i="4" a="1"/>
  <c r="I25" i="4" s="1"/>
  <c r="H25" i="4" a="1"/>
  <c r="H25" i="4" s="1"/>
  <c r="G25" i="4" a="1"/>
  <c r="G25" i="4" s="1"/>
  <c r="F25" i="4" a="1"/>
  <c r="F25" i="4" s="1"/>
  <c r="E25" i="4" a="1"/>
  <c r="E25" i="4" s="1"/>
  <c r="D25" i="4" a="1"/>
  <c r="D25" i="4" s="1"/>
  <c r="A25" i="4"/>
  <c r="A27" i="2"/>
  <c r="A26" i="2"/>
  <c r="A25" i="2"/>
  <c r="D25" i="2" a="1"/>
  <c r="D25" i="2" s="1"/>
  <c r="E25" i="2" a="1"/>
  <c r="E25" i="2" s="1"/>
  <c r="F25" i="2" a="1"/>
  <c r="F25" i="2" s="1"/>
  <c r="G25" i="2" a="1"/>
  <c r="G25" i="2" s="1"/>
  <c r="H25" i="2" a="1"/>
  <c r="H25" i="2"/>
  <c r="I25" i="2" a="1"/>
  <c r="I25" i="2"/>
  <c r="J25" i="2" a="1"/>
  <c r="J25" i="2" s="1"/>
  <c r="K25" i="2" a="1"/>
  <c r="K25" i="2" s="1"/>
  <c r="L25" i="2" a="1"/>
  <c r="L25" i="2" s="1"/>
  <c r="M25" i="2" a="1"/>
  <c r="M25" i="2" s="1"/>
  <c r="N25" i="2" a="1"/>
  <c r="N25" i="2"/>
  <c r="O25" i="2" a="1"/>
  <c r="O25" i="2"/>
  <c r="P25" i="2" a="1"/>
  <c r="P25" i="2" s="1"/>
  <c r="Q25" i="2" a="1"/>
  <c r="Q25" i="2" s="1"/>
  <c r="R25" i="2" a="1"/>
  <c r="R25" i="2" s="1"/>
  <c r="S25" i="2" a="1"/>
  <c r="S25" i="2" s="1"/>
  <c r="T25" i="2" a="1"/>
  <c r="T25" i="2"/>
  <c r="U25" i="2" a="1"/>
  <c r="U25" i="2"/>
  <c r="V25" i="2" a="1"/>
  <c r="V25" i="2" s="1"/>
  <c r="W25" i="2" a="1"/>
  <c r="W25" i="2" s="1"/>
  <c r="X25" i="2" a="1"/>
  <c r="X25" i="2" s="1"/>
  <c r="Y25" i="2" a="1"/>
  <c r="Y25" i="2" s="1"/>
  <c r="Z25" i="2" a="1"/>
  <c r="Z25" i="2" s="1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1" i="2"/>
  <c r="Z32" i="2"/>
  <c r="Z30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Q26" i="2"/>
  <c r="S27" i="2"/>
  <c r="P16" i="16"/>
  <c r="N15" i="16"/>
  <c r="Z14" i="16"/>
  <c r="Y13" i="16"/>
  <c r="X13" i="16"/>
  <c r="M13" i="16"/>
  <c r="Z10" i="16"/>
  <c r="J10" i="16"/>
  <c r="S4" i="16"/>
  <c r="G4" i="16"/>
  <c r="L3" i="16"/>
  <c r="L5" i="16" s="1"/>
  <c r="D255" i="15"/>
  <c r="P254" i="15"/>
  <c r="Z15" i="16" s="1"/>
  <c r="P253" i="15"/>
  <c r="P252" i="15"/>
  <c r="X15" i="16" s="1"/>
  <c r="P251" i="15"/>
  <c r="P250" i="15"/>
  <c r="P249" i="15"/>
  <c r="P248" i="15"/>
  <c r="T15" i="16" s="1"/>
  <c r="P247" i="15"/>
  <c r="S15" i="16" s="1"/>
  <c r="P246" i="15"/>
  <c r="P245" i="15"/>
  <c r="P244" i="15"/>
  <c r="P243" i="15"/>
  <c r="O15" i="16" s="1"/>
  <c r="P242" i="15"/>
  <c r="P241" i="15"/>
  <c r="P240" i="15"/>
  <c r="L15" i="16" s="1"/>
  <c r="P239" i="15"/>
  <c r="P238" i="15"/>
  <c r="J15" i="16" s="1"/>
  <c r="P237" i="15"/>
  <c r="P236" i="15"/>
  <c r="H15" i="16" s="1"/>
  <c r="P235" i="15"/>
  <c r="G15" i="16" s="1"/>
  <c r="G17" i="16" s="1"/>
  <c r="P234" i="15"/>
  <c r="P233" i="15"/>
  <c r="P232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P231" i="15" s="1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P224" i="15" s="1"/>
  <c r="O223" i="15"/>
  <c r="N223" i="15"/>
  <c r="M223" i="15"/>
  <c r="L223" i="15"/>
  <c r="K223" i="15"/>
  <c r="J223" i="15"/>
  <c r="I223" i="15"/>
  <c r="H223" i="15"/>
  <c r="G223" i="15"/>
  <c r="F223" i="15"/>
  <c r="E223" i="15"/>
  <c r="D223" i="15"/>
  <c r="P223" i="15" s="1"/>
  <c r="O222" i="15"/>
  <c r="N222" i="15"/>
  <c r="M222" i="15"/>
  <c r="L222" i="15"/>
  <c r="K222" i="15"/>
  <c r="J222" i="15"/>
  <c r="I222" i="15"/>
  <c r="H222" i="15"/>
  <c r="G222" i="15"/>
  <c r="F222" i="15"/>
  <c r="E222" i="15"/>
  <c r="D222" i="15"/>
  <c r="P222" i="15" s="1"/>
  <c r="O221" i="15"/>
  <c r="N221" i="15"/>
  <c r="M221" i="15"/>
  <c r="L221" i="15"/>
  <c r="K221" i="15"/>
  <c r="J221" i="15"/>
  <c r="I221" i="15"/>
  <c r="H221" i="15"/>
  <c r="G221" i="15"/>
  <c r="F221" i="15"/>
  <c r="E221" i="15"/>
  <c r="D221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P219" i="15" s="1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P218" i="15" s="1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P217" i="15" s="1"/>
  <c r="O216" i="15"/>
  <c r="N216" i="15"/>
  <c r="M216" i="15"/>
  <c r="L216" i="15"/>
  <c r="K216" i="15"/>
  <c r="J216" i="15"/>
  <c r="I216" i="15"/>
  <c r="H216" i="15"/>
  <c r="G216" i="15"/>
  <c r="F216" i="15"/>
  <c r="E216" i="15"/>
  <c r="D216" i="15"/>
  <c r="P216" i="15" s="1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P215" i="15" s="1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P214" i="15" s="1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P213" i="15" s="1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P212" i="15" s="1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P208" i="15"/>
  <c r="P207" i="15"/>
  <c r="P206" i="15"/>
  <c r="P205" i="15"/>
  <c r="P204" i="15"/>
  <c r="P203" i="15"/>
  <c r="P202" i="15"/>
  <c r="P201" i="15"/>
  <c r="P200" i="15"/>
  <c r="P199" i="15"/>
  <c r="Q15" i="16" s="1"/>
  <c r="P198" i="15"/>
  <c r="P197" i="15"/>
  <c r="P196" i="15"/>
  <c r="P195" i="15"/>
  <c r="P194" i="15"/>
  <c r="P193" i="15"/>
  <c r="P192" i="15"/>
  <c r="P191" i="15"/>
  <c r="P190" i="15"/>
  <c r="P189" i="15"/>
  <c r="P188" i="15"/>
  <c r="P187" i="15"/>
  <c r="P186" i="15"/>
  <c r="P185" i="15"/>
  <c r="P184" i="15"/>
  <c r="Y14" i="16" s="1"/>
  <c r="P183" i="15"/>
  <c r="X14" i="16" s="1"/>
  <c r="P182" i="15"/>
  <c r="W14" i="16" s="1"/>
  <c r="P181" i="15"/>
  <c r="V14" i="16" s="1"/>
  <c r="P180" i="15"/>
  <c r="U14" i="16" s="1"/>
  <c r="P179" i="15"/>
  <c r="T14" i="16" s="1"/>
  <c r="P178" i="15"/>
  <c r="S14" i="16" s="1"/>
  <c r="P177" i="15"/>
  <c r="R14" i="16" s="1"/>
  <c r="P176" i="15"/>
  <c r="Q14" i="16" s="1"/>
  <c r="P175" i="15"/>
  <c r="P14" i="16" s="1"/>
  <c r="P174" i="15"/>
  <c r="O14" i="16" s="1"/>
  <c r="P173" i="15"/>
  <c r="N14" i="16" s="1"/>
  <c r="P172" i="15"/>
  <c r="M14" i="16" s="1"/>
  <c r="P171" i="15"/>
  <c r="L14" i="16" s="1"/>
  <c r="P170" i="15"/>
  <c r="K14" i="16" s="1"/>
  <c r="P169" i="15"/>
  <c r="J14" i="16" s="1"/>
  <c r="P168" i="15"/>
  <c r="I14" i="16" s="1"/>
  <c r="P167" i="15"/>
  <c r="H14" i="16" s="1"/>
  <c r="P166" i="15"/>
  <c r="G14" i="16" s="1"/>
  <c r="P165" i="15"/>
  <c r="F14" i="16" s="1"/>
  <c r="P164" i="15"/>
  <c r="E14" i="16" s="1"/>
  <c r="P163" i="15"/>
  <c r="D14" i="16" s="1"/>
  <c r="P162" i="15"/>
  <c r="Z13" i="16" s="1"/>
  <c r="Z17" i="16" s="1"/>
  <c r="P161" i="15"/>
  <c r="P160" i="15"/>
  <c r="P159" i="15"/>
  <c r="W13" i="16" s="1"/>
  <c r="P158" i="15"/>
  <c r="V13" i="16" s="1"/>
  <c r="P157" i="15"/>
  <c r="U13" i="16" s="1"/>
  <c r="P156" i="15"/>
  <c r="T13" i="16" s="1"/>
  <c r="P155" i="15"/>
  <c r="S13" i="16" s="1"/>
  <c r="P154" i="15"/>
  <c r="R13" i="16" s="1"/>
  <c r="P153" i="15"/>
  <c r="Q13" i="16" s="1"/>
  <c r="P152" i="15"/>
  <c r="P13" i="16" s="1"/>
  <c r="P151" i="15"/>
  <c r="O13" i="16" s="1"/>
  <c r="P150" i="15"/>
  <c r="N13" i="16" s="1"/>
  <c r="N17" i="16" s="1"/>
  <c r="P149" i="15"/>
  <c r="P148" i="15"/>
  <c r="L13" i="16" s="1"/>
  <c r="P147" i="15"/>
  <c r="K13" i="16" s="1"/>
  <c r="P146" i="15"/>
  <c r="J13" i="16" s="1"/>
  <c r="P145" i="15"/>
  <c r="I13" i="16" s="1"/>
  <c r="P144" i="15"/>
  <c r="H13" i="16" s="1"/>
  <c r="P143" i="15"/>
  <c r="G13" i="16" s="1"/>
  <c r="P142" i="15"/>
  <c r="F13" i="16" s="1"/>
  <c r="P141" i="15"/>
  <c r="E13" i="16" s="1"/>
  <c r="P140" i="15"/>
  <c r="D13" i="16" s="1"/>
  <c r="P139" i="15"/>
  <c r="Z9" i="16" s="1"/>
  <c r="P138" i="15"/>
  <c r="Y9" i="16" s="1"/>
  <c r="P137" i="15"/>
  <c r="X9" i="16" s="1"/>
  <c r="P136" i="15"/>
  <c r="W9" i="16" s="1"/>
  <c r="P135" i="15"/>
  <c r="V9" i="16" s="1"/>
  <c r="P134" i="15"/>
  <c r="U9" i="16" s="1"/>
  <c r="P133" i="15"/>
  <c r="T9" i="16" s="1"/>
  <c r="P132" i="15"/>
  <c r="S9" i="16" s="1"/>
  <c r="P131" i="15"/>
  <c r="R9" i="16" s="1"/>
  <c r="P130" i="15"/>
  <c r="Q9" i="16" s="1"/>
  <c r="P129" i="15"/>
  <c r="P9" i="16" s="1"/>
  <c r="P128" i="15"/>
  <c r="O9" i="16" s="1"/>
  <c r="P127" i="15"/>
  <c r="N9" i="16" s="1"/>
  <c r="P126" i="15"/>
  <c r="M9" i="16" s="1"/>
  <c r="P125" i="15"/>
  <c r="L9" i="16" s="1"/>
  <c r="P124" i="15"/>
  <c r="K9" i="16" s="1"/>
  <c r="P123" i="15"/>
  <c r="J9" i="16" s="1"/>
  <c r="P122" i="15"/>
  <c r="I9" i="16" s="1"/>
  <c r="P121" i="15"/>
  <c r="H9" i="16" s="1"/>
  <c r="P120" i="15"/>
  <c r="G9" i="16" s="1"/>
  <c r="P119" i="15"/>
  <c r="F9" i="16" s="1"/>
  <c r="P118" i="15"/>
  <c r="E9" i="16" s="1"/>
  <c r="P117" i="15"/>
  <c r="D9" i="16" s="1"/>
  <c r="P116" i="15"/>
  <c r="Z16" i="16" s="1"/>
  <c r="P115" i="15"/>
  <c r="Y16" i="16" s="1"/>
  <c r="P114" i="15"/>
  <c r="X16" i="16" s="1"/>
  <c r="P113" i="15"/>
  <c r="W16" i="16" s="1"/>
  <c r="P112" i="15"/>
  <c r="V16" i="16" s="1"/>
  <c r="P111" i="15"/>
  <c r="U16" i="16" s="1"/>
  <c r="P110" i="15"/>
  <c r="T16" i="16" s="1"/>
  <c r="P109" i="15"/>
  <c r="S16" i="16" s="1"/>
  <c r="P108" i="15"/>
  <c r="R16" i="16" s="1"/>
  <c r="P107" i="15"/>
  <c r="Q16" i="16" s="1"/>
  <c r="P106" i="15"/>
  <c r="P105" i="15"/>
  <c r="O16" i="16" s="1"/>
  <c r="P104" i="15"/>
  <c r="N16" i="16" s="1"/>
  <c r="P103" i="15"/>
  <c r="M16" i="16" s="1"/>
  <c r="P102" i="15"/>
  <c r="L16" i="16" s="1"/>
  <c r="P101" i="15"/>
  <c r="K16" i="16" s="1"/>
  <c r="P100" i="15"/>
  <c r="J16" i="16" s="1"/>
  <c r="P99" i="15"/>
  <c r="I16" i="16" s="1"/>
  <c r="P98" i="15"/>
  <c r="H16" i="16" s="1"/>
  <c r="P97" i="15"/>
  <c r="G16" i="16" s="1"/>
  <c r="P96" i="15"/>
  <c r="F16" i="16" s="1"/>
  <c r="P95" i="15"/>
  <c r="E16" i="16" s="1"/>
  <c r="P94" i="15"/>
  <c r="D16" i="16" s="1"/>
  <c r="P93" i="15"/>
  <c r="P92" i="15"/>
  <c r="Y10" i="16" s="1"/>
  <c r="P91" i="15"/>
  <c r="X10" i="16" s="1"/>
  <c r="P90" i="15"/>
  <c r="W10" i="16" s="1"/>
  <c r="P89" i="15"/>
  <c r="V10" i="16" s="1"/>
  <c r="P88" i="15"/>
  <c r="U10" i="16" s="1"/>
  <c r="P87" i="15"/>
  <c r="T10" i="16" s="1"/>
  <c r="P86" i="15"/>
  <c r="S10" i="16" s="1"/>
  <c r="P85" i="15"/>
  <c r="R10" i="16" s="1"/>
  <c r="P84" i="15"/>
  <c r="Q10" i="16" s="1"/>
  <c r="P83" i="15"/>
  <c r="P10" i="16" s="1"/>
  <c r="P82" i="15"/>
  <c r="O10" i="16" s="1"/>
  <c r="P81" i="15"/>
  <c r="N10" i="16" s="1"/>
  <c r="P80" i="15"/>
  <c r="M10" i="16" s="1"/>
  <c r="P79" i="15"/>
  <c r="L10" i="16" s="1"/>
  <c r="P78" i="15"/>
  <c r="K10" i="16" s="1"/>
  <c r="P77" i="15"/>
  <c r="P76" i="15"/>
  <c r="I10" i="16" s="1"/>
  <c r="P75" i="15"/>
  <c r="H10" i="16" s="1"/>
  <c r="P74" i="15"/>
  <c r="G10" i="16" s="1"/>
  <c r="P73" i="15"/>
  <c r="F10" i="16" s="1"/>
  <c r="P72" i="15"/>
  <c r="E10" i="16" s="1"/>
  <c r="P71" i="15"/>
  <c r="D10" i="16" s="1"/>
  <c r="P70" i="15"/>
  <c r="Z6" i="16" s="1"/>
  <c r="P69" i="15"/>
  <c r="Y6" i="16" s="1"/>
  <c r="P68" i="15"/>
  <c r="X6" i="16" s="1"/>
  <c r="P67" i="15"/>
  <c r="W6" i="16" s="1"/>
  <c r="P66" i="15"/>
  <c r="V6" i="16" s="1"/>
  <c r="P65" i="15"/>
  <c r="U6" i="16" s="1"/>
  <c r="P64" i="15"/>
  <c r="T6" i="16" s="1"/>
  <c r="P63" i="15"/>
  <c r="S6" i="16" s="1"/>
  <c r="P62" i="15"/>
  <c r="R6" i="16" s="1"/>
  <c r="P61" i="15"/>
  <c r="Q6" i="16" s="1"/>
  <c r="P60" i="15"/>
  <c r="P6" i="16" s="1"/>
  <c r="P59" i="15"/>
  <c r="O6" i="16" s="1"/>
  <c r="P58" i="15"/>
  <c r="N6" i="16" s="1"/>
  <c r="P57" i="15"/>
  <c r="M6" i="16" s="1"/>
  <c r="P56" i="15"/>
  <c r="L6" i="16" s="1"/>
  <c r="P55" i="15"/>
  <c r="K6" i="16" s="1"/>
  <c r="P54" i="15"/>
  <c r="J6" i="16" s="1"/>
  <c r="P53" i="15"/>
  <c r="I6" i="16" s="1"/>
  <c r="P52" i="15"/>
  <c r="H6" i="16" s="1"/>
  <c r="P51" i="15"/>
  <c r="G6" i="16" s="1"/>
  <c r="P50" i="15"/>
  <c r="F6" i="16" s="1"/>
  <c r="P49" i="15"/>
  <c r="E6" i="16" s="1"/>
  <c r="P48" i="15"/>
  <c r="D6" i="16" s="1"/>
  <c r="P47" i="15"/>
  <c r="Z4" i="16" s="1"/>
  <c r="P46" i="15"/>
  <c r="Y4" i="16" s="1"/>
  <c r="P45" i="15"/>
  <c r="X4" i="16" s="1"/>
  <c r="P44" i="15"/>
  <c r="W4" i="16" s="1"/>
  <c r="W5" i="16" s="1"/>
  <c r="P43" i="15"/>
  <c r="V4" i="16" s="1"/>
  <c r="P42" i="15"/>
  <c r="U4" i="16" s="1"/>
  <c r="P41" i="15"/>
  <c r="T4" i="16" s="1"/>
  <c r="P40" i="15"/>
  <c r="P39" i="15"/>
  <c r="R4" i="16" s="1"/>
  <c r="P38" i="15"/>
  <c r="Q4" i="16" s="1"/>
  <c r="P37" i="15"/>
  <c r="P4" i="16" s="1"/>
  <c r="P36" i="15"/>
  <c r="O4" i="16" s="1"/>
  <c r="P35" i="15"/>
  <c r="N4" i="16" s="1"/>
  <c r="P34" i="15"/>
  <c r="M4" i="16" s="1"/>
  <c r="P33" i="15"/>
  <c r="L4" i="16" s="1"/>
  <c r="P32" i="15"/>
  <c r="K4" i="16" s="1"/>
  <c r="P31" i="15"/>
  <c r="J4" i="16" s="1"/>
  <c r="P30" i="15"/>
  <c r="I4" i="16" s="1"/>
  <c r="P29" i="15"/>
  <c r="H4" i="16" s="1"/>
  <c r="P28" i="15"/>
  <c r="P27" i="15"/>
  <c r="F4" i="16" s="1"/>
  <c r="P26" i="15"/>
  <c r="E4" i="16" s="1"/>
  <c r="P25" i="15"/>
  <c r="D4" i="16" s="1"/>
  <c r="P24" i="15"/>
  <c r="Z3" i="16" s="1"/>
  <c r="Z5" i="16" s="1"/>
  <c r="P23" i="15"/>
  <c r="Y3" i="16" s="1"/>
  <c r="P22" i="15"/>
  <c r="X3" i="16" s="1"/>
  <c r="X5" i="16" s="1"/>
  <c r="P21" i="15"/>
  <c r="W3" i="16" s="1"/>
  <c r="P20" i="15"/>
  <c r="V3" i="16" s="1"/>
  <c r="P19" i="15"/>
  <c r="U3" i="16" s="1"/>
  <c r="P18" i="15"/>
  <c r="T3" i="16" s="1"/>
  <c r="T5" i="16" s="1"/>
  <c r="P17" i="15"/>
  <c r="S3" i="16" s="1"/>
  <c r="P16" i="15"/>
  <c r="R3" i="16" s="1"/>
  <c r="P15" i="15"/>
  <c r="Q3" i="16" s="1"/>
  <c r="Q5" i="16" s="1"/>
  <c r="P14" i="15"/>
  <c r="P3" i="16" s="1"/>
  <c r="P5" i="16" s="1"/>
  <c r="P13" i="15"/>
  <c r="O3" i="16" s="1"/>
  <c r="O5" i="16" s="1"/>
  <c r="P12" i="15"/>
  <c r="N3" i="16" s="1"/>
  <c r="N5" i="16" s="1"/>
  <c r="P11" i="15"/>
  <c r="M3" i="16" s="1"/>
  <c r="P10" i="15"/>
  <c r="P9" i="15"/>
  <c r="K3" i="16" s="1"/>
  <c r="P8" i="15"/>
  <c r="J3" i="16" s="1"/>
  <c r="J5" i="16" s="1"/>
  <c r="P7" i="15"/>
  <c r="I3" i="16" s="1"/>
  <c r="P6" i="15"/>
  <c r="H3" i="16" s="1"/>
  <c r="H5" i="16" s="1"/>
  <c r="P5" i="15"/>
  <c r="G3" i="16" s="1"/>
  <c r="P4" i="15"/>
  <c r="F3" i="16" s="1"/>
  <c r="P3" i="15"/>
  <c r="E3" i="16" s="1"/>
  <c r="E5" i="16" s="1"/>
  <c r="P2" i="15"/>
  <c r="D3" i="16" s="1"/>
  <c r="D5" i="16" s="1"/>
  <c r="T16" i="14"/>
  <c r="T16" i="19" s="1"/>
  <c r="S16" i="14"/>
  <c r="S16" i="19" s="1"/>
  <c r="P16" i="14"/>
  <c r="P16" i="19" s="1"/>
  <c r="D16" i="14"/>
  <c r="D16" i="19" s="1"/>
  <c r="Y14" i="14"/>
  <c r="Y14" i="19" s="1"/>
  <c r="S14" i="14"/>
  <c r="S14" i="19" s="1"/>
  <c r="R14" i="14"/>
  <c r="R14" i="19" s="1"/>
  <c r="H14" i="14"/>
  <c r="H14" i="19" s="1"/>
  <c r="G14" i="14"/>
  <c r="G14" i="19" s="1"/>
  <c r="F14" i="14"/>
  <c r="F14" i="19" s="1"/>
  <c r="R13" i="14"/>
  <c r="Q13" i="14"/>
  <c r="O13" i="14"/>
  <c r="F13" i="14"/>
  <c r="E13" i="14"/>
  <c r="Z10" i="14"/>
  <c r="Z10" i="19" s="1"/>
  <c r="O10" i="14"/>
  <c r="O10" i="19" s="1"/>
  <c r="N10" i="14"/>
  <c r="N10" i="19" s="1"/>
  <c r="J10" i="14"/>
  <c r="J10" i="19" s="1"/>
  <c r="I10" i="14"/>
  <c r="I10" i="19" s="1"/>
  <c r="W9" i="14"/>
  <c r="W9" i="19" s="1"/>
  <c r="N9" i="14"/>
  <c r="K9" i="14"/>
  <c r="K9" i="19" s="1"/>
  <c r="J9" i="14"/>
  <c r="J9" i="19" s="1"/>
  <c r="I9" i="14"/>
  <c r="I9" i="19" s="1"/>
  <c r="E9" i="14"/>
  <c r="E9" i="19" s="1"/>
  <c r="Z6" i="14"/>
  <c r="Y6" i="14"/>
  <c r="N6" i="14"/>
  <c r="M6" i="14"/>
  <c r="L6" i="14"/>
  <c r="Y4" i="14"/>
  <c r="Y4" i="19" s="1"/>
  <c r="X4" i="14"/>
  <c r="X4" i="19" s="1"/>
  <c r="L4" i="14"/>
  <c r="L4" i="19" s="1"/>
  <c r="K4" i="14"/>
  <c r="G4" i="14"/>
  <c r="G4" i="19" s="1"/>
  <c r="X3" i="14"/>
  <c r="X3" i="19" s="1"/>
  <c r="R3" i="14"/>
  <c r="Q3" i="14"/>
  <c r="K3" i="14"/>
  <c r="K3" i="19" s="1"/>
  <c r="H3" i="14"/>
  <c r="P254" i="13"/>
  <c r="Z15" i="14" s="1"/>
  <c r="Z15" i="19" s="1"/>
  <c r="P253" i="13"/>
  <c r="Y15" i="14" s="1"/>
  <c r="P252" i="13"/>
  <c r="P251" i="13"/>
  <c r="P250" i="13"/>
  <c r="P249" i="13"/>
  <c r="P248" i="13"/>
  <c r="T15" i="14" s="1"/>
  <c r="T15" i="19" s="1"/>
  <c r="P247" i="13"/>
  <c r="S15" i="14" s="1"/>
  <c r="S15" i="19" s="1"/>
  <c r="P246" i="13"/>
  <c r="R15" i="14" s="1"/>
  <c r="P245" i="13"/>
  <c r="Q15" i="14" s="1"/>
  <c r="Q15" i="19" s="1"/>
  <c r="P244" i="13"/>
  <c r="P15" i="14" s="1"/>
  <c r="P243" i="13"/>
  <c r="O15" i="14" s="1"/>
  <c r="P242" i="13"/>
  <c r="N15" i="14" s="1"/>
  <c r="N15" i="19" s="1"/>
  <c r="P241" i="13"/>
  <c r="M15" i="14" s="1"/>
  <c r="P240" i="13"/>
  <c r="L15" i="14" s="1"/>
  <c r="L15" i="19" s="1"/>
  <c r="P239" i="13"/>
  <c r="P238" i="13"/>
  <c r="P237" i="13"/>
  <c r="P236" i="13"/>
  <c r="H15" i="14" s="1"/>
  <c r="H15" i="19" s="1"/>
  <c r="P235" i="13"/>
  <c r="G15" i="14" s="1"/>
  <c r="G15" i="19" s="1"/>
  <c r="P234" i="13"/>
  <c r="F15" i="14" s="1"/>
  <c r="P233" i="13"/>
  <c r="E15" i="14" s="1"/>
  <c r="P232" i="13"/>
  <c r="D15" i="14" s="1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P231" i="13" s="1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P230" i="13" s="1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P229" i="13" s="1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O224" i="13"/>
  <c r="N224" i="13"/>
  <c r="M224" i="13"/>
  <c r="L224" i="13"/>
  <c r="K224" i="13"/>
  <c r="J224" i="13"/>
  <c r="I224" i="13"/>
  <c r="H224" i="13"/>
  <c r="G224" i="13"/>
  <c r="F224" i="13"/>
  <c r="E224" i="13"/>
  <c r="D224" i="13"/>
  <c r="O223" i="13"/>
  <c r="N223" i="13"/>
  <c r="M223" i="13"/>
  <c r="L223" i="13"/>
  <c r="K223" i="13"/>
  <c r="J223" i="13"/>
  <c r="I223" i="13"/>
  <c r="H223" i="13"/>
  <c r="G223" i="13"/>
  <c r="F223" i="13"/>
  <c r="E223" i="13"/>
  <c r="D223" i="13"/>
  <c r="O222" i="13"/>
  <c r="N222" i="13"/>
  <c r="M222" i="13"/>
  <c r="L222" i="13"/>
  <c r="K222" i="13"/>
  <c r="J222" i="13"/>
  <c r="I222" i="13"/>
  <c r="H222" i="13"/>
  <c r="G222" i="13"/>
  <c r="F222" i="13"/>
  <c r="E222" i="13"/>
  <c r="D222" i="13"/>
  <c r="P222" i="13" s="1"/>
  <c r="O221" i="13"/>
  <c r="N221" i="13"/>
  <c r="M221" i="13"/>
  <c r="L221" i="13"/>
  <c r="K221" i="13"/>
  <c r="J221" i="13"/>
  <c r="I221" i="13"/>
  <c r="H221" i="13"/>
  <c r="G221" i="13"/>
  <c r="F221" i="13"/>
  <c r="E221" i="13"/>
  <c r="D221" i="13"/>
  <c r="O220" i="13"/>
  <c r="N220" i="13"/>
  <c r="M220" i="13"/>
  <c r="L220" i="13"/>
  <c r="K220" i="13"/>
  <c r="J220" i="13"/>
  <c r="I220" i="13"/>
  <c r="H220" i="13"/>
  <c r="G220" i="13"/>
  <c r="F220" i="13"/>
  <c r="E220" i="13"/>
  <c r="D220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P219" i="13" s="1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P218" i="13" s="1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O216" i="13"/>
  <c r="N216" i="13"/>
  <c r="M216" i="13"/>
  <c r="L216" i="13"/>
  <c r="K216" i="13"/>
  <c r="J216" i="13"/>
  <c r="I216" i="13"/>
  <c r="H216" i="13"/>
  <c r="G216" i="13"/>
  <c r="F216" i="13"/>
  <c r="E216" i="13"/>
  <c r="D216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P212" i="13" s="1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P208" i="13"/>
  <c r="P207" i="13"/>
  <c r="P206" i="13"/>
  <c r="P205" i="13"/>
  <c r="P204" i="13"/>
  <c r="P203" i="13"/>
  <c r="P202" i="13"/>
  <c r="P201" i="13"/>
  <c r="P200" i="13"/>
  <c r="P199" i="13"/>
  <c r="P198" i="13"/>
  <c r="P197" i="13"/>
  <c r="P196" i="13"/>
  <c r="P195" i="13"/>
  <c r="P194" i="13"/>
  <c r="P193" i="13"/>
  <c r="P192" i="13"/>
  <c r="J15" i="14" s="1"/>
  <c r="J15" i="19" s="1"/>
  <c r="P191" i="13"/>
  <c r="I15" i="14" s="1"/>
  <c r="P190" i="13"/>
  <c r="P189" i="13"/>
  <c r="P188" i="13"/>
  <c r="P187" i="13"/>
  <c r="P186" i="13"/>
  <c r="P185" i="13"/>
  <c r="Z14" i="14" s="1"/>
  <c r="Z14" i="19" s="1"/>
  <c r="P184" i="13"/>
  <c r="P183" i="13"/>
  <c r="X14" i="14" s="1"/>
  <c r="X14" i="19" s="1"/>
  <c r="P182" i="13"/>
  <c r="W14" i="14" s="1"/>
  <c r="W14" i="19" s="1"/>
  <c r="P181" i="13"/>
  <c r="V14" i="14" s="1"/>
  <c r="V14" i="19" s="1"/>
  <c r="P180" i="13"/>
  <c r="U14" i="14" s="1"/>
  <c r="U14" i="19" s="1"/>
  <c r="P179" i="13"/>
  <c r="T14" i="14" s="1"/>
  <c r="T14" i="19" s="1"/>
  <c r="P178" i="13"/>
  <c r="P177" i="13"/>
  <c r="P176" i="13"/>
  <c r="Q14" i="14" s="1"/>
  <c r="P175" i="13"/>
  <c r="P14" i="14" s="1"/>
  <c r="P14" i="19" s="1"/>
  <c r="P174" i="13"/>
  <c r="O14" i="14" s="1"/>
  <c r="P173" i="13"/>
  <c r="N14" i="14" s="1"/>
  <c r="N14" i="19" s="1"/>
  <c r="P172" i="13"/>
  <c r="M14" i="14" s="1"/>
  <c r="M14" i="19" s="1"/>
  <c r="P171" i="13"/>
  <c r="L14" i="14" s="1"/>
  <c r="L14" i="19" s="1"/>
  <c r="P170" i="13"/>
  <c r="K14" i="14" s="1"/>
  <c r="K14" i="19" s="1"/>
  <c r="P169" i="13"/>
  <c r="J14" i="14" s="1"/>
  <c r="J14" i="19" s="1"/>
  <c r="P168" i="13"/>
  <c r="I14" i="14" s="1"/>
  <c r="I14" i="19" s="1"/>
  <c r="P167" i="13"/>
  <c r="P166" i="13"/>
  <c r="P165" i="13"/>
  <c r="P164" i="13"/>
  <c r="E14" i="14" s="1"/>
  <c r="E14" i="19" s="1"/>
  <c r="P163" i="13"/>
  <c r="D14" i="14" s="1"/>
  <c r="D14" i="19" s="1"/>
  <c r="P162" i="13"/>
  <c r="Z13" i="14" s="1"/>
  <c r="P161" i="13"/>
  <c r="Y13" i="14" s="1"/>
  <c r="P160" i="13"/>
  <c r="X13" i="14" s="1"/>
  <c r="X13" i="19" s="1"/>
  <c r="P159" i="13"/>
  <c r="W13" i="14" s="1"/>
  <c r="P158" i="13"/>
  <c r="V13" i="14" s="1"/>
  <c r="P157" i="13"/>
  <c r="U13" i="14" s="1"/>
  <c r="P156" i="13"/>
  <c r="T13" i="14" s="1"/>
  <c r="P155" i="13"/>
  <c r="S13" i="14" s="1"/>
  <c r="P154" i="13"/>
  <c r="P153" i="13"/>
  <c r="P152" i="13"/>
  <c r="P13" i="14" s="1"/>
  <c r="P151" i="13"/>
  <c r="P150" i="13"/>
  <c r="N13" i="14" s="1"/>
  <c r="P149" i="13"/>
  <c r="M13" i="14" s="1"/>
  <c r="P148" i="13"/>
  <c r="L13" i="14" s="1"/>
  <c r="L13" i="19" s="1"/>
  <c r="P147" i="13"/>
  <c r="K13" i="14" s="1"/>
  <c r="P146" i="13"/>
  <c r="J13" i="14" s="1"/>
  <c r="P145" i="13"/>
  <c r="I13" i="14" s="1"/>
  <c r="P144" i="13"/>
  <c r="H13" i="14" s="1"/>
  <c r="P143" i="13"/>
  <c r="G13" i="14" s="1"/>
  <c r="P142" i="13"/>
  <c r="P141" i="13"/>
  <c r="P140" i="13"/>
  <c r="D13" i="14" s="1"/>
  <c r="P139" i="13"/>
  <c r="Z9" i="14" s="1"/>
  <c r="Z9" i="19" s="1"/>
  <c r="P138" i="13"/>
  <c r="Y9" i="14" s="1"/>
  <c r="P137" i="13"/>
  <c r="X9" i="14" s="1"/>
  <c r="X9" i="19" s="1"/>
  <c r="P136" i="13"/>
  <c r="P135" i="13"/>
  <c r="V9" i="14" s="1"/>
  <c r="V9" i="19" s="1"/>
  <c r="P134" i="13"/>
  <c r="U9" i="14" s="1"/>
  <c r="U9" i="19" s="1"/>
  <c r="P133" i="13"/>
  <c r="T9" i="14" s="1"/>
  <c r="T9" i="19" s="1"/>
  <c r="P132" i="13"/>
  <c r="S9" i="14" s="1"/>
  <c r="S9" i="19" s="1"/>
  <c r="P131" i="13"/>
  <c r="R9" i="14" s="1"/>
  <c r="R9" i="19" s="1"/>
  <c r="P130" i="13"/>
  <c r="Q9" i="14" s="1"/>
  <c r="Q9" i="19" s="1"/>
  <c r="P129" i="13"/>
  <c r="P9" i="14" s="1"/>
  <c r="P9" i="19" s="1"/>
  <c r="P128" i="13"/>
  <c r="O9" i="14" s="1"/>
  <c r="P127" i="13"/>
  <c r="P126" i="13"/>
  <c r="M9" i="14" s="1"/>
  <c r="P125" i="13"/>
  <c r="L9" i="14" s="1"/>
  <c r="L9" i="19" s="1"/>
  <c r="P124" i="13"/>
  <c r="P123" i="13"/>
  <c r="P122" i="13"/>
  <c r="P121" i="13"/>
  <c r="H9" i="14" s="1"/>
  <c r="H9" i="19" s="1"/>
  <c r="P120" i="13"/>
  <c r="G9" i="14" s="1"/>
  <c r="G9" i="19" s="1"/>
  <c r="P119" i="13"/>
  <c r="F9" i="14" s="1"/>
  <c r="F9" i="19" s="1"/>
  <c r="P118" i="13"/>
  <c r="P117" i="13"/>
  <c r="D9" i="14" s="1"/>
  <c r="D9" i="19" s="1"/>
  <c r="P116" i="13"/>
  <c r="Z16" i="14" s="1"/>
  <c r="P115" i="13"/>
  <c r="Y16" i="14" s="1"/>
  <c r="P114" i="13"/>
  <c r="X16" i="14" s="1"/>
  <c r="P113" i="13"/>
  <c r="W16" i="14" s="1"/>
  <c r="W16" i="19" s="1"/>
  <c r="P112" i="13"/>
  <c r="V16" i="14" s="1"/>
  <c r="V16" i="19" s="1"/>
  <c r="P111" i="13"/>
  <c r="U16" i="14" s="1"/>
  <c r="P110" i="13"/>
  <c r="P109" i="13"/>
  <c r="P108" i="13"/>
  <c r="R16" i="14" s="1"/>
  <c r="R16" i="19" s="1"/>
  <c r="P107" i="13"/>
  <c r="Q16" i="14" s="1"/>
  <c r="Q16" i="19" s="1"/>
  <c r="P106" i="13"/>
  <c r="P105" i="13"/>
  <c r="O16" i="14" s="1"/>
  <c r="O16" i="19" s="1"/>
  <c r="P104" i="13"/>
  <c r="N16" i="14" s="1"/>
  <c r="P103" i="13"/>
  <c r="M16" i="14" s="1"/>
  <c r="M16" i="19" s="1"/>
  <c r="P102" i="13"/>
  <c r="L16" i="14" s="1"/>
  <c r="P101" i="13"/>
  <c r="K16" i="14" s="1"/>
  <c r="K16" i="19" s="1"/>
  <c r="P100" i="13"/>
  <c r="J16" i="14" s="1"/>
  <c r="J16" i="19" s="1"/>
  <c r="P99" i="13"/>
  <c r="I16" i="14" s="1"/>
  <c r="P98" i="13"/>
  <c r="H16" i="14" s="1"/>
  <c r="H16" i="19" s="1"/>
  <c r="P97" i="13"/>
  <c r="G16" i="14" s="1"/>
  <c r="G16" i="19" s="1"/>
  <c r="P96" i="13"/>
  <c r="F16" i="14" s="1"/>
  <c r="F16" i="19" s="1"/>
  <c r="P95" i="13"/>
  <c r="E16" i="14" s="1"/>
  <c r="E16" i="19" s="1"/>
  <c r="P94" i="13"/>
  <c r="P93" i="13"/>
  <c r="P92" i="13"/>
  <c r="Y10" i="14" s="1"/>
  <c r="Y10" i="19" s="1"/>
  <c r="P91" i="13"/>
  <c r="X10" i="14" s="1"/>
  <c r="X10" i="19" s="1"/>
  <c r="P90" i="13"/>
  <c r="W10" i="14" s="1"/>
  <c r="P89" i="13"/>
  <c r="V10" i="14" s="1"/>
  <c r="V10" i="19" s="1"/>
  <c r="P88" i="13"/>
  <c r="U10" i="14" s="1"/>
  <c r="U10" i="19" s="1"/>
  <c r="P87" i="13"/>
  <c r="T10" i="14" s="1"/>
  <c r="P86" i="13"/>
  <c r="S10" i="14" s="1"/>
  <c r="S10" i="19" s="1"/>
  <c r="P85" i="13"/>
  <c r="R10" i="14" s="1"/>
  <c r="R10" i="19" s="1"/>
  <c r="P84" i="13"/>
  <c r="Q10" i="14" s="1"/>
  <c r="Q10" i="19" s="1"/>
  <c r="P83" i="13"/>
  <c r="P10" i="14" s="1"/>
  <c r="P10" i="19" s="1"/>
  <c r="P82" i="13"/>
  <c r="P81" i="13"/>
  <c r="P80" i="13"/>
  <c r="M10" i="14" s="1"/>
  <c r="M10" i="19" s="1"/>
  <c r="P79" i="13"/>
  <c r="L10" i="14" s="1"/>
  <c r="L10" i="19" s="1"/>
  <c r="P78" i="13"/>
  <c r="K10" i="14" s="1"/>
  <c r="K10" i="19" s="1"/>
  <c r="P77" i="13"/>
  <c r="P76" i="13"/>
  <c r="P75" i="13"/>
  <c r="H10" i="14" s="1"/>
  <c r="P74" i="13"/>
  <c r="G10" i="14" s="1"/>
  <c r="G10" i="19" s="1"/>
  <c r="P73" i="13"/>
  <c r="F10" i="14" s="1"/>
  <c r="F10" i="19" s="1"/>
  <c r="P72" i="13"/>
  <c r="E10" i="14" s="1"/>
  <c r="E10" i="19" s="1"/>
  <c r="P71" i="13"/>
  <c r="D10" i="14" s="1"/>
  <c r="D10" i="19" s="1"/>
  <c r="P70" i="13"/>
  <c r="P69" i="13"/>
  <c r="P68" i="13"/>
  <c r="X6" i="14" s="1"/>
  <c r="P67" i="13"/>
  <c r="W6" i="14" s="1"/>
  <c r="P66" i="13"/>
  <c r="V6" i="14" s="1"/>
  <c r="P65" i="13"/>
  <c r="U6" i="14" s="1"/>
  <c r="P64" i="13"/>
  <c r="T6" i="14" s="1"/>
  <c r="P63" i="13"/>
  <c r="S6" i="14" s="1"/>
  <c r="P62" i="13"/>
  <c r="R6" i="14" s="1"/>
  <c r="P61" i="13"/>
  <c r="Q6" i="14" s="1"/>
  <c r="P60" i="13"/>
  <c r="P6" i="14" s="1"/>
  <c r="P59" i="13"/>
  <c r="O6" i="14" s="1"/>
  <c r="P58" i="13"/>
  <c r="P57" i="13"/>
  <c r="P56" i="13"/>
  <c r="P55" i="13"/>
  <c r="K6" i="14" s="1"/>
  <c r="P54" i="13"/>
  <c r="J6" i="14" s="1"/>
  <c r="P53" i="13"/>
  <c r="I6" i="14" s="1"/>
  <c r="P52" i="13"/>
  <c r="H6" i="14" s="1"/>
  <c r="P51" i="13"/>
  <c r="G6" i="14" s="1"/>
  <c r="P50" i="13"/>
  <c r="F6" i="14" s="1"/>
  <c r="P49" i="13"/>
  <c r="E6" i="14" s="1"/>
  <c r="P48" i="13"/>
  <c r="D6" i="14" s="1"/>
  <c r="P47" i="13"/>
  <c r="Z4" i="14" s="1"/>
  <c r="Z4" i="19" s="1"/>
  <c r="Z6" i="19" s="1"/>
  <c r="P46" i="13"/>
  <c r="P45" i="13"/>
  <c r="P44" i="13"/>
  <c r="W4" i="14" s="1"/>
  <c r="W4" i="19" s="1"/>
  <c r="P43" i="13"/>
  <c r="V4" i="14" s="1"/>
  <c r="V4" i="19" s="1"/>
  <c r="V6" i="19" s="1"/>
  <c r="P42" i="13"/>
  <c r="U4" i="14" s="1"/>
  <c r="P41" i="13"/>
  <c r="T4" i="14" s="1"/>
  <c r="T4" i="19" s="1"/>
  <c r="P40" i="13"/>
  <c r="S4" i="14" s="1"/>
  <c r="S4" i="19" s="1"/>
  <c r="P39" i="13"/>
  <c r="R4" i="14" s="1"/>
  <c r="P38" i="13"/>
  <c r="Q4" i="14" s="1"/>
  <c r="Q4" i="19" s="1"/>
  <c r="P37" i="13"/>
  <c r="P4" i="14" s="1"/>
  <c r="P4" i="19" s="1"/>
  <c r="P36" i="13"/>
  <c r="O4" i="14" s="1"/>
  <c r="O4" i="19" s="1"/>
  <c r="O6" i="19" s="1"/>
  <c r="P35" i="13"/>
  <c r="N4" i="14" s="1"/>
  <c r="N4" i="19" s="1"/>
  <c r="N6" i="19" s="1"/>
  <c r="P34" i="13"/>
  <c r="M4" i="14" s="1"/>
  <c r="M4" i="19" s="1"/>
  <c r="P33" i="13"/>
  <c r="P32" i="13"/>
  <c r="P31" i="13"/>
  <c r="J4" i="14" s="1"/>
  <c r="J4" i="19" s="1"/>
  <c r="J6" i="19" s="1"/>
  <c r="P30" i="13"/>
  <c r="I4" i="14" s="1"/>
  <c r="P29" i="13"/>
  <c r="H4" i="14" s="1"/>
  <c r="H4" i="19" s="1"/>
  <c r="P28" i="13"/>
  <c r="P27" i="13"/>
  <c r="F4" i="14" s="1"/>
  <c r="P26" i="13"/>
  <c r="E4" i="14" s="1"/>
  <c r="E4" i="19" s="1"/>
  <c r="P25" i="13"/>
  <c r="D4" i="14" s="1"/>
  <c r="D4" i="19" s="1"/>
  <c r="P24" i="13"/>
  <c r="Z3" i="14" s="1"/>
  <c r="Z3" i="19" s="1"/>
  <c r="P23" i="13"/>
  <c r="Y3" i="14" s="1"/>
  <c r="P22" i="13"/>
  <c r="P21" i="13"/>
  <c r="W3" i="14" s="1"/>
  <c r="W3" i="19" s="1"/>
  <c r="P20" i="13"/>
  <c r="V3" i="14" s="1"/>
  <c r="P19" i="13"/>
  <c r="U3" i="14" s="1"/>
  <c r="P18" i="13"/>
  <c r="T3" i="14" s="1"/>
  <c r="P17" i="13"/>
  <c r="S3" i="14" s="1"/>
  <c r="P16" i="13"/>
  <c r="P15" i="13"/>
  <c r="P14" i="13"/>
  <c r="P3" i="14" s="1"/>
  <c r="P13" i="13"/>
  <c r="O3" i="14" s="1"/>
  <c r="P12" i="13"/>
  <c r="N3" i="14" s="1"/>
  <c r="P11" i="13"/>
  <c r="M3" i="14" s="1"/>
  <c r="P10" i="13"/>
  <c r="L3" i="14" s="1"/>
  <c r="P9" i="13"/>
  <c r="P8" i="13"/>
  <c r="J3" i="14" s="1"/>
  <c r="P7" i="13"/>
  <c r="I3" i="14" s="1"/>
  <c r="P6" i="13"/>
  <c r="P5" i="13"/>
  <c r="G3" i="14" s="1"/>
  <c r="P4" i="13"/>
  <c r="F3" i="14" s="1"/>
  <c r="P3" i="13"/>
  <c r="E3" i="14" s="1"/>
  <c r="P2" i="13"/>
  <c r="D3" i="14" s="1"/>
  <c r="W16" i="12"/>
  <c r="S16" i="12"/>
  <c r="G16" i="12"/>
  <c r="Z15" i="12"/>
  <c r="W15" i="12"/>
  <c r="V15" i="12"/>
  <c r="E15" i="12"/>
  <c r="D15" i="12"/>
  <c r="Z14" i="12"/>
  <c r="V14" i="12"/>
  <c r="J14" i="12"/>
  <c r="H14" i="12"/>
  <c r="D14" i="12"/>
  <c r="Z13" i="12"/>
  <c r="U13" i="12"/>
  <c r="N13" i="12"/>
  <c r="M13" i="12"/>
  <c r="L13" i="12"/>
  <c r="I13" i="12"/>
  <c r="W10" i="12"/>
  <c r="V10" i="12"/>
  <c r="S10" i="12"/>
  <c r="R10" i="12"/>
  <c r="J10" i="12"/>
  <c r="G10" i="12"/>
  <c r="F10" i="12"/>
  <c r="E10" i="12"/>
  <c r="X9" i="12"/>
  <c r="W9" i="12"/>
  <c r="U9" i="12"/>
  <c r="L9" i="12"/>
  <c r="K9" i="12"/>
  <c r="I9" i="12"/>
  <c r="V6" i="12"/>
  <c r="U6" i="12"/>
  <c r="K6" i="12"/>
  <c r="J6" i="12"/>
  <c r="I6" i="12"/>
  <c r="O5" i="12"/>
  <c r="V4" i="12"/>
  <c r="T4" i="12"/>
  <c r="I4" i="12"/>
  <c r="H4" i="12"/>
  <c r="G4" i="12"/>
  <c r="E4" i="12"/>
  <c r="P3" i="12"/>
  <c r="P5" i="12" s="1"/>
  <c r="I3" i="12"/>
  <c r="I5" i="12" s="1"/>
  <c r="G3" i="12"/>
  <c r="P254" i="11"/>
  <c r="P253" i="11"/>
  <c r="P252" i="11"/>
  <c r="X15" i="12" s="1"/>
  <c r="P251" i="11"/>
  <c r="P250" i="11"/>
  <c r="P249" i="11"/>
  <c r="P248" i="11"/>
  <c r="P247" i="11"/>
  <c r="P246" i="11"/>
  <c r="P245" i="11"/>
  <c r="P244" i="11"/>
  <c r="P243" i="11"/>
  <c r="O15" i="12" s="1"/>
  <c r="P242" i="11"/>
  <c r="P241" i="11"/>
  <c r="P240" i="11"/>
  <c r="L15" i="12" s="1"/>
  <c r="P239" i="11"/>
  <c r="K15" i="12" s="1"/>
  <c r="P238" i="11"/>
  <c r="P237" i="11"/>
  <c r="P236" i="11"/>
  <c r="P235" i="11"/>
  <c r="P234" i="11"/>
  <c r="P233" i="11"/>
  <c r="P232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P227" i="11" s="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P225" i="11" s="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P224" i="11" s="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P222" i="11" s="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P215" i="11" s="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P214" i="11" s="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P208" i="11"/>
  <c r="P207" i="11"/>
  <c r="P206" i="11"/>
  <c r="P205" i="11"/>
  <c r="P204" i="11"/>
  <c r="P203" i="11"/>
  <c r="P202" i="11"/>
  <c r="P201" i="11"/>
  <c r="P200" i="11"/>
  <c r="R15" i="12" s="1"/>
  <c r="P199" i="11"/>
  <c r="Q15" i="12" s="1"/>
  <c r="P198" i="11"/>
  <c r="P15" i="12" s="1"/>
  <c r="P197" i="11"/>
  <c r="P196" i="11"/>
  <c r="N15" i="12" s="1"/>
  <c r="P195" i="11"/>
  <c r="P194" i="11"/>
  <c r="P193" i="11"/>
  <c r="P192" i="11"/>
  <c r="P191" i="11"/>
  <c r="P190" i="11"/>
  <c r="P189" i="11"/>
  <c r="P188" i="11"/>
  <c r="F15" i="12" s="1"/>
  <c r="P187" i="11"/>
  <c r="P186" i="11"/>
  <c r="P185" i="11"/>
  <c r="P184" i="11"/>
  <c r="Y14" i="12" s="1"/>
  <c r="P183" i="11"/>
  <c r="X14" i="12" s="1"/>
  <c r="P182" i="11"/>
  <c r="W14" i="12" s="1"/>
  <c r="P181" i="11"/>
  <c r="P180" i="11"/>
  <c r="U14" i="12" s="1"/>
  <c r="P179" i="11"/>
  <c r="T14" i="12" s="1"/>
  <c r="P178" i="11"/>
  <c r="S14" i="12" s="1"/>
  <c r="P177" i="11"/>
  <c r="R14" i="12" s="1"/>
  <c r="R17" i="12" s="1"/>
  <c r="P176" i="11"/>
  <c r="Q14" i="12" s="1"/>
  <c r="P175" i="11"/>
  <c r="P14" i="12" s="1"/>
  <c r="P174" i="11"/>
  <c r="O14" i="12" s="1"/>
  <c r="P173" i="11"/>
  <c r="N14" i="12" s="1"/>
  <c r="P172" i="11"/>
  <c r="M14" i="12" s="1"/>
  <c r="P171" i="11"/>
  <c r="L14" i="12" s="1"/>
  <c r="L17" i="12" s="1"/>
  <c r="P170" i="11"/>
  <c r="K14" i="12" s="1"/>
  <c r="P169" i="11"/>
  <c r="P168" i="11"/>
  <c r="I14" i="12" s="1"/>
  <c r="P167" i="11"/>
  <c r="P166" i="11"/>
  <c r="G14" i="12" s="1"/>
  <c r="P165" i="11"/>
  <c r="F14" i="12" s="1"/>
  <c r="P164" i="11"/>
  <c r="E14" i="12" s="1"/>
  <c r="P163" i="11"/>
  <c r="P162" i="11"/>
  <c r="P161" i="11"/>
  <c r="Y13" i="12" s="1"/>
  <c r="P160" i="11"/>
  <c r="X13" i="12" s="1"/>
  <c r="P159" i="11"/>
  <c r="W13" i="12" s="1"/>
  <c r="P158" i="11"/>
  <c r="V13" i="12" s="1"/>
  <c r="P157" i="11"/>
  <c r="P156" i="11"/>
  <c r="T13" i="12" s="1"/>
  <c r="P155" i="11"/>
  <c r="S13" i="12" s="1"/>
  <c r="P154" i="11"/>
  <c r="R13" i="12" s="1"/>
  <c r="P153" i="11"/>
  <c r="Q13" i="12" s="1"/>
  <c r="Q17" i="12" s="1"/>
  <c r="P152" i="11"/>
  <c r="P13" i="12" s="1"/>
  <c r="P17" i="12" s="1"/>
  <c r="P151" i="11"/>
  <c r="O13" i="12" s="1"/>
  <c r="P150" i="11"/>
  <c r="P149" i="11"/>
  <c r="P148" i="11"/>
  <c r="P147" i="11"/>
  <c r="K13" i="12" s="1"/>
  <c r="K17" i="12" s="1"/>
  <c r="P146" i="11"/>
  <c r="J13" i="12" s="1"/>
  <c r="P145" i="11"/>
  <c r="P144" i="11"/>
  <c r="H13" i="12" s="1"/>
  <c r="P143" i="11"/>
  <c r="G13" i="12" s="1"/>
  <c r="P142" i="11"/>
  <c r="F13" i="12" s="1"/>
  <c r="P141" i="11"/>
  <c r="E13" i="12" s="1"/>
  <c r="E17" i="12" s="1"/>
  <c r="P140" i="11"/>
  <c r="D13" i="12" s="1"/>
  <c r="D17" i="12" s="1"/>
  <c r="P139" i="11"/>
  <c r="Z9" i="12" s="1"/>
  <c r="P138" i="11"/>
  <c r="Y9" i="12" s="1"/>
  <c r="P137" i="11"/>
  <c r="P136" i="11"/>
  <c r="P135" i="11"/>
  <c r="V9" i="12" s="1"/>
  <c r="P134" i="11"/>
  <c r="P133" i="11"/>
  <c r="T9" i="12" s="1"/>
  <c r="P132" i="11"/>
  <c r="S9" i="12" s="1"/>
  <c r="P131" i="11"/>
  <c r="R9" i="12" s="1"/>
  <c r="P130" i="11"/>
  <c r="Q9" i="12" s="1"/>
  <c r="P129" i="11"/>
  <c r="P9" i="12" s="1"/>
  <c r="P128" i="11"/>
  <c r="O9" i="12" s="1"/>
  <c r="P127" i="11"/>
  <c r="N9" i="12" s="1"/>
  <c r="P126" i="11"/>
  <c r="M9" i="12" s="1"/>
  <c r="P125" i="11"/>
  <c r="P124" i="11"/>
  <c r="P123" i="11"/>
  <c r="J9" i="12" s="1"/>
  <c r="P122" i="11"/>
  <c r="P121" i="11"/>
  <c r="H9" i="12" s="1"/>
  <c r="P120" i="11"/>
  <c r="G9" i="12" s="1"/>
  <c r="P119" i="11"/>
  <c r="F9" i="12" s="1"/>
  <c r="P118" i="11"/>
  <c r="E9" i="12" s="1"/>
  <c r="P117" i="11"/>
  <c r="D9" i="12" s="1"/>
  <c r="P116" i="11"/>
  <c r="Z16" i="12" s="1"/>
  <c r="P115" i="11"/>
  <c r="Y16" i="12" s="1"/>
  <c r="P114" i="11"/>
  <c r="X16" i="12" s="1"/>
  <c r="P113" i="11"/>
  <c r="P112" i="11"/>
  <c r="V16" i="12" s="1"/>
  <c r="P111" i="11"/>
  <c r="U16" i="12" s="1"/>
  <c r="P110" i="11"/>
  <c r="T16" i="12" s="1"/>
  <c r="P109" i="11"/>
  <c r="P108" i="11"/>
  <c r="R16" i="12" s="1"/>
  <c r="P107" i="11"/>
  <c r="Q16" i="12" s="1"/>
  <c r="P106" i="11"/>
  <c r="P16" i="12" s="1"/>
  <c r="P105" i="11"/>
  <c r="O16" i="12" s="1"/>
  <c r="P104" i="11"/>
  <c r="N16" i="12" s="1"/>
  <c r="P103" i="11"/>
  <c r="M16" i="12" s="1"/>
  <c r="P102" i="11"/>
  <c r="L16" i="12" s="1"/>
  <c r="P101" i="11"/>
  <c r="K16" i="12" s="1"/>
  <c r="P100" i="11"/>
  <c r="J16" i="12" s="1"/>
  <c r="P99" i="11"/>
  <c r="I16" i="12" s="1"/>
  <c r="P98" i="11"/>
  <c r="H16" i="12" s="1"/>
  <c r="P97" i="11"/>
  <c r="P96" i="11"/>
  <c r="F16" i="12" s="1"/>
  <c r="P95" i="11"/>
  <c r="E16" i="12" s="1"/>
  <c r="P94" i="11"/>
  <c r="D16" i="12" s="1"/>
  <c r="P93" i="11"/>
  <c r="Z10" i="12" s="1"/>
  <c r="P92" i="11"/>
  <c r="Y10" i="12" s="1"/>
  <c r="P91" i="11"/>
  <c r="X10" i="12" s="1"/>
  <c r="P90" i="11"/>
  <c r="P89" i="11"/>
  <c r="P88" i="11"/>
  <c r="U10" i="12" s="1"/>
  <c r="P87" i="11"/>
  <c r="T10" i="12" s="1"/>
  <c r="P86" i="11"/>
  <c r="P85" i="11"/>
  <c r="P84" i="11"/>
  <c r="Q10" i="12" s="1"/>
  <c r="P83" i="11"/>
  <c r="P10" i="12" s="1"/>
  <c r="P82" i="11"/>
  <c r="O10" i="12" s="1"/>
  <c r="P81" i="11"/>
  <c r="N10" i="12" s="1"/>
  <c r="P80" i="11"/>
  <c r="M10" i="12" s="1"/>
  <c r="P79" i="11"/>
  <c r="L10" i="12" s="1"/>
  <c r="P78" i="11"/>
  <c r="K10" i="12" s="1"/>
  <c r="P77" i="11"/>
  <c r="P76" i="11"/>
  <c r="I10" i="12" s="1"/>
  <c r="P75" i="11"/>
  <c r="H10" i="12" s="1"/>
  <c r="P74" i="11"/>
  <c r="P73" i="11"/>
  <c r="P72" i="11"/>
  <c r="P71" i="11"/>
  <c r="D10" i="12" s="1"/>
  <c r="P70" i="11"/>
  <c r="Z6" i="12" s="1"/>
  <c r="P69" i="11"/>
  <c r="Y6" i="12" s="1"/>
  <c r="P68" i="11"/>
  <c r="X6" i="12" s="1"/>
  <c r="P67" i="11"/>
  <c r="W6" i="12" s="1"/>
  <c r="P66" i="11"/>
  <c r="P65" i="11"/>
  <c r="P64" i="11"/>
  <c r="T6" i="12" s="1"/>
  <c r="P63" i="11"/>
  <c r="S6" i="12" s="1"/>
  <c r="P62" i="11"/>
  <c r="R6" i="12" s="1"/>
  <c r="P61" i="11"/>
  <c r="Q6" i="12" s="1"/>
  <c r="P60" i="11"/>
  <c r="P6" i="12" s="1"/>
  <c r="P59" i="11"/>
  <c r="O6" i="12" s="1"/>
  <c r="P58" i="11"/>
  <c r="N6" i="12" s="1"/>
  <c r="P57" i="11"/>
  <c r="M6" i="12" s="1"/>
  <c r="P56" i="11"/>
  <c r="L6" i="12" s="1"/>
  <c r="P55" i="11"/>
  <c r="P54" i="11"/>
  <c r="P53" i="11"/>
  <c r="P52" i="11"/>
  <c r="H6" i="12" s="1"/>
  <c r="P51" i="11"/>
  <c r="G6" i="12" s="1"/>
  <c r="P50" i="11"/>
  <c r="F6" i="12" s="1"/>
  <c r="P49" i="11"/>
  <c r="E6" i="12" s="1"/>
  <c r="P48" i="11"/>
  <c r="D6" i="12" s="1"/>
  <c r="P47" i="11"/>
  <c r="Z4" i="12" s="1"/>
  <c r="P46" i="11"/>
  <c r="Y4" i="12" s="1"/>
  <c r="P45" i="11"/>
  <c r="X4" i="12" s="1"/>
  <c r="P44" i="11"/>
  <c r="W4" i="12" s="1"/>
  <c r="P43" i="11"/>
  <c r="P42" i="11"/>
  <c r="U4" i="12" s="1"/>
  <c r="P41" i="11"/>
  <c r="P40" i="11"/>
  <c r="S4" i="12" s="1"/>
  <c r="P39" i="11"/>
  <c r="R4" i="12" s="1"/>
  <c r="P38" i="11"/>
  <c r="Q4" i="12" s="1"/>
  <c r="P37" i="11"/>
  <c r="P4" i="12" s="1"/>
  <c r="P36" i="11"/>
  <c r="O4" i="12" s="1"/>
  <c r="P35" i="11"/>
  <c r="N4" i="12" s="1"/>
  <c r="P34" i="11"/>
  <c r="M4" i="12" s="1"/>
  <c r="P33" i="11"/>
  <c r="L4" i="12" s="1"/>
  <c r="P32" i="11"/>
  <c r="K4" i="12" s="1"/>
  <c r="P31" i="11"/>
  <c r="J4" i="12" s="1"/>
  <c r="P30" i="11"/>
  <c r="P29" i="11"/>
  <c r="P28" i="11"/>
  <c r="P27" i="11"/>
  <c r="F4" i="12" s="1"/>
  <c r="P26" i="11"/>
  <c r="P25" i="11"/>
  <c r="D4" i="12" s="1"/>
  <c r="P24" i="11"/>
  <c r="Z3" i="12" s="1"/>
  <c r="P23" i="11"/>
  <c r="Y3" i="12" s="1"/>
  <c r="P22" i="11"/>
  <c r="X3" i="12" s="1"/>
  <c r="P21" i="11"/>
  <c r="W3" i="12" s="1"/>
  <c r="W5" i="12" s="1"/>
  <c r="P20" i="11"/>
  <c r="V3" i="12" s="1"/>
  <c r="V5" i="12" s="1"/>
  <c r="P19" i="11"/>
  <c r="U3" i="12" s="1"/>
  <c r="U5" i="12" s="1"/>
  <c r="P18" i="11"/>
  <c r="T3" i="12" s="1"/>
  <c r="P17" i="11"/>
  <c r="S3" i="12" s="1"/>
  <c r="S5" i="12" s="1"/>
  <c r="P16" i="11"/>
  <c r="R3" i="12" s="1"/>
  <c r="R5" i="12" s="1"/>
  <c r="P15" i="11"/>
  <c r="Q3" i="12" s="1"/>
  <c r="Q5" i="12" s="1"/>
  <c r="P14" i="11"/>
  <c r="P13" i="11"/>
  <c r="O3" i="12" s="1"/>
  <c r="P12" i="11"/>
  <c r="N3" i="12" s="1"/>
  <c r="P11" i="11"/>
  <c r="M3" i="12" s="1"/>
  <c r="M5" i="12" s="1"/>
  <c r="P10" i="11"/>
  <c r="L3" i="12" s="1"/>
  <c r="P9" i="11"/>
  <c r="K3" i="12" s="1"/>
  <c r="K5" i="12" s="1"/>
  <c r="P8" i="11"/>
  <c r="J3" i="12" s="1"/>
  <c r="J5" i="12" s="1"/>
  <c r="P7" i="11"/>
  <c r="P6" i="11"/>
  <c r="H3" i="12" s="1"/>
  <c r="P5" i="11"/>
  <c r="P4" i="11"/>
  <c r="F3" i="12" s="1"/>
  <c r="P3" i="11"/>
  <c r="E3" i="12" s="1"/>
  <c r="P2" i="11"/>
  <c r="D3" i="12" s="1"/>
  <c r="D5" i="12" s="1"/>
  <c r="Y17" i="10"/>
  <c r="X16" i="10"/>
  <c r="W16" i="10"/>
  <c r="L16" i="10"/>
  <c r="K16" i="10"/>
  <c r="G16" i="10"/>
  <c r="W15" i="10"/>
  <c r="P15" i="10"/>
  <c r="Z14" i="10"/>
  <c r="Y14" i="10"/>
  <c r="V14" i="10"/>
  <c r="P14" i="10"/>
  <c r="O14" i="10"/>
  <c r="N14" i="10"/>
  <c r="J14" i="10"/>
  <c r="X13" i="10"/>
  <c r="U13" i="10"/>
  <c r="N13" i="10"/>
  <c r="M13" i="10"/>
  <c r="I13" i="10"/>
  <c r="V10" i="10"/>
  <c r="R10" i="10"/>
  <c r="P10" i="10"/>
  <c r="K10" i="10"/>
  <c r="F10" i="10"/>
  <c r="D10" i="10"/>
  <c r="W9" i="10"/>
  <c r="P9" i="10"/>
  <c r="E9" i="10"/>
  <c r="D8" i="10"/>
  <c r="U6" i="10"/>
  <c r="T6" i="10"/>
  <c r="Q6" i="10"/>
  <c r="M6" i="10"/>
  <c r="I6" i="10"/>
  <c r="E6" i="10"/>
  <c r="Z5" i="10"/>
  <c r="M5" i="10"/>
  <c r="G5" i="10"/>
  <c r="S4" i="10"/>
  <c r="G4" i="10"/>
  <c r="R3" i="10"/>
  <c r="K3" i="10"/>
  <c r="D255" i="9"/>
  <c r="E255" i="9" s="1"/>
  <c r="P254" i="9"/>
  <c r="Z15" i="10" s="1"/>
  <c r="P253" i="9"/>
  <c r="P252" i="9"/>
  <c r="P251" i="9"/>
  <c r="P250" i="9"/>
  <c r="P249" i="9"/>
  <c r="P248" i="9"/>
  <c r="T15" i="10" s="1"/>
  <c r="P247" i="9"/>
  <c r="P246" i="9"/>
  <c r="P245" i="9"/>
  <c r="P244" i="9"/>
  <c r="P243" i="9"/>
  <c r="O15" i="10" s="1"/>
  <c r="P242" i="9"/>
  <c r="N15" i="10" s="1"/>
  <c r="P241" i="9"/>
  <c r="M15" i="10" s="1"/>
  <c r="P240" i="9"/>
  <c r="P239" i="9"/>
  <c r="K15" i="10" s="1"/>
  <c r="P238" i="9"/>
  <c r="J15" i="10" s="1"/>
  <c r="P237" i="9"/>
  <c r="P236" i="9"/>
  <c r="H15" i="10" s="1"/>
  <c r="P235" i="9"/>
  <c r="G15" i="10" s="1"/>
  <c r="P234" i="9"/>
  <c r="P233" i="9"/>
  <c r="P232" i="9"/>
  <c r="D15" i="10" s="1"/>
  <c r="O231" i="9"/>
  <c r="N231" i="9"/>
  <c r="M231" i="9"/>
  <c r="L231" i="9"/>
  <c r="K231" i="9"/>
  <c r="J231" i="9"/>
  <c r="I231" i="9"/>
  <c r="H231" i="9"/>
  <c r="G231" i="9"/>
  <c r="F231" i="9"/>
  <c r="E231" i="9"/>
  <c r="D231" i="9"/>
  <c r="O230" i="9"/>
  <c r="N230" i="9"/>
  <c r="M230" i="9"/>
  <c r="L230" i="9"/>
  <c r="K230" i="9"/>
  <c r="J230" i="9"/>
  <c r="I230" i="9"/>
  <c r="H230" i="9"/>
  <c r="G230" i="9"/>
  <c r="F230" i="9"/>
  <c r="E230" i="9"/>
  <c r="D230" i="9"/>
  <c r="P230" i="9" s="1"/>
  <c r="O229" i="9"/>
  <c r="N229" i="9"/>
  <c r="M229" i="9"/>
  <c r="L229" i="9"/>
  <c r="K229" i="9"/>
  <c r="J229" i="9"/>
  <c r="I229" i="9"/>
  <c r="H229" i="9"/>
  <c r="G229" i="9"/>
  <c r="F229" i="9"/>
  <c r="E229" i="9"/>
  <c r="D229" i="9"/>
  <c r="O228" i="9"/>
  <c r="N228" i="9"/>
  <c r="M228" i="9"/>
  <c r="L228" i="9"/>
  <c r="K228" i="9"/>
  <c r="J228" i="9"/>
  <c r="I228" i="9"/>
  <c r="H228" i="9"/>
  <c r="G228" i="9"/>
  <c r="F228" i="9"/>
  <c r="E228" i="9"/>
  <c r="D228" i="9"/>
  <c r="P228" i="9" s="1"/>
  <c r="O227" i="9"/>
  <c r="N227" i="9"/>
  <c r="M227" i="9"/>
  <c r="L227" i="9"/>
  <c r="K227" i="9"/>
  <c r="J227" i="9"/>
  <c r="I227" i="9"/>
  <c r="H227" i="9"/>
  <c r="G227" i="9"/>
  <c r="F227" i="9"/>
  <c r="E227" i="9"/>
  <c r="D227" i="9"/>
  <c r="P227" i="9" s="1"/>
  <c r="O226" i="9"/>
  <c r="N226" i="9"/>
  <c r="M226" i="9"/>
  <c r="L226" i="9"/>
  <c r="K226" i="9"/>
  <c r="J226" i="9"/>
  <c r="I226" i="9"/>
  <c r="H226" i="9"/>
  <c r="G226" i="9"/>
  <c r="F226" i="9"/>
  <c r="E226" i="9"/>
  <c r="D226" i="9"/>
  <c r="O225" i="9"/>
  <c r="N225" i="9"/>
  <c r="M225" i="9"/>
  <c r="L225" i="9"/>
  <c r="K225" i="9"/>
  <c r="J225" i="9"/>
  <c r="I225" i="9"/>
  <c r="H225" i="9"/>
  <c r="G225" i="9"/>
  <c r="F225" i="9"/>
  <c r="E225" i="9"/>
  <c r="D225" i="9"/>
  <c r="P225" i="9" s="1"/>
  <c r="O224" i="9"/>
  <c r="N224" i="9"/>
  <c r="M224" i="9"/>
  <c r="L224" i="9"/>
  <c r="K224" i="9"/>
  <c r="J224" i="9"/>
  <c r="I224" i="9"/>
  <c r="H224" i="9"/>
  <c r="G224" i="9"/>
  <c r="F224" i="9"/>
  <c r="E224" i="9"/>
  <c r="D224" i="9"/>
  <c r="O223" i="9"/>
  <c r="N223" i="9"/>
  <c r="M223" i="9"/>
  <c r="L223" i="9"/>
  <c r="K223" i="9"/>
  <c r="J223" i="9"/>
  <c r="I223" i="9"/>
  <c r="H223" i="9"/>
  <c r="G223" i="9"/>
  <c r="F223" i="9"/>
  <c r="E223" i="9"/>
  <c r="D223" i="9"/>
  <c r="P223" i="9" s="1"/>
  <c r="O222" i="9"/>
  <c r="N222" i="9"/>
  <c r="M222" i="9"/>
  <c r="L222" i="9"/>
  <c r="K222" i="9"/>
  <c r="J222" i="9"/>
  <c r="I222" i="9"/>
  <c r="H222" i="9"/>
  <c r="G222" i="9"/>
  <c r="F222" i="9"/>
  <c r="E222" i="9"/>
  <c r="D222" i="9"/>
  <c r="O221" i="9"/>
  <c r="N221" i="9"/>
  <c r="M221" i="9"/>
  <c r="L221" i="9"/>
  <c r="K221" i="9"/>
  <c r="J221" i="9"/>
  <c r="I221" i="9"/>
  <c r="H221" i="9"/>
  <c r="G221" i="9"/>
  <c r="F221" i="9"/>
  <c r="E221" i="9"/>
  <c r="D221" i="9"/>
  <c r="O220" i="9"/>
  <c r="N220" i="9"/>
  <c r="M220" i="9"/>
  <c r="L220" i="9"/>
  <c r="K220" i="9"/>
  <c r="J220" i="9"/>
  <c r="I220" i="9"/>
  <c r="H220" i="9"/>
  <c r="G220" i="9"/>
  <c r="F220" i="9"/>
  <c r="E220" i="9"/>
  <c r="D220" i="9"/>
  <c r="P220" i="9" s="1"/>
  <c r="O219" i="9"/>
  <c r="N219" i="9"/>
  <c r="M219" i="9"/>
  <c r="L219" i="9"/>
  <c r="K219" i="9"/>
  <c r="J219" i="9"/>
  <c r="I219" i="9"/>
  <c r="H219" i="9"/>
  <c r="G219" i="9"/>
  <c r="F219" i="9"/>
  <c r="E219" i="9"/>
  <c r="D219" i="9"/>
  <c r="P219" i="9" s="1"/>
  <c r="O218" i="9"/>
  <c r="N218" i="9"/>
  <c r="M218" i="9"/>
  <c r="L218" i="9"/>
  <c r="K218" i="9"/>
  <c r="J218" i="9"/>
  <c r="I218" i="9"/>
  <c r="H218" i="9"/>
  <c r="G218" i="9"/>
  <c r="F218" i="9"/>
  <c r="E218" i="9"/>
  <c r="D218" i="9"/>
  <c r="O217" i="9"/>
  <c r="N217" i="9"/>
  <c r="M217" i="9"/>
  <c r="L217" i="9"/>
  <c r="K217" i="9"/>
  <c r="J217" i="9"/>
  <c r="I217" i="9"/>
  <c r="H217" i="9"/>
  <c r="G217" i="9"/>
  <c r="F217" i="9"/>
  <c r="E217" i="9"/>
  <c r="D217" i="9"/>
  <c r="O216" i="9"/>
  <c r="N216" i="9"/>
  <c r="M216" i="9"/>
  <c r="L216" i="9"/>
  <c r="K216" i="9"/>
  <c r="J216" i="9"/>
  <c r="I216" i="9"/>
  <c r="H216" i="9"/>
  <c r="G216" i="9"/>
  <c r="F216" i="9"/>
  <c r="E216" i="9"/>
  <c r="D216" i="9"/>
  <c r="O215" i="9"/>
  <c r="N215" i="9"/>
  <c r="M215" i="9"/>
  <c r="L215" i="9"/>
  <c r="K215" i="9"/>
  <c r="J215" i="9"/>
  <c r="I215" i="9"/>
  <c r="H215" i="9"/>
  <c r="G215" i="9"/>
  <c r="F215" i="9"/>
  <c r="E215" i="9"/>
  <c r="D215" i="9"/>
  <c r="O214" i="9"/>
  <c r="N214" i="9"/>
  <c r="M214" i="9"/>
  <c r="L214" i="9"/>
  <c r="K214" i="9"/>
  <c r="J214" i="9"/>
  <c r="I214" i="9"/>
  <c r="H214" i="9"/>
  <c r="G214" i="9"/>
  <c r="F214" i="9"/>
  <c r="E214" i="9"/>
  <c r="D214" i="9"/>
  <c r="P214" i="9" s="1"/>
  <c r="O213" i="9"/>
  <c r="N213" i="9"/>
  <c r="M213" i="9"/>
  <c r="L213" i="9"/>
  <c r="K213" i="9"/>
  <c r="J213" i="9"/>
  <c r="I213" i="9"/>
  <c r="H213" i="9"/>
  <c r="G213" i="9"/>
  <c r="F213" i="9"/>
  <c r="E213" i="9"/>
  <c r="D213" i="9"/>
  <c r="O212" i="9"/>
  <c r="N212" i="9"/>
  <c r="M212" i="9"/>
  <c r="L212" i="9"/>
  <c r="K212" i="9"/>
  <c r="J212" i="9"/>
  <c r="I212" i="9"/>
  <c r="H212" i="9"/>
  <c r="G212" i="9"/>
  <c r="F212" i="9"/>
  <c r="E212" i="9"/>
  <c r="D212" i="9"/>
  <c r="O211" i="9"/>
  <c r="N211" i="9"/>
  <c r="M211" i="9"/>
  <c r="L211" i="9"/>
  <c r="K211" i="9"/>
  <c r="J211" i="9"/>
  <c r="I211" i="9"/>
  <c r="H211" i="9"/>
  <c r="G211" i="9"/>
  <c r="F211" i="9"/>
  <c r="E211" i="9"/>
  <c r="D211" i="9"/>
  <c r="O210" i="9"/>
  <c r="N210" i="9"/>
  <c r="M210" i="9"/>
  <c r="L210" i="9"/>
  <c r="K210" i="9"/>
  <c r="J210" i="9"/>
  <c r="I210" i="9"/>
  <c r="H210" i="9"/>
  <c r="G210" i="9"/>
  <c r="F210" i="9"/>
  <c r="E210" i="9"/>
  <c r="D210" i="9"/>
  <c r="O209" i="9"/>
  <c r="N209" i="9"/>
  <c r="M209" i="9"/>
  <c r="L209" i="9"/>
  <c r="K209" i="9"/>
  <c r="J209" i="9"/>
  <c r="I209" i="9"/>
  <c r="H209" i="9"/>
  <c r="G209" i="9"/>
  <c r="F209" i="9"/>
  <c r="E209" i="9"/>
  <c r="D209" i="9"/>
  <c r="P208" i="9"/>
  <c r="P207" i="9"/>
  <c r="Y15" i="10" s="1"/>
  <c r="P206" i="9"/>
  <c r="P205" i="9"/>
  <c r="P204" i="9"/>
  <c r="P203" i="9"/>
  <c r="P202" i="9"/>
  <c r="P201" i="9"/>
  <c r="P200" i="9"/>
  <c r="R15" i="10" s="1"/>
  <c r="P199" i="9"/>
  <c r="Q15" i="10" s="1"/>
  <c r="P198" i="9"/>
  <c r="P197" i="9"/>
  <c r="P196" i="9"/>
  <c r="P195" i="9"/>
  <c r="P194" i="9"/>
  <c r="P193" i="9"/>
  <c r="P192" i="9"/>
  <c r="P191" i="9"/>
  <c r="P190" i="9"/>
  <c r="P189" i="9"/>
  <c r="P188" i="9"/>
  <c r="F15" i="10" s="1"/>
  <c r="P187" i="9"/>
  <c r="P186" i="9"/>
  <c r="P185" i="9"/>
  <c r="P184" i="9"/>
  <c r="P183" i="9"/>
  <c r="X14" i="10" s="1"/>
  <c r="P182" i="9"/>
  <c r="W14" i="10" s="1"/>
  <c r="P181" i="9"/>
  <c r="P180" i="9"/>
  <c r="U14" i="10" s="1"/>
  <c r="P179" i="9"/>
  <c r="T14" i="10" s="1"/>
  <c r="P178" i="9"/>
  <c r="S14" i="10" s="1"/>
  <c r="P177" i="9"/>
  <c r="R14" i="10" s="1"/>
  <c r="P176" i="9"/>
  <c r="Q14" i="10" s="1"/>
  <c r="P175" i="9"/>
  <c r="P174" i="9"/>
  <c r="P173" i="9"/>
  <c r="P172" i="9"/>
  <c r="M14" i="10" s="1"/>
  <c r="P171" i="9"/>
  <c r="L14" i="10" s="1"/>
  <c r="P170" i="9"/>
  <c r="K14" i="10" s="1"/>
  <c r="P169" i="9"/>
  <c r="P168" i="9"/>
  <c r="I14" i="10" s="1"/>
  <c r="P167" i="9"/>
  <c r="H14" i="10" s="1"/>
  <c r="P166" i="9"/>
  <c r="G14" i="10" s="1"/>
  <c r="P165" i="9"/>
  <c r="F14" i="10" s="1"/>
  <c r="P164" i="9"/>
  <c r="E14" i="10" s="1"/>
  <c r="P163" i="9"/>
  <c r="D14" i="10" s="1"/>
  <c r="P162" i="9"/>
  <c r="Z13" i="10" s="1"/>
  <c r="P161" i="9"/>
  <c r="Y13" i="10" s="1"/>
  <c r="P160" i="9"/>
  <c r="P159" i="9"/>
  <c r="W13" i="10" s="1"/>
  <c r="W17" i="10" s="1"/>
  <c r="P158" i="9"/>
  <c r="V13" i="10" s="1"/>
  <c r="P157" i="9"/>
  <c r="P156" i="9"/>
  <c r="T13" i="10" s="1"/>
  <c r="P155" i="9"/>
  <c r="S13" i="10" s="1"/>
  <c r="P154" i="9"/>
  <c r="R13" i="10" s="1"/>
  <c r="P153" i="9"/>
  <c r="Q13" i="10" s="1"/>
  <c r="P152" i="9"/>
  <c r="P13" i="10" s="1"/>
  <c r="P17" i="10" s="1"/>
  <c r="P151" i="9"/>
  <c r="O13" i="10" s="1"/>
  <c r="O17" i="10" s="1"/>
  <c r="P150" i="9"/>
  <c r="P149" i="9"/>
  <c r="P148" i="9"/>
  <c r="L13" i="10" s="1"/>
  <c r="P147" i="9"/>
  <c r="K13" i="10" s="1"/>
  <c r="P146" i="9"/>
  <c r="J13" i="10" s="1"/>
  <c r="J17" i="10" s="1"/>
  <c r="P145" i="9"/>
  <c r="P144" i="9"/>
  <c r="H13" i="10" s="1"/>
  <c r="P143" i="9"/>
  <c r="G13" i="10" s="1"/>
  <c r="P142" i="9"/>
  <c r="F13" i="10" s="1"/>
  <c r="P141" i="9"/>
  <c r="E13" i="10" s="1"/>
  <c r="P140" i="9"/>
  <c r="D13" i="10" s="1"/>
  <c r="D17" i="10" s="1"/>
  <c r="P139" i="9"/>
  <c r="Z9" i="10" s="1"/>
  <c r="P138" i="9"/>
  <c r="Y9" i="10" s="1"/>
  <c r="P137" i="9"/>
  <c r="X9" i="10" s="1"/>
  <c r="P136" i="9"/>
  <c r="P135" i="9"/>
  <c r="V9" i="10" s="1"/>
  <c r="P134" i="9"/>
  <c r="U9" i="10" s="1"/>
  <c r="P133" i="9"/>
  <c r="T9" i="10" s="1"/>
  <c r="P132" i="9"/>
  <c r="S9" i="10" s="1"/>
  <c r="P131" i="9"/>
  <c r="R9" i="10" s="1"/>
  <c r="P130" i="9"/>
  <c r="Q9" i="10" s="1"/>
  <c r="P129" i="9"/>
  <c r="P128" i="9"/>
  <c r="O9" i="10" s="1"/>
  <c r="P127" i="9"/>
  <c r="N9" i="10" s="1"/>
  <c r="P126" i="9"/>
  <c r="M9" i="10" s="1"/>
  <c r="P125" i="9"/>
  <c r="L9" i="10" s="1"/>
  <c r="P124" i="9"/>
  <c r="K9" i="10" s="1"/>
  <c r="P123" i="9"/>
  <c r="J9" i="10" s="1"/>
  <c r="P122" i="9"/>
  <c r="I9" i="10" s="1"/>
  <c r="P121" i="9"/>
  <c r="H9" i="10" s="1"/>
  <c r="P120" i="9"/>
  <c r="G9" i="10" s="1"/>
  <c r="P119" i="9"/>
  <c r="F9" i="10" s="1"/>
  <c r="P118" i="9"/>
  <c r="P117" i="9"/>
  <c r="D9" i="10" s="1"/>
  <c r="P116" i="9"/>
  <c r="Z16" i="10" s="1"/>
  <c r="P115" i="9"/>
  <c r="Y16" i="10" s="1"/>
  <c r="P114" i="9"/>
  <c r="P113" i="9"/>
  <c r="P112" i="9"/>
  <c r="V16" i="10" s="1"/>
  <c r="P111" i="9"/>
  <c r="U16" i="10" s="1"/>
  <c r="P110" i="9"/>
  <c r="T16" i="10" s="1"/>
  <c r="P109" i="9"/>
  <c r="S16" i="10" s="1"/>
  <c r="P108" i="9"/>
  <c r="R16" i="10" s="1"/>
  <c r="P107" i="9"/>
  <c r="Q16" i="10" s="1"/>
  <c r="P106" i="9"/>
  <c r="P16" i="10" s="1"/>
  <c r="P105" i="9"/>
  <c r="O16" i="10" s="1"/>
  <c r="P104" i="9"/>
  <c r="N16" i="10" s="1"/>
  <c r="P103" i="9"/>
  <c r="M16" i="10" s="1"/>
  <c r="P102" i="9"/>
  <c r="P101" i="9"/>
  <c r="P100" i="9"/>
  <c r="J16" i="10" s="1"/>
  <c r="P99" i="9"/>
  <c r="I16" i="10" s="1"/>
  <c r="P98" i="9"/>
  <c r="H16" i="10" s="1"/>
  <c r="P97" i="9"/>
  <c r="P96" i="9"/>
  <c r="F16" i="10" s="1"/>
  <c r="P95" i="9"/>
  <c r="E16" i="10" s="1"/>
  <c r="P94" i="9"/>
  <c r="D16" i="10" s="1"/>
  <c r="P93" i="9"/>
  <c r="Z10" i="10" s="1"/>
  <c r="P92" i="9"/>
  <c r="Y10" i="10" s="1"/>
  <c r="P91" i="9"/>
  <c r="X10" i="10" s="1"/>
  <c r="P90" i="9"/>
  <c r="W10" i="10" s="1"/>
  <c r="P89" i="9"/>
  <c r="P88" i="9"/>
  <c r="U10" i="10" s="1"/>
  <c r="P87" i="9"/>
  <c r="T10" i="10" s="1"/>
  <c r="P86" i="9"/>
  <c r="S10" i="10" s="1"/>
  <c r="P85" i="9"/>
  <c r="P84" i="9"/>
  <c r="Q10" i="10" s="1"/>
  <c r="P83" i="9"/>
  <c r="P82" i="9"/>
  <c r="O10" i="10" s="1"/>
  <c r="P81" i="9"/>
  <c r="N10" i="10" s="1"/>
  <c r="P80" i="9"/>
  <c r="M10" i="10" s="1"/>
  <c r="P79" i="9"/>
  <c r="L10" i="10" s="1"/>
  <c r="P78" i="9"/>
  <c r="P77" i="9"/>
  <c r="J10" i="10" s="1"/>
  <c r="P76" i="9"/>
  <c r="I10" i="10" s="1"/>
  <c r="P75" i="9"/>
  <c r="H10" i="10" s="1"/>
  <c r="P74" i="9"/>
  <c r="G10" i="10" s="1"/>
  <c r="P73" i="9"/>
  <c r="P72" i="9"/>
  <c r="E10" i="10" s="1"/>
  <c r="P71" i="9"/>
  <c r="P70" i="9"/>
  <c r="Z6" i="10" s="1"/>
  <c r="P69" i="9"/>
  <c r="Y6" i="10" s="1"/>
  <c r="P68" i="9"/>
  <c r="X6" i="10" s="1"/>
  <c r="P67" i="9"/>
  <c r="W6" i="10" s="1"/>
  <c r="P66" i="9"/>
  <c r="V6" i="10" s="1"/>
  <c r="P65" i="9"/>
  <c r="P64" i="9"/>
  <c r="P63" i="9"/>
  <c r="S6" i="10" s="1"/>
  <c r="P62" i="9"/>
  <c r="R6" i="10" s="1"/>
  <c r="P61" i="9"/>
  <c r="P60" i="9"/>
  <c r="P6" i="10" s="1"/>
  <c r="P59" i="9"/>
  <c r="O6" i="10" s="1"/>
  <c r="P58" i="9"/>
  <c r="N6" i="10" s="1"/>
  <c r="P57" i="9"/>
  <c r="P56" i="9"/>
  <c r="L6" i="10" s="1"/>
  <c r="P55" i="9"/>
  <c r="K6" i="10" s="1"/>
  <c r="P54" i="9"/>
  <c r="J6" i="10" s="1"/>
  <c r="P53" i="9"/>
  <c r="P52" i="9"/>
  <c r="H6" i="10" s="1"/>
  <c r="P51" i="9"/>
  <c r="G6" i="10" s="1"/>
  <c r="P50" i="9"/>
  <c r="F6" i="10" s="1"/>
  <c r="P49" i="9"/>
  <c r="P48" i="9"/>
  <c r="D6" i="10" s="1"/>
  <c r="P47" i="9"/>
  <c r="Z4" i="10" s="1"/>
  <c r="P46" i="9"/>
  <c r="Y4" i="10" s="1"/>
  <c r="Y5" i="10" s="1"/>
  <c r="P45" i="9"/>
  <c r="X4" i="10" s="1"/>
  <c r="P44" i="9"/>
  <c r="W4" i="10" s="1"/>
  <c r="P43" i="9"/>
  <c r="V4" i="10" s="1"/>
  <c r="P42" i="9"/>
  <c r="U4" i="10" s="1"/>
  <c r="P41" i="9"/>
  <c r="T4" i="10" s="1"/>
  <c r="P40" i="9"/>
  <c r="P39" i="9"/>
  <c r="R4" i="10" s="1"/>
  <c r="R5" i="10" s="1"/>
  <c r="P38" i="9"/>
  <c r="Q4" i="10" s="1"/>
  <c r="P37" i="9"/>
  <c r="P4" i="10" s="1"/>
  <c r="P36" i="9"/>
  <c r="O4" i="10" s="1"/>
  <c r="P35" i="9"/>
  <c r="N4" i="10" s="1"/>
  <c r="P34" i="9"/>
  <c r="M4" i="10" s="1"/>
  <c r="P33" i="9"/>
  <c r="L4" i="10" s="1"/>
  <c r="P32" i="9"/>
  <c r="K4" i="10" s="1"/>
  <c r="P31" i="9"/>
  <c r="J4" i="10" s="1"/>
  <c r="P30" i="9"/>
  <c r="I4" i="10" s="1"/>
  <c r="P29" i="9"/>
  <c r="H4" i="10" s="1"/>
  <c r="P28" i="9"/>
  <c r="P27" i="9"/>
  <c r="F4" i="10" s="1"/>
  <c r="F5" i="10" s="1"/>
  <c r="P26" i="9"/>
  <c r="E4" i="10" s="1"/>
  <c r="P25" i="9"/>
  <c r="D4" i="10" s="1"/>
  <c r="P24" i="9"/>
  <c r="Z3" i="10" s="1"/>
  <c r="P23" i="9"/>
  <c r="Y3" i="10" s="1"/>
  <c r="P22" i="9"/>
  <c r="X3" i="10" s="1"/>
  <c r="P21" i="9"/>
  <c r="W3" i="10" s="1"/>
  <c r="P20" i="9"/>
  <c r="V3" i="10" s="1"/>
  <c r="V5" i="10" s="1"/>
  <c r="P19" i="9"/>
  <c r="U3" i="10" s="1"/>
  <c r="U5" i="10" s="1"/>
  <c r="P18" i="9"/>
  <c r="T3" i="10" s="1"/>
  <c r="T5" i="10" s="1"/>
  <c r="P17" i="9"/>
  <c r="S3" i="10" s="1"/>
  <c r="S5" i="10" s="1"/>
  <c r="P16" i="9"/>
  <c r="P15" i="9"/>
  <c r="Q3" i="10" s="1"/>
  <c r="Q5" i="10" s="1"/>
  <c r="P14" i="9"/>
  <c r="P3" i="10" s="1"/>
  <c r="P5" i="10" s="1"/>
  <c r="P13" i="9"/>
  <c r="O3" i="10" s="1"/>
  <c r="P12" i="9"/>
  <c r="N3" i="10" s="1"/>
  <c r="N5" i="10" s="1"/>
  <c r="P11" i="9"/>
  <c r="M3" i="10" s="1"/>
  <c r="P10" i="9"/>
  <c r="L3" i="10" s="1"/>
  <c r="P9" i="9"/>
  <c r="P8" i="9"/>
  <c r="J3" i="10" s="1"/>
  <c r="J5" i="10" s="1"/>
  <c r="P7" i="9"/>
  <c r="I3" i="10" s="1"/>
  <c r="I5" i="10" s="1"/>
  <c r="P6" i="9"/>
  <c r="H3" i="10" s="1"/>
  <c r="H5" i="10" s="1"/>
  <c r="P5" i="9"/>
  <c r="G3" i="10" s="1"/>
  <c r="P4" i="9"/>
  <c r="F3" i="10" s="1"/>
  <c r="P3" i="9"/>
  <c r="E3" i="10" s="1"/>
  <c r="E5" i="10" s="1"/>
  <c r="P2" i="9"/>
  <c r="D3" i="10" s="1"/>
  <c r="D5" i="10" s="1"/>
  <c r="S16" i="8"/>
  <c r="R15" i="8"/>
  <c r="N15" i="8"/>
  <c r="K15" i="8"/>
  <c r="J15" i="8"/>
  <c r="E15" i="8"/>
  <c r="U14" i="8"/>
  <c r="T14" i="8"/>
  <c r="I14" i="8"/>
  <c r="D14" i="8"/>
  <c r="Z13" i="8"/>
  <c r="Q13" i="8"/>
  <c r="O13" i="8"/>
  <c r="N13" i="8"/>
  <c r="I13" i="8"/>
  <c r="H13" i="8"/>
  <c r="X10" i="8"/>
  <c r="W10" i="8"/>
  <c r="Q10" i="8"/>
  <c r="O10" i="8"/>
  <c r="K10" i="8"/>
  <c r="G10" i="8"/>
  <c r="F10" i="8"/>
  <c r="Y9" i="8"/>
  <c r="M9" i="8"/>
  <c r="W6" i="8"/>
  <c r="V6" i="8"/>
  <c r="K6" i="8"/>
  <c r="V5" i="8"/>
  <c r="T5" i="8"/>
  <c r="M5" i="8"/>
  <c r="Z4" i="8"/>
  <c r="U4" i="8"/>
  <c r="I4" i="8"/>
  <c r="U3" i="8"/>
  <c r="T3" i="8"/>
  <c r="K3" i="8"/>
  <c r="K5" i="8" s="1"/>
  <c r="I3" i="8"/>
  <c r="I5" i="8" s="1"/>
  <c r="H3" i="8"/>
  <c r="P254" i="7"/>
  <c r="Z15" i="8" s="1"/>
  <c r="P253" i="7"/>
  <c r="P252" i="7"/>
  <c r="X15" i="8" s="1"/>
  <c r="P251" i="7"/>
  <c r="W15" i="8" s="1"/>
  <c r="P250" i="7"/>
  <c r="P249" i="7"/>
  <c r="P248" i="7"/>
  <c r="P247" i="7"/>
  <c r="S15" i="8" s="1"/>
  <c r="P246" i="7"/>
  <c r="P245" i="7"/>
  <c r="Q15" i="8" s="1"/>
  <c r="P244" i="7"/>
  <c r="P15" i="8" s="1"/>
  <c r="P243" i="7"/>
  <c r="P242" i="7"/>
  <c r="P241" i="7"/>
  <c r="P240" i="7"/>
  <c r="L15" i="8" s="1"/>
  <c r="P239" i="7"/>
  <c r="P238" i="7"/>
  <c r="P237" i="7"/>
  <c r="P236" i="7"/>
  <c r="P235" i="7"/>
  <c r="G15" i="8" s="1"/>
  <c r="P234" i="7"/>
  <c r="P233" i="7"/>
  <c r="P232" i="7"/>
  <c r="D15" i="8" s="1"/>
  <c r="O231" i="7"/>
  <c r="N231" i="7"/>
  <c r="M231" i="7"/>
  <c r="L231" i="7"/>
  <c r="K231" i="7"/>
  <c r="J231" i="7"/>
  <c r="I231" i="7"/>
  <c r="H231" i="7"/>
  <c r="G231" i="7"/>
  <c r="F231" i="7"/>
  <c r="E231" i="7"/>
  <c r="D231" i="7"/>
  <c r="P231" i="7" s="1"/>
  <c r="O230" i="7"/>
  <c r="N230" i="7"/>
  <c r="M230" i="7"/>
  <c r="L230" i="7"/>
  <c r="K230" i="7"/>
  <c r="J230" i="7"/>
  <c r="I230" i="7"/>
  <c r="H230" i="7"/>
  <c r="G230" i="7"/>
  <c r="F230" i="7"/>
  <c r="E230" i="7"/>
  <c r="D230" i="7"/>
  <c r="P230" i="7" s="1"/>
  <c r="O229" i="7"/>
  <c r="N229" i="7"/>
  <c r="M229" i="7"/>
  <c r="L229" i="7"/>
  <c r="K229" i="7"/>
  <c r="J229" i="7"/>
  <c r="I229" i="7"/>
  <c r="H229" i="7"/>
  <c r="G229" i="7"/>
  <c r="F229" i="7"/>
  <c r="E229" i="7"/>
  <c r="D229" i="7"/>
  <c r="O228" i="7"/>
  <c r="N228" i="7"/>
  <c r="M228" i="7"/>
  <c r="L228" i="7"/>
  <c r="K228" i="7"/>
  <c r="J228" i="7"/>
  <c r="I228" i="7"/>
  <c r="H228" i="7"/>
  <c r="G228" i="7"/>
  <c r="F228" i="7"/>
  <c r="E228" i="7"/>
  <c r="D228" i="7"/>
  <c r="O227" i="7"/>
  <c r="N227" i="7"/>
  <c r="M227" i="7"/>
  <c r="L227" i="7"/>
  <c r="K227" i="7"/>
  <c r="J227" i="7"/>
  <c r="I227" i="7"/>
  <c r="H227" i="7"/>
  <c r="G227" i="7"/>
  <c r="F227" i="7"/>
  <c r="E227" i="7"/>
  <c r="D227" i="7"/>
  <c r="O226" i="7"/>
  <c r="N226" i="7"/>
  <c r="M226" i="7"/>
  <c r="L226" i="7"/>
  <c r="K226" i="7"/>
  <c r="J226" i="7"/>
  <c r="I226" i="7"/>
  <c r="H226" i="7"/>
  <c r="G226" i="7"/>
  <c r="F226" i="7"/>
  <c r="E226" i="7"/>
  <c r="D226" i="7"/>
  <c r="P226" i="7" s="1"/>
  <c r="O225" i="7"/>
  <c r="N225" i="7"/>
  <c r="M225" i="7"/>
  <c r="L225" i="7"/>
  <c r="K225" i="7"/>
  <c r="J225" i="7"/>
  <c r="I225" i="7"/>
  <c r="H225" i="7"/>
  <c r="G225" i="7"/>
  <c r="F225" i="7"/>
  <c r="E225" i="7"/>
  <c r="D225" i="7"/>
  <c r="O224" i="7"/>
  <c r="N224" i="7"/>
  <c r="M224" i="7"/>
  <c r="L224" i="7"/>
  <c r="K224" i="7"/>
  <c r="J224" i="7"/>
  <c r="I224" i="7"/>
  <c r="H224" i="7"/>
  <c r="G224" i="7"/>
  <c r="F224" i="7"/>
  <c r="E224" i="7"/>
  <c r="D224" i="7"/>
  <c r="O223" i="7"/>
  <c r="N223" i="7"/>
  <c r="M223" i="7"/>
  <c r="L223" i="7"/>
  <c r="K223" i="7"/>
  <c r="J223" i="7"/>
  <c r="I223" i="7"/>
  <c r="H223" i="7"/>
  <c r="G223" i="7"/>
  <c r="F223" i="7"/>
  <c r="E223" i="7"/>
  <c r="D223" i="7"/>
  <c r="P223" i="7" s="1"/>
  <c r="O222" i="7"/>
  <c r="N222" i="7"/>
  <c r="M222" i="7"/>
  <c r="L222" i="7"/>
  <c r="K222" i="7"/>
  <c r="J222" i="7"/>
  <c r="I222" i="7"/>
  <c r="H222" i="7"/>
  <c r="G222" i="7"/>
  <c r="F222" i="7"/>
  <c r="E222" i="7"/>
  <c r="D222" i="7"/>
  <c r="O221" i="7"/>
  <c r="N221" i="7"/>
  <c r="M221" i="7"/>
  <c r="L221" i="7"/>
  <c r="K221" i="7"/>
  <c r="J221" i="7"/>
  <c r="I221" i="7"/>
  <c r="H221" i="7"/>
  <c r="G221" i="7"/>
  <c r="F221" i="7"/>
  <c r="E221" i="7"/>
  <c r="D221" i="7"/>
  <c r="P221" i="7" s="1"/>
  <c r="O220" i="7"/>
  <c r="N220" i="7"/>
  <c r="M220" i="7"/>
  <c r="L220" i="7"/>
  <c r="K220" i="7"/>
  <c r="J220" i="7"/>
  <c r="I220" i="7"/>
  <c r="H220" i="7"/>
  <c r="G220" i="7"/>
  <c r="F220" i="7"/>
  <c r="E220" i="7"/>
  <c r="D220" i="7"/>
  <c r="P220" i="7" s="1"/>
  <c r="O219" i="7"/>
  <c r="N219" i="7"/>
  <c r="M219" i="7"/>
  <c r="L219" i="7"/>
  <c r="K219" i="7"/>
  <c r="J219" i="7"/>
  <c r="I219" i="7"/>
  <c r="H219" i="7"/>
  <c r="G219" i="7"/>
  <c r="F219" i="7"/>
  <c r="E219" i="7"/>
  <c r="D219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O217" i="7"/>
  <c r="N217" i="7"/>
  <c r="M217" i="7"/>
  <c r="L217" i="7"/>
  <c r="K217" i="7"/>
  <c r="J217" i="7"/>
  <c r="I217" i="7"/>
  <c r="H217" i="7"/>
  <c r="G217" i="7"/>
  <c r="F217" i="7"/>
  <c r="E217" i="7"/>
  <c r="D217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P216" i="7" s="1"/>
  <c r="O215" i="7"/>
  <c r="N215" i="7"/>
  <c r="M215" i="7"/>
  <c r="L215" i="7"/>
  <c r="K215" i="7"/>
  <c r="J215" i="7"/>
  <c r="I215" i="7"/>
  <c r="H215" i="7"/>
  <c r="G215" i="7"/>
  <c r="F215" i="7"/>
  <c r="E215" i="7"/>
  <c r="D215" i="7"/>
  <c r="P215" i="7" s="1"/>
  <c r="O214" i="7"/>
  <c r="N214" i="7"/>
  <c r="M214" i="7"/>
  <c r="L214" i="7"/>
  <c r="K214" i="7"/>
  <c r="J214" i="7"/>
  <c r="I214" i="7"/>
  <c r="H214" i="7"/>
  <c r="G214" i="7"/>
  <c r="F214" i="7"/>
  <c r="E214" i="7"/>
  <c r="D214" i="7"/>
  <c r="P214" i="7" s="1"/>
  <c r="O213" i="7"/>
  <c r="N213" i="7"/>
  <c r="M213" i="7"/>
  <c r="L213" i="7"/>
  <c r="K213" i="7"/>
  <c r="J213" i="7"/>
  <c r="I213" i="7"/>
  <c r="H213" i="7"/>
  <c r="G213" i="7"/>
  <c r="F213" i="7"/>
  <c r="E213" i="7"/>
  <c r="D213" i="7"/>
  <c r="P213" i="7" s="1"/>
  <c r="O212" i="7"/>
  <c r="N212" i="7"/>
  <c r="M212" i="7"/>
  <c r="L212" i="7"/>
  <c r="K212" i="7"/>
  <c r="J212" i="7"/>
  <c r="I212" i="7"/>
  <c r="H212" i="7"/>
  <c r="G212" i="7"/>
  <c r="F212" i="7"/>
  <c r="E212" i="7"/>
  <c r="D212" i="7"/>
  <c r="O211" i="7"/>
  <c r="N211" i="7"/>
  <c r="M211" i="7"/>
  <c r="L211" i="7"/>
  <c r="K211" i="7"/>
  <c r="J211" i="7"/>
  <c r="I211" i="7"/>
  <c r="H211" i="7"/>
  <c r="G211" i="7"/>
  <c r="F211" i="7"/>
  <c r="E211" i="7"/>
  <c r="D211" i="7"/>
  <c r="P211" i="7" s="1"/>
  <c r="O210" i="7"/>
  <c r="N210" i="7"/>
  <c r="M210" i="7"/>
  <c r="L210" i="7"/>
  <c r="K210" i="7"/>
  <c r="J210" i="7"/>
  <c r="I210" i="7"/>
  <c r="H210" i="7"/>
  <c r="G210" i="7"/>
  <c r="F210" i="7"/>
  <c r="E210" i="7"/>
  <c r="D210" i="7"/>
  <c r="O209" i="7"/>
  <c r="N209" i="7"/>
  <c r="M209" i="7"/>
  <c r="L209" i="7"/>
  <c r="K209" i="7"/>
  <c r="J209" i="7"/>
  <c r="I209" i="7"/>
  <c r="H209" i="7"/>
  <c r="G209" i="7"/>
  <c r="F209" i="7"/>
  <c r="E209" i="7"/>
  <c r="D209" i="7"/>
  <c r="D255" i="7" s="1"/>
  <c r="P208" i="7"/>
  <c r="P207" i="7"/>
  <c r="P206" i="7"/>
  <c r="P205" i="7"/>
  <c r="P204" i="7"/>
  <c r="P203" i="7"/>
  <c r="P202" i="7"/>
  <c r="P201" i="7"/>
  <c r="P200" i="7"/>
  <c r="P199" i="7"/>
  <c r="P198" i="7"/>
  <c r="P197" i="7"/>
  <c r="P196" i="7"/>
  <c r="P195" i="7"/>
  <c r="P194" i="7"/>
  <c r="P193" i="7"/>
  <c r="P192" i="7"/>
  <c r="P191" i="7"/>
  <c r="P190" i="7"/>
  <c r="P189" i="7"/>
  <c r="P188" i="7"/>
  <c r="P187" i="7"/>
  <c r="P186" i="7"/>
  <c r="P185" i="7"/>
  <c r="Z14" i="8" s="1"/>
  <c r="P184" i="7"/>
  <c r="Y14" i="8" s="1"/>
  <c r="P183" i="7"/>
  <c r="X14" i="8" s="1"/>
  <c r="P182" i="7"/>
  <c r="W14" i="8" s="1"/>
  <c r="P181" i="7"/>
  <c r="V14" i="8" s="1"/>
  <c r="P180" i="7"/>
  <c r="P179" i="7"/>
  <c r="P178" i="7"/>
  <c r="S14" i="8" s="1"/>
  <c r="P177" i="7"/>
  <c r="R14" i="8" s="1"/>
  <c r="P176" i="7"/>
  <c r="Q14" i="8" s="1"/>
  <c r="P175" i="7"/>
  <c r="P14" i="8" s="1"/>
  <c r="P174" i="7"/>
  <c r="O14" i="8" s="1"/>
  <c r="P173" i="7"/>
  <c r="N14" i="8" s="1"/>
  <c r="P172" i="7"/>
  <c r="M14" i="8" s="1"/>
  <c r="P171" i="7"/>
  <c r="L14" i="8" s="1"/>
  <c r="P170" i="7"/>
  <c r="K14" i="8" s="1"/>
  <c r="P169" i="7"/>
  <c r="J14" i="8" s="1"/>
  <c r="P168" i="7"/>
  <c r="P167" i="7"/>
  <c r="H14" i="8" s="1"/>
  <c r="P166" i="7"/>
  <c r="G14" i="8" s="1"/>
  <c r="P165" i="7"/>
  <c r="F14" i="8" s="1"/>
  <c r="P164" i="7"/>
  <c r="E14" i="8" s="1"/>
  <c r="P163" i="7"/>
  <c r="P162" i="7"/>
  <c r="P161" i="7"/>
  <c r="Y13" i="8" s="1"/>
  <c r="P160" i="7"/>
  <c r="X13" i="8" s="1"/>
  <c r="P159" i="7"/>
  <c r="W13" i="8" s="1"/>
  <c r="W17" i="8" s="1"/>
  <c r="P158" i="7"/>
  <c r="V13" i="8" s="1"/>
  <c r="P157" i="7"/>
  <c r="U13" i="8" s="1"/>
  <c r="P156" i="7"/>
  <c r="T13" i="8" s="1"/>
  <c r="P155" i="7"/>
  <c r="S13" i="8" s="1"/>
  <c r="P154" i="7"/>
  <c r="R13" i="8" s="1"/>
  <c r="P153" i="7"/>
  <c r="P152" i="7"/>
  <c r="P13" i="8" s="1"/>
  <c r="P151" i="7"/>
  <c r="P150" i="7"/>
  <c r="P149" i="7"/>
  <c r="M13" i="8" s="1"/>
  <c r="P148" i="7"/>
  <c r="L13" i="8" s="1"/>
  <c r="L17" i="8" s="1"/>
  <c r="P147" i="7"/>
  <c r="K13" i="8" s="1"/>
  <c r="P146" i="7"/>
  <c r="J13" i="8" s="1"/>
  <c r="J17" i="8" s="1"/>
  <c r="P145" i="7"/>
  <c r="P144" i="7"/>
  <c r="P143" i="7"/>
  <c r="G13" i="8" s="1"/>
  <c r="P142" i="7"/>
  <c r="F13" i="8" s="1"/>
  <c r="P141" i="7"/>
  <c r="E13" i="8" s="1"/>
  <c r="P140" i="7"/>
  <c r="D13" i="8" s="1"/>
  <c r="P139" i="7"/>
  <c r="Z9" i="8" s="1"/>
  <c r="P138" i="7"/>
  <c r="P137" i="7"/>
  <c r="X9" i="8" s="1"/>
  <c r="P136" i="7"/>
  <c r="W9" i="8" s="1"/>
  <c r="P135" i="7"/>
  <c r="V9" i="8" s="1"/>
  <c r="P134" i="7"/>
  <c r="U9" i="8" s="1"/>
  <c r="P133" i="7"/>
  <c r="T9" i="8" s="1"/>
  <c r="P132" i="7"/>
  <c r="S9" i="8" s="1"/>
  <c r="P131" i="7"/>
  <c r="R9" i="8" s="1"/>
  <c r="P130" i="7"/>
  <c r="Q9" i="8" s="1"/>
  <c r="P129" i="7"/>
  <c r="P9" i="8" s="1"/>
  <c r="P128" i="7"/>
  <c r="O9" i="8" s="1"/>
  <c r="P127" i="7"/>
  <c r="N9" i="8" s="1"/>
  <c r="P126" i="7"/>
  <c r="P125" i="7"/>
  <c r="L9" i="8" s="1"/>
  <c r="P124" i="7"/>
  <c r="K9" i="8" s="1"/>
  <c r="P123" i="7"/>
  <c r="J9" i="8" s="1"/>
  <c r="P122" i="7"/>
  <c r="I9" i="8" s="1"/>
  <c r="P121" i="7"/>
  <c r="H9" i="8" s="1"/>
  <c r="P120" i="7"/>
  <c r="G9" i="8" s="1"/>
  <c r="P119" i="7"/>
  <c r="F9" i="8" s="1"/>
  <c r="P118" i="7"/>
  <c r="E9" i="8" s="1"/>
  <c r="P117" i="7"/>
  <c r="D9" i="8" s="1"/>
  <c r="P116" i="7"/>
  <c r="Z16" i="8" s="1"/>
  <c r="P115" i="7"/>
  <c r="Y16" i="8" s="1"/>
  <c r="P114" i="7"/>
  <c r="X16" i="8" s="1"/>
  <c r="P113" i="7"/>
  <c r="W16" i="8" s="1"/>
  <c r="P112" i="7"/>
  <c r="V16" i="8" s="1"/>
  <c r="P111" i="7"/>
  <c r="U16" i="8" s="1"/>
  <c r="P110" i="7"/>
  <c r="T16" i="8" s="1"/>
  <c r="P109" i="7"/>
  <c r="P108" i="7"/>
  <c r="R16" i="8" s="1"/>
  <c r="P107" i="7"/>
  <c r="Q16" i="8" s="1"/>
  <c r="P106" i="7"/>
  <c r="P16" i="8" s="1"/>
  <c r="P105" i="7"/>
  <c r="O16" i="8" s="1"/>
  <c r="P104" i="7"/>
  <c r="N16" i="8" s="1"/>
  <c r="P103" i="7"/>
  <c r="M16" i="8" s="1"/>
  <c r="P102" i="7"/>
  <c r="L16" i="8" s="1"/>
  <c r="P101" i="7"/>
  <c r="K16" i="8" s="1"/>
  <c r="P100" i="7"/>
  <c r="J16" i="8" s="1"/>
  <c r="P99" i="7"/>
  <c r="I16" i="8" s="1"/>
  <c r="P98" i="7"/>
  <c r="H16" i="8" s="1"/>
  <c r="P97" i="7"/>
  <c r="G16" i="8" s="1"/>
  <c r="P96" i="7"/>
  <c r="F16" i="8" s="1"/>
  <c r="P95" i="7"/>
  <c r="E16" i="8" s="1"/>
  <c r="P94" i="7"/>
  <c r="D16" i="8" s="1"/>
  <c r="P93" i="7"/>
  <c r="Z10" i="8" s="1"/>
  <c r="P92" i="7"/>
  <c r="Y10" i="8" s="1"/>
  <c r="P91" i="7"/>
  <c r="P90" i="7"/>
  <c r="P89" i="7"/>
  <c r="V10" i="8" s="1"/>
  <c r="P88" i="7"/>
  <c r="U10" i="8" s="1"/>
  <c r="P87" i="7"/>
  <c r="T10" i="8" s="1"/>
  <c r="P86" i="7"/>
  <c r="S10" i="8" s="1"/>
  <c r="P85" i="7"/>
  <c r="R10" i="8" s="1"/>
  <c r="P84" i="7"/>
  <c r="P83" i="7"/>
  <c r="P10" i="8" s="1"/>
  <c r="P82" i="7"/>
  <c r="P81" i="7"/>
  <c r="N10" i="8" s="1"/>
  <c r="P80" i="7"/>
  <c r="M10" i="8" s="1"/>
  <c r="P79" i="7"/>
  <c r="L10" i="8" s="1"/>
  <c r="P78" i="7"/>
  <c r="P77" i="7"/>
  <c r="J10" i="8" s="1"/>
  <c r="P76" i="7"/>
  <c r="I10" i="8" s="1"/>
  <c r="P75" i="7"/>
  <c r="H10" i="8" s="1"/>
  <c r="P74" i="7"/>
  <c r="P73" i="7"/>
  <c r="P72" i="7"/>
  <c r="E10" i="8" s="1"/>
  <c r="P71" i="7"/>
  <c r="D10" i="8" s="1"/>
  <c r="P70" i="7"/>
  <c r="Z6" i="8" s="1"/>
  <c r="P69" i="7"/>
  <c r="Y6" i="8" s="1"/>
  <c r="P68" i="7"/>
  <c r="X6" i="8" s="1"/>
  <c r="P67" i="7"/>
  <c r="P66" i="7"/>
  <c r="P65" i="7"/>
  <c r="U6" i="8" s="1"/>
  <c r="P64" i="7"/>
  <c r="T6" i="8" s="1"/>
  <c r="P63" i="7"/>
  <c r="S6" i="8" s="1"/>
  <c r="P62" i="7"/>
  <c r="R6" i="8" s="1"/>
  <c r="P61" i="7"/>
  <c r="Q6" i="8" s="1"/>
  <c r="P60" i="7"/>
  <c r="P6" i="8" s="1"/>
  <c r="P59" i="7"/>
  <c r="O6" i="8" s="1"/>
  <c r="P58" i="7"/>
  <c r="N6" i="8" s="1"/>
  <c r="P57" i="7"/>
  <c r="M6" i="8" s="1"/>
  <c r="P56" i="7"/>
  <c r="L6" i="8" s="1"/>
  <c r="P55" i="7"/>
  <c r="P54" i="7"/>
  <c r="J6" i="8" s="1"/>
  <c r="P53" i="7"/>
  <c r="I6" i="8" s="1"/>
  <c r="P52" i="7"/>
  <c r="H6" i="8" s="1"/>
  <c r="P51" i="7"/>
  <c r="G6" i="8" s="1"/>
  <c r="P50" i="7"/>
  <c r="F6" i="8" s="1"/>
  <c r="P49" i="7"/>
  <c r="E6" i="8" s="1"/>
  <c r="P48" i="7"/>
  <c r="D6" i="8" s="1"/>
  <c r="P47" i="7"/>
  <c r="P46" i="7"/>
  <c r="Y4" i="8" s="1"/>
  <c r="P45" i="7"/>
  <c r="X4" i="8" s="1"/>
  <c r="P44" i="7"/>
  <c r="W4" i="8" s="1"/>
  <c r="P43" i="7"/>
  <c r="V4" i="8" s="1"/>
  <c r="P42" i="7"/>
  <c r="P41" i="7"/>
  <c r="T4" i="8" s="1"/>
  <c r="P40" i="7"/>
  <c r="S4" i="8" s="1"/>
  <c r="P39" i="7"/>
  <c r="R4" i="8" s="1"/>
  <c r="P38" i="7"/>
  <c r="Q4" i="8" s="1"/>
  <c r="P37" i="7"/>
  <c r="P4" i="8" s="1"/>
  <c r="P36" i="7"/>
  <c r="O4" i="8" s="1"/>
  <c r="P35" i="7"/>
  <c r="N4" i="8" s="1"/>
  <c r="P34" i="7"/>
  <c r="M4" i="8" s="1"/>
  <c r="P33" i="7"/>
  <c r="L4" i="8" s="1"/>
  <c r="P32" i="7"/>
  <c r="K4" i="8" s="1"/>
  <c r="P31" i="7"/>
  <c r="J4" i="8" s="1"/>
  <c r="P30" i="7"/>
  <c r="P29" i="7"/>
  <c r="H4" i="8" s="1"/>
  <c r="P28" i="7"/>
  <c r="G4" i="8" s="1"/>
  <c r="P27" i="7"/>
  <c r="F4" i="8" s="1"/>
  <c r="P26" i="7"/>
  <c r="E4" i="8" s="1"/>
  <c r="P25" i="7"/>
  <c r="D4" i="8" s="1"/>
  <c r="P24" i="7"/>
  <c r="Z3" i="8" s="1"/>
  <c r="P23" i="7"/>
  <c r="Y3" i="8" s="1"/>
  <c r="Y5" i="8" s="1"/>
  <c r="P22" i="7"/>
  <c r="X3" i="8" s="1"/>
  <c r="X5" i="8" s="1"/>
  <c r="P21" i="7"/>
  <c r="W3" i="8" s="1"/>
  <c r="W5" i="8" s="1"/>
  <c r="P20" i="7"/>
  <c r="V3" i="8" s="1"/>
  <c r="P19" i="7"/>
  <c r="P18" i="7"/>
  <c r="P17" i="7"/>
  <c r="S3" i="8" s="1"/>
  <c r="S5" i="8" s="1"/>
  <c r="P16" i="7"/>
  <c r="R3" i="8" s="1"/>
  <c r="P15" i="7"/>
  <c r="Q3" i="8" s="1"/>
  <c r="Q5" i="8" s="1"/>
  <c r="P14" i="7"/>
  <c r="P3" i="8" s="1"/>
  <c r="P5" i="8" s="1"/>
  <c r="P13" i="7"/>
  <c r="O3" i="8" s="1"/>
  <c r="P12" i="7"/>
  <c r="N3" i="8" s="1"/>
  <c r="P11" i="7"/>
  <c r="M3" i="8" s="1"/>
  <c r="P10" i="7"/>
  <c r="L3" i="8" s="1"/>
  <c r="L5" i="8" s="1"/>
  <c r="P9" i="7"/>
  <c r="P8" i="7"/>
  <c r="J3" i="8" s="1"/>
  <c r="P7" i="7"/>
  <c r="P6" i="7"/>
  <c r="P5" i="7"/>
  <c r="G3" i="8" s="1"/>
  <c r="G5" i="8" s="1"/>
  <c r="P4" i="7"/>
  <c r="F3" i="8" s="1"/>
  <c r="P3" i="7"/>
  <c r="E3" i="8" s="1"/>
  <c r="E5" i="8" s="1"/>
  <c r="P2" i="7"/>
  <c r="D3" i="8" s="1"/>
  <c r="D5" i="8" s="1"/>
  <c r="I17" i="6"/>
  <c r="Q16" i="6"/>
  <c r="Q16" i="18" s="1"/>
  <c r="P16" i="6"/>
  <c r="P16" i="18" s="1"/>
  <c r="D16" i="6"/>
  <c r="D16" i="18" s="1"/>
  <c r="Z15" i="6"/>
  <c r="Z15" i="18" s="1"/>
  <c r="T15" i="6"/>
  <c r="S15" i="6"/>
  <c r="I15" i="6"/>
  <c r="H15" i="6"/>
  <c r="G15" i="6"/>
  <c r="S14" i="6"/>
  <c r="S14" i="18" s="1"/>
  <c r="P14" i="6"/>
  <c r="P14" i="18" s="1"/>
  <c r="O14" i="6"/>
  <c r="O14" i="18" s="1"/>
  <c r="D14" i="6"/>
  <c r="D14" i="18" s="1"/>
  <c r="W13" i="6"/>
  <c r="T13" i="6"/>
  <c r="R13" i="6"/>
  <c r="Q13" i="6"/>
  <c r="Q13" i="18" s="1"/>
  <c r="G13" i="6"/>
  <c r="F13" i="6"/>
  <c r="F13" i="18" s="1"/>
  <c r="E13" i="6"/>
  <c r="U10" i="6"/>
  <c r="U10" i="18" s="1"/>
  <c r="R10" i="6"/>
  <c r="R10" i="18" s="1"/>
  <c r="P10" i="6"/>
  <c r="P10" i="18" s="1"/>
  <c r="O10" i="6"/>
  <c r="O10" i="18" s="1"/>
  <c r="E10" i="6"/>
  <c r="E10" i="18" s="1"/>
  <c r="D10" i="6"/>
  <c r="D10" i="18" s="1"/>
  <c r="Z9" i="6"/>
  <c r="Z9" i="18" s="1"/>
  <c r="W9" i="6"/>
  <c r="W9" i="18" s="1"/>
  <c r="Q9" i="6"/>
  <c r="Q9" i="18" s="1"/>
  <c r="P9" i="6"/>
  <c r="P9" i="18" s="1"/>
  <c r="N9" i="6"/>
  <c r="N9" i="18" s="1"/>
  <c r="K9" i="6"/>
  <c r="K9" i="18" s="1"/>
  <c r="J9" i="6"/>
  <c r="J9" i="18" s="1"/>
  <c r="E9" i="6"/>
  <c r="E9" i="18" s="1"/>
  <c r="Z6" i="6"/>
  <c r="Y6" i="6"/>
  <c r="N6" i="6"/>
  <c r="F6" i="6"/>
  <c r="P5" i="6"/>
  <c r="M5" i="6"/>
  <c r="Y4" i="6"/>
  <c r="Y4" i="18" s="1"/>
  <c r="X4" i="6"/>
  <c r="X4" i="18" s="1"/>
  <c r="V4" i="6"/>
  <c r="V4" i="18" s="1"/>
  <c r="M4" i="6"/>
  <c r="M4" i="18" s="1"/>
  <c r="L4" i="6"/>
  <c r="L4" i="18" s="1"/>
  <c r="J4" i="6"/>
  <c r="J4" i="18" s="1"/>
  <c r="X3" i="6"/>
  <c r="X3" i="18" s="1"/>
  <c r="U3" i="6"/>
  <c r="P3" i="6"/>
  <c r="P3" i="18" s="1"/>
  <c r="F3" i="6"/>
  <c r="E3" i="6"/>
  <c r="P254" i="5"/>
  <c r="P253" i="5"/>
  <c r="Y15" i="6" s="1"/>
  <c r="P252" i="5"/>
  <c r="X15" i="6" s="1"/>
  <c r="X15" i="18" s="1"/>
  <c r="P251" i="5"/>
  <c r="P250" i="5"/>
  <c r="P249" i="5"/>
  <c r="U15" i="6" s="1"/>
  <c r="P248" i="5"/>
  <c r="P247" i="5"/>
  <c r="P246" i="5"/>
  <c r="P245" i="5"/>
  <c r="Q15" i="6" s="1"/>
  <c r="Q15" i="18" s="1"/>
  <c r="P244" i="5"/>
  <c r="P15" i="6" s="1"/>
  <c r="P15" i="18" s="1"/>
  <c r="P243" i="5"/>
  <c r="P242" i="5"/>
  <c r="P241" i="5"/>
  <c r="M15" i="6" s="1"/>
  <c r="P240" i="5"/>
  <c r="L15" i="6" s="1"/>
  <c r="L15" i="18" s="1"/>
  <c r="P239" i="5"/>
  <c r="P238" i="5"/>
  <c r="P237" i="5"/>
  <c r="P236" i="5"/>
  <c r="P235" i="5"/>
  <c r="P234" i="5"/>
  <c r="P233" i="5"/>
  <c r="E15" i="6" s="1"/>
  <c r="E15" i="18" s="1"/>
  <c r="P232" i="5"/>
  <c r="D15" i="6" s="1"/>
  <c r="D15" i="18" s="1"/>
  <c r="O231" i="5"/>
  <c r="N231" i="5"/>
  <c r="M231" i="5"/>
  <c r="L231" i="5"/>
  <c r="K231" i="5"/>
  <c r="J231" i="5"/>
  <c r="I231" i="5"/>
  <c r="H231" i="5"/>
  <c r="G231" i="5"/>
  <c r="F231" i="5"/>
  <c r="E231" i="5"/>
  <c r="D231" i="5"/>
  <c r="O230" i="5"/>
  <c r="N230" i="5"/>
  <c r="M230" i="5"/>
  <c r="L230" i="5"/>
  <c r="K230" i="5"/>
  <c r="J230" i="5"/>
  <c r="I230" i="5"/>
  <c r="H230" i="5"/>
  <c r="G230" i="5"/>
  <c r="F230" i="5"/>
  <c r="E230" i="5"/>
  <c r="D230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O228" i="5"/>
  <c r="N228" i="5"/>
  <c r="M228" i="5"/>
  <c r="L228" i="5"/>
  <c r="K228" i="5"/>
  <c r="J228" i="5"/>
  <c r="I228" i="5"/>
  <c r="H228" i="5"/>
  <c r="G228" i="5"/>
  <c r="F228" i="5"/>
  <c r="E228" i="5"/>
  <c r="D228" i="5"/>
  <c r="P228" i="5" s="1"/>
  <c r="O227" i="5"/>
  <c r="N227" i="5"/>
  <c r="M227" i="5"/>
  <c r="L227" i="5"/>
  <c r="K227" i="5"/>
  <c r="J227" i="5"/>
  <c r="I227" i="5"/>
  <c r="H227" i="5"/>
  <c r="G227" i="5"/>
  <c r="F227" i="5"/>
  <c r="E227" i="5"/>
  <c r="D227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O225" i="5"/>
  <c r="N225" i="5"/>
  <c r="M225" i="5"/>
  <c r="L225" i="5"/>
  <c r="K225" i="5"/>
  <c r="J225" i="5"/>
  <c r="I225" i="5"/>
  <c r="H225" i="5"/>
  <c r="G225" i="5"/>
  <c r="F225" i="5"/>
  <c r="E225" i="5"/>
  <c r="D225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O223" i="5"/>
  <c r="N223" i="5"/>
  <c r="M223" i="5"/>
  <c r="L223" i="5"/>
  <c r="K223" i="5"/>
  <c r="J223" i="5"/>
  <c r="I223" i="5"/>
  <c r="H223" i="5"/>
  <c r="G223" i="5"/>
  <c r="F223" i="5"/>
  <c r="E223" i="5"/>
  <c r="D223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P217" i="5" s="1"/>
  <c r="O216" i="5"/>
  <c r="N216" i="5"/>
  <c r="M216" i="5"/>
  <c r="L216" i="5"/>
  <c r="K216" i="5"/>
  <c r="J216" i="5"/>
  <c r="I216" i="5"/>
  <c r="H216" i="5"/>
  <c r="G216" i="5"/>
  <c r="F216" i="5"/>
  <c r="E216" i="5"/>
  <c r="D216" i="5"/>
  <c r="P216" i="5" s="1"/>
  <c r="O215" i="5"/>
  <c r="N215" i="5"/>
  <c r="M215" i="5"/>
  <c r="L215" i="5"/>
  <c r="K215" i="5"/>
  <c r="J215" i="5"/>
  <c r="I215" i="5"/>
  <c r="H215" i="5"/>
  <c r="G215" i="5"/>
  <c r="F215" i="5"/>
  <c r="E215" i="5"/>
  <c r="D215" i="5"/>
  <c r="P215" i="5" s="1"/>
  <c r="O214" i="5"/>
  <c r="N214" i="5"/>
  <c r="M214" i="5"/>
  <c r="L214" i="5"/>
  <c r="K214" i="5"/>
  <c r="J214" i="5"/>
  <c r="I214" i="5"/>
  <c r="H214" i="5"/>
  <c r="G214" i="5"/>
  <c r="F214" i="5"/>
  <c r="E214" i="5"/>
  <c r="D214" i="5"/>
  <c r="P214" i="5" s="1"/>
  <c r="O213" i="5"/>
  <c r="N213" i="5"/>
  <c r="M213" i="5"/>
  <c r="L213" i="5"/>
  <c r="K213" i="5"/>
  <c r="J213" i="5"/>
  <c r="I213" i="5"/>
  <c r="H213" i="5"/>
  <c r="G213" i="5"/>
  <c r="F213" i="5"/>
  <c r="E213" i="5"/>
  <c r="D213" i="5"/>
  <c r="O212" i="5"/>
  <c r="N212" i="5"/>
  <c r="M212" i="5"/>
  <c r="L212" i="5"/>
  <c r="K212" i="5"/>
  <c r="J212" i="5"/>
  <c r="I212" i="5"/>
  <c r="H212" i="5"/>
  <c r="G212" i="5"/>
  <c r="F212" i="5"/>
  <c r="E212" i="5"/>
  <c r="D212" i="5"/>
  <c r="O211" i="5"/>
  <c r="N211" i="5"/>
  <c r="M211" i="5"/>
  <c r="L211" i="5"/>
  <c r="K211" i="5"/>
  <c r="J211" i="5"/>
  <c r="I211" i="5"/>
  <c r="H211" i="5"/>
  <c r="G211" i="5"/>
  <c r="F211" i="5"/>
  <c r="E211" i="5"/>
  <c r="D211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O209" i="5"/>
  <c r="N209" i="5"/>
  <c r="M209" i="5"/>
  <c r="L209" i="5"/>
  <c r="K209" i="5"/>
  <c r="J209" i="5"/>
  <c r="I209" i="5"/>
  <c r="H209" i="5"/>
  <c r="G209" i="5"/>
  <c r="F209" i="5"/>
  <c r="E209" i="5"/>
  <c r="D209" i="5"/>
  <c r="D255" i="5" s="1"/>
  <c r="D8" i="6" s="1"/>
  <c r="P208" i="5"/>
  <c r="P207" i="5"/>
  <c r="P206" i="5"/>
  <c r="P205" i="5"/>
  <c r="P204" i="5"/>
  <c r="V15" i="6" s="1"/>
  <c r="V15" i="18" s="1"/>
  <c r="P203" i="5"/>
  <c r="P202" i="5"/>
  <c r="P201" i="5"/>
  <c r="P200" i="5"/>
  <c r="P199" i="5"/>
  <c r="P198" i="5"/>
  <c r="P197" i="5"/>
  <c r="P196" i="5"/>
  <c r="N15" i="6" s="1"/>
  <c r="N15" i="18" s="1"/>
  <c r="P195" i="5"/>
  <c r="P194" i="5"/>
  <c r="P193" i="5"/>
  <c r="P192" i="5"/>
  <c r="J15" i="6" s="1"/>
  <c r="P191" i="5"/>
  <c r="P190" i="5"/>
  <c r="P189" i="5"/>
  <c r="P188" i="5"/>
  <c r="P187" i="5"/>
  <c r="P186" i="5"/>
  <c r="P185" i="5"/>
  <c r="Z14" i="6" s="1"/>
  <c r="Z14" i="18" s="1"/>
  <c r="P184" i="5"/>
  <c r="Y14" i="6" s="1"/>
  <c r="Y14" i="18" s="1"/>
  <c r="P183" i="5"/>
  <c r="X14" i="6" s="1"/>
  <c r="X14" i="18" s="1"/>
  <c r="P182" i="5"/>
  <c r="W14" i="6" s="1"/>
  <c r="W14" i="18" s="1"/>
  <c r="P181" i="5"/>
  <c r="V14" i="6" s="1"/>
  <c r="V14" i="18" s="1"/>
  <c r="P180" i="5"/>
  <c r="U14" i="6" s="1"/>
  <c r="U14" i="18" s="1"/>
  <c r="P179" i="5"/>
  <c r="T14" i="6" s="1"/>
  <c r="T14" i="18" s="1"/>
  <c r="P178" i="5"/>
  <c r="P177" i="5"/>
  <c r="R14" i="6" s="1"/>
  <c r="R14" i="18" s="1"/>
  <c r="P176" i="5"/>
  <c r="Q14" i="6" s="1"/>
  <c r="Q14" i="18" s="1"/>
  <c r="P175" i="5"/>
  <c r="P174" i="5"/>
  <c r="P173" i="5"/>
  <c r="N14" i="6" s="1"/>
  <c r="N14" i="18" s="1"/>
  <c r="P172" i="5"/>
  <c r="M14" i="6" s="1"/>
  <c r="M14" i="18" s="1"/>
  <c r="P171" i="5"/>
  <c r="L14" i="6" s="1"/>
  <c r="L14" i="18" s="1"/>
  <c r="P170" i="5"/>
  <c r="K14" i="6" s="1"/>
  <c r="K14" i="18" s="1"/>
  <c r="P169" i="5"/>
  <c r="J14" i="6" s="1"/>
  <c r="J14" i="18" s="1"/>
  <c r="P168" i="5"/>
  <c r="I14" i="6" s="1"/>
  <c r="I14" i="18" s="1"/>
  <c r="P167" i="5"/>
  <c r="H14" i="6" s="1"/>
  <c r="H14" i="18" s="1"/>
  <c r="P166" i="5"/>
  <c r="G14" i="6" s="1"/>
  <c r="G14" i="18" s="1"/>
  <c r="P165" i="5"/>
  <c r="F14" i="6" s="1"/>
  <c r="F14" i="18" s="1"/>
  <c r="P164" i="5"/>
  <c r="E14" i="6" s="1"/>
  <c r="E14" i="18" s="1"/>
  <c r="P163" i="5"/>
  <c r="P162" i="5"/>
  <c r="Z13" i="6" s="1"/>
  <c r="P161" i="5"/>
  <c r="Y13" i="6" s="1"/>
  <c r="P160" i="5"/>
  <c r="X13" i="6" s="1"/>
  <c r="P159" i="5"/>
  <c r="P158" i="5"/>
  <c r="V13" i="6" s="1"/>
  <c r="V13" i="18" s="1"/>
  <c r="P157" i="5"/>
  <c r="U13" i="6" s="1"/>
  <c r="P156" i="5"/>
  <c r="P155" i="5"/>
  <c r="S13" i="6" s="1"/>
  <c r="P154" i="5"/>
  <c r="P153" i="5"/>
  <c r="P152" i="5"/>
  <c r="P13" i="6" s="1"/>
  <c r="P151" i="5"/>
  <c r="O13" i="6" s="1"/>
  <c r="P150" i="5"/>
  <c r="N13" i="6" s="1"/>
  <c r="P149" i="5"/>
  <c r="M13" i="6" s="1"/>
  <c r="P148" i="5"/>
  <c r="L13" i="6" s="1"/>
  <c r="P147" i="5"/>
  <c r="K13" i="6" s="1"/>
  <c r="K13" i="18" s="1"/>
  <c r="P146" i="5"/>
  <c r="J13" i="6" s="1"/>
  <c r="J13" i="18" s="1"/>
  <c r="P145" i="5"/>
  <c r="I13" i="6" s="1"/>
  <c r="I13" i="18" s="1"/>
  <c r="P144" i="5"/>
  <c r="H13" i="6" s="1"/>
  <c r="P143" i="5"/>
  <c r="P142" i="5"/>
  <c r="P141" i="5"/>
  <c r="P140" i="5"/>
  <c r="D13" i="6" s="1"/>
  <c r="P139" i="5"/>
  <c r="P138" i="5"/>
  <c r="Y9" i="6" s="1"/>
  <c r="Y9" i="18" s="1"/>
  <c r="P137" i="5"/>
  <c r="X9" i="6" s="1"/>
  <c r="X9" i="18" s="1"/>
  <c r="P136" i="5"/>
  <c r="P135" i="5"/>
  <c r="V9" i="6" s="1"/>
  <c r="V9" i="18" s="1"/>
  <c r="P134" i="5"/>
  <c r="U9" i="6" s="1"/>
  <c r="U9" i="18" s="1"/>
  <c r="P133" i="5"/>
  <c r="T9" i="6" s="1"/>
  <c r="T9" i="18" s="1"/>
  <c r="P132" i="5"/>
  <c r="S9" i="6" s="1"/>
  <c r="S9" i="18" s="1"/>
  <c r="P131" i="5"/>
  <c r="R9" i="6" s="1"/>
  <c r="R9" i="18" s="1"/>
  <c r="P130" i="5"/>
  <c r="P129" i="5"/>
  <c r="P128" i="5"/>
  <c r="O9" i="6" s="1"/>
  <c r="O9" i="18" s="1"/>
  <c r="P127" i="5"/>
  <c r="P126" i="5"/>
  <c r="M9" i="6" s="1"/>
  <c r="M9" i="18" s="1"/>
  <c r="P125" i="5"/>
  <c r="L9" i="6" s="1"/>
  <c r="L9" i="18" s="1"/>
  <c r="P124" i="5"/>
  <c r="P123" i="5"/>
  <c r="P122" i="5"/>
  <c r="I9" i="6" s="1"/>
  <c r="I9" i="18" s="1"/>
  <c r="P121" i="5"/>
  <c r="H9" i="6" s="1"/>
  <c r="H9" i="18" s="1"/>
  <c r="P120" i="5"/>
  <c r="G9" i="6" s="1"/>
  <c r="G9" i="18" s="1"/>
  <c r="P119" i="5"/>
  <c r="F9" i="6" s="1"/>
  <c r="F9" i="18" s="1"/>
  <c r="P118" i="5"/>
  <c r="P117" i="5"/>
  <c r="D9" i="6" s="1"/>
  <c r="D9" i="18" s="1"/>
  <c r="P116" i="5"/>
  <c r="Z16" i="6" s="1"/>
  <c r="Z16" i="18" s="1"/>
  <c r="P115" i="5"/>
  <c r="Y16" i="6" s="1"/>
  <c r="Y16" i="18" s="1"/>
  <c r="P114" i="5"/>
  <c r="X16" i="6" s="1"/>
  <c r="X16" i="18" s="1"/>
  <c r="P113" i="5"/>
  <c r="W16" i="6" s="1"/>
  <c r="W16" i="18" s="1"/>
  <c r="P112" i="5"/>
  <c r="V16" i="6" s="1"/>
  <c r="V16" i="18" s="1"/>
  <c r="P111" i="5"/>
  <c r="U16" i="6" s="1"/>
  <c r="U16" i="18" s="1"/>
  <c r="P110" i="5"/>
  <c r="T16" i="6" s="1"/>
  <c r="T16" i="18" s="1"/>
  <c r="P109" i="5"/>
  <c r="S16" i="6" s="1"/>
  <c r="S16" i="18" s="1"/>
  <c r="P108" i="5"/>
  <c r="R16" i="6" s="1"/>
  <c r="R16" i="18" s="1"/>
  <c r="P107" i="5"/>
  <c r="P106" i="5"/>
  <c r="P105" i="5"/>
  <c r="O16" i="6" s="1"/>
  <c r="O16" i="18" s="1"/>
  <c r="P104" i="5"/>
  <c r="N16" i="6" s="1"/>
  <c r="N16" i="18" s="1"/>
  <c r="P103" i="5"/>
  <c r="M16" i="6" s="1"/>
  <c r="M16" i="18" s="1"/>
  <c r="P102" i="5"/>
  <c r="L16" i="6" s="1"/>
  <c r="L16" i="18" s="1"/>
  <c r="P101" i="5"/>
  <c r="K16" i="6" s="1"/>
  <c r="K16" i="18" s="1"/>
  <c r="P100" i="5"/>
  <c r="J16" i="6" s="1"/>
  <c r="J16" i="18" s="1"/>
  <c r="P99" i="5"/>
  <c r="I16" i="6" s="1"/>
  <c r="I16" i="18" s="1"/>
  <c r="P98" i="5"/>
  <c r="H16" i="6" s="1"/>
  <c r="H16" i="18" s="1"/>
  <c r="P97" i="5"/>
  <c r="G16" i="6" s="1"/>
  <c r="G16" i="18" s="1"/>
  <c r="P96" i="5"/>
  <c r="F16" i="6" s="1"/>
  <c r="F16" i="18" s="1"/>
  <c r="P95" i="5"/>
  <c r="E16" i="6" s="1"/>
  <c r="E16" i="18" s="1"/>
  <c r="P94" i="5"/>
  <c r="P93" i="5"/>
  <c r="Z10" i="6" s="1"/>
  <c r="Z10" i="18" s="1"/>
  <c r="P92" i="5"/>
  <c r="Y10" i="6" s="1"/>
  <c r="Y10" i="18" s="1"/>
  <c r="P91" i="5"/>
  <c r="X10" i="6" s="1"/>
  <c r="X10" i="18" s="1"/>
  <c r="P90" i="5"/>
  <c r="W10" i="6" s="1"/>
  <c r="W10" i="18" s="1"/>
  <c r="P89" i="5"/>
  <c r="V10" i="6" s="1"/>
  <c r="V10" i="18" s="1"/>
  <c r="P88" i="5"/>
  <c r="P87" i="5"/>
  <c r="T10" i="6" s="1"/>
  <c r="T10" i="18" s="1"/>
  <c r="P86" i="5"/>
  <c r="S10" i="6" s="1"/>
  <c r="S10" i="18" s="1"/>
  <c r="P85" i="5"/>
  <c r="P84" i="5"/>
  <c r="Q10" i="6" s="1"/>
  <c r="Q10" i="18" s="1"/>
  <c r="P83" i="5"/>
  <c r="P82" i="5"/>
  <c r="P81" i="5"/>
  <c r="N10" i="6" s="1"/>
  <c r="N10" i="18" s="1"/>
  <c r="P80" i="5"/>
  <c r="M10" i="6" s="1"/>
  <c r="M10" i="18" s="1"/>
  <c r="P79" i="5"/>
  <c r="L10" i="6" s="1"/>
  <c r="L10" i="18" s="1"/>
  <c r="P78" i="5"/>
  <c r="K10" i="6" s="1"/>
  <c r="K10" i="18" s="1"/>
  <c r="P77" i="5"/>
  <c r="J10" i="6" s="1"/>
  <c r="J10" i="18" s="1"/>
  <c r="P76" i="5"/>
  <c r="I10" i="6" s="1"/>
  <c r="I10" i="18" s="1"/>
  <c r="P75" i="5"/>
  <c r="H10" i="6" s="1"/>
  <c r="H10" i="18" s="1"/>
  <c r="P74" i="5"/>
  <c r="G10" i="6" s="1"/>
  <c r="G10" i="18" s="1"/>
  <c r="P73" i="5"/>
  <c r="F10" i="6" s="1"/>
  <c r="F10" i="18" s="1"/>
  <c r="P72" i="5"/>
  <c r="P71" i="5"/>
  <c r="P70" i="5"/>
  <c r="P69" i="5"/>
  <c r="P68" i="5"/>
  <c r="X6" i="6" s="1"/>
  <c r="P67" i="5"/>
  <c r="W6" i="6" s="1"/>
  <c r="P66" i="5"/>
  <c r="V6" i="6" s="1"/>
  <c r="P65" i="5"/>
  <c r="U6" i="6" s="1"/>
  <c r="P64" i="5"/>
  <c r="T6" i="6" s="1"/>
  <c r="P63" i="5"/>
  <c r="S6" i="6" s="1"/>
  <c r="P62" i="5"/>
  <c r="R6" i="6" s="1"/>
  <c r="P61" i="5"/>
  <c r="Q6" i="6" s="1"/>
  <c r="P60" i="5"/>
  <c r="P6" i="6" s="1"/>
  <c r="P59" i="5"/>
  <c r="O6" i="6" s="1"/>
  <c r="P58" i="5"/>
  <c r="P57" i="5"/>
  <c r="M6" i="6" s="1"/>
  <c r="P56" i="5"/>
  <c r="L6" i="6" s="1"/>
  <c r="P55" i="5"/>
  <c r="K6" i="6" s="1"/>
  <c r="P54" i="5"/>
  <c r="J6" i="6" s="1"/>
  <c r="P53" i="5"/>
  <c r="I6" i="6" s="1"/>
  <c r="P52" i="5"/>
  <c r="H6" i="6" s="1"/>
  <c r="P51" i="5"/>
  <c r="G6" i="6" s="1"/>
  <c r="P50" i="5"/>
  <c r="P49" i="5"/>
  <c r="E6" i="6" s="1"/>
  <c r="P48" i="5"/>
  <c r="D6" i="6" s="1"/>
  <c r="P47" i="5"/>
  <c r="Z4" i="6" s="1"/>
  <c r="Z4" i="18" s="1"/>
  <c r="Z6" i="18" s="1"/>
  <c r="P46" i="5"/>
  <c r="P45" i="5"/>
  <c r="P44" i="5"/>
  <c r="W4" i="6" s="1"/>
  <c r="W4" i="18" s="1"/>
  <c r="P43" i="5"/>
  <c r="P42" i="5"/>
  <c r="U4" i="6" s="1"/>
  <c r="U4" i="18" s="1"/>
  <c r="P41" i="5"/>
  <c r="T4" i="6" s="1"/>
  <c r="T4" i="18" s="1"/>
  <c r="P40" i="5"/>
  <c r="S4" i="6" s="1"/>
  <c r="S4" i="18" s="1"/>
  <c r="P39" i="5"/>
  <c r="R4" i="6" s="1"/>
  <c r="R4" i="18" s="1"/>
  <c r="P38" i="5"/>
  <c r="Q4" i="6" s="1"/>
  <c r="Q4" i="18" s="1"/>
  <c r="P37" i="5"/>
  <c r="P4" i="6" s="1"/>
  <c r="P4" i="18" s="1"/>
  <c r="P6" i="18" s="1"/>
  <c r="P36" i="5"/>
  <c r="O4" i="6" s="1"/>
  <c r="O4" i="18" s="1"/>
  <c r="O6" i="18" s="1"/>
  <c r="P35" i="5"/>
  <c r="N4" i="6" s="1"/>
  <c r="N4" i="18" s="1"/>
  <c r="N6" i="18" s="1"/>
  <c r="P34" i="5"/>
  <c r="P33" i="5"/>
  <c r="P32" i="5"/>
  <c r="K4" i="6" s="1"/>
  <c r="K4" i="18" s="1"/>
  <c r="P31" i="5"/>
  <c r="P30" i="5"/>
  <c r="I4" i="6" s="1"/>
  <c r="I4" i="18" s="1"/>
  <c r="I6" i="18" s="1"/>
  <c r="P29" i="5"/>
  <c r="H4" i="6" s="1"/>
  <c r="H4" i="18" s="1"/>
  <c r="P28" i="5"/>
  <c r="G4" i="6" s="1"/>
  <c r="G4" i="18" s="1"/>
  <c r="P27" i="5"/>
  <c r="F4" i="6" s="1"/>
  <c r="F4" i="18" s="1"/>
  <c r="P26" i="5"/>
  <c r="E4" i="6" s="1"/>
  <c r="E4" i="18" s="1"/>
  <c r="P25" i="5"/>
  <c r="D4" i="6" s="1"/>
  <c r="D4" i="18" s="1"/>
  <c r="D6" i="18" s="1"/>
  <c r="P24" i="5"/>
  <c r="Z3" i="6" s="1"/>
  <c r="P23" i="5"/>
  <c r="Y3" i="6" s="1"/>
  <c r="Y3" i="18" s="1"/>
  <c r="P22" i="5"/>
  <c r="P21" i="5"/>
  <c r="W3" i="6" s="1"/>
  <c r="P20" i="5"/>
  <c r="V3" i="6" s="1"/>
  <c r="P19" i="5"/>
  <c r="P18" i="5"/>
  <c r="T3" i="6" s="1"/>
  <c r="P17" i="5"/>
  <c r="S3" i="6" s="1"/>
  <c r="P16" i="5"/>
  <c r="R3" i="6" s="1"/>
  <c r="P15" i="5"/>
  <c r="Q3" i="6" s="1"/>
  <c r="Q3" i="18" s="1"/>
  <c r="P14" i="5"/>
  <c r="P13" i="5"/>
  <c r="O3" i="6" s="1"/>
  <c r="P12" i="5"/>
  <c r="N3" i="6" s="1"/>
  <c r="P11" i="5"/>
  <c r="M3" i="6" s="1"/>
  <c r="M3" i="18" s="1"/>
  <c r="M5" i="18" s="1"/>
  <c r="P10" i="5"/>
  <c r="L3" i="6" s="1"/>
  <c r="P9" i="5"/>
  <c r="K3" i="6" s="1"/>
  <c r="P8" i="5"/>
  <c r="J3" i="6" s="1"/>
  <c r="P7" i="5"/>
  <c r="I3" i="6" s="1"/>
  <c r="P6" i="5"/>
  <c r="H3" i="6" s="1"/>
  <c r="P5" i="5"/>
  <c r="G3" i="6" s="1"/>
  <c r="P4" i="5"/>
  <c r="P3" i="5"/>
  <c r="P2" i="5"/>
  <c r="D3" i="6" s="1"/>
  <c r="X16" i="4"/>
  <c r="W16" i="4"/>
  <c r="U16" i="4"/>
  <c r="L16" i="4"/>
  <c r="K16" i="4"/>
  <c r="Y15" i="4"/>
  <c r="Y17" i="4" s="1"/>
  <c r="V15" i="4"/>
  <c r="R15" i="4"/>
  <c r="J15" i="4"/>
  <c r="H15" i="4"/>
  <c r="H17" i="4" s="1"/>
  <c r="Z14" i="4"/>
  <c r="N14" i="4"/>
  <c r="L14" i="4"/>
  <c r="L17" i="4" s="1"/>
  <c r="I14" i="4"/>
  <c r="E14" i="4"/>
  <c r="Y13" i="4"/>
  <c r="T13" i="4"/>
  <c r="T17" i="4" s="1"/>
  <c r="S13" i="4"/>
  <c r="P13" i="4"/>
  <c r="M13" i="4"/>
  <c r="J13" i="4"/>
  <c r="J17" i="4" s="1"/>
  <c r="E13" i="4"/>
  <c r="D13" i="4"/>
  <c r="Z10" i="4"/>
  <c r="V10" i="4"/>
  <c r="S10" i="4"/>
  <c r="O10" i="4"/>
  <c r="K10" i="4"/>
  <c r="J10" i="4"/>
  <c r="E10" i="4"/>
  <c r="D10" i="4"/>
  <c r="Y9" i="4"/>
  <c r="V9" i="4"/>
  <c r="S9" i="4"/>
  <c r="O9" i="4"/>
  <c r="M9" i="4"/>
  <c r="E9" i="4"/>
  <c r="W6" i="4"/>
  <c r="U6" i="4"/>
  <c r="P6" i="4"/>
  <c r="M6" i="4"/>
  <c r="L6" i="4"/>
  <c r="I6" i="4"/>
  <c r="D6" i="4"/>
  <c r="F5" i="4"/>
  <c r="X4" i="4"/>
  <c r="W4" i="4"/>
  <c r="U4" i="4"/>
  <c r="S4" i="4"/>
  <c r="S5" i="4" s="1"/>
  <c r="K4" i="4"/>
  <c r="I4" i="4"/>
  <c r="F4" i="4"/>
  <c r="Z3" i="4"/>
  <c r="Z5" i="4" s="1"/>
  <c r="T3" i="4"/>
  <c r="T5" i="4" s="1"/>
  <c r="M3" i="4"/>
  <c r="M5" i="4" s="1"/>
  <c r="H3" i="4"/>
  <c r="H5" i="4" s="1"/>
  <c r="F3" i="4"/>
  <c r="D255" i="3"/>
  <c r="D8" i="4" s="1"/>
  <c r="P254" i="3"/>
  <c r="Z15" i="4" s="1"/>
  <c r="P253" i="3"/>
  <c r="P252" i="3"/>
  <c r="X15" i="4" s="1"/>
  <c r="P251" i="3"/>
  <c r="P250" i="3"/>
  <c r="P249" i="3"/>
  <c r="U15" i="4" s="1"/>
  <c r="P248" i="3"/>
  <c r="P247" i="3"/>
  <c r="P246" i="3"/>
  <c r="P245" i="3"/>
  <c r="P244" i="3"/>
  <c r="P15" i="4" s="1"/>
  <c r="P243" i="3"/>
  <c r="O15" i="4" s="1"/>
  <c r="O17" i="4" s="1"/>
  <c r="P242" i="3"/>
  <c r="N15" i="4" s="1"/>
  <c r="P241" i="3"/>
  <c r="M15" i="4" s="1"/>
  <c r="P240" i="3"/>
  <c r="L15" i="4" s="1"/>
  <c r="P239" i="3"/>
  <c r="P238" i="3"/>
  <c r="P237" i="3"/>
  <c r="I15" i="4" s="1"/>
  <c r="P236" i="3"/>
  <c r="P235" i="3"/>
  <c r="P234" i="3"/>
  <c r="P233" i="3"/>
  <c r="P232" i="3"/>
  <c r="D15" i="4" s="1"/>
  <c r="O231" i="3"/>
  <c r="N231" i="3"/>
  <c r="M231" i="3"/>
  <c r="L231" i="3"/>
  <c r="K231" i="3"/>
  <c r="J231" i="3"/>
  <c r="I231" i="3"/>
  <c r="H231" i="3"/>
  <c r="G231" i="3"/>
  <c r="F231" i="3"/>
  <c r="E231" i="3"/>
  <c r="D231" i="3"/>
  <c r="P231" i="3" s="1"/>
  <c r="O230" i="3"/>
  <c r="N230" i="3"/>
  <c r="M230" i="3"/>
  <c r="L230" i="3"/>
  <c r="K230" i="3"/>
  <c r="J230" i="3"/>
  <c r="I230" i="3"/>
  <c r="H230" i="3"/>
  <c r="G230" i="3"/>
  <c r="F230" i="3"/>
  <c r="E230" i="3"/>
  <c r="D230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P229" i="3" s="1"/>
  <c r="O228" i="3"/>
  <c r="N228" i="3"/>
  <c r="M228" i="3"/>
  <c r="L228" i="3"/>
  <c r="K228" i="3"/>
  <c r="J228" i="3"/>
  <c r="I228" i="3"/>
  <c r="H228" i="3"/>
  <c r="G228" i="3"/>
  <c r="F228" i="3"/>
  <c r="E228" i="3"/>
  <c r="D228" i="3"/>
  <c r="P228" i="3" s="1"/>
  <c r="O227" i="3"/>
  <c r="N227" i="3"/>
  <c r="M227" i="3"/>
  <c r="L227" i="3"/>
  <c r="K227" i="3"/>
  <c r="J227" i="3"/>
  <c r="I227" i="3"/>
  <c r="H227" i="3"/>
  <c r="G227" i="3"/>
  <c r="F227" i="3"/>
  <c r="E227" i="3"/>
  <c r="D227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P225" i="3" s="1"/>
  <c r="O224" i="3"/>
  <c r="N224" i="3"/>
  <c r="M224" i="3"/>
  <c r="L224" i="3"/>
  <c r="K224" i="3"/>
  <c r="J224" i="3"/>
  <c r="I224" i="3"/>
  <c r="H224" i="3"/>
  <c r="G224" i="3"/>
  <c r="F224" i="3"/>
  <c r="E224" i="3"/>
  <c r="D224" i="3"/>
  <c r="P224" i="3" s="1"/>
  <c r="O223" i="3"/>
  <c r="N223" i="3"/>
  <c r="M223" i="3"/>
  <c r="L223" i="3"/>
  <c r="K223" i="3"/>
  <c r="J223" i="3"/>
  <c r="I223" i="3"/>
  <c r="H223" i="3"/>
  <c r="G223" i="3"/>
  <c r="F223" i="3"/>
  <c r="E223" i="3"/>
  <c r="D223" i="3"/>
  <c r="P223" i="3" s="1"/>
  <c r="O222" i="3"/>
  <c r="N222" i="3"/>
  <c r="M222" i="3"/>
  <c r="L222" i="3"/>
  <c r="K222" i="3"/>
  <c r="J222" i="3"/>
  <c r="I222" i="3"/>
  <c r="H222" i="3"/>
  <c r="G222" i="3"/>
  <c r="F222" i="3"/>
  <c r="E222" i="3"/>
  <c r="D222" i="3"/>
  <c r="P222" i="3" s="1"/>
  <c r="O221" i="3"/>
  <c r="N221" i="3"/>
  <c r="M221" i="3"/>
  <c r="L221" i="3"/>
  <c r="K221" i="3"/>
  <c r="J221" i="3"/>
  <c r="I221" i="3"/>
  <c r="H221" i="3"/>
  <c r="G221" i="3"/>
  <c r="F221" i="3"/>
  <c r="E221" i="3"/>
  <c r="D221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P219" i="3" s="1"/>
  <c r="O218" i="3"/>
  <c r="N218" i="3"/>
  <c r="M218" i="3"/>
  <c r="L218" i="3"/>
  <c r="K218" i="3"/>
  <c r="J218" i="3"/>
  <c r="I218" i="3"/>
  <c r="H218" i="3"/>
  <c r="G218" i="3"/>
  <c r="F218" i="3"/>
  <c r="E218" i="3"/>
  <c r="D218" i="3"/>
  <c r="P218" i="3" s="1"/>
  <c r="O217" i="3"/>
  <c r="N217" i="3"/>
  <c r="M217" i="3"/>
  <c r="L217" i="3"/>
  <c r="K217" i="3"/>
  <c r="J217" i="3"/>
  <c r="I217" i="3"/>
  <c r="H217" i="3"/>
  <c r="G217" i="3"/>
  <c r="F217" i="3"/>
  <c r="E217" i="3"/>
  <c r="D217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P215" i="3" s="1"/>
  <c r="O214" i="3"/>
  <c r="N214" i="3"/>
  <c r="M214" i="3"/>
  <c r="L214" i="3"/>
  <c r="K214" i="3"/>
  <c r="J214" i="3"/>
  <c r="I214" i="3"/>
  <c r="H214" i="3"/>
  <c r="G214" i="3"/>
  <c r="F214" i="3"/>
  <c r="E214" i="3"/>
  <c r="D214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P212" i="3" s="1"/>
  <c r="O211" i="3"/>
  <c r="N211" i="3"/>
  <c r="M211" i="3"/>
  <c r="L211" i="3"/>
  <c r="K211" i="3"/>
  <c r="J211" i="3"/>
  <c r="I211" i="3"/>
  <c r="H211" i="3"/>
  <c r="G211" i="3"/>
  <c r="F211" i="3"/>
  <c r="E211" i="3"/>
  <c r="D211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P208" i="3"/>
  <c r="P207" i="3"/>
  <c r="P206" i="3"/>
  <c r="P205" i="3"/>
  <c r="P204" i="3"/>
  <c r="P203" i="3"/>
  <c r="P202" i="3"/>
  <c r="T15" i="4" s="1"/>
  <c r="P201" i="3"/>
  <c r="S15" i="4" s="1"/>
  <c r="P200" i="3"/>
  <c r="P199" i="3"/>
  <c r="P198" i="3"/>
  <c r="P197" i="3"/>
  <c r="P196" i="3"/>
  <c r="P195" i="3"/>
  <c r="P194" i="3"/>
  <c r="P193" i="3"/>
  <c r="P192" i="3"/>
  <c r="P191" i="3"/>
  <c r="P190" i="3"/>
  <c r="P189" i="3"/>
  <c r="G15" i="4" s="1"/>
  <c r="P188" i="3"/>
  <c r="F15" i="4" s="1"/>
  <c r="P187" i="3"/>
  <c r="P186" i="3"/>
  <c r="P185" i="3"/>
  <c r="P184" i="3"/>
  <c r="Y14" i="4" s="1"/>
  <c r="P183" i="3"/>
  <c r="X14" i="4" s="1"/>
  <c r="P182" i="3"/>
  <c r="W14" i="4" s="1"/>
  <c r="P181" i="3"/>
  <c r="V14" i="4" s="1"/>
  <c r="P180" i="3"/>
  <c r="U14" i="4" s="1"/>
  <c r="P179" i="3"/>
  <c r="T14" i="4" s="1"/>
  <c r="P178" i="3"/>
  <c r="S14" i="4" s="1"/>
  <c r="P177" i="3"/>
  <c r="R14" i="4" s="1"/>
  <c r="P176" i="3"/>
  <c r="Q14" i="4" s="1"/>
  <c r="P175" i="3"/>
  <c r="P14" i="4" s="1"/>
  <c r="P174" i="3"/>
  <c r="O14" i="4" s="1"/>
  <c r="P173" i="3"/>
  <c r="P172" i="3"/>
  <c r="M14" i="4" s="1"/>
  <c r="P171" i="3"/>
  <c r="P170" i="3"/>
  <c r="K14" i="4" s="1"/>
  <c r="P169" i="3"/>
  <c r="J14" i="4" s="1"/>
  <c r="P168" i="3"/>
  <c r="P167" i="3"/>
  <c r="H14" i="4" s="1"/>
  <c r="P166" i="3"/>
  <c r="G14" i="4" s="1"/>
  <c r="P165" i="3"/>
  <c r="F14" i="4" s="1"/>
  <c r="P164" i="3"/>
  <c r="P163" i="3"/>
  <c r="D14" i="4" s="1"/>
  <c r="P162" i="3"/>
  <c r="Z13" i="4" s="1"/>
  <c r="P161" i="3"/>
  <c r="P160" i="3"/>
  <c r="X13" i="4" s="1"/>
  <c r="P159" i="3"/>
  <c r="W13" i="4" s="1"/>
  <c r="P158" i="3"/>
  <c r="V13" i="4" s="1"/>
  <c r="P157" i="3"/>
  <c r="U13" i="4" s="1"/>
  <c r="U17" i="4" s="1"/>
  <c r="P156" i="3"/>
  <c r="P155" i="3"/>
  <c r="P154" i="3"/>
  <c r="R13" i="4" s="1"/>
  <c r="P153" i="3"/>
  <c r="Q13" i="4" s="1"/>
  <c r="P152" i="3"/>
  <c r="P151" i="3"/>
  <c r="O13" i="4" s="1"/>
  <c r="P150" i="3"/>
  <c r="N13" i="4" s="1"/>
  <c r="P149" i="3"/>
  <c r="P148" i="3"/>
  <c r="L13" i="4" s="1"/>
  <c r="P147" i="3"/>
  <c r="K13" i="4" s="1"/>
  <c r="P146" i="3"/>
  <c r="P145" i="3"/>
  <c r="I13" i="4" s="1"/>
  <c r="I17" i="4" s="1"/>
  <c r="P144" i="3"/>
  <c r="H13" i="4" s="1"/>
  <c r="P143" i="3"/>
  <c r="G13" i="4" s="1"/>
  <c r="P142" i="3"/>
  <c r="F13" i="4" s="1"/>
  <c r="P141" i="3"/>
  <c r="P140" i="3"/>
  <c r="P139" i="3"/>
  <c r="Z9" i="4" s="1"/>
  <c r="P138" i="3"/>
  <c r="P137" i="3"/>
  <c r="X9" i="4" s="1"/>
  <c r="P136" i="3"/>
  <c r="W9" i="4" s="1"/>
  <c r="P135" i="3"/>
  <c r="P134" i="3"/>
  <c r="U9" i="4" s="1"/>
  <c r="P133" i="3"/>
  <c r="T9" i="4" s="1"/>
  <c r="P132" i="3"/>
  <c r="P131" i="3"/>
  <c r="R9" i="4" s="1"/>
  <c r="P130" i="3"/>
  <c r="Q9" i="4" s="1"/>
  <c r="P129" i="3"/>
  <c r="P9" i="4" s="1"/>
  <c r="P128" i="3"/>
  <c r="P127" i="3"/>
  <c r="N9" i="4" s="1"/>
  <c r="P126" i="3"/>
  <c r="P125" i="3"/>
  <c r="L9" i="4" s="1"/>
  <c r="P124" i="3"/>
  <c r="K9" i="4" s="1"/>
  <c r="P123" i="3"/>
  <c r="J9" i="4" s="1"/>
  <c r="P122" i="3"/>
  <c r="I9" i="4" s="1"/>
  <c r="P121" i="3"/>
  <c r="H9" i="4" s="1"/>
  <c r="P120" i="3"/>
  <c r="G9" i="4" s="1"/>
  <c r="P119" i="3"/>
  <c r="F9" i="4" s="1"/>
  <c r="P118" i="3"/>
  <c r="P117" i="3"/>
  <c r="D9" i="4" s="1"/>
  <c r="P116" i="3"/>
  <c r="Z16" i="4" s="1"/>
  <c r="P115" i="3"/>
  <c r="Y16" i="4" s="1"/>
  <c r="P114" i="3"/>
  <c r="P113" i="3"/>
  <c r="P112" i="3"/>
  <c r="V16" i="4" s="1"/>
  <c r="P111" i="3"/>
  <c r="P110" i="3"/>
  <c r="T16" i="4" s="1"/>
  <c r="P109" i="3"/>
  <c r="S16" i="4" s="1"/>
  <c r="P108" i="3"/>
  <c r="R16" i="4" s="1"/>
  <c r="P107" i="3"/>
  <c r="Q16" i="4" s="1"/>
  <c r="P106" i="3"/>
  <c r="P16" i="4" s="1"/>
  <c r="P105" i="3"/>
  <c r="O16" i="4" s="1"/>
  <c r="P104" i="3"/>
  <c r="N16" i="4" s="1"/>
  <c r="P103" i="3"/>
  <c r="M16" i="4" s="1"/>
  <c r="P102" i="3"/>
  <c r="P101" i="3"/>
  <c r="P100" i="3"/>
  <c r="J16" i="4" s="1"/>
  <c r="P99" i="3"/>
  <c r="I16" i="4" s="1"/>
  <c r="P98" i="3"/>
  <c r="H16" i="4" s="1"/>
  <c r="P97" i="3"/>
  <c r="G16" i="4" s="1"/>
  <c r="P96" i="3"/>
  <c r="F16" i="4" s="1"/>
  <c r="P95" i="3"/>
  <c r="E16" i="4" s="1"/>
  <c r="P94" i="3"/>
  <c r="D16" i="4" s="1"/>
  <c r="P93" i="3"/>
  <c r="P92" i="3"/>
  <c r="Y10" i="4" s="1"/>
  <c r="P91" i="3"/>
  <c r="X10" i="4" s="1"/>
  <c r="P90" i="3"/>
  <c r="W10" i="4" s="1"/>
  <c r="P89" i="3"/>
  <c r="P88" i="3"/>
  <c r="U10" i="4" s="1"/>
  <c r="P87" i="3"/>
  <c r="T10" i="4" s="1"/>
  <c r="P86" i="3"/>
  <c r="P85" i="3"/>
  <c r="R10" i="4" s="1"/>
  <c r="P84" i="3"/>
  <c r="Q10" i="4" s="1"/>
  <c r="P83" i="3"/>
  <c r="P10" i="4" s="1"/>
  <c r="P82" i="3"/>
  <c r="P81" i="3"/>
  <c r="N10" i="4" s="1"/>
  <c r="P80" i="3"/>
  <c r="M10" i="4" s="1"/>
  <c r="P79" i="3"/>
  <c r="L10" i="4" s="1"/>
  <c r="P78" i="3"/>
  <c r="P77" i="3"/>
  <c r="P76" i="3"/>
  <c r="I10" i="4" s="1"/>
  <c r="P75" i="3"/>
  <c r="H10" i="4" s="1"/>
  <c r="P74" i="3"/>
  <c r="G10" i="4" s="1"/>
  <c r="P73" i="3"/>
  <c r="F10" i="4" s="1"/>
  <c r="P72" i="3"/>
  <c r="P71" i="3"/>
  <c r="P70" i="3"/>
  <c r="Z6" i="4" s="1"/>
  <c r="P69" i="3"/>
  <c r="Y6" i="4" s="1"/>
  <c r="P68" i="3"/>
  <c r="X6" i="4" s="1"/>
  <c r="P67" i="3"/>
  <c r="P66" i="3"/>
  <c r="V6" i="4" s="1"/>
  <c r="P65" i="3"/>
  <c r="P64" i="3"/>
  <c r="T6" i="4" s="1"/>
  <c r="P63" i="3"/>
  <c r="S6" i="4" s="1"/>
  <c r="P62" i="3"/>
  <c r="R6" i="4" s="1"/>
  <c r="P61" i="3"/>
  <c r="Q6" i="4" s="1"/>
  <c r="P60" i="3"/>
  <c r="P59" i="3"/>
  <c r="O6" i="4" s="1"/>
  <c r="P58" i="3"/>
  <c r="N6" i="4" s="1"/>
  <c r="P57" i="3"/>
  <c r="P56" i="3"/>
  <c r="P55" i="3"/>
  <c r="K6" i="4" s="1"/>
  <c r="P54" i="3"/>
  <c r="J6" i="4" s="1"/>
  <c r="P53" i="3"/>
  <c r="P52" i="3"/>
  <c r="H6" i="4" s="1"/>
  <c r="P51" i="3"/>
  <c r="G6" i="4" s="1"/>
  <c r="P50" i="3"/>
  <c r="F6" i="4" s="1"/>
  <c r="P49" i="3"/>
  <c r="E6" i="4" s="1"/>
  <c r="P48" i="3"/>
  <c r="P47" i="3"/>
  <c r="Z4" i="4" s="1"/>
  <c r="P46" i="3"/>
  <c r="Y4" i="4" s="1"/>
  <c r="P45" i="3"/>
  <c r="P44" i="3"/>
  <c r="P43" i="3"/>
  <c r="V4" i="4" s="1"/>
  <c r="P42" i="3"/>
  <c r="P41" i="3"/>
  <c r="T4" i="4" s="1"/>
  <c r="P40" i="3"/>
  <c r="P39" i="3"/>
  <c r="R4" i="4" s="1"/>
  <c r="P38" i="3"/>
  <c r="Q4" i="4" s="1"/>
  <c r="P37" i="3"/>
  <c r="P4" i="4" s="1"/>
  <c r="P36" i="3"/>
  <c r="O4" i="4" s="1"/>
  <c r="P35" i="3"/>
  <c r="N4" i="4" s="1"/>
  <c r="P34" i="3"/>
  <c r="M4" i="4" s="1"/>
  <c r="P33" i="3"/>
  <c r="L4" i="4" s="1"/>
  <c r="P32" i="3"/>
  <c r="P31" i="3"/>
  <c r="J4" i="4" s="1"/>
  <c r="P30" i="3"/>
  <c r="P29" i="3"/>
  <c r="H4" i="4" s="1"/>
  <c r="P28" i="3"/>
  <c r="G4" i="4" s="1"/>
  <c r="G5" i="4" s="1"/>
  <c r="P27" i="3"/>
  <c r="P26" i="3"/>
  <c r="E4" i="4" s="1"/>
  <c r="P25" i="3"/>
  <c r="D4" i="4" s="1"/>
  <c r="P24" i="3"/>
  <c r="P23" i="3"/>
  <c r="Y3" i="4" s="1"/>
  <c r="Y5" i="4" s="1"/>
  <c r="P22" i="3"/>
  <c r="X3" i="4" s="1"/>
  <c r="X5" i="4" s="1"/>
  <c r="P21" i="3"/>
  <c r="W3" i="4" s="1"/>
  <c r="W5" i="4" s="1"/>
  <c r="P20" i="3"/>
  <c r="V3" i="4" s="1"/>
  <c r="V5" i="4" s="1"/>
  <c r="P19" i="3"/>
  <c r="U3" i="4" s="1"/>
  <c r="U5" i="4" s="1"/>
  <c r="P18" i="3"/>
  <c r="P17" i="3"/>
  <c r="S3" i="4" s="1"/>
  <c r="P16" i="3"/>
  <c r="R3" i="4" s="1"/>
  <c r="R5" i="4" s="1"/>
  <c r="P15" i="3"/>
  <c r="Q3" i="4" s="1"/>
  <c r="P14" i="3"/>
  <c r="P3" i="4" s="1"/>
  <c r="P13" i="3"/>
  <c r="O3" i="4" s="1"/>
  <c r="O5" i="4" s="1"/>
  <c r="P12" i="3"/>
  <c r="N3" i="4" s="1"/>
  <c r="N5" i="4" s="1"/>
  <c r="P11" i="3"/>
  <c r="P10" i="3"/>
  <c r="L3" i="4" s="1"/>
  <c r="P9" i="3"/>
  <c r="K3" i="4" s="1"/>
  <c r="K5" i="4" s="1"/>
  <c r="P8" i="3"/>
  <c r="J3" i="4" s="1"/>
  <c r="P7" i="3"/>
  <c r="I3" i="4" s="1"/>
  <c r="I5" i="4" s="1"/>
  <c r="P6" i="3"/>
  <c r="P5" i="3"/>
  <c r="G3" i="4" s="1"/>
  <c r="P4" i="3"/>
  <c r="P3" i="3"/>
  <c r="E3" i="4" s="1"/>
  <c r="P2" i="3"/>
  <c r="D3" i="4" s="1"/>
  <c r="W16" i="2"/>
  <c r="T16" i="2"/>
  <c r="S16" i="2"/>
  <c r="K16" i="2"/>
  <c r="J16" i="2"/>
  <c r="G16" i="2"/>
  <c r="G27" i="2" s="1"/>
  <c r="N15" i="2"/>
  <c r="H15" i="2"/>
  <c r="H26" i="2" s="1"/>
  <c r="R14" i="2"/>
  <c r="Q14" i="2"/>
  <c r="J14" i="2"/>
  <c r="Y13" i="2"/>
  <c r="X13" i="2"/>
  <c r="W13" i="2"/>
  <c r="U13" i="2"/>
  <c r="T13" i="2"/>
  <c r="O13" i="2"/>
  <c r="L13" i="2"/>
  <c r="I13" i="2"/>
  <c r="V10" i="2"/>
  <c r="S10" i="2"/>
  <c r="R10" i="2"/>
  <c r="J10" i="2"/>
  <c r="G10" i="2"/>
  <c r="F10" i="2"/>
  <c r="E10" i="2"/>
  <c r="D10" i="2"/>
  <c r="T9" i="2"/>
  <c r="K9" i="2"/>
  <c r="H9" i="2"/>
  <c r="F9" i="2"/>
  <c r="U6" i="2"/>
  <c r="T6" i="2"/>
  <c r="R6" i="2"/>
  <c r="M6" i="2"/>
  <c r="D6" i="2"/>
  <c r="X4" i="2"/>
  <c r="T4" i="2"/>
  <c r="S4" i="2"/>
  <c r="Q4" i="2"/>
  <c r="P4" i="2"/>
  <c r="G4" i="2"/>
  <c r="F4" i="2"/>
  <c r="E4" i="2"/>
  <c r="D4" i="2"/>
  <c r="Y3" i="2"/>
  <c r="P3" i="2"/>
  <c r="O3" i="2"/>
  <c r="D3" i="2"/>
  <c r="P254" i="1"/>
  <c r="Z15" i="2" s="1"/>
  <c r="P253" i="1"/>
  <c r="Y15" i="2" s="1"/>
  <c r="Y26" i="2" s="1"/>
  <c r="P252" i="1"/>
  <c r="X15" i="2" s="1"/>
  <c r="X26" i="2" s="1"/>
  <c r="P251" i="1"/>
  <c r="W15" i="2" s="1"/>
  <c r="W26" i="2" s="1"/>
  <c r="P250" i="1"/>
  <c r="V15" i="2" s="1"/>
  <c r="V26" i="2" s="1"/>
  <c r="P249" i="1"/>
  <c r="P248" i="1"/>
  <c r="T15" i="2" s="1"/>
  <c r="T26" i="2" s="1"/>
  <c r="P247" i="1"/>
  <c r="P246" i="1"/>
  <c r="P245" i="1"/>
  <c r="Q15" i="2" s="1"/>
  <c r="P244" i="1"/>
  <c r="P243" i="1"/>
  <c r="P242" i="1"/>
  <c r="P241" i="1"/>
  <c r="M15" i="2" s="1"/>
  <c r="M26" i="2" s="1"/>
  <c r="P240" i="1"/>
  <c r="L15" i="2" s="1"/>
  <c r="L26" i="2" s="1"/>
  <c r="P239" i="1"/>
  <c r="K15" i="2" s="1"/>
  <c r="K26" i="2" s="1"/>
  <c r="P238" i="1"/>
  <c r="J15" i="2" s="1"/>
  <c r="P237" i="1"/>
  <c r="P236" i="1"/>
  <c r="P235" i="1"/>
  <c r="P234" i="1"/>
  <c r="P233" i="1"/>
  <c r="P232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P231" i="1" s="1"/>
  <c r="O230" i="1"/>
  <c r="N230" i="1"/>
  <c r="M230" i="1"/>
  <c r="L230" i="1"/>
  <c r="K230" i="1"/>
  <c r="J230" i="1"/>
  <c r="I230" i="1"/>
  <c r="H230" i="1"/>
  <c r="G230" i="1"/>
  <c r="F230" i="1"/>
  <c r="E230" i="1"/>
  <c r="D230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P227" i="1" s="1"/>
  <c r="O226" i="1"/>
  <c r="N226" i="1"/>
  <c r="M226" i="1"/>
  <c r="L226" i="1"/>
  <c r="K226" i="1"/>
  <c r="J226" i="1"/>
  <c r="I226" i="1"/>
  <c r="H226" i="1"/>
  <c r="G226" i="1"/>
  <c r="F226" i="1"/>
  <c r="E226" i="1"/>
  <c r="D226" i="1"/>
  <c r="P226" i="1" s="1"/>
  <c r="O225" i="1"/>
  <c r="P225" i="1" s="1"/>
  <c r="N225" i="1"/>
  <c r="M225" i="1"/>
  <c r="L225" i="1"/>
  <c r="K225" i="1"/>
  <c r="J225" i="1"/>
  <c r="I225" i="1"/>
  <c r="H225" i="1"/>
  <c r="G225" i="1"/>
  <c r="F225" i="1"/>
  <c r="E225" i="1"/>
  <c r="D225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P223" i="1" s="1"/>
  <c r="O222" i="1"/>
  <c r="N222" i="1"/>
  <c r="M222" i="1"/>
  <c r="L222" i="1"/>
  <c r="K222" i="1"/>
  <c r="J222" i="1"/>
  <c r="I222" i="1"/>
  <c r="H222" i="1"/>
  <c r="G222" i="1"/>
  <c r="F222" i="1"/>
  <c r="E222" i="1"/>
  <c r="D222" i="1"/>
  <c r="P222" i="1" s="1"/>
  <c r="O221" i="1"/>
  <c r="N221" i="1"/>
  <c r="M221" i="1"/>
  <c r="L221" i="1"/>
  <c r="K221" i="1"/>
  <c r="J221" i="1"/>
  <c r="I221" i="1"/>
  <c r="H221" i="1"/>
  <c r="G221" i="1"/>
  <c r="F221" i="1"/>
  <c r="E221" i="1"/>
  <c r="D221" i="1"/>
  <c r="P221" i="1" s="1"/>
  <c r="O220" i="1"/>
  <c r="N220" i="1"/>
  <c r="M220" i="1"/>
  <c r="L220" i="1"/>
  <c r="K220" i="1"/>
  <c r="J220" i="1"/>
  <c r="I220" i="1"/>
  <c r="H220" i="1"/>
  <c r="G220" i="1"/>
  <c r="F220" i="1"/>
  <c r="E220" i="1"/>
  <c r="D220" i="1"/>
  <c r="P220" i="1" s="1"/>
  <c r="O219" i="1"/>
  <c r="N219" i="1"/>
  <c r="M219" i="1"/>
  <c r="L219" i="1"/>
  <c r="K219" i="1"/>
  <c r="J219" i="1"/>
  <c r="I219" i="1"/>
  <c r="H219" i="1"/>
  <c r="G219" i="1"/>
  <c r="F219" i="1"/>
  <c r="E219" i="1"/>
  <c r="D219" i="1"/>
  <c r="P219" i="1" s="1"/>
  <c r="O218" i="1"/>
  <c r="N218" i="1"/>
  <c r="M218" i="1"/>
  <c r="L218" i="1"/>
  <c r="K218" i="1"/>
  <c r="J218" i="1"/>
  <c r="I218" i="1"/>
  <c r="H218" i="1"/>
  <c r="G218" i="1"/>
  <c r="F218" i="1"/>
  <c r="E218" i="1"/>
  <c r="D218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P216" i="1" s="1"/>
  <c r="O215" i="1"/>
  <c r="N215" i="1"/>
  <c r="M215" i="1"/>
  <c r="L215" i="1"/>
  <c r="K215" i="1"/>
  <c r="J215" i="1"/>
  <c r="I215" i="1"/>
  <c r="H215" i="1"/>
  <c r="G215" i="1"/>
  <c r="F215" i="1"/>
  <c r="E215" i="1"/>
  <c r="D215" i="1"/>
  <c r="P215" i="1" s="1"/>
  <c r="O214" i="1"/>
  <c r="N214" i="1"/>
  <c r="M214" i="1"/>
  <c r="L214" i="1"/>
  <c r="K214" i="1"/>
  <c r="J214" i="1"/>
  <c r="I214" i="1"/>
  <c r="H214" i="1"/>
  <c r="G214" i="1"/>
  <c r="F214" i="1"/>
  <c r="E214" i="1"/>
  <c r="D214" i="1"/>
  <c r="P214" i="1" s="1"/>
  <c r="O213" i="1"/>
  <c r="N213" i="1"/>
  <c r="M213" i="1"/>
  <c r="L213" i="1"/>
  <c r="K213" i="1"/>
  <c r="J213" i="1"/>
  <c r="I213" i="1"/>
  <c r="H213" i="1"/>
  <c r="G213" i="1"/>
  <c r="F213" i="1"/>
  <c r="E213" i="1"/>
  <c r="D213" i="1"/>
  <c r="P213" i="1" s="1"/>
  <c r="O212" i="1"/>
  <c r="N212" i="1"/>
  <c r="M212" i="1"/>
  <c r="L212" i="1"/>
  <c r="K212" i="1"/>
  <c r="J212" i="1"/>
  <c r="I212" i="1"/>
  <c r="H212" i="1"/>
  <c r="G212" i="1"/>
  <c r="F212" i="1"/>
  <c r="E212" i="1"/>
  <c r="D212" i="1"/>
  <c r="P212" i="1" s="1"/>
  <c r="O211" i="1"/>
  <c r="P211" i="1" s="1"/>
  <c r="N211" i="1"/>
  <c r="M211" i="1"/>
  <c r="L211" i="1"/>
  <c r="K211" i="1"/>
  <c r="J211" i="1"/>
  <c r="I211" i="1"/>
  <c r="H211" i="1"/>
  <c r="G211" i="1"/>
  <c r="F211" i="1"/>
  <c r="E211" i="1"/>
  <c r="D211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P210" i="1" s="1"/>
  <c r="O209" i="1"/>
  <c r="N209" i="1"/>
  <c r="M209" i="1"/>
  <c r="L209" i="1"/>
  <c r="K209" i="1"/>
  <c r="J209" i="1"/>
  <c r="I209" i="1"/>
  <c r="H209" i="1"/>
  <c r="G209" i="1"/>
  <c r="F209" i="1"/>
  <c r="E209" i="1"/>
  <c r="D209" i="1"/>
  <c r="D255" i="1" s="1"/>
  <c r="P208" i="1"/>
  <c r="P207" i="1"/>
  <c r="P206" i="1"/>
  <c r="P205" i="1"/>
  <c r="P204" i="1"/>
  <c r="P203" i="1"/>
  <c r="U15" i="2" s="1"/>
  <c r="U26" i="2" s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G15" i="2" s="1"/>
  <c r="P188" i="1"/>
  <c r="P187" i="1"/>
  <c r="P186" i="1"/>
  <c r="D15" i="2" s="1"/>
  <c r="P185" i="1"/>
  <c r="Z14" i="2" s="1"/>
  <c r="P184" i="1"/>
  <c r="Y14" i="2" s="1"/>
  <c r="P183" i="1"/>
  <c r="X14" i="2" s="1"/>
  <c r="P182" i="1"/>
  <c r="W14" i="2" s="1"/>
  <c r="P181" i="1"/>
  <c r="V14" i="2" s="1"/>
  <c r="P180" i="1"/>
  <c r="U14" i="2" s="1"/>
  <c r="P179" i="1"/>
  <c r="T14" i="2" s="1"/>
  <c r="P178" i="1"/>
  <c r="S14" i="2" s="1"/>
  <c r="P177" i="1"/>
  <c r="P176" i="1"/>
  <c r="P175" i="1"/>
  <c r="P14" i="2" s="1"/>
  <c r="P174" i="1"/>
  <c r="O14" i="2" s="1"/>
  <c r="P173" i="1"/>
  <c r="N14" i="2" s="1"/>
  <c r="P172" i="1"/>
  <c r="M14" i="2" s="1"/>
  <c r="P171" i="1"/>
  <c r="L14" i="2" s="1"/>
  <c r="P170" i="1"/>
  <c r="K14" i="2" s="1"/>
  <c r="P169" i="1"/>
  <c r="P168" i="1"/>
  <c r="I14" i="2" s="1"/>
  <c r="P167" i="1"/>
  <c r="H14" i="2" s="1"/>
  <c r="P166" i="1"/>
  <c r="G14" i="2" s="1"/>
  <c r="P165" i="1"/>
  <c r="F14" i="2" s="1"/>
  <c r="P164" i="1"/>
  <c r="E14" i="2" s="1"/>
  <c r="P163" i="1"/>
  <c r="D14" i="2" s="1"/>
  <c r="P162" i="1"/>
  <c r="Z13" i="2" s="1"/>
  <c r="P161" i="1"/>
  <c r="P160" i="1"/>
  <c r="P159" i="1"/>
  <c r="P158" i="1"/>
  <c r="V13" i="2" s="1"/>
  <c r="P157" i="1"/>
  <c r="P156" i="1"/>
  <c r="P155" i="1"/>
  <c r="S13" i="2" s="1"/>
  <c r="P154" i="1"/>
  <c r="R13" i="2" s="1"/>
  <c r="P153" i="1"/>
  <c r="Q13" i="2" s="1"/>
  <c r="P152" i="1"/>
  <c r="P13" i="2" s="1"/>
  <c r="P151" i="1"/>
  <c r="P150" i="1"/>
  <c r="N13" i="2" s="1"/>
  <c r="P149" i="1"/>
  <c r="M13" i="2" s="1"/>
  <c r="P148" i="1"/>
  <c r="P147" i="1"/>
  <c r="K13" i="2" s="1"/>
  <c r="P146" i="1"/>
  <c r="J13" i="2" s="1"/>
  <c r="P145" i="1"/>
  <c r="P144" i="1"/>
  <c r="H13" i="2" s="1"/>
  <c r="P143" i="1"/>
  <c r="G13" i="2" s="1"/>
  <c r="P142" i="1"/>
  <c r="F13" i="2" s="1"/>
  <c r="P141" i="1"/>
  <c r="E13" i="2" s="1"/>
  <c r="P140" i="1"/>
  <c r="D13" i="2" s="1"/>
  <c r="P139" i="1"/>
  <c r="Z9" i="2" s="1"/>
  <c r="P138" i="1"/>
  <c r="Y9" i="2" s="1"/>
  <c r="P137" i="1"/>
  <c r="X9" i="2" s="1"/>
  <c r="P136" i="1"/>
  <c r="W9" i="2" s="1"/>
  <c r="P135" i="1"/>
  <c r="V9" i="2" s="1"/>
  <c r="P134" i="1"/>
  <c r="U9" i="2" s="1"/>
  <c r="P133" i="1"/>
  <c r="P132" i="1"/>
  <c r="S9" i="2" s="1"/>
  <c r="P131" i="1"/>
  <c r="R9" i="2" s="1"/>
  <c r="P130" i="1"/>
  <c r="Q9" i="2" s="1"/>
  <c r="P129" i="1"/>
  <c r="P9" i="2" s="1"/>
  <c r="P128" i="1"/>
  <c r="O9" i="2" s="1"/>
  <c r="P127" i="1"/>
  <c r="N9" i="2" s="1"/>
  <c r="P126" i="1"/>
  <c r="M9" i="2" s="1"/>
  <c r="P125" i="1"/>
  <c r="L9" i="2" s="1"/>
  <c r="P124" i="1"/>
  <c r="P123" i="1"/>
  <c r="J9" i="2" s="1"/>
  <c r="P122" i="1"/>
  <c r="I9" i="2" s="1"/>
  <c r="P121" i="1"/>
  <c r="P120" i="1"/>
  <c r="G9" i="2" s="1"/>
  <c r="P119" i="1"/>
  <c r="P118" i="1"/>
  <c r="E9" i="2" s="1"/>
  <c r="P117" i="1"/>
  <c r="D9" i="2" s="1"/>
  <c r="P116" i="1"/>
  <c r="Z16" i="2" s="1"/>
  <c r="Z27" i="2" s="1"/>
  <c r="P115" i="1"/>
  <c r="Y16" i="2" s="1"/>
  <c r="P114" i="1"/>
  <c r="X16" i="2" s="1"/>
  <c r="P113" i="1"/>
  <c r="P112" i="1"/>
  <c r="V16" i="2" s="1"/>
  <c r="P111" i="1"/>
  <c r="U16" i="2" s="1"/>
  <c r="P110" i="1"/>
  <c r="P109" i="1"/>
  <c r="P108" i="1"/>
  <c r="R16" i="2" s="1"/>
  <c r="P107" i="1"/>
  <c r="Q16" i="2" s="1"/>
  <c r="P106" i="1"/>
  <c r="P16" i="2" s="1"/>
  <c r="P27" i="2" s="1"/>
  <c r="P105" i="1"/>
  <c r="O16" i="2" s="1"/>
  <c r="P104" i="1"/>
  <c r="N16" i="2" s="1"/>
  <c r="N27" i="2" s="1"/>
  <c r="P103" i="1"/>
  <c r="M16" i="2" s="1"/>
  <c r="P102" i="1"/>
  <c r="L16" i="2" s="1"/>
  <c r="P101" i="1"/>
  <c r="P100" i="1"/>
  <c r="P99" i="1"/>
  <c r="I16" i="2" s="1"/>
  <c r="P98" i="1"/>
  <c r="H16" i="2" s="1"/>
  <c r="P97" i="1"/>
  <c r="P96" i="1"/>
  <c r="F16" i="2" s="1"/>
  <c r="P95" i="1"/>
  <c r="E16" i="2" s="1"/>
  <c r="P94" i="1"/>
  <c r="D16" i="2" s="1"/>
  <c r="P93" i="1"/>
  <c r="Z10" i="2" s="1"/>
  <c r="P92" i="1"/>
  <c r="Y10" i="2" s="1"/>
  <c r="P91" i="1"/>
  <c r="X10" i="2" s="1"/>
  <c r="P90" i="1"/>
  <c r="W10" i="2" s="1"/>
  <c r="P89" i="1"/>
  <c r="P88" i="1"/>
  <c r="U10" i="2" s="1"/>
  <c r="P87" i="1"/>
  <c r="T10" i="2" s="1"/>
  <c r="P86" i="1"/>
  <c r="P85" i="1"/>
  <c r="P84" i="1"/>
  <c r="Q10" i="2" s="1"/>
  <c r="P83" i="1"/>
  <c r="P10" i="2" s="1"/>
  <c r="P82" i="1"/>
  <c r="O10" i="2" s="1"/>
  <c r="P81" i="1"/>
  <c r="N10" i="2" s="1"/>
  <c r="P80" i="1"/>
  <c r="M10" i="2" s="1"/>
  <c r="P79" i="1"/>
  <c r="L10" i="2" s="1"/>
  <c r="P78" i="1"/>
  <c r="K10" i="2" s="1"/>
  <c r="P77" i="1"/>
  <c r="P76" i="1"/>
  <c r="I10" i="2" s="1"/>
  <c r="P75" i="1"/>
  <c r="H10" i="2" s="1"/>
  <c r="P74" i="1"/>
  <c r="P73" i="1"/>
  <c r="P72" i="1"/>
  <c r="P71" i="1"/>
  <c r="P70" i="1"/>
  <c r="Z6" i="2" s="1"/>
  <c r="P69" i="1"/>
  <c r="Y6" i="2" s="1"/>
  <c r="P68" i="1"/>
  <c r="X6" i="2" s="1"/>
  <c r="P67" i="1"/>
  <c r="W6" i="2" s="1"/>
  <c r="P66" i="1"/>
  <c r="V6" i="2" s="1"/>
  <c r="P65" i="1"/>
  <c r="P64" i="1"/>
  <c r="P63" i="1"/>
  <c r="S6" i="2" s="1"/>
  <c r="P62" i="1"/>
  <c r="P61" i="1"/>
  <c r="Q6" i="2" s="1"/>
  <c r="P60" i="1"/>
  <c r="P6" i="2" s="1"/>
  <c r="P59" i="1"/>
  <c r="O6" i="2" s="1"/>
  <c r="P58" i="1"/>
  <c r="N6" i="2" s="1"/>
  <c r="P57" i="1"/>
  <c r="P56" i="1"/>
  <c r="L6" i="2" s="1"/>
  <c r="P55" i="1"/>
  <c r="K6" i="2" s="1"/>
  <c r="P54" i="1"/>
  <c r="J6" i="2" s="1"/>
  <c r="P53" i="1"/>
  <c r="I6" i="2" s="1"/>
  <c r="P52" i="1"/>
  <c r="H6" i="2" s="1"/>
  <c r="P51" i="1"/>
  <c r="G6" i="2" s="1"/>
  <c r="P50" i="1"/>
  <c r="F6" i="2" s="1"/>
  <c r="P49" i="1"/>
  <c r="E6" i="2" s="1"/>
  <c r="P48" i="1"/>
  <c r="P47" i="1"/>
  <c r="Z4" i="2" s="1"/>
  <c r="P46" i="1"/>
  <c r="Y4" i="2" s="1"/>
  <c r="P45" i="1"/>
  <c r="P44" i="1"/>
  <c r="W4" i="2" s="1"/>
  <c r="P43" i="1"/>
  <c r="V4" i="2" s="1"/>
  <c r="P42" i="1"/>
  <c r="U4" i="2" s="1"/>
  <c r="P41" i="1"/>
  <c r="P40" i="1"/>
  <c r="P39" i="1"/>
  <c r="R4" i="2" s="1"/>
  <c r="P38" i="1"/>
  <c r="P37" i="1"/>
  <c r="P36" i="1"/>
  <c r="O4" i="2" s="1"/>
  <c r="P35" i="1"/>
  <c r="N4" i="2" s="1"/>
  <c r="P34" i="1"/>
  <c r="M4" i="2" s="1"/>
  <c r="P33" i="1"/>
  <c r="L4" i="2" s="1"/>
  <c r="P32" i="1"/>
  <c r="K4" i="2" s="1"/>
  <c r="P31" i="1"/>
  <c r="J4" i="2" s="1"/>
  <c r="P30" i="1"/>
  <c r="I4" i="2" s="1"/>
  <c r="P29" i="1"/>
  <c r="H4" i="2" s="1"/>
  <c r="P28" i="1"/>
  <c r="P27" i="1"/>
  <c r="P26" i="1"/>
  <c r="P25" i="1"/>
  <c r="P24" i="1"/>
  <c r="Z3" i="2" s="1"/>
  <c r="P23" i="1"/>
  <c r="P22" i="1"/>
  <c r="X3" i="2" s="1"/>
  <c r="P21" i="1"/>
  <c r="W3" i="2" s="1"/>
  <c r="P20" i="1"/>
  <c r="V3" i="2" s="1"/>
  <c r="P19" i="1"/>
  <c r="U3" i="2" s="1"/>
  <c r="P18" i="1"/>
  <c r="T3" i="2" s="1"/>
  <c r="P17" i="1"/>
  <c r="S3" i="2" s="1"/>
  <c r="P16" i="1"/>
  <c r="R3" i="2" s="1"/>
  <c r="P15" i="1"/>
  <c r="Q3" i="2" s="1"/>
  <c r="P14" i="1"/>
  <c r="P13" i="1"/>
  <c r="P12" i="1"/>
  <c r="N3" i="2" s="1"/>
  <c r="P11" i="1"/>
  <c r="M3" i="2" s="1"/>
  <c r="P10" i="1"/>
  <c r="L3" i="2" s="1"/>
  <c r="P9" i="1"/>
  <c r="K3" i="2" s="1"/>
  <c r="P8" i="1"/>
  <c r="J3" i="2" s="1"/>
  <c r="P7" i="1"/>
  <c r="I3" i="2" s="1"/>
  <c r="P6" i="1"/>
  <c r="H3" i="2" s="1"/>
  <c r="P5" i="1"/>
  <c r="G3" i="2" s="1"/>
  <c r="P4" i="1"/>
  <c r="F3" i="2" s="1"/>
  <c r="P3" i="1"/>
  <c r="E3" i="2" s="1"/>
  <c r="P2" i="1"/>
  <c r="G6" i="19" l="1"/>
  <c r="M6" i="19"/>
  <c r="S6" i="19"/>
  <c r="Q6" i="18"/>
  <c r="F6" i="18"/>
  <c r="G6" i="18"/>
  <c r="S6" i="18"/>
  <c r="H6" i="18"/>
  <c r="T6" i="18"/>
  <c r="V6" i="18"/>
  <c r="D15" i="17"/>
  <c r="L10" i="17"/>
  <c r="M16" i="17"/>
  <c r="Y16" i="17"/>
  <c r="N9" i="17"/>
  <c r="Z9" i="17"/>
  <c r="D14" i="17"/>
  <c r="P14" i="17"/>
  <c r="J10" i="17"/>
  <c r="T3" i="17"/>
  <c r="L16" i="17"/>
  <c r="V4" i="17"/>
  <c r="X10" i="17"/>
  <c r="K4" i="17"/>
  <c r="M10" i="17"/>
  <c r="Y10" i="17"/>
  <c r="O9" i="17"/>
  <c r="E14" i="17"/>
  <c r="Q14" i="17"/>
  <c r="W10" i="17"/>
  <c r="G10" i="17"/>
  <c r="I3" i="17"/>
  <c r="N10" i="17"/>
  <c r="Z10" i="17"/>
  <c r="O16" i="17"/>
  <c r="D9" i="17"/>
  <c r="P9" i="17"/>
  <c r="G15" i="17"/>
  <c r="D4" i="17"/>
  <c r="R14" i="17"/>
  <c r="M9" i="17"/>
  <c r="M4" i="17"/>
  <c r="M6" i="17" s="1"/>
  <c r="Y4" i="17"/>
  <c r="D16" i="17"/>
  <c r="E9" i="17"/>
  <c r="Q9" i="17"/>
  <c r="G14" i="17"/>
  <c r="S14" i="17"/>
  <c r="E4" i="17"/>
  <c r="V10" i="17"/>
  <c r="I4" i="17"/>
  <c r="Y9" i="17"/>
  <c r="Z4" i="17"/>
  <c r="P10" i="17"/>
  <c r="E16" i="17"/>
  <c r="Q16" i="17"/>
  <c r="R9" i="17"/>
  <c r="H14" i="17"/>
  <c r="T14" i="17"/>
  <c r="F4" i="17"/>
  <c r="F9" i="17"/>
  <c r="N15" i="17"/>
  <c r="Q10" i="17"/>
  <c r="J15" i="17"/>
  <c r="G4" i="17"/>
  <c r="N4" i="17"/>
  <c r="O4" i="17"/>
  <c r="F16" i="17"/>
  <c r="G9" i="17"/>
  <c r="I14" i="17"/>
  <c r="U14" i="17"/>
  <c r="K9" i="17"/>
  <c r="O13" i="17"/>
  <c r="J16" i="17"/>
  <c r="U4" i="17"/>
  <c r="O14" i="17"/>
  <c r="N3" i="17"/>
  <c r="R16" i="17"/>
  <c r="S9" i="17"/>
  <c r="H16" i="17"/>
  <c r="I9" i="17"/>
  <c r="U9" i="17"/>
  <c r="Q4" i="17"/>
  <c r="T13" i="17"/>
  <c r="K16" i="17"/>
  <c r="X16" i="17"/>
  <c r="E3" i="17"/>
  <c r="E5" i="17" s="1"/>
  <c r="H10" i="17"/>
  <c r="T10" i="17"/>
  <c r="I16" i="17"/>
  <c r="U16" i="17"/>
  <c r="J9" i="17"/>
  <c r="V9" i="17"/>
  <c r="L14" i="17"/>
  <c r="X14" i="17"/>
  <c r="S4" i="17"/>
  <c r="D10" i="17"/>
  <c r="F3" i="17"/>
  <c r="R3" i="17"/>
  <c r="I10" i="17"/>
  <c r="U10" i="17"/>
  <c r="V16" i="17"/>
  <c r="W9" i="17"/>
  <c r="M14" i="17"/>
  <c r="Y14" i="17"/>
  <c r="Z15" i="17"/>
  <c r="T4" i="17"/>
  <c r="E10" i="17"/>
  <c r="E6" i="17" s="1"/>
  <c r="W13" i="17"/>
  <c r="T16" i="17"/>
  <c r="K10" i="17"/>
  <c r="K6" i="17" s="1"/>
  <c r="G3" i="17"/>
  <c r="S3" i="17"/>
  <c r="S5" i="17" s="1"/>
  <c r="H4" i="17"/>
  <c r="H6" i="17" s="1"/>
  <c r="L9" i="17"/>
  <c r="X9" i="17"/>
  <c r="N14" i="17"/>
  <c r="X4" i="17"/>
  <c r="X6" i="17" s="1"/>
  <c r="W16" i="17"/>
  <c r="S5" i="2"/>
  <c r="R27" i="2"/>
  <c r="F27" i="2"/>
  <c r="D26" i="2"/>
  <c r="V5" i="2"/>
  <c r="Q27" i="2"/>
  <c r="E27" i="2"/>
  <c r="D27" i="2"/>
  <c r="N26" i="2"/>
  <c r="Z26" i="2"/>
  <c r="O27" i="2"/>
  <c r="Y27" i="2"/>
  <c r="M27" i="2"/>
  <c r="E5" i="2"/>
  <c r="X27" i="2"/>
  <c r="L27" i="2"/>
  <c r="J26" i="2"/>
  <c r="W27" i="2"/>
  <c r="K27" i="2"/>
  <c r="V27" i="2"/>
  <c r="J27" i="2"/>
  <c r="U27" i="2"/>
  <c r="I27" i="2"/>
  <c r="G26" i="2"/>
  <c r="T27" i="2"/>
  <c r="H27" i="2"/>
  <c r="U3" i="17"/>
  <c r="U5" i="2"/>
  <c r="N13" i="17"/>
  <c r="N17" i="2"/>
  <c r="Z13" i="17"/>
  <c r="Z17" i="2"/>
  <c r="J3" i="17"/>
  <c r="J5" i="2"/>
  <c r="P5" i="4"/>
  <c r="W3" i="17"/>
  <c r="W5" i="2"/>
  <c r="L3" i="17"/>
  <c r="L5" i="2"/>
  <c r="D8" i="2"/>
  <c r="E255" i="1"/>
  <c r="F255" i="1" s="1"/>
  <c r="G255" i="1" s="1"/>
  <c r="H255" i="1" s="1"/>
  <c r="I255" i="1" s="1"/>
  <c r="J255" i="1" s="1"/>
  <c r="K255" i="1" s="1"/>
  <c r="L255" i="1" s="1"/>
  <c r="M255" i="1" s="1"/>
  <c r="N255" i="1" s="1"/>
  <c r="O255" i="1" s="1"/>
  <c r="K3" i="17"/>
  <c r="K5" i="2"/>
  <c r="M3" i="17"/>
  <c r="M5" i="2"/>
  <c r="M13" i="17"/>
  <c r="M17" i="2"/>
  <c r="H3" i="17"/>
  <c r="H5" i="2"/>
  <c r="X3" i="17"/>
  <c r="X5" i="2"/>
  <c r="G13" i="17"/>
  <c r="G17" i="2"/>
  <c r="J5" i="4"/>
  <c r="Q3" i="17"/>
  <c r="Q5" i="17" s="1"/>
  <c r="Q5" i="2"/>
  <c r="R4" i="17"/>
  <c r="R5" i="2"/>
  <c r="K13" i="17"/>
  <c r="K17" i="2"/>
  <c r="Q17" i="4"/>
  <c r="G5" i="2"/>
  <c r="N5" i="2"/>
  <c r="T9" i="17"/>
  <c r="L13" i="17"/>
  <c r="L17" i="2"/>
  <c r="J14" i="17"/>
  <c r="P210" i="3"/>
  <c r="P211" i="3"/>
  <c r="J6" i="18"/>
  <c r="T5" i="2"/>
  <c r="E13" i="17"/>
  <c r="R10" i="17"/>
  <c r="I15" i="2"/>
  <c r="S10" i="17"/>
  <c r="S6" i="17" s="1"/>
  <c r="Z17" i="4"/>
  <c r="P213" i="3"/>
  <c r="P214" i="3"/>
  <c r="N17" i="4"/>
  <c r="V3" i="17"/>
  <c r="Z14" i="17"/>
  <c r="P209" i="1"/>
  <c r="V15" i="17"/>
  <c r="G16" i="17"/>
  <c r="T17" i="2"/>
  <c r="P216" i="3"/>
  <c r="P217" i="3"/>
  <c r="K15" i="4"/>
  <c r="K15" i="17" s="1"/>
  <c r="W15" i="4"/>
  <c r="D17" i="4"/>
  <c r="S13" i="18"/>
  <c r="S17" i="6"/>
  <c r="D3" i="17"/>
  <c r="D5" i="2"/>
  <c r="W4" i="17"/>
  <c r="P13" i="17"/>
  <c r="F10" i="17"/>
  <c r="L5" i="4"/>
  <c r="F17" i="4"/>
  <c r="R17" i="4"/>
  <c r="P226" i="3"/>
  <c r="P227" i="3"/>
  <c r="M17" i="4"/>
  <c r="D3" i="18"/>
  <c r="D5" i="18" s="1"/>
  <c r="D5" i="6"/>
  <c r="E6" i="18"/>
  <c r="Z16" i="17"/>
  <c r="G17" i="4"/>
  <c r="P230" i="3"/>
  <c r="D11" i="4"/>
  <c r="D19" i="4" s="1"/>
  <c r="P17" i="4"/>
  <c r="D20" i="10"/>
  <c r="F14" i="17"/>
  <c r="O10" i="17"/>
  <c r="P16" i="17"/>
  <c r="F13" i="17"/>
  <c r="R13" i="17"/>
  <c r="P228" i="1"/>
  <c r="P229" i="1"/>
  <c r="P230" i="1"/>
  <c r="O15" i="2"/>
  <c r="O26" i="2" s="1"/>
  <c r="F5" i="2"/>
  <c r="X13" i="17"/>
  <c r="X17" i="2"/>
  <c r="E255" i="3"/>
  <c r="F255" i="3" s="1"/>
  <c r="G255" i="3" s="1"/>
  <c r="H255" i="3" s="1"/>
  <c r="I255" i="3" s="1"/>
  <c r="J255" i="3" s="1"/>
  <c r="K255" i="3" s="1"/>
  <c r="L255" i="3" s="1"/>
  <c r="M255" i="3" s="1"/>
  <c r="N255" i="3" s="1"/>
  <c r="O255" i="3" s="1"/>
  <c r="S17" i="4"/>
  <c r="R3" i="18"/>
  <c r="R5" i="18" s="1"/>
  <c r="R5" i="6"/>
  <c r="X13" i="18"/>
  <c r="X17" i="6"/>
  <c r="E3" i="18"/>
  <c r="E5" i="18" s="1"/>
  <c r="E5" i="6"/>
  <c r="J4" i="17"/>
  <c r="N16" i="17"/>
  <c r="G3" i="18"/>
  <c r="G5" i="18" s="1"/>
  <c r="G5" i="6"/>
  <c r="S3" i="18"/>
  <c r="S5" i="18" s="1"/>
  <c r="S5" i="6"/>
  <c r="M13" i="18"/>
  <c r="M17" i="6"/>
  <c r="Y13" i="18"/>
  <c r="Y17" i="6"/>
  <c r="D11" i="6"/>
  <c r="P209" i="5"/>
  <c r="F3" i="18"/>
  <c r="F5" i="18" s="1"/>
  <c r="F5" i="6"/>
  <c r="I6" i="17"/>
  <c r="L4" i="17"/>
  <c r="L6" i="17" s="1"/>
  <c r="Q13" i="17"/>
  <c r="Q17" i="2"/>
  <c r="H13" i="17"/>
  <c r="H17" i="2"/>
  <c r="V17" i="4"/>
  <c r="H3" i="18"/>
  <c r="H5" i="18" s="1"/>
  <c r="H5" i="6"/>
  <c r="T3" i="18"/>
  <c r="T5" i="18" s="1"/>
  <c r="T5" i="6"/>
  <c r="U6" i="18"/>
  <c r="N13" i="18"/>
  <c r="N17" i="6"/>
  <c r="Z13" i="18"/>
  <c r="Z17" i="6"/>
  <c r="P210" i="5"/>
  <c r="P211" i="5"/>
  <c r="P212" i="5"/>
  <c r="P213" i="5"/>
  <c r="W15" i="17"/>
  <c r="Y3" i="17"/>
  <c r="Y5" i="17" s="1"/>
  <c r="Y5" i="2"/>
  <c r="L15" i="17"/>
  <c r="D13" i="17"/>
  <c r="D17" i="2"/>
  <c r="P15" i="2"/>
  <c r="Y13" i="17"/>
  <c r="Y17" i="2"/>
  <c r="Z3" i="17"/>
  <c r="Z5" i="2"/>
  <c r="D5" i="4"/>
  <c r="V14" i="17"/>
  <c r="P217" i="1"/>
  <c r="P218" i="1"/>
  <c r="F15" i="2"/>
  <c r="R15" i="2"/>
  <c r="P3" i="17"/>
  <c r="P5" i="2"/>
  <c r="I5" i="2"/>
  <c r="I13" i="17"/>
  <c r="E5" i="4"/>
  <c r="Q5" i="4"/>
  <c r="W17" i="4"/>
  <c r="P219" i="5"/>
  <c r="P220" i="5"/>
  <c r="P221" i="5"/>
  <c r="P222" i="5"/>
  <c r="P223" i="5"/>
  <c r="P224" i="5"/>
  <c r="P225" i="5"/>
  <c r="P226" i="5"/>
  <c r="P227" i="5"/>
  <c r="E255" i="5"/>
  <c r="F255" i="5" s="1"/>
  <c r="G255" i="5" s="1"/>
  <c r="H255" i="5" s="1"/>
  <c r="I255" i="5" s="1"/>
  <c r="J255" i="5" s="1"/>
  <c r="K255" i="5" s="1"/>
  <c r="L255" i="5" s="1"/>
  <c r="M255" i="5" s="1"/>
  <c r="N255" i="5" s="1"/>
  <c r="O255" i="5" s="1"/>
  <c r="U3" i="18"/>
  <c r="U5" i="18" s="1"/>
  <c r="U5" i="6"/>
  <c r="R13" i="18"/>
  <c r="G17" i="8"/>
  <c r="W17" i="2"/>
  <c r="P220" i="3"/>
  <c r="S13" i="17"/>
  <c r="E15" i="2"/>
  <c r="O3" i="17"/>
  <c r="O5" i="2"/>
  <c r="S15" i="2"/>
  <c r="P4" i="17"/>
  <c r="J17" i="2"/>
  <c r="X17" i="4"/>
  <c r="K6" i="18"/>
  <c r="P229" i="5"/>
  <c r="P231" i="5"/>
  <c r="T13" i="18"/>
  <c r="T17" i="6"/>
  <c r="Q5" i="18"/>
  <c r="R6" i="18"/>
  <c r="G13" i="18"/>
  <c r="G17" i="6"/>
  <c r="D17" i="8"/>
  <c r="L13" i="18"/>
  <c r="L17" i="6"/>
  <c r="L6" i="18"/>
  <c r="E15" i="4"/>
  <c r="E17" i="4" s="1"/>
  <c r="Q15" i="4"/>
  <c r="Q15" i="17" s="1"/>
  <c r="I3" i="18"/>
  <c r="I5" i="18" s="1"/>
  <c r="I5" i="6"/>
  <c r="O13" i="18"/>
  <c r="O17" i="6"/>
  <c r="X6" i="18"/>
  <c r="W13" i="18"/>
  <c r="J17" i="6"/>
  <c r="P221" i="3"/>
  <c r="J3" i="18"/>
  <c r="J5" i="18" s="1"/>
  <c r="J5" i="6"/>
  <c r="V3" i="18"/>
  <c r="V5" i="18" s="1"/>
  <c r="V5" i="6"/>
  <c r="W6" i="18"/>
  <c r="D13" i="18"/>
  <c r="D17" i="6"/>
  <c r="P13" i="18"/>
  <c r="P17" i="6"/>
  <c r="P218" i="5"/>
  <c r="P5" i="18"/>
  <c r="Y6" i="18"/>
  <c r="H9" i="17"/>
  <c r="P209" i="3"/>
  <c r="K3" i="18"/>
  <c r="K5" i="18" s="1"/>
  <c r="K5" i="6"/>
  <c r="W3" i="18"/>
  <c r="W5" i="18" s="1"/>
  <c r="W5" i="6"/>
  <c r="V17" i="6"/>
  <c r="J13" i="17"/>
  <c r="V13" i="17"/>
  <c r="K14" i="17"/>
  <c r="W14" i="17"/>
  <c r="L3" i="18"/>
  <c r="L5" i="18" s="1"/>
  <c r="L5" i="6"/>
  <c r="Q17" i="8"/>
  <c r="U13" i="17"/>
  <c r="U17" i="2"/>
  <c r="N3" i="18"/>
  <c r="N5" i="18" s="1"/>
  <c r="N5" i="6"/>
  <c r="Z3" i="18"/>
  <c r="Z5" i="18" s="1"/>
  <c r="Z5" i="6"/>
  <c r="H13" i="18"/>
  <c r="H17" i="6"/>
  <c r="Q5" i="6"/>
  <c r="D8" i="8"/>
  <c r="D11" i="8" s="1"/>
  <c r="D19" i="8" s="1"/>
  <c r="E255" i="7"/>
  <c r="F255" i="7" s="1"/>
  <c r="G255" i="7" s="1"/>
  <c r="H255" i="7" s="1"/>
  <c r="I255" i="7" s="1"/>
  <c r="J255" i="7" s="1"/>
  <c r="K255" i="7" s="1"/>
  <c r="L255" i="7" s="1"/>
  <c r="M255" i="7" s="1"/>
  <c r="N255" i="7" s="1"/>
  <c r="O255" i="7" s="1"/>
  <c r="P212" i="7"/>
  <c r="S16" i="17"/>
  <c r="V17" i="2"/>
  <c r="O3" i="18"/>
  <c r="O5" i="18" s="1"/>
  <c r="O5" i="6"/>
  <c r="U13" i="18"/>
  <c r="U17" i="6"/>
  <c r="P230" i="5"/>
  <c r="O15" i="6"/>
  <c r="O15" i="18" s="1"/>
  <c r="E13" i="18"/>
  <c r="E17" i="6"/>
  <c r="K17" i="8"/>
  <c r="F5" i="8"/>
  <c r="R5" i="8"/>
  <c r="X17" i="8"/>
  <c r="H5" i="8"/>
  <c r="P213" i="9"/>
  <c r="Y17" i="8"/>
  <c r="P209" i="7"/>
  <c r="P221" i="9"/>
  <c r="P222" i="9"/>
  <c r="F15" i="6"/>
  <c r="R15" i="6"/>
  <c r="R15" i="18" s="1"/>
  <c r="M6" i="18"/>
  <c r="J5" i="8"/>
  <c r="P17" i="8"/>
  <c r="I15" i="8"/>
  <c r="I17" i="8" s="1"/>
  <c r="U15" i="8"/>
  <c r="U15" i="17" s="1"/>
  <c r="U5" i="8"/>
  <c r="E17" i="8"/>
  <c r="P217" i="7"/>
  <c r="P218" i="7"/>
  <c r="P219" i="7"/>
  <c r="X5" i="18"/>
  <c r="R17" i="8"/>
  <c r="K5" i="10"/>
  <c r="Q17" i="6"/>
  <c r="S17" i="8"/>
  <c r="P222" i="7"/>
  <c r="H17" i="10"/>
  <c r="X5" i="6"/>
  <c r="N5" i="8"/>
  <c r="Z5" i="8"/>
  <c r="T17" i="8"/>
  <c r="P224" i="7"/>
  <c r="P225" i="7"/>
  <c r="Y5" i="18"/>
  <c r="K15" i="6"/>
  <c r="K15" i="18" s="1"/>
  <c r="W15" i="6"/>
  <c r="W15" i="18" s="1"/>
  <c r="Y5" i="6"/>
  <c r="P227" i="7"/>
  <c r="P228" i="7"/>
  <c r="P229" i="7"/>
  <c r="O15" i="8"/>
  <c r="O17" i="8" s="1"/>
  <c r="P210" i="7"/>
  <c r="V15" i="8"/>
  <c r="V17" i="8" s="1"/>
  <c r="S17" i="12"/>
  <c r="N17" i="8"/>
  <c r="P211" i="9"/>
  <c r="P212" i="9"/>
  <c r="Y5" i="12"/>
  <c r="M15" i="8"/>
  <c r="M15" i="17" s="1"/>
  <c r="Y15" i="8"/>
  <c r="Y15" i="17" s="1"/>
  <c r="P215" i="9"/>
  <c r="P216" i="9"/>
  <c r="P218" i="9"/>
  <c r="W5" i="10"/>
  <c r="Q17" i="10"/>
  <c r="P224" i="9"/>
  <c r="P226" i="9"/>
  <c r="M17" i="12"/>
  <c r="L5" i="10"/>
  <c r="X5" i="10"/>
  <c r="R17" i="10"/>
  <c r="P229" i="9"/>
  <c r="F255" i="9"/>
  <c r="G255" i="9" s="1"/>
  <c r="H255" i="9" s="1"/>
  <c r="I255" i="9" s="1"/>
  <c r="J255" i="9" s="1"/>
  <c r="K255" i="9" s="1"/>
  <c r="L255" i="9" s="1"/>
  <c r="M255" i="9" s="1"/>
  <c r="N255" i="9" s="1"/>
  <c r="O255" i="9" s="1"/>
  <c r="N17" i="10"/>
  <c r="O5" i="8"/>
  <c r="Z17" i="8"/>
  <c r="G17" i="10"/>
  <c r="P231" i="9"/>
  <c r="P210" i="11"/>
  <c r="P213" i="11"/>
  <c r="F15" i="8"/>
  <c r="F17" i="8" s="1"/>
  <c r="T17" i="10"/>
  <c r="I17" i="10"/>
  <c r="P216" i="11"/>
  <c r="P223" i="11"/>
  <c r="H17" i="8"/>
  <c r="D11" i="10"/>
  <c r="D19" i="10" s="1"/>
  <c r="G13" i="19"/>
  <c r="G17" i="14"/>
  <c r="V17" i="10"/>
  <c r="L5" i="12"/>
  <c r="X5" i="12"/>
  <c r="F17" i="12"/>
  <c r="P226" i="11"/>
  <c r="N17" i="12"/>
  <c r="F17" i="10"/>
  <c r="P228" i="11"/>
  <c r="Q3" i="19"/>
  <c r="Q5" i="19" s="1"/>
  <c r="Q5" i="14"/>
  <c r="P217" i="9"/>
  <c r="E15" i="10"/>
  <c r="E17" i="10" s="1"/>
  <c r="Z17" i="12"/>
  <c r="O5" i="10"/>
  <c r="S15" i="10"/>
  <c r="S17" i="10" s="1"/>
  <c r="G15" i="12"/>
  <c r="G15" i="18" s="1"/>
  <c r="S15" i="12"/>
  <c r="S15" i="18" s="1"/>
  <c r="P217" i="13"/>
  <c r="E5" i="12"/>
  <c r="W17" i="12"/>
  <c r="K17" i="10"/>
  <c r="I15" i="10"/>
  <c r="U15" i="10"/>
  <c r="U17" i="10" s="1"/>
  <c r="F5" i="12"/>
  <c r="H15" i="8"/>
  <c r="H15" i="17" s="1"/>
  <c r="T15" i="8"/>
  <c r="T15" i="17" s="1"/>
  <c r="V15" i="10"/>
  <c r="Y17" i="12"/>
  <c r="P209" i="11"/>
  <c r="P209" i="9"/>
  <c r="P210" i="9"/>
  <c r="P211" i="11"/>
  <c r="P212" i="11"/>
  <c r="Z17" i="10"/>
  <c r="L15" i="10"/>
  <c r="L17" i="10" s="1"/>
  <c r="X15" i="10"/>
  <c r="X17" i="10" s="1"/>
  <c r="M17" i="10"/>
  <c r="O17" i="12"/>
  <c r="H5" i="12"/>
  <c r="T5" i="12"/>
  <c r="P3" i="19"/>
  <c r="P5" i="19" s="1"/>
  <c r="P5" i="14"/>
  <c r="P230" i="11"/>
  <c r="P231" i="11"/>
  <c r="Z5" i="14"/>
  <c r="H15" i="12"/>
  <c r="H17" i="12" s="1"/>
  <c r="T15" i="12"/>
  <c r="T15" i="18" s="1"/>
  <c r="I3" i="19"/>
  <c r="I5" i="14"/>
  <c r="U3" i="19"/>
  <c r="U5" i="14"/>
  <c r="N5" i="12"/>
  <c r="Z5" i="12"/>
  <c r="T17" i="12"/>
  <c r="P217" i="11"/>
  <c r="P218" i="11"/>
  <c r="P219" i="11"/>
  <c r="P220" i="11"/>
  <c r="P221" i="11"/>
  <c r="I15" i="12"/>
  <c r="I15" i="18" s="1"/>
  <c r="U15" i="12"/>
  <c r="U17" i="12" s="1"/>
  <c r="V3" i="19"/>
  <c r="V5" i="19" s="1"/>
  <c r="V5" i="14"/>
  <c r="R15" i="19"/>
  <c r="J15" i="12"/>
  <c r="J15" i="18" s="1"/>
  <c r="E13" i="19"/>
  <c r="E17" i="14"/>
  <c r="G5" i="12"/>
  <c r="L3" i="19"/>
  <c r="L5" i="19" s="1"/>
  <c r="L5" i="14"/>
  <c r="F13" i="19"/>
  <c r="F17" i="14"/>
  <c r="M3" i="19"/>
  <c r="M5" i="19" s="1"/>
  <c r="M5" i="14"/>
  <c r="Y3" i="19"/>
  <c r="Y5" i="19" s="1"/>
  <c r="Y5" i="14"/>
  <c r="S13" i="19"/>
  <c r="S17" i="14"/>
  <c r="K4" i="19"/>
  <c r="K6" i="19" s="1"/>
  <c r="K5" i="14"/>
  <c r="X17" i="12"/>
  <c r="M15" i="12"/>
  <c r="M15" i="18" s="1"/>
  <c r="N3" i="19"/>
  <c r="N5" i="19" s="1"/>
  <c r="N5" i="14"/>
  <c r="Z5" i="19"/>
  <c r="H13" i="19"/>
  <c r="H17" i="14"/>
  <c r="T13" i="19"/>
  <c r="T17" i="14"/>
  <c r="D13" i="19"/>
  <c r="D17" i="14"/>
  <c r="P13" i="19"/>
  <c r="P17" i="14"/>
  <c r="R3" i="19"/>
  <c r="R5" i="14"/>
  <c r="I5" i="16"/>
  <c r="U5" i="16"/>
  <c r="O17" i="16"/>
  <c r="P220" i="13"/>
  <c r="P221" i="13"/>
  <c r="P224" i="13"/>
  <c r="P227" i="13"/>
  <c r="P228" i="13"/>
  <c r="O15" i="19"/>
  <c r="V5" i="16"/>
  <c r="Y15" i="12"/>
  <c r="Y15" i="18" s="1"/>
  <c r="O3" i="19"/>
  <c r="O5" i="19" s="1"/>
  <c r="O5" i="14"/>
  <c r="D6" i="19"/>
  <c r="P6" i="19"/>
  <c r="U13" i="19"/>
  <c r="L6" i="19"/>
  <c r="P229" i="11"/>
  <c r="D3" i="19"/>
  <c r="D5" i="19" s="1"/>
  <c r="D5" i="14"/>
  <c r="E6" i="19"/>
  <c r="Q6" i="19"/>
  <c r="J17" i="12"/>
  <c r="V17" i="12"/>
  <c r="D255" i="11"/>
  <c r="E3" i="19"/>
  <c r="E5" i="19" s="1"/>
  <c r="E5" i="14"/>
  <c r="F4" i="19"/>
  <c r="F6" i="19" s="1"/>
  <c r="Y6" i="19"/>
  <c r="F3" i="19"/>
  <c r="F5" i="14"/>
  <c r="H3" i="19"/>
  <c r="H5" i="19" s="1"/>
  <c r="H5" i="14"/>
  <c r="G3" i="19"/>
  <c r="G5" i="19" s="1"/>
  <c r="G5" i="14"/>
  <c r="S3" i="19"/>
  <c r="S5" i="19" s="1"/>
  <c r="S5" i="14"/>
  <c r="P209" i="13"/>
  <c r="P210" i="13"/>
  <c r="P211" i="13"/>
  <c r="T3" i="19"/>
  <c r="T5" i="19" s="1"/>
  <c r="T5" i="14"/>
  <c r="I4" i="19"/>
  <c r="I6" i="19" s="1"/>
  <c r="U4" i="19"/>
  <c r="U6" i="19" s="1"/>
  <c r="W10" i="19"/>
  <c r="W6" i="19" s="1"/>
  <c r="L16" i="19"/>
  <c r="Y9" i="19"/>
  <c r="P215" i="13"/>
  <c r="P216" i="13"/>
  <c r="P211" i="15"/>
  <c r="J3" i="19"/>
  <c r="J5" i="19" s="1"/>
  <c r="N16" i="19"/>
  <c r="Z16" i="19"/>
  <c r="O9" i="19"/>
  <c r="Q14" i="19"/>
  <c r="P213" i="13"/>
  <c r="P214" i="13"/>
  <c r="F5" i="16"/>
  <c r="R5" i="16"/>
  <c r="W5" i="19"/>
  <c r="D255" i="13"/>
  <c r="J5" i="14"/>
  <c r="P210" i="15"/>
  <c r="I13" i="19"/>
  <c r="I17" i="14"/>
  <c r="J13" i="19"/>
  <c r="J17" i="14"/>
  <c r="V13" i="19"/>
  <c r="V17" i="14"/>
  <c r="O13" i="19"/>
  <c r="F15" i="16"/>
  <c r="F15" i="19" s="1"/>
  <c r="R15" i="16"/>
  <c r="R4" i="19"/>
  <c r="R6" i="19" s="1"/>
  <c r="H10" i="19"/>
  <c r="H6" i="19" s="1"/>
  <c r="T10" i="19"/>
  <c r="T6" i="19" s="1"/>
  <c r="I16" i="19"/>
  <c r="U16" i="19"/>
  <c r="K13" i="19"/>
  <c r="K17" i="14"/>
  <c r="W13" i="19"/>
  <c r="U15" i="14"/>
  <c r="U15" i="19" s="1"/>
  <c r="L17" i="14"/>
  <c r="P223" i="13"/>
  <c r="V15" i="14"/>
  <c r="W5" i="14"/>
  <c r="Q13" i="19"/>
  <c r="Q17" i="14"/>
  <c r="O17" i="14"/>
  <c r="M13" i="19"/>
  <c r="M17" i="14"/>
  <c r="Y13" i="19"/>
  <c r="Y17" i="14"/>
  <c r="P225" i="13"/>
  <c r="P226" i="13"/>
  <c r="K15" i="14"/>
  <c r="X5" i="19"/>
  <c r="X5" i="14"/>
  <c r="R13" i="19"/>
  <c r="R17" i="14"/>
  <c r="X16" i="19"/>
  <c r="M9" i="19"/>
  <c r="N13" i="19"/>
  <c r="N17" i="14"/>
  <c r="Z17" i="14"/>
  <c r="Z13" i="19"/>
  <c r="O14" i="19"/>
  <c r="X15" i="14"/>
  <c r="X15" i="19" s="1"/>
  <c r="X6" i="19"/>
  <c r="L17" i="16"/>
  <c r="G5" i="16"/>
  <c r="S5" i="16"/>
  <c r="P209" i="15"/>
  <c r="Y16" i="19"/>
  <c r="K5" i="16"/>
  <c r="Q17" i="16"/>
  <c r="P220" i="15"/>
  <c r="P221" i="15"/>
  <c r="X17" i="16"/>
  <c r="N9" i="19"/>
  <c r="M5" i="16"/>
  <c r="Y5" i="16"/>
  <c r="S17" i="16"/>
  <c r="H17" i="16"/>
  <c r="T17" i="16"/>
  <c r="P225" i="15"/>
  <c r="P226" i="15"/>
  <c r="P227" i="15"/>
  <c r="P228" i="15"/>
  <c r="P229" i="15"/>
  <c r="P230" i="15"/>
  <c r="D8" i="16"/>
  <c r="D11" i="16" s="1"/>
  <c r="E255" i="15"/>
  <c r="F255" i="15" s="1"/>
  <c r="G255" i="15" s="1"/>
  <c r="H255" i="15" s="1"/>
  <c r="I255" i="15" s="1"/>
  <c r="J255" i="15" s="1"/>
  <c r="K255" i="15" s="1"/>
  <c r="L255" i="15" s="1"/>
  <c r="M255" i="15" s="1"/>
  <c r="N255" i="15" s="1"/>
  <c r="O255" i="15" s="1"/>
  <c r="W15" i="14"/>
  <c r="W17" i="14" s="1"/>
  <c r="E15" i="16"/>
  <c r="E17" i="16" s="1"/>
  <c r="D15" i="16"/>
  <c r="D17" i="16" s="1"/>
  <c r="P15" i="16"/>
  <c r="P15" i="19" s="1"/>
  <c r="I15" i="16"/>
  <c r="I15" i="19" s="1"/>
  <c r="U15" i="16"/>
  <c r="R17" i="16"/>
  <c r="V15" i="16"/>
  <c r="V17" i="16" s="1"/>
  <c r="K15" i="16"/>
  <c r="K17" i="16" s="1"/>
  <c r="W15" i="16"/>
  <c r="W17" i="16" s="1"/>
  <c r="U17" i="16"/>
  <c r="M15" i="16"/>
  <c r="M15" i="19" s="1"/>
  <c r="Y15" i="16"/>
  <c r="Y15" i="19" s="1"/>
  <c r="J17" i="16"/>
  <c r="I5" i="19" l="1"/>
  <c r="U6" i="17"/>
  <c r="N5" i="17"/>
  <c r="H5" i="17"/>
  <c r="W6" i="17"/>
  <c r="F5" i="17"/>
  <c r="D5" i="17"/>
  <c r="P6" i="17"/>
  <c r="M5" i="17"/>
  <c r="F6" i="17"/>
  <c r="K5" i="17"/>
  <c r="Y6" i="17"/>
  <c r="Q6" i="17"/>
  <c r="D6" i="17"/>
  <c r="N6" i="17"/>
  <c r="G6" i="17"/>
  <c r="U5" i="17"/>
  <c r="G5" i="17"/>
  <c r="Z5" i="17"/>
  <c r="V5" i="17"/>
  <c r="R5" i="17"/>
  <c r="J6" i="17"/>
  <c r="Z6" i="17"/>
  <c r="V6" i="17"/>
  <c r="I5" i="17"/>
  <c r="T5" i="17"/>
  <c r="T6" i="17"/>
  <c r="O5" i="17"/>
  <c r="O6" i="17"/>
  <c r="X5" i="17"/>
  <c r="P15" i="17"/>
  <c r="P26" i="2"/>
  <c r="O17" i="2"/>
  <c r="I15" i="17"/>
  <c r="I26" i="2"/>
  <c r="E15" i="17"/>
  <c r="E26" i="2"/>
  <c r="R15" i="17"/>
  <c r="R26" i="2"/>
  <c r="F17" i="2"/>
  <c r="F17" i="17" s="1"/>
  <c r="F26" i="2"/>
  <c r="S15" i="17"/>
  <c r="S26" i="2"/>
  <c r="W17" i="19"/>
  <c r="E21" i="10"/>
  <c r="E20" i="10"/>
  <c r="E20" i="4"/>
  <c r="M17" i="16"/>
  <c r="N17" i="19"/>
  <c r="T17" i="19"/>
  <c r="Y17" i="16"/>
  <c r="Q17" i="19"/>
  <c r="L17" i="19"/>
  <c r="E15" i="19"/>
  <c r="D15" i="19"/>
  <c r="E8" i="10"/>
  <c r="E11" i="10" s="1"/>
  <c r="E19" i="10" s="1"/>
  <c r="D22" i="10"/>
  <c r="V17" i="18"/>
  <c r="P17" i="18"/>
  <c r="W17" i="17"/>
  <c r="P5" i="17"/>
  <c r="D17" i="17"/>
  <c r="Z17" i="18"/>
  <c r="D21" i="10"/>
  <c r="T17" i="17"/>
  <c r="G17" i="17"/>
  <c r="O17" i="17"/>
  <c r="Z17" i="19"/>
  <c r="Y17" i="19"/>
  <c r="V17" i="19"/>
  <c r="U5" i="19"/>
  <c r="D256" i="7"/>
  <c r="E256" i="7" s="1"/>
  <c r="F256" i="7" s="1"/>
  <c r="G256" i="7" s="1"/>
  <c r="H256" i="7" s="1"/>
  <c r="I256" i="7" s="1"/>
  <c r="J256" i="7" s="1"/>
  <c r="K256" i="7" s="1"/>
  <c r="L256" i="7" s="1"/>
  <c r="M256" i="7" s="1"/>
  <c r="N256" i="7" s="1"/>
  <c r="O256" i="7" s="1"/>
  <c r="P255" i="7"/>
  <c r="D22" i="8" s="1"/>
  <c r="D17" i="18"/>
  <c r="U15" i="18"/>
  <c r="R17" i="6"/>
  <c r="F15" i="17"/>
  <c r="X15" i="17"/>
  <c r="N17" i="18"/>
  <c r="X17" i="17"/>
  <c r="K17" i="17"/>
  <c r="U17" i="8"/>
  <c r="P255" i="1"/>
  <c r="D256" i="1"/>
  <c r="E256" i="1" s="1"/>
  <c r="F256" i="1" s="1"/>
  <c r="G256" i="1" s="1"/>
  <c r="H256" i="1" s="1"/>
  <c r="I256" i="1" s="1"/>
  <c r="J256" i="1" s="1"/>
  <c r="K256" i="1" s="1"/>
  <c r="L256" i="1" s="1"/>
  <c r="M256" i="1" s="1"/>
  <c r="N256" i="1" s="1"/>
  <c r="O256" i="1" s="1"/>
  <c r="K17" i="19"/>
  <c r="I17" i="12"/>
  <c r="D256" i="9"/>
  <c r="E256" i="9" s="1"/>
  <c r="F256" i="9" s="1"/>
  <c r="G256" i="9" s="1"/>
  <c r="H256" i="9" s="1"/>
  <c r="I256" i="9" s="1"/>
  <c r="J256" i="9" s="1"/>
  <c r="K256" i="9" s="1"/>
  <c r="L256" i="9" s="1"/>
  <c r="M256" i="9" s="1"/>
  <c r="N256" i="9" s="1"/>
  <c r="O256" i="9" s="1"/>
  <c r="P255" i="9"/>
  <c r="D8" i="17"/>
  <c r="D11" i="2"/>
  <c r="U17" i="14"/>
  <c r="D17" i="19"/>
  <c r="D20" i="8"/>
  <c r="D21" i="8"/>
  <c r="J17" i="17"/>
  <c r="D19" i="6"/>
  <c r="D20" i="6" s="1"/>
  <c r="Q17" i="18"/>
  <c r="E17" i="18"/>
  <c r="O17" i="18"/>
  <c r="W15" i="19"/>
  <c r="M17" i="19"/>
  <c r="J17" i="19"/>
  <c r="E255" i="11"/>
  <c r="F255" i="11" s="1"/>
  <c r="G255" i="11" s="1"/>
  <c r="H255" i="11" s="1"/>
  <c r="I255" i="11" s="1"/>
  <c r="J255" i="11" s="1"/>
  <c r="K255" i="11" s="1"/>
  <c r="L255" i="11" s="1"/>
  <c r="M255" i="11" s="1"/>
  <c r="N255" i="11" s="1"/>
  <c r="O255" i="11" s="1"/>
  <c r="D8" i="12"/>
  <c r="I17" i="16"/>
  <c r="D256" i="15"/>
  <c r="E256" i="15" s="1"/>
  <c r="F256" i="15" s="1"/>
  <c r="G256" i="15" s="1"/>
  <c r="H256" i="15" s="1"/>
  <c r="I256" i="15" s="1"/>
  <c r="J256" i="15" s="1"/>
  <c r="K256" i="15" s="1"/>
  <c r="L256" i="15" s="1"/>
  <c r="M256" i="15" s="1"/>
  <c r="N256" i="15" s="1"/>
  <c r="O256" i="15" s="1"/>
  <c r="P255" i="15"/>
  <c r="H17" i="19"/>
  <c r="M17" i="8"/>
  <c r="K17" i="4"/>
  <c r="M17" i="18"/>
  <c r="H15" i="18"/>
  <c r="S17" i="18"/>
  <c r="L17" i="17"/>
  <c r="R6" i="17"/>
  <c r="J5" i="17"/>
  <c r="P255" i="3"/>
  <c r="D22" i="4" s="1"/>
  <c r="D256" i="3"/>
  <c r="E256" i="3" s="1"/>
  <c r="F256" i="3" s="1"/>
  <c r="G256" i="3" s="1"/>
  <c r="H256" i="3" s="1"/>
  <c r="I256" i="3" s="1"/>
  <c r="J256" i="3" s="1"/>
  <c r="K256" i="3" s="1"/>
  <c r="L256" i="3" s="1"/>
  <c r="M256" i="3" s="1"/>
  <c r="N256" i="3" s="1"/>
  <c r="O256" i="3" s="1"/>
  <c r="Q17" i="17"/>
  <c r="Y17" i="18"/>
  <c r="E8" i="4"/>
  <c r="E11" i="4" s="1"/>
  <c r="E19" i="4" s="1"/>
  <c r="O17" i="19"/>
  <c r="S17" i="19"/>
  <c r="H17" i="18"/>
  <c r="T17" i="18"/>
  <c r="P255" i="5"/>
  <c r="D256" i="5"/>
  <c r="E256" i="5" s="1"/>
  <c r="F256" i="5" s="1"/>
  <c r="G256" i="5" s="1"/>
  <c r="H256" i="5" s="1"/>
  <c r="I256" i="5" s="1"/>
  <c r="J256" i="5" s="1"/>
  <c r="K256" i="5" s="1"/>
  <c r="L256" i="5" s="1"/>
  <c r="M256" i="5" s="1"/>
  <c r="N256" i="5" s="1"/>
  <c r="O256" i="5" s="1"/>
  <c r="O15" i="17"/>
  <c r="L5" i="17"/>
  <c r="Z17" i="17"/>
  <c r="F15" i="18"/>
  <c r="F17" i="6"/>
  <c r="U17" i="18"/>
  <c r="K17" i="6"/>
  <c r="D21" i="4"/>
  <c r="D20" i="4"/>
  <c r="E17" i="2"/>
  <c r="E8" i="8"/>
  <c r="E11" i="8" s="1"/>
  <c r="E19" i="8" s="1"/>
  <c r="E21" i="8" s="1"/>
  <c r="I17" i="19"/>
  <c r="G17" i="12"/>
  <c r="G17" i="18" s="1"/>
  <c r="S17" i="2"/>
  <c r="I17" i="2"/>
  <c r="X17" i="18"/>
  <c r="M17" i="17"/>
  <c r="N17" i="17"/>
  <c r="R17" i="19"/>
  <c r="G17" i="19"/>
  <c r="Y17" i="17"/>
  <c r="W5" i="17"/>
  <c r="D19" i="16"/>
  <c r="E17" i="19"/>
  <c r="X17" i="14"/>
  <c r="P17" i="16"/>
  <c r="F17" i="16"/>
  <c r="F17" i="19" s="1"/>
  <c r="V15" i="19"/>
  <c r="K5" i="19"/>
  <c r="F5" i="19"/>
  <c r="R5" i="19"/>
  <c r="J17" i="18"/>
  <c r="H17" i="17"/>
  <c r="R17" i="2"/>
  <c r="K15" i="19"/>
  <c r="D8" i="14"/>
  <c r="E255" i="13"/>
  <c r="F255" i="13" s="1"/>
  <c r="G255" i="13" s="1"/>
  <c r="H255" i="13" s="1"/>
  <c r="I255" i="13" s="1"/>
  <c r="J255" i="13" s="1"/>
  <c r="K255" i="13" s="1"/>
  <c r="L255" i="13" s="1"/>
  <c r="M255" i="13" s="1"/>
  <c r="N255" i="13" s="1"/>
  <c r="O255" i="13" s="1"/>
  <c r="P17" i="19"/>
  <c r="V17" i="17"/>
  <c r="W17" i="6"/>
  <c r="L17" i="18"/>
  <c r="P17" i="2"/>
  <c r="W17" i="18" l="1"/>
  <c r="E20" i="8"/>
  <c r="R17" i="17"/>
  <c r="F17" i="18"/>
  <c r="P17" i="17"/>
  <c r="D11" i="17"/>
  <c r="D19" i="2"/>
  <c r="D257" i="1"/>
  <c r="E257" i="1" s="1"/>
  <c r="F257" i="1" s="1"/>
  <c r="G257" i="1" s="1"/>
  <c r="H257" i="1" s="1"/>
  <c r="I257" i="1" s="1"/>
  <c r="J257" i="1" s="1"/>
  <c r="K257" i="1" s="1"/>
  <c r="L257" i="1" s="1"/>
  <c r="M257" i="1" s="1"/>
  <c r="N257" i="1" s="1"/>
  <c r="O257" i="1" s="1"/>
  <c r="P256" i="1"/>
  <c r="I17" i="17"/>
  <c r="S17" i="17"/>
  <c r="D257" i="9"/>
  <c r="E257" i="9" s="1"/>
  <c r="F257" i="9" s="1"/>
  <c r="G257" i="9" s="1"/>
  <c r="H257" i="9" s="1"/>
  <c r="I257" i="9" s="1"/>
  <c r="J257" i="9" s="1"/>
  <c r="K257" i="9" s="1"/>
  <c r="L257" i="9" s="1"/>
  <c r="M257" i="9" s="1"/>
  <c r="N257" i="9" s="1"/>
  <c r="O257" i="9" s="1"/>
  <c r="P256" i="9"/>
  <c r="D256" i="13"/>
  <c r="E256" i="13" s="1"/>
  <c r="F256" i="13" s="1"/>
  <c r="G256" i="13" s="1"/>
  <c r="H256" i="13" s="1"/>
  <c r="I256" i="13" s="1"/>
  <c r="J256" i="13" s="1"/>
  <c r="K256" i="13" s="1"/>
  <c r="L256" i="13" s="1"/>
  <c r="M256" i="13" s="1"/>
  <c r="N256" i="13" s="1"/>
  <c r="O256" i="13" s="1"/>
  <c r="P255" i="13"/>
  <c r="E8" i="16"/>
  <c r="E11" i="16" s="1"/>
  <c r="E19" i="16" s="1"/>
  <c r="D22" i="16"/>
  <c r="F8" i="4"/>
  <c r="F11" i="4" s="1"/>
  <c r="F19" i="4" s="1"/>
  <c r="E22" i="4"/>
  <c r="E8" i="6"/>
  <c r="D22" i="6"/>
  <c r="D257" i="7"/>
  <c r="E257" i="7" s="1"/>
  <c r="F257" i="7" s="1"/>
  <c r="G257" i="7" s="1"/>
  <c r="H257" i="7" s="1"/>
  <c r="I257" i="7" s="1"/>
  <c r="J257" i="7" s="1"/>
  <c r="K257" i="7" s="1"/>
  <c r="L257" i="7" s="1"/>
  <c r="M257" i="7" s="1"/>
  <c r="N257" i="7" s="1"/>
  <c r="O257" i="7" s="1"/>
  <c r="P256" i="7"/>
  <c r="D8" i="19"/>
  <c r="D11" i="14"/>
  <c r="K17" i="18"/>
  <c r="I17" i="18"/>
  <c r="R17" i="18"/>
  <c r="E17" i="17"/>
  <c r="D257" i="15"/>
  <c r="E257" i="15" s="1"/>
  <c r="F257" i="15" s="1"/>
  <c r="G257" i="15" s="1"/>
  <c r="H257" i="15" s="1"/>
  <c r="I257" i="15" s="1"/>
  <c r="J257" i="15" s="1"/>
  <c r="K257" i="15" s="1"/>
  <c r="L257" i="15" s="1"/>
  <c r="M257" i="15" s="1"/>
  <c r="N257" i="15" s="1"/>
  <c r="O257" i="15" s="1"/>
  <c r="P256" i="15"/>
  <c r="P256" i="5"/>
  <c r="D257" i="5"/>
  <c r="E257" i="5" s="1"/>
  <c r="F257" i="5" s="1"/>
  <c r="G257" i="5" s="1"/>
  <c r="H257" i="5" s="1"/>
  <c r="I257" i="5" s="1"/>
  <c r="J257" i="5" s="1"/>
  <c r="K257" i="5" s="1"/>
  <c r="L257" i="5" s="1"/>
  <c r="M257" i="5" s="1"/>
  <c r="N257" i="5" s="1"/>
  <c r="O257" i="5" s="1"/>
  <c r="F8" i="10"/>
  <c r="F11" i="10" s="1"/>
  <c r="F19" i="10" s="1"/>
  <c r="E22" i="10"/>
  <c r="D21" i="16"/>
  <c r="D11" i="12"/>
  <c r="D8" i="18"/>
  <c r="U17" i="19"/>
  <c r="D20" i="16"/>
  <c r="F8" i="8"/>
  <c r="F11" i="8" s="1"/>
  <c r="F19" i="8" s="1"/>
  <c r="E22" i="8"/>
  <c r="X17" i="19"/>
  <c r="D256" i="11"/>
  <c r="E256" i="11" s="1"/>
  <c r="F256" i="11" s="1"/>
  <c r="G256" i="11" s="1"/>
  <c r="H256" i="11" s="1"/>
  <c r="I256" i="11" s="1"/>
  <c r="J256" i="11" s="1"/>
  <c r="K256" i="11" s="1"/>
  <c r="L256" i="11" s="1"/>
  <c r="M256" i="11" s="1"/>
  <c r="N256" i="11" s="1"/>
  <c r="O256" i="11" s="1"/>
  <c r="P255" i="11"/>
  <c r="D257" i="3"/>
  <c r="E257" i="3" s="1"/>
  <c r="F257" i="3" s="1"/>
  <c r="G257" i="3" s="1"/>
  <c r="H257" i="3" s="1"/>
  <c r="I257" i="3" s="1"/>
  <c r="J257" i="3" s="1"/>
  <c r="K257" i="3" s="1"/>
  <c r="L257" i="3" s="1"/>
  <c r="M257" i="3" s="1"/>
  <c r="N257" i="3" s="1"/>
  <c r="O257" i="3" s="1"/>
  <c r="P256" i="3"/>
  <c r="U17" i="17"/>
  <c r="D21" i="6"/>
  <c r="E21" i="4"/>
  <c r="G8" i="8" l="1"/>
  <c r="G11" i="8" s="1"/>
  <c r="G19" i="8" s="1"/>
  <c r="F22" i="8"/>
  <c r="F21" i="8"/>
  <c r="F20" i="8"/>
  <c r="D19" i="12"/>
  <c r="D11" i="18"/>
  <c r="D258" i="1"/>
  <c r="E258" i="1" s="1"/>
  <c r="F258" i="1" s="1"/>
  <c r="G258" i="1" s="1"/>
  <c r="H258" i="1" s="1"/>
  <c r="I258" i="1" s="1"/>
  <c r="J258" i="1" s="1"/>
  <c r="K258" i="1" s="1"/>
  <c r="L258" i="1" s="1"/>
  <c r="M258" i="1" s="1"/>
  <c r="N258" i="1" s="1"/>
  <c r="O258" i="1" s="1"/>
  <c r="P257" i="1"/>
  <c r="D19" i="17"/>
  <c r="D22" i="17" s="1"/>
  <c r="D22" i="2"/>
  <c r="E8" i="2"/>
  <c r="D20" i="2"/>
  <c r="D21" i="2"/>
  <c r="F22" i="4"/>
  <c r="G8" i="4"/>
  <c r="G11" i="4" s="1"/>
  <c r="G19" i="4" s="1"/>
  <c r="F20" i="4"/>
  <c r="F21" i="4"/>
  <c r="D11" i="19"/>
  <c r="D19" i="14"/>
  <c r="F22" i="10"/>
  <c r="G8" i="10"/>
  <c r="G11" i="10" s="1"/>
  <c r="G19" i="10" s="1"/>
  <c r="F21" i="10"/>
  <c r="F20" i="10"/>
  <c r="F8" i="16"/>
  <c r="F11" i="16" s="1"/>
  <c r="F19" i="16" s="1"/>
  <c r="E22" i="16"/>
  <c r="E20" i="16"/>
  <c r="E21" i="16"/>
  <c r="P257" i="15"/>
  <c r="D258" i="15"/>
  <c r="E258" i="15" s="1"/>
  <c r="F258" i="15" s="1"/>
  <c r="G258" i="15" s="1"/>
  <c r="H258" i="15" s="1"/>
  <c r="I258" i="15" s="1"/>
  <c r="J258" i="15" s="1"/>
  <c r="K258" i="15" s="1"/>
  <c r="L258" i="15" s="1"/>
  <c r="M258" i="15" s="1"/>
  <c r="N258" i="15" s="1"/>
  <c r="O258" i="15" s="1"/>
  <c r="D257" i="13"/>
  <c r="E257" i="13" s="1"/>
  <c r="F257" i="13" s="1"/>
  <c r="G257" i="13" s="1"/>
  <c r="H257" i="13" s="1"/>
  <c r="I257" i="13" s="1"/>
  <c r="J257" i="13" s="1"/>
  <c r="K257" i="13" s="1"/>
  <c r="L257" i="13" s="1"/>
  <c r="M257" i="13" s="1"/>
  <c r="N257" i="13" s="1"/>
  <c r="O257" i="13" s="1"/>
  <c r="P256" i="13"/>
  <c r="D258" i="5"/>
  <c r="E258" i="5" s="1"/>
  <c r="F258" i="5" s="1"/>
  <c r="G258" i="5" s="1"/>
  <c r="H258" i="5" s="1"/>
  <c r="I258" i="5" s="1"/>
  <c r="J258" i="5" s="1"/>
  <c r="K258" i="5" s="1"/>
  <c r="L258" i="5" s="1"/>
  <c r="M258" i="5" s="1"/>
  <c r="N258" i="5" s="1"/>
  <c r="O258" i="5" s="1"/>
  <c r="P257" i="5"/>
  <c r="D258" i="9"/>
  <c r="E258" i="9" s="1"/>
  <c r="F258" i="9" s="1"/>
  <c r="G258" i="9" s="1"/>
  <c r="H258" i="9" s="1"/>
  <c r="I258" i="9" s="1"/>
  <c r="J258" i="9" s="1"/>
  <c r="K258" i="9" s="1"/>
  <c r="L258" i="9" s="1"/>
  <c r="M258" i="9" s="1"/>
  <c r="N258" i="9" s="1"/>
  <c r="O258" i="9" s="1"/>
  <c r="P257" i="9"/>
  <c r="P257" i="3"/>
  <c r="D258" i="3"/>
  <c r="E258" i="3" s="1"/>
  <c r="F258" i="3" s="1"/>
  <c r="G258" i="3" s="1"/>
  <c r="H258" i="3" s="1"/>
  <c r="I258" i="3" s="1"/>
  <c r="J258" i="3" s="1"/>
  <c r="K258" i="3" s="1"/>
  <c r="L258" i="3" s="1"/>
  <c r="M258" i="3" s="1"/>
  <c r="N258" i="3" s="1"/>
  <c r="O258" i="3" s="1"/>
  <c r="D257" i="11"/>
  <c r="E257" i="11" s="1"/>
  <c r="F257" i="11" s="1"/>
  <c r="G257" i="11" s="1"/>
  <c r="H257" i="11" s="1"/>
  <c r="I257" i="11" s="1"/>
  <c r="J257" i="11" s="1"/>
  <c r="K257" i="11" s="1"/>
  <c r="L257" i="11" s="1"/>
  <c r="M257" i="11" s="1"/>
  <c r="N257" i="11" s="1"/>
  <c r="O257" i="11" s="1"/>
  <c r="P256" i="11"/>
  <c r="D258" i="7"/>
  <c r="E258" i="7" s="1"/>
  <c r="F258" i="7" s="1"/>
  <c r="G258" i="7" s="1"/>
  <c r="H258" i="7" s="1"/>
  <c r="I258" i="7" s="1"/>
  <c r="J258" i="7" s="1"/>
  <c r="K258" i="7" s="1"/>
  <c r="L258" i="7" s="1"/>
  <c r="M258" i="7" s="1"/>
  <c r="N258" i="7" s="1"/>
  <c r="O258" i="7" s="1"/>
  <c r="P257" i="7"/>
  <c r="E11" i="6"/>
  <c r="D19" i="19" l="1"/>
  <c r="D22" i="14"/>
  <c r="E8" i="14"/>
  <c r="D20" i="14"/>
  <c r="D21" i="14"/>
  <c r="H8" i="10"/>
  <c r="H11" i="10" s="1"/>
  <c r="H19" i="10" s="1"/>
  <c r="G20" i="10"/>
  <c r="G21" i="10"/>
  <c r="D258" i="11"/>
  <c r="E258" i="11" s="1"/>
  <c r="F258" i="11" s="1"/>
  <c r="G258" i="11" s="1"/>
  <c r="H258" i="11" s="1"/>
  <c r="I258" i="11" s="1"/>
  <c r="J258" i="11" s="1"/>
  <c r="K258" i="11" s="1"/>
  <c r="L258" i="11" s="1"/>
  <c r="M258" i="11" s="1"/>
  <c r="N258" i="11" s="1"/>
  <c r="O258" i="11" s="1"/>
  <c r="P257" i="11"/>
  <c r="D259" i="7"/>
  <c r="E259" i="7" s="1"/>
  <c r="F259" i="7" s="1"/>
  <c r="G259" i="7" s="1"/>
  <c r="H259" i="7" s="1"/>
  <c r="I259" i="7" s="1"/>
  <c r="J259" i="7" s="1"/>
  <c r="K259" i="7" s="1"/>
  <c r="L259" i="7" s="1"/>
  <c r="M259" i="7" s="1"/>
  <c r="N259" i="7" s="1"/>
  <c r="O259" i="7" s="1"/>
  <c r="P258" i="7"/>
  <c r="D22" i="19"/>
  <c r="P258" i="15"/>
  <c r="D259" i="15"/>
  <c r="E259" i="15" s="1"/>
  <c r="F259" i="15" s="1"/>
  <c r="G259" i="15" s="1"/>
  <c r="H259" i="15" s="1"/>
  <c r="I259" i="15" s="1"/>
  <c r="J259" i="15" s="1"/>
  <c r="K259" i="15" s="1"/>
  <c r="L259" i="15" s="1"/>
  <c r="M259" i="15" s="1"/>
  <c r="N259" i="15" s="1"/>
  <c r="O259" i="15" s="1"/>
  <c r="D259" i="1"/>
  <c r="E259" i="1" s="1"/>
  <c r="F259" i="1" s="1"/>
  <c r="G259" i="1" s="1"/>
  <c r="H259" i="1" s="1"/>
  <c r="I259" i="1" s="1"/>
  <c r="J259" i="1" s="1"/>
  <c r="K259" i="1" s="1"/>
  <c r="L259" i="1" s="1"/>
  <c r="M259" i="1" s="1"/>
  <c r="N259" i="1" s="1"/>
  <c r="O259" i="1" s="1"/>
  <c r="P258" i="1"/>
  <c r="P257" i="13"/>
  <c r="D258" i="13"/>
  <c r="E258" i="13" s="1"/>
  <c r="F258" i="13" s="1"/>
  <c r="G258" i="13" s="1"/>
  <c r="H258" i="13" s="1"/>
  <c r="I258" i="13" s="1"/>
  <c r="J258" i="13" s="1"/>
  <c r="K258" i="13" s="1"/>
  <c r="L258" i="13" s="1"/>
  <c r="M258" i="13" s="1"/>
  <c r="N258" i="13" s="1"/>
  <c r="O258" i="13" s="1"/>
  <c r="F22" i="16"/>
  <c r="G8" i="16"/>
  <c r="G11" i="16" s="1"/>
  <c r="G19" i="16" s="1"/>
  <c r="F20" i="16"/>
  <c r="F21" i="16"/>
  <c r="E8" i="17"/>
  <c r="E11" i="2"/>
  <c r="D21" i="17"/>
  <c r="D20" i="17"/>
  <c r="E19" i="6"/>
  <c r="D259" i="3"/>
  <c r="E259" i="3" s="1"/>
  <c r="F259" i="3" s="1"/>
  <c r="G259" i="3" s="1"/>
  <c r="H259" i="3" s="1"/>
  <c r="I259" i="3" s="1"/>
  <c r="J259" i="3" s="1"/>
  <c r="K259" i="3" s="1"/>
  <c r="L259" i="3" s="1"/>
  <c r="M259" i="3" s="1"/>
  <c r="N259" i="3" s="1"/>
  <c r="O259" i="3" s="1"/>
  <c r="P258" i="3"/>
  <c r="P258" i="9"/>
  <c r="G22" i="10" s="1"/>
  <c r="D259" i="9"/>
  <c r="E259" i="9" s="1"/>
  <c r="F259" i="9" s="1"/>
  <c r="G259" i="9" s="1"/>
  <c r="H259" i="9" s="1"/>
  <c r="I259" i="9" s="1"/>
  <c r="J259" i="9" s="1"/>
  <c r="K259" i="9" s="1"/>
  <c r="L259" i="9" s="1"/>
  <c r="M259" i="9" s="1"/>
  <c r="N259" i="9" s="1"/>
  <c r="O259" i="9" s="1"/>
  <c r="G22" i="4"/>
  <c r="H8" i="4"/>
  <c r="H11" i="4" s="1"/>
  <c r="H19" i="4" s="1"/>
  <c r="G21" i="4"/>
  <c r="G20" i="4"/>
  <c r="D22" i="12"/>
  <c r="E8" i="12"/>
  <c r="D20" i="12"/>
  <c r="D21" i="12"/>
  <c r="D19" i="18"/>
  <c r="D22" i="18" s="1"/>
  <c r="D259" i="5"/>
  <c r="E259" i="5" s="1"/>
  <c r="F259" i="5" s="1"/>
  <c r="G259" i="5" s="1"/>
  <c r="H259" i="5" s="1"/>
  <c r="I259" i="5" s="1"/>
  <c r="J259" i="5" s="1"/>
  <c r="K259" i="5" s="1"/>
  <c r="L259" i="5" s="1"/>
  <c r="M259" i="5" s="1"/>
  <c r="N259" i="5" s="1"/>
  <c r="O259" i="5" s="1"/>
  <c r="P258" i="5"/>
  <c r="G22" i="8"/>
  <c r="H8" i="8"/>
  <c r="H11" i="8" s="1"/>
  <c r="H19" i="8" s="1"/>
  <c r="G21" i="8"/>
  <c r="G20" i="8"/>
  <c r="P259" i="7" l="1"/>
  <c r="D260" i="7"/>
  <c r="E260" i="7" s="1"/>
  <c r="F260" i="7" s="1"/>
  <c r="G260" i="7" s="1"/>
  <c r="H260" i="7" s="1"/>
  <c r="I260" i="7" s="1"/>
  <c r="J260" i="7" s="1"/>
  <c r="K260" i="7" s="1"/>
  <c r="L260" i="7" s="1"/>
  <c r="M260" i="7" s="1"/>
  <c r="N260" i="7" s="1"/>
  <c r="O260" i="7" s="1"/>
  <c r="I8" i="8"/>
  <c r="I11" i="8" s="1"/>
  <c r="I19" i="8" s="1"/>
  <c r="H22" i="8"/>
  <c r="H20" i="8"/>
  <c r="H21" i="8"/>
  <c r="D259" i="13"/>
  <c r="E259" i="13" s="1"/>
  <c r="F259" i="13" s="1"/>
  <c r="G259" i="13" s="1"/>
  <c r="H259" i="13" s="1"/>
  <c r="I259" i="13" s="1"/>
  <c r="J259" i="13" s="1"/>
  <c r="K259" i="13" s="1"/>
  <c r="L259" i="13" s="1"/>
  <c r="M259" i="13" s="1"/>
  <c r="N259" i="13" s="1"/>
  <c r="O259" i="13" s="1"/>
  <c r="P258" i="13"/>
  <c r="H22" i="10"/>
  <c r="I8" i="10"/>
  <c r="I11" i="10" s="1"/>
  <c r="I19" i="10" s="1"/>
  <c r="H20" i="10"/>
  <c r="H21" i="10"/>
  <c r="D260" i="9"/>
  <c r="E260" i="9" s="1"/>
  <c r="F260" i="9" s="1"/>
  <c r="G260" i="9" s="1"/>
  <c r="H260" i="9" s="1"/>
  <c r="I260" i="9" s="1"/>
  <c r="J260" i="9" s="1"/>
  <c r="K260" i="9" s="1"/>
  <c r="L260" i="9" s="1"/>
  <c r="M260" i="9" s="1"/>
  <c r="N260" i="9" s="1"/>
  <c r="O260" i="9" s="1"/>
  <c r="P259" i="9"/>
  <c r="G22" i="16"/>
  <c r="H8" i="16"/>
  <c r="H11" i="16" s="1"/>
  <c r="H19" i="16" s="1"/>
  <c r="G20" i="16"/>
  <c r="G21" i="16"/>
  <c r="D260" i="5"/>
  <c r="E260" i="5" s="1"/>
  <c r="F260" i="5" s="1"/>
  <c r="G260" i="5" s="1"/>
  <c r="H260" i="5" s="1"/>
  <c r="I260" i="5" s="1"/>
  <c r="J260" i="5" s="1"/>
  <c r="K260" i="5" s="1"/>
  <c r="L260" i="5" s="1"/>
  <c r="M260" i="5" s="1"/>
  <c r="N260" i="5" s="1"/>
  <c r="O260" i="5" s="1"/>
  <c r="P259" i="5"/>
  <c r="P259" i="1"/>
  <c r="D260" i="1"/>
  <c r="E260" i="1" s="1"/>
  <c r="F260" i="1" s="1"/>
  <c r="G260" i="1" s="1"/>
  <c r="H260" i="1" s="1"/>
  <c r="I260" i="1" s="1"/>
  <c r="J260" i="1" s="1"/>
  <c r="K260" i="1" s="1"/>
  <c r="L260" i="1" s="1"/>
  <c r="M260" i="1" s="1"/>
  <c r="N260" i="1" s="1"/>
  <c r="O260" i="1" s="1"/>
  <c r="D20" i="18"/>
  <c r="D21" i="18"/>
  <c r="D260" i="15"/>
  <c r="E260" i="15" s="1"/>
  <c r="F260" i="15" s="1"/>
  <c r="G260" i="15" s="1"/>
  <c r="H260" i="15" s="1"/>
  <c r="I260" i="15" s="1"/>
  <c r="J260" i="15" s="1"/>
  <c r="K260" i="15" s="1"/>
  <c r="L260" i="15" s="1"/>
  <c r="M260" i="15" s="1"/>
  <c r="N260" i="15" s="1"/>
  <c r="O260" i="15" s="1"/>
  <c r="P259" i="15"/>
  <c r="E8" i="19"/>
  <c r="E11" i="14"/>
  <c r="D259" i="11"/>
  <c r="E259" i="11" s="1"/>
  <c r="F259" i="11" s="1"/>
  <c r="G259" i="11" s="1"/>
  <c r="H259" i="11" s="1"/>
  <c r="I259" i="11" s="1"/>
  <c r="J259" i="11" s="1"/>
  <c r="K259" i="11" s="1"/>
  <c r="L259" i="11" s="1"/>
  <c r="M259" i="11" s="1"/>
  <c r="N259" i="11" s="1"/>
  <c r="O259" i="11" s="1"/>
  <c r="P258" i="11"/>
  <c r="D260" i="3"/>
  <c r="E260" i="3" s="1"/>
  <c r="F260" i="3" s="1"/>
  <c r="G260" i="3" s="1"/>
  <c r="H260" i="3" s="1"/>
  <c r="I260" i="3" s="1"/>
  <c r="J260" i="3" s="1"/>
  <c r="K260" i="3" s="1"/>
  <c r="L260" i="3" s="1"/>
  <c r="M260" i="3" s="1"/>
  <c r="N260" i="3" s="1"/>
  <c r="O260" i="3" s="1"/>
  <c r="P259" i="3"/>
  <c r="F8" i="6"/>
  <c r="E22" i="6"/>
  <c r="E21" i="6"/>
  <c r="E20" i="6"/>
  <c r="E11" i="12"/>
  <c r="E8" i="18"/>
  <c r="E11" i="17"/>
  <c r="E19" i="2"/>
  <c r="H22" i="4"/>
  <c r="I8" i="4"/>
  <c r="I11" i="4" s="1"/>
  <c r="I19" i="4" s="1"/>
  <c r="H20" i="4"/>
  <c r="H21" i="4"/>
  <c r="D20" i="19"/>
  <c r="D21" i="19"/>
  <c r="F11" i="6" l="1"/>
  <c r="P260" i="1"/>
  <c r="D261" i="1"/>
  <c r="E261" i="1" s="1"/>
  <c r="F261" i="1" s="1"/>
  <c r="G261" i="1" s="1"/>
  <c r="H261" i="1" s="1"/>
  <c r="I261" i="1" s="1"/>
  <c r="J261" i="1" s="1"/>
  <c r="K261" i="1" s="1"/>
  <c r="L261" i="1" s="1"/>
  <c r="M261" i="1" s="1"/>
  <c r="N261" i="1" s="1"/>
  <c r="O261" i="1" s="1"/>
  <c r="I22" i="10"/>
  <c r="J8" i="10"/>
  <c r="J11" i="10" s="1"/>
  <c r="J19" i="10" s="1"/>
  <c r="I21" i="10"/>
  <c r="I20" i="10"/>
  <c r="J8" i="4"/>
  <c r="J11" i="4" s="1"/>
  <c r="J19" i="4" s="1"/>
  <c r="I22" i="4"/>
  <c r="I21" i="4"/>
  <c r="I20" i="4"/>
  <c r="P259" i="13"/>
  <c r="D260" i="13"/>
  <c r="E260" i="13" s="1"/>
  <c r="F260" i="13" s="1"/>
  <c r="G260" i="13" s="1"/>
  <c r="H260" i="13" s="1"/>
  <c r="I260" i="13" s="1"/>
  <c r="J260" i="13" s="1"/>
  <c r="K260" i="13" s="1"/>
  <c r="L260" i="13" s="1"/>
  <c r="M260" i="13" s="1"/>
  <c r="N260" i="13" s="1"/>
  <c r="O260" i="13" s="1"/>
  <c r="D261" i="5"/>
  <c r="E261" i="5" s="1"/>
  <c r="F261" i="5" s="1"/>
  <c r="G261" i="5" s="1"/>
  <c r="H261" i="5" s="1"/>
  <c r="I261" i="5" s="1"/>
  <c r="J261" i="5" s="1"/>
  <c r="K261" i="5" s="1"/>
  <c r="L261" i="5" s="1"/>
  <c r="M261" i="5" s="1"/>
  <c r="N261" i="5" s="1"/>
  <c r="O261" i="5" s="1"/>
  <c r="P260" i="5"/>
  <c r="E19" i="17"/>
  <c r="F8" i="2"/>
  <c r="E22" i="2"/>
  <c r="E21" i="2"/>
  <c r="E20" i="2"/>
  <c r="D260" i="11"/>
  <c r="E260" i="11" s="1"/>
  <c r="F260" i="11" s="1"/>
  <c r="G260" i="11" s="1"/>
  <c r="H260" i="11" s="1"/>
  <c r="I260" i="11" s="1"/>
  <c r="J260" i="11" s="1"/>
  <c r="K260" i="11" s="1"/>
  <c r="L260" i="11" s="1"/>
  <c r="M260" i="11" s="1"/>
  <c r="N260" i="11" s="1"/>
  <c r="O260" i="11" s="1"/>
  <c r="P259" i="11"/>
  <c r="I22" i="8"/>
  <c r="J8" i="8"/>
  <c r="J11" i="8" s="1"/>
  <c r="J19" i="8" s="1"/>
  <c r="I21" i="8"/>
  <c r="I20" i="8"/>
  <c r="E11" i="19"/>
  <c r="E19" i="14"/>
  <c r="H22" i="16"/>
  <c r="I8" i="16"/>
  <c r="I11" i="16" s="1"/>
  <c r="I19" i="16" s="1"/>
  <c r="H20" i="16"/>
  <c r="H21" i="16"/>
  <c r="E19" i="12"/>
  <c r="E11" i="18"/>
  <c r="D261" i="7"/>
  <c r="E261" i="7" s="1"/>
  <c r="F261" i="7" s="1"/>
  <c r="G261" i="7" s="1"/>
  <c r="H261" i="7" s="1"/>
  <c r="I261" i="7" s="1"/>
  <c r="J261" i="7" s="1"/>
  <c r="K261" i="7" s="1"/>
  <c r="L261" i="7" s="1"/>
  <c r="M261" i="7" s="1"/>
  <c r="N261" i="7" s="1"/>
  <c r="O261" i="7" s="1"/>
  <c r="P260" i="7"/>
  <c r="D261" i="3"/>
  <c r="E261" i="3" s="1"/>
  <c r="F261" i="3" s="1"/>
  <c r="G261" i="3" s="1"/>
  <c r="H261" i="3" s="1"/>
  <c r="I261" i="3" s="1"/>
  <c r="J261" i="3" s="1"/>
  <c r="K261" i="3" s="1"/>
  <c r="L261" i="3" s="1"/>
  <c r="M261" i="3" s="1"/>
  <c r="N261" i="3" s="1"/>
  <c r="O261" i="3" s="1"/>
  <c r="P260" i="3"/>
  <c r="D261" i="15"/>
  <c r="E261" i="15" s="1"/>
  <c r="F261" i="15" s="1"/>
  <c r="G261" i="15" s="1"/>
  <c r="H261" i="15" s="1"/>
  <c r="I261" i="15" s="1"/>
  <c r="J261" i="15" s="1"/>
  <c r="K261" i="15" s="1"/>
  <c r="L261" i="15" s="1"/>
  <c r="M261" i="15" s="1"/>
  <c r="N261" i="15" s="1"/>
  <c r="O261" i="15" s="1"/>
  <c r="P260" i="15"/>
  <c r="D261" i="9"/>
  <c r="E261" i="9" s="1"/>
  <c r="F261" i="9" s="1"/>
  <c r="G261" i="9" s="1"/>
  <c r="H261" i="9" s="1"/>
  <c r="I261" i="9" s="1"/>
  <c r="J261" i="9" s="1"/>
  <c r="K261" i="9" s="1"/>
  <c r="L261" i="9" s="1"/>
  <c r="M261" i="9" s="1"/>
  <c r="N261" i="9" s="1"/>
  <c r="O261" i="9" s="1"/>
  <c r="P260" i="9"/>
  <c r="K8" i="4" l="1"/>
  <c r="K11" i="4" s="1"/>
  <c r="K19" i="4" s="1"/>
  <c r="J20" i="4"/>
  <c r="J21" i="4"/>
  <c r="J8" i="16"/>
  <c r="J11" i="16" s="1"/>
  <c r="J19" i="16" s="1"/>
  <c r="I22" i="16"/>
  <c r="I20" i="16"/>
  <c r="I21" i="16"/>
  <c r="E19" i="19"/>
  <c r="E22" i="19" s="1"/>
  <c r="F8" i="14"/>
  <c r="E22" i="14"/>
  <c r="E21" i="14"/>
  <c r="E20" i="14"/>
  <c r="F8" i="17"/>
  <c r="F11" i="2"/>
  <c r="K8" i="10"/>
  <c r="K11" i="10" s="1"/>
  <c r="K19" i="10" s="1"/>
  <c r="J20" i="10"/>
  <c r="J21" i="10"/>
  <c r="D262" i="9"/>
  <c r="E262" i="9" s="1"/>
  <c r="F262" i="9" s="1"/>
  <c r="G262" i="9" s="1"/>
  <c r="H262" i="9" s="1"/>
  <c r="I262" i="9" s="1"/>
  <c r="J262" i="9" s="1"/>
  <c r="K262" i="9" s="1"/>
  <c r="L262" i="9" s="1"/>
  <c r="M262" i="9" s="1"/>
  <c r="N262" i="9" s="1"/>
  <c r="O262" i="9" s="1"/>
  <c r="P261" i="9"/>
  <c r="J22" i="10" s="1"/>
  <c r="E20" i="17"/>
  <c r="E21" i="17"/>
  <c r="E22" i="17"/>
  <c r="P261" i="1"/>
  <c r="D262" i="1"/>
  <c r="E262" i="1" s="1"/>
  <c r="F262" i="1" s="1"/>
  <c r="G262" i="1" s="1"/>
  <c r="H262" i="1" s="1"/>
  <c r="I262" i="1" s="1"/>
  <c r="J262" i="1" s="1"/>
  <c r="K262" i="1" s="1"/>
  <c r="L262" i="1" s="1"/>
  <c r="M262" i="1" s="1"/>
  <c r="N262" i="1" s="1"/>
  <c r="O262" i="1" s="1"/>
  <c r="D261" i="11"/>
  <c r="E261" i="11" s="1"/>
  <c r="F261" i="11" s="1"/>
  <c r="G261" i="11" s="1"/>
  <c r="H261" i="11" s="1"/>
  <c r="I261" i="11" s="1"/>
  <c r="J261" i="11" s="1"/>
  <c r="K261" i="11" s="1"/>
  <c r="L261" i="11" s="1"/>
  <c r="M261" i="11" s="1"/>
  <c r="N261" i="11" s="1"/>
  <c r="O261" i="11" s="1"/>
  <c r="P260" i="11"/>
  <c r="D262" i="7"/>
  <c r="E262" i="7" s="1"/>
  <c r="F262" i="7" s="1"/>
  <c r="G262" i="7" s="1"/>
  <c r="H262" i="7" s="1"/>
  <c r="I262" i="7" s="1"/>
  <c r="J262" i="7" s="1"/>
  <c r="K262" i="7" s="1"/>
  <c r="L262" i="7" s="1"/>
  <c r="M262" i="7" s="1"/>
  <c r="N262" i="7" s="1"/>
  <c r="O262" i="7" s="1"/>
  <c r="P261" i="7"/>
  <c r="J22" i="8"/>
  <c r="K8" i="8"/>
  <c r="K11" i="8" s="1"/>
  <c r="K19" i="8" s="1"/>
  <c r="J20" i="8"/>
  <c r="J21" i="8"/>
  <c r="E22" i="12"/>
  <c r="F8" i="12"/>
  <c r="E20" i="12"/>
  <c r="E21" i="12"/>
  <c r="E19" i="18"/>
  <c r="E22" i="18" s="1"/>
  <c r="D262" i="15"/>
  <c r="E262" i="15" s="1"/>
  <c r="F262" i="15" s="1"/>
  <c r="G262" i="15" s="1"/>
  <c r="H262" i="15" s="1"/>
  <c r="I262" i="15" s="1"/>
  <c r="J262" i="15" s="1"/>
  <c r="K262" i="15" s="1"/>
  <c r="L262" i="15" s="1"/>
  <c r="M262" i="15" s="1"/>
  <c r="N262" i="15" s="1"/>
  <c r="O262" i="15" s="1"/>
  <c r="P261" i="15"/>
  <c r="D262" i="3"/>
  <c r="E262" i="3" s="1"/>
  <c r="F262" i="3" s="1"/>
  <c r="G262" i="3" s="1"/>
  <c r="H262" i="3" s="1"/>
  <c r="I262" i="3" s="1"/>
  <c r="J262" i="3" s="1"/>
  <c r="K262" i="3" s="1"/>
  <c r="L262" i="3" s="1"/>
  <c r="M262" i="3" s="1"/>
  <c r="N262" i="3" s="1"/>
  <c r="O262" i="3" s="1"/>
  <c r="P261" i="3"/>
  <c r="J22" i="4" s="1"/>
  <c r="D262" i="5"/>
  <c r="E262" i="5" s="1"/>
  <c r="F262" i="5" s="1"/>
  <c r="G262" i="5" s="1"/>
  <c r="H262" i="5" s="1"/>
  <c r="I262" i="5" s="1"/>
  <c r="J262" i="5" s="1"/>
  <c r="K262" i="5" s="1"/>
  <c r="L262" i="5" s="1"/>
  <c r="M262" i="5" s="1"/>
  <c r="N262" i="5" s="1"/>
  <c r="O262" i="5" s="1"/>
  <c r="P261" i="5"/>
  <c r="D261" i="13"/>
  <c r="E261" i="13" s="1"/>
  <c r="F261" i="13" s="1"/>
  <c r="G261" i="13" s="1"/>
  <c r="H261" i="13" s="1"/>
  <c r="I261" i="13" s="1"/>
  <c r="J261" i="13" s="1"/>
  <c r="K261" i="13" s="1"/>
  <c r="L261" i="13" s="1"/>
  <c r="M261" i="13" s="1"/>
  <c r="N261" i="13" s="1"/>
  <c r="O261" i="13" s="1"/>
  <c r="P260" i="13"/>
  <c r="F19" i="6"/>
  <c r="D263" i="5" l="1"/>
  <c r="E263" i="5" s="1"/>
  <c r="F263" i="5" s="1"/>
  <c r="G263" i="5" s="1"/>
  <c r="H263" i="5" s="1"/>
  <c r="I263" i="5" s="1"/>
  <c r="J263" i="5" s="1"/>
  <c r="K263" i="5" s="1"/>
  <c r="L263" i="5" s="1"/>
  <c r="M263" i="5" s="1"/>
  <c r="N263" i="5" s="1"/>
  <c r="O263" i="5" s="1"/>
  <c r="P262" i="5"/>
  <c r="D263" i="9"/>
  <c r="E263" i="9" s="1"/>
  <c r="F263" i="9" s="1"/>
  <c r="G263" i="9" s="1"/>
  <c r="H263" i="9" s="1"/>
  <c r="I263" i="9" s="1"/>
  <c r="J263" i="9" s="1"/>
  <c r="K263" i="9" s="1"/>
  <c r="L263" i="9" s="1"/>
  <c r="M263" i="9" s="1"/>
  <c r="N263" i="9" s="1"/>
  <c r="O263" i="9" s="1"/>
  <c r="P262" i="9"/>
  <c r="D263" i="3"/>
  <c r="E263" i="3" s="1"/>
  <c r="F263" i="3" s="1"/>
  <c r="G263" i="3" s="1"/>
  <c r="H263" i="3" s="1"/>
  <c r="I263" i="3" s="1"/>
  <c r="J263" i="3" s="1"/>
  <c r="K263" i="3" s="1"/>
  <c r="L263" i="3" s="1"/>
  <c r="M263" i="3" s="1"/>
  <c r="N263" i="3" s="1"/>
  <c r="O263" i="3" s="1"/>
  <c r="P262" i="3"/>
  <c r="E20" i="19"/>
  <c r="E21" i="19"/>
  <c r="D263" i="7"/>
  <c r="E263" i="7" s="1"/>
  <c r="F263" i="7" s="1"/>
  <c r="G263" i="7" s="1"/>
  <c r="H263" i="7" s="1"/>
  <c r="I263" i="7" s="1"/>
  <c r="J263" i="7" s="1"/>
  <c r="K263" i="7" s="1"/>
  <c r="L263" i="7" s="1"/>
  <c r="M263" i="7" s="1"/>
  <c r="N263" i="7" s="1"/>
  <c r="O263" i="7" s="1"/>
  <c r="P262" i="7"/>
  <c r="D262" i="13"/>
  <c r="E262" i="13" s="1"/>
  <c r="F262" i="13" s="1"/>
  <c r="G262" i="13" s="1"/>
  <c r="H262" i="13" s="1"/>
  <c r="I262" i="13" s="1"/>
  <c r="J262" i="13" s="1"/>
  <c r="K262" i="13" s="1"/>
  <c r="L262" i="13" s="1"/>
  <c r="M262" i="13" s="1"/>
  <c r="N262" i="13" s="1"/>
  <c r="O262" i="13" s="1"/>
  <c r="P261" i="13"/>
  <c r="L8" i="8"/>
  <c r="L11" i="8" s="1"/>
  <c r="L19" i="8" s="1"/>
  <c r="K22" i="8"/>
  <c r="K21" i="8"/>
  <c r="K20" i="8"/>
  <c r="F8" i="19"/>
  <c r="F11" i="14"/>
  <c r="D263" i="15"/>
  <c r="E263" i="15" s="1"/>
  <c r="F263" i="15" s="1"/>
  <c r="G263" i="15" s="1"/>
  <c r="H263" i="15" s="1"/>
  <c r="I263" i="15" s="1"/>
  <c r="J263" i="15" s="1"/>
  <c r="K263" i="15" s="1"/>
  <c r="L263" i="15" s="1"/>
  <c r="M263" i="15" s="1"/>
  <c r="N263" i="15" s="1"/>
  <c r="O263" i="15" s="1"/>
  <c r="P262" i="15"/>
  <c r="E20" i="18"/>
  <c r="E21" i="18"/>
  <c r="D262" i="11"/>
  <c r="E262" i="11" s="1"/>
  <c r="F262" i="11" s="1"/>
  <c r="G262" i="11" s="1"/>
  <c r="H262" i="11" s="1"/>
  <c r="I262" i="11" s="1"/>
  <c r="J262" i="11" s="1"/>
  <c r="K262" i="11" s="1"/>
  <c r="L262" i="11" s="1"/>
  <c r="M262" i="11" s="1"/>
  <c r="N262" i="11" s="1"/>
  <c r="O262" i="11" s="1"/>
  <c r="P261" i="11"/>
  <c r="K22" i="10"/>
  <c r="L8" i="10"/>
  <c r="L11" i="10" s="1"/>
  <c r="L19" i="10" s="1"/>
  <c r="K20" i="10"/>
  <c r="K21" i="10"/>
  <c r="J22" i="16"/>
  <c r="K8" i="16"/>
  <c r="K11" i="16" s="1"/>
  <c r="K19" i="16" s="1"/>
  <c r="J20" i="16"/>
  <c r="J21" i="16"/>
  <c r="F11" i="12"/>
  <c r="F8" i="18"/>
  <c r="D263" i="1"/>
  <c r="E263" i="1" s="1"/>
  <c r="F263" i="1" s="1"/>
  <c r="G263" i="1" s="1"/>
  <c r="H263" i="1" s="1"/>
  <c r="I263" i="1" s="1"/>
  <c r="J263" i="1" s="1"/>
  <c r="K263" i="1" s="1"/>
  <c r="L263" i="1" s="1"/>
  <c r="M263" i="1" s="1"/>
  <c r="N263" i="1" s="1"/>
  <c r="O263" i="1" s="1"/>
  <c r="P262" i="1"/>
  <c r="F22" i="6"/>
  <c r="G8" i="6"/>
  <c r="F20" i="6"/>
  <c r="F21" i="6"/>
  <c r="F11" i="17"/>
  <c r="F19" i="2"/>
  <c r="K22" i="4"/>
  <c r="L8" i="4"/>
  <c r="L11" i="4" s="1"/>
  <c r="L19" i="4" s="1"/>
  <c r="K20" i="4"/>
  <c r="K21" i="4"/>
  <c r="F19" i="17" l="1"/>
  <c r="F22" i="17" s="1"/>
  <c r="F22" i="2"/>
  <c r="G8" i="2"/>
  <c r="F21" i="2"/>
  <c r="F20" i="2"/>
  <c r="D264" i="15"/>
  <c r="E264" i="15" s="1"/>
  <c r="F264" i="15" s="1"/>
  <c r="G264" i="15" s="1"/>
  <c r="H264" i="15" s="1"/>
  <c r="I264" i="15" s="1"/>
  <c r="J264" i="15" s="1"/>
  <c r="K264" i="15" s="1"/>
  <c r="L264" i="15" s="1"/>
  <c r="M264" i="15" s="1"/>
  <c r="N264" i="15" s="1"/>
  <c r="O264" i="15" s="1"/>
  <c r="P263" i="15"/>
  <c r="L22" i="10"/>
  <c r="M8" i="10"/>
  <c r="M11" i="10" s="1"/>
  <c r="M19" i="10" s="1"/>
  <c r="L20" i="10"/>
  <c r="L21" i="10"/>
  <c r="D263" i="11"/>
  <c r="E263" i="11" s="1"/>
  <c r="F263" i="11" s="1"/>
  <c r="G263" i="11" s="1"/>
  <c r="H263" i="11" s="1"/>
  <c r="I263" i="11" s="1"/>
  <c r="J263" i="11" s="1"/>
  <c r="K263" i="11" s="1"/>
  <c r="L263" i="11" s="1"/>
  <c r="M263" i="11" s="1"/>
  <c r="N263" i="11" s="1"/>
  <c r="O263" i="11" s="1"/>
  <c r="P262" i="11"/>
  <c r="M8" i="4"/>
  <c r="M11" i="4" s="1"/>
  <c r="M19" i="4" s="1"/>
  <c r="L22" i="4"/>
  <c r="L21" i="4"/>
  <c r="L20" i="4"/>
  <c r="F19" i="12"/>
  <c r="F11" i="18"/>
  <c r="L8" i="16"/>
  <c r="L11" i="16" s="1"/>
  <c r="L19" i="16" s="1"/>
  <c r="K22" i="16"/>
  <c r="K20" i="16"/>
  <c r="K21" i="16"/>
  <c r="F11" i="19"/>
  <c r="F19" i="14"/>
  <c r="D264" i="3"/>
  <c r="E264" i="3" s="1"/>
  <c r="F264" i="3" s="1"/>
  <c r="G264" i="3" s="1"/>
  <c r="H264" i="3" s="1"/>
  <c r="I264" i="3" s="1"/>
  <c r="J264" i="3" s="1"/>
  <c r="K264" i="3" s="1"/>
  <c r="L264" i="3" s="1"/>
  <c r="M264" i="3" s="1"/>
  <c r="N264" i="3" s="1"/>
  <c r="O264" i="3" s="1"/>
  <c r="P263" i="3"/>
  <c r="D264" i="1"/>
  <c r="E264" i="1" s="1"/>
  <c r="F264" i="1" s="1"/>
  <c r="G264" i="1" s="1"/>
  <c r="H264" i="1" s="1"/>
  <c r="I264" i="1" s="1"/>
  <c r="J264" i="1" s="1"/>
  <c r="K264" i="1" s="1"/>
  <c r="L264" i="1" s="1"/>
  <c r="M264" i="1" s="1"/>
  <c r="N264" i="1" s="1"/>
  <c r="O264" i="1" s="1"/>
  <c r="P263" i="1"/>
  <c r="D263" i="13"/>
  <c r="E263" i="13" s="1"/>
  <c r="F263" i="13" s="1"/>
  <c r="G263" i="13" s="1"/>
  <c r="H263" i="13" s="1"/>
  <c r="I263" i="13" s="1"/>
  <c r="J263" i="13" s="1"/>
  <c r="K263" i="13" s="1"/>
  <c r="L263" i="13" s="1"/>
  <c r="M263" i="13" s="1"/>
  <c r="N263" i="13" s="1"/>
  <c r="O263" i="13" s="1"/>
  <c r="P262" i="13"/>
  <c r="D264" i="7"/>
  <c r="E264" i="7" s="1"/>
  <c r="F264" i="7" s="1"/>
  <c r="G264" i="7" s="1"/>
  <c r="H264" i="7" s="1"/>
  <c r="I264" i="7" s="1"/>
  <c r="J264" i="7" s="1"/>
  <c r="K264" i="7" s="1"/>
  <c r="L264" i="7" s="1"/>
  <c r="M264" i="7" s="1"/>
  <c r="N264" i="7" s="1"/>
  <c r="O264" i="7" s="1"/>
  <c r="P263" i="7"/>
  <c r="G11" i="6"/>
  <c r="P263" i="9"/>
  <c r="D264" i="9"/>
  <c r="E264" i="9" s="1"/>
  <c r="F264" i="9" s="1"/>
  <c r="G264" i="9" s="1"/>
  <c r="H264" i="9" s="1"/>
  <c r="I264" i="9" s="1"/>
  <c r="J264" i="9" s="1"/>
  <c r="K264" i="9" s="1"/>
  <c r="L264" i="9" s="1"/>
  <c r="M264" i="9" s="1"/>
  <c r="N264" i="9" s="1"/>
  <c r="O264" i="9" s="1"/>
  <c r="L22" i="8"/>
  <c r="M8" i="8"/>
  <c r="M11" i="8" s="1"/>
  <c r="M19" i="8" s="1"/>
  <c r="L21" i="8"/>
  <c r="L20" i="8"/>
  <c r="D264" i="5"/>
  <c r="E264" i="5" s="1"/>
  <c r="F264" i="5" s="1"/>
  <c r="G264" i="5" s="1"/>
  <c r="H264" i="5" s="1"/>
  <c r="I264" i="5" s="1"/>
  <c r="J264" i="5" s="1"/>
  <c r="K264" i="5" s="1"/>
  <c r="L264" i="5" s="1"/>
  <c r="M264" i="5" s="1"/>
  <c r="N264" i="5" s="1"/>
  <c r="O264" i="5" s="1"/>
  <c r="P263" i="5"/>
  <c r="G19" i="6" l="1"/>
  <c r="D264" i="11"/>
  <c r="E264" i="11" s="1"/>
  <c r="F264" i="11" s="1"/>
  <c r="G264" i="11" s="1"/>
  <c r="H264" i="11" s="1"/>
  <c r="I264" i="11" s="1"/>
  <c r="J264" i="11" s="1"/>
  <c r="K264" i="11" s="1"/>
  <c r="L264" i="11" s="1"/>
  <c r="M264" i="11" s="1"/>
  <c r="N264" i="11" s="1"/>
  <c r="O264" i="11" s="1"/>
  <c r="P263" i="11"/>
  <c r="D265" i="7"/>
  <c r="E265" i="7" s="1"/>
  <c r="F265" i="7" s="1"/>
  <c r="G265" i="7" s="1"/>
  <c r="H265" i="7" s="1"/>
  <c r="I265" i="7" s="1"/>
  <c r="J265" i="7" s="1"/>
  <c r="K265" i="7" s="1"/>
  <c r="L265" i="7" s="1"/>
  <c r="M265" i="7" s="1"/>
  <c r="N265" i="7" s="1"/>
  <c r="O265" i="7" s="1"/>
  <c r="P264" i="7"/>
  <c r="M8" i="16"/>
  <c r="M11" i="16" s="1"/>
  <c r="M19" i="16" s="1"/>
  <c r="L22" i="16"/>
  <c r="L21" i="16"/>
  <c r="L20" i="16"/>
  <c r="D265" i="15"/>
  <c r="E265" i="15" s="1"/>
  <c r="F265" i="15" s="1"/>
  <c r="G265" i="15" s="1"/>
  <c r="H265" i="15" s="1"/>
  <c r="I265" i="15" s="1"/>
  <c r="J265" i="15" s="1"/>
  <c r="K265" i="15" s="1"/>
  <c r="L265" i="15" s="1"/>
  <c r="M265" i="15" s="1"/>
  <c r="N265" i="15" s="1"/>
  <c r="O265" i="15" s="1"/>
  <c r="P264" i="15"/>
  <c r="P264" i="5"/>
  <c r="D265" i="5"/>
  <c r="E265" i="5" s="1"/>
  <c r="F265" i="5" s="1"/>
  <c r="G265" i="5" s="1"/>
  <c r="H265" i="5" s="1"/>
  <c r="I265" i="5" s="1"/>
  <c r="J265" i="5" s="1"/>
  <c r="K265" i="5" s="1"/>
  <c r="L265" i="5" s="1"/>
  <c r="M265" i="5" s="1"/>
  <c r="N265" i="5" s="1"/>
  <c r="O265" i="5" s="1"/>
  <c r="D265" i="1"/>
  <c r="E265" i="1" s="1"/>
  <c r="F265" i="1" s="1"/>
  <c r="G265" i="1" s="1"/>
  <c r="H265" i="1" s="1"/>
  <c r="I265" i="1" s="1"/>
  <c r="J265" i="1" s="1"/>
  <c r="K265" i="1" s="1"/>
  <c r="L265" i="1" s="1"/>
  <c r="M265" i="1" s="1"/>
  <c r="N265" i="1" s="1"/>
  <c r="O265" i="1" s="1"/>
  <c r="P264" i="1"/>
  <c r="N8" i="10"/>
  <c r="N11" i="10" s="1"/>
  <c r="N19" i="10" s="1"/>
  <c r="M22" i="10"/>
  <c r="M21" i="10"/>
  <c r="M20" i="10"/>
  <c r="P263" i="13"/>
  <c r="D264" i="13"/>
  <c r="E264" i="13" s="1"/>
  <c r="F264" i="13" s="1"/>
  <c r="G264" i="13" s="1"/>
  <c r="H264" i="13" s="1"/>
  <c r="I264" i="13" s="1"/>
  <c r="J264" i="13" s="1"/>
  <c r="K264" i="13" s="1"/>
  <c r="L264" i="13" s="1"/>
  <c r="M264" i="13" s="1"/>
  <c r="N264" i="13" s="1"/>
  <c r="O264" i="13" s="1"/>
  <c r="F22" i="12"/>
  <c r="G8" i="12"/>
  <c r="F20" i="12"/>
  <c r="F21" i="12"/>
  <c r="F19" i="18"/>
  <c r="F22" i="18" s="1"/>
  <c r="N8" i="8"/>
  <c r="N11" i="8" s="1"/>
  <c r="N19" i="8" s="1"/>
  <c r="M22" i="8"/>
  <c r="M21" i="8"/>
  <c r="M20" i="8"/>
  <c r="G8" i="17"/>
  <c r="G11" i="2"/>
  <c r="D265" i="3"/>
  <c r="E265" i="3" s="1"/>
  <c r="F265" i="3" s="1"/>
  <c r="G265" i="3" s="1"/>
  <c r="H265" i="3" s="1"/>
  <c r="I265" i="3" s="1"/>
  <c r="J265" i="3" s="1"/>
  <c r="K265" i="3" s="1"/>
  <c r="L265" i="3" s="1"/>
  <c r="M265" i="3" s="1"/>
  <c r="N265" i="3" s="1"/>
  <c r="O265" i="3" s="1"/>
  <c r="P264" i="3"/>
  <c r="D265" i="9"/>
  <c r="E265" i="9" s="1"/>
  <c r="F265" i="9" s="1"/>
  <c r="G265" i="9" s="1"/>
  <c r="H265" i="9" s="1"/>
  <c r="I265" i="9" s="1"/>
  <c r="J265" i="9" s="1"/>
  <c r="K265" i="9" s="1"/>
  <c r="L265" i="9" s="1"/>
  <c r="M265" i="9" s="1"/>
  <c r="N265" i="9" s="1"/>
  <c r="O265" i="9" s="1"/>
  <c r="P264" i="9"/>
  <c r="F19" i="19"/>
  <c r="F22" i="19" s="1"/>
  <c r="F22" i="14"/>
  <c r="G8" i="14"/>
  <c r="F21" i="14"/>
  <c r="F20" i="14"/>
  <c r="M22" i="4"/>
  <c r="N8" i="4"/>
  <c r="N11" i="4" s="1"/>
  <c r="N19" i="4" s="1"/>
  <c r="M20" i="4"/>
  <c r="M21" i="4"/>
  <c r="F21" i="17"/>
  <c r="F20" i="17"/>
  <c r="N8" i="16" l="1"/>
  <c r="N11" i="16" s="1"/>
  <c r="N19" i="16" s="1"/>
  <c r="M22" i="16"/>
  <c r="M20" i="16"/>
  <c r="M21" i="16"/>
  <c r="N22" i="10"/>
  <c r="O8" i="10"/>
  <c r="O11" i="10" s="1"/>
  <c r="O19" i="10" s="1"/>
  <c r="N20" i="10"/>
  <c r="N21" i="10"/>
  <c r="N22" i="8"/>
  <c r="O8" i="8"/>
  <c r="O11" i="8" s="1"/>
  <c r="O19" i="8" s="1"/>
  <c r="N20" i="8"/>
  <c r="N21" i="8"/>
  <c r="P265" i="7"/>
  <c r="D266" i="7"/>
  <c r="E266" i="7" s="1"/>
  <c r="F266" i="7" s="1"/>
  <c r="G266" i="7" s="1"/>
  <c r="H266" i="7" s="1"/>
  <c r="I266" i="7" s="1"/>
  <c r="J266" i="7" s="1"/>
  <c r="K266" i="7" s="1"/>
  <c r="L266" i="7" s="1"/>
  <c r="M266" i="7" s="1"/>
  <c r="N266" i="7" s="1"/>
  <c r="O266" i="7" s="1"/>
  <c r="D266" i="1"/>
  <c r="E266" i="1" s="1"/>
  <c r="F266" i="1" s="1"/>
  <c r="G266" i="1" s="1"/>
  <c r="H266" i="1" s="1"/>
  <c r="I266" i="1" s="1"/>
  <c r="J266" i="1" s="1"/>
  <c r="K266" i="1" s="1"/>
  <c r="L266" i="1" s="1"/>
  <c r="M266" i="1" s="1"/>
  <c r="N266" i="1" s="1"/>
  <c r="O266" i="1" s="1"/>
  <c r="P265" i="1"/>
  <c r="D266" i="15"/>
  <c r="E266" i="15" s="1"/>
  <c r="F266" i="15" s="1"/>
  <c r="G266" i="15" s="1"/>
  <c r="H266" i="15" s="1"/>
  <c r="I266" i="15" s="1"/>
  <c r="J266" i="15" s="1"/>
  <c r="K266" i="15" s="1"/>
  <c r="L266" i="15" s="1"/>
  <c r="M266" i="15" s="1"/>
  <c r="N266" i="15" s="1"/>
  <c r="O266" i="15" s="1"/>
  <c r="P265" i="15"/>
  <c r="D265" i="13"/>
  <c r="E265" i="13" s="1"/>
  <c r="F265" i="13" s="1"/>
  <c r="G265" i="13" s="1"/>
  <c r="H265" i="13" s="1"/>
  <c r="I265" i="13" s="1"/>
  <c r="J265" i="13" s="1"/>
  <c r="K265" i="13" s="1"/>
  <c r="L265" i="13" s="1"/>
  <c r="M265" i="13" s="1"/>
  <c r="N265" i="13" s="1"/>
  <c r="O265" i="13" s="1"/>
  <c r="P264" i="13"/>
  <c r="G11" i="17"/>
  <c r="G19" i="2"/>
  <c r="O8" i="4"/>
  <c r="O11" i="4" s="1"/>
  <c r="O19" i="4" s="1"/>
  <c r="N22" i="4"/>
  <c r="N21" i="4"/>
  <c r="N20" i="4"/>
  <c r="F20" i="19"/>
  <c r="F21" i="19"/>
  <c r="D265" i="11"/>
  <c r="E265" i="11" s="1"/>
  <c r="F265" i="11" s="1"/>
  <c r="G265" i="11" s="1"/>
  <c r="H265" i="11" s="1"/>
  <c r="I265" i="11" s="1"/>
  <c r="J265" i="11" s="1"/>
  <c r="K265" i="11" s="1"/>
  <c r="L265" i="11" s="1"/>
  <c r="M265" i="11" s="1"/>
  <c r="N265" i="11" s="1"/>
  <c r="O265" i="11" s="1"/>
  <c r="P264" i="11"/>
  <c r="G8" i="19"/>
  <c r="G11" i="14"/>
  <c r="D266" i="5"/>
  <c r="E266" i="5" s="1"/>
  <c r="F266" i="5" s="1"/>
  <c r="G266" i="5" s="1"/>
  <c r="H266" i="5" s="1"/>
  <c r="I266" i="5" s="1"/>
  <c r="J266" i="5" s="1"/>
  <c r="K266" i="5" s="1"/>
  <c r="L266" i="5" s="1"/>
  <c r="M266" i="5" s="1"/>
  <c r="N266" i="5" s="1"/>
  <c r="O266" i="5" s="1"/>
  <c r="P265" i="5"/>
  <c r="G22" i="6"/>
  <c r="H8" i="6"/>
  <c r="G20" i="6"/>
  <c r="G21" i="6"/>
  <c r="D266" i="3"/>
  <c r="E266" i="3" s="1"/>
  <c r="F266" i="3" s="1"/>
  <c r="G266" i="3" s="1"/>
  <c r="H266" i="3" s="1"/>
  <c r="I266" i="3" s="1"/>
  <c r="J266" i="3" s="1"/>
  <c r="K266" i="3" s="1"/>
  <c r="L266" i="3" s="1"/>
  <c r="M266" i="3" s="1"/>
  <c r="N266" i="3" s="1"/>
  <c r="O266" i="3" s="1"/>
  <c r="P265" i="3"/>
  <c r="F20" i="18"/>
  <c r="F21" i="18"/>
  <c r="P265" i="9"/>
  <c r="D266" i="9"/>
  <c r="E266" i="9" s="1"/>
  <c r="F266" i="9" s="1"/>
  <c r="G266" i="9" s="1"/>
  <c r="H266" i="9" s="1"/>
  <c r="I266" i="9" s="1"/>
  <c r="J266" i="9" s="1"/>
  <c r="K266" i="9" s="1"/>
  <c r="L266" i="9" s="1"/>
  <c r="M266" i="9" s="1"/>
  <c r="N266" i="9" s="1"/>
  <c r="O266" i="9" s="1"/>
  <c r="G11" i="12"/>
  <c r="G8" i="18"/>
  <c r="G19" i="12" l="1"/>
  <c r="G11" i="18"/>
  <c r="O22" i="8"/>
  <c r="P8" i="8"/>
  <c r="P11" i="8" s="1"/>
  <c r="P19" i="8" s="1"/>
  <c r="O21" i="8"/>
  <c r="O20" i="8"/>
  <c r="P266" i="5"/>
  <c r="D267" i="5"/>
  <c r="E267" i="5" s="1"/>
  <c r="F267" i="5" s="1"/>
  <c r="G267" i="5" s="1"/>
  <c r="H267" i="5" s="1"/>
  <c r="I267" i="5" s="1"/>
  <c r="J267" i="5" s="1"/>
  <c r="K267" i="5" s="1"/>
  <c r="L267" i="5" s="1"/>
  <c r="M267" i="5" s="1"/>
  <c r="N267" i="5" s="1"/>
  <c r="O267" i="5" s="1"/>
  <c r="D266" i="13"/>
  <c r="E266" i="13" s="1"/>
  <c r="F266" i="13" s="1"/>
  <c r="G266" i="13" s="1"/>
  <c r="H266" i="13" s="1"/>
  <c r="I266" i="13" s="1"/>
  <c r="J266" i="13" s="1"/>
  <c r="K266" i="13" s="1"/>
  <c r="L266" i="13" s="1"/>
  <c r="M266" i="13" s="1"/>
  <c r="N266" i="13" s="1"/>
  <c r="O266" i="13" s="1"/>
  <c r="P265" i="13"/>
  <c r="O22" i="10"/>
  <c r="P8" i="10"/>
  <c r="P11" i="10" s="1"/>
  <c r="P19" i="10" s="1"/>
  <c r="O20" i="10"/>
  <c r="O21" i="10"/>
  <c r="O22" i="4"/>
  <c r="P8" i="4"/>
  <c r="P11" i="4" s="1"/>
  <c r="P19" i="4" s="1"/>
  <c r="O21" i="4"/>
  <c r="O20" i="4"/>
  <c r="G19" i="17"/>
  <c r="G22" i="17" s="1"/>
  <c r="G22" i="2"/>
  <c r="H8" i="2"/>
  <c r="G21" i="2"/>
  <c r="G20" i="2"/>
  <c r="D267" i="9"/>
  <c r="E267" i="9" s="1"/>
  <c r="F267" i="9" s="1"/>
  <c r="G267" i="9" s="1"/>
  <c r="H267" i="9" s="1"/>
  <c r="I267" i="9" s="1"/>
  <c r="J267" i="9" s="1"/>
  <c r="K267" i="9" s="1"/>
  <c r="L267" i="9" s="1"/>
  <c r="M267" i="9" s="1"/>
  <c r="N267" i="9" s="1"/>
  <c r="O267" i="9" s="1"/>
  <c r="P266" i="9"/>
  <c r="D267" i="3"/>
  <c r="E267" i="3" s="1"/>
  <c r="F267" i="3" s="1"/>
  <c r="G267" i="3" s="1"/>
  <c r="H267" i="3" s="1"/>
  <c r="I267" i="3" s="1"/>
  <c r="J267" i="3" s="1"/>
  <c r="K267" i="3" s="1"/>
  <c r="L267" i="3" s="1"/>
  <c r="M267" i="3" s="1"/>
  <c r="N267" i="3" s="1"/>
  <c r="O267" i="3" s="1"/>
  <c r="P266" i="3"/>
  <c r="G11" i="19"/>
  <c r="G19" i="14"/>
  <c r="P266" i="15"/>
  <c r="D267" i="15"/>
  <c r="E267" i="15" s="1"/>
  <c r="F267" i="15" s="1"/>
  <c r="G267" i="15" s="1"/>
  <c r="H267" i="15" s="1"/>
  <c r="I267" i="15" s="1"/>
  <c r="J267" i="15" s="1"/>
  <c r="K267" i="15" s="1"/>
  <c r="L267" i="15" s="1"/>
  <c r="M267" i="15" s="1"/>
  <c r="N267" i="15" s="1"/>
  <c r="O267" i="15" s="1"/>
  <c r="P266" i="1"/>
  <c r="D267" i="1"/>
  <c r="E267" i="1" s="1"/>
  <c r="F267" i="1" s="1"/>
  <c r="G267" i="1" s="1"/>
  <c r="H267" i="1" s="1"/>
  <c r="I267" i="1" s="1"/>
  <c r="J267" i="1" s="1"/>
  <c r="K267" i="1" s="1"/>
  <c r="L267" i="1" s="1"/>
  <c r="M267" i="1" s="1"/>
  <c r="N267" i="1" s="1"/>
  <c r="O267" i="1" s="1"/>
  <c r="P265" i="11"/>
  <c r="D266" i="11"/>
  <c r="E266" i="11" s="1"/>
  <c r="F266" i="11" s="1"/>
  <c r="G266" i="11" s="1"/>
  <c r="H266" i="11" s="1"/>
  <c r="I266" i="11" s="1"/>
  <c r="J266" i="11" s="1"/>
  <c r="K266" i="11" s="1"/>
  <c r="L266" i="11" s="1"/>
  <c r="M266" i="11" s="1"/>
  <c r="N266" i="11" s="1"/>
  <c r="O266" i="11" s="1"/>
  <c r="D267" i="7"/>
  <c r="E267" i="7" s="1"/>
  <c r="F267" i="7" s="1"/>
  <c r="G267" i="7" s="1"/>
  <c r="H267" i="7" s="1"/>
  <c r="I267" i="7" s="1"/>
  <c r="J267" i="7" s="1"/>
  <c r="K267" i="7" s="1"/>
  <c r="L267" i="7" s="1"/>
  <c r="M267" i="7" s="1"/>
  <c r="N267" i="7" s="1"/>
  <c r="O267" i="7" s="1"/>
  <c r="P266" i="7"/>
  <c r="H11" i="6"/>
  <c r="O8" i="16"/>
  <c r="O11" i="16" s="1"/>
  <c r="O19" i="16" s="1"/>
  <c r="N22" i="16"/>
  <c r="N21" i="16"/>
  <c r="N20" i="16"/>
  <c r="D267" i="11" l="1"/>
  <c r="E267" i="11" s="1"/>
  <c r="F267" i="11" s="1"/>
  <c r="G267" i="11" s="1"/>
  <c r="H267" i="11" s="1"/>
  <c r="I267" i="11" s="1"/>
  <c r="J267" i="11" s="1"/>
  <c r="K267" i="11" s="1"/>
  <c r="L267" i="11" s="1"/>
  <c r="M267" i="11" s="1"/>
  <c r="N267" i="11" s="1"/>
  <c r="O267" i="11" s="1"/>
  <c r="P266" i="11"/>
  <c r="D268" i="1"/>
  <c r="E268" i="1" s="1"/>
  <c r="F268" i="1" s="1"/>
  <c r="G268" i="1" s="1"/>
  <c r="H268" i="1" s="1"/>
  <c r="I268" i="1" s="1"/>
  <c r="J268" i="1" s="1"/>
  <c r="K268" i="1" s="1"/>
  <c r="L268" i="1" s="1"/>
  <c r="M268" i="1" s="1"/>
  <c r="N268" i="1" s="1"/>
  <c r="O268" i="1" s="1"/>
  <c r="P267" i="1"/>
  <c r="H8" i="17"/>
  <c r="H11" i="2"/>
  <c r="D268" i="5"/>
  <c r="E268" i="5" s="1"/>
  <c r="F268" i="5" s="1"/>
  <c r="G268" i="5" s="1"/>
  <c r="H268" i="5" s="1"/>
  <c r="I268" i="5" s="1"/>
  <c r="J268" i="5" s="1"/>
  <c r="K268" i="5" s="1"/>
  <c r="L268" i="5" s="1"/>
  <c r="M268" i="5" s="1"/>
  <c r="N268" i="5" s="1"/>
  <c r="O268" i="5" s="1"/>
  <c r="P267" i="5"/>
  <c r="G20" i="17"/>
  <c r="G21" i="17"/>
  <c r="P8" i="16"/>
  <c r="P11" i="16" s="1"/>
  <c r="P19" i="16" s="1"/>
  <c r="O22" i="16"/>
  <c r="O20" i="16"/>
  <c r="O21" i="16"/>
  <c r="G19" i="19"/>
  <c r="G22" i="19" s="1"/>
  <c r="G22" i="14"/>
  <c r="H8" i="14"/>
  <c r="G21" i="14"/>
  <c r="G20" i="14"/>
  <c r="H19" i="6"/>
  <c r="P22" i="4"/>
  <c r="Q8" i="4"/>
  <c r="Q11" i="4" s="1"/>
  <c r="Q19" i="4" s="1"/>
  <c r="P20" i="4"/>
  <c r="P21" i="4"/>
  <c r="Q8" i="8"/>
  <c r="Q11" i="8" s="1"/>
  <c r="Q19" i="8" s="1"/>
  <c r="P22" i="8"/>
  <c r="P20" i="8"/>
  <c r="P21" i="8"/>
  <c r="Q8" i="10"/>
  <c r="Q11" i="10" s="1"/>
  <c r="Q19" i="10" s="1"/>
  <c r="P22" i="10"/>
  <c r="P20" i="10"/>
  <c r="P21" i="10"/>
  <c r="P267" i="15"/>
  <c r="D268" i="15"/>
  <c r="E268" i="15" s="1"/>
  <c r="F268" i="15" s="1"/>
  <c r="G268" i="15" s="1"/>
  <c r="H268" i="15" s="1"/>
  <c r="I268" i="15" s="1"/>
  <c r="J268" i="15" s="1"/>
  <c r="K268" i="15" s="1"/>
  <c r="L268" i="15" s="1"/>
  <c r="M268" i="15" s="1"/>
  <c r="N268" i="15" s="1"/>
  <c r="O268" i="15" s="1"/>
  <c r="D267" i="13"/>
  <c r="E267" i="13" s="1"/>
  <c r="F267" i="13" s="1"/>
  <c r="G267" i="13" s="1"/>
  <c r="H267" i="13" s="1"/>
  <c r="I267" i="13" s="1"/>
  <c r="J267" i="13" s="1"/>
  <c r="K267" i="13" s="1"/>
  <c r="L267" i="13" s="1"/>
  <c r="M267" i="13" s="1"/>
  <c r="N267" i="13" s="1"/>
  <c r="O267" i="13" s="1"/>
  <c r="P266" i="13"/>
  <c r="D268" i="3"/>
  <c r="E268" i="3" s="1"/>
  <c r="F268" i="3" s="1"/>
  <c r="G268" i="3" s="1"/>
  <c r="H268" i="3" s="1"/>
  <c r="I268" i="3" s="1"/>
  <c r="J268" i="3" s="1"/>
  <c r="K268" i="3" s="1"/>
  <c r="L268" i="3" s="1"/>
  <c r="M268" i="3" s="1"/>
  <c r="N268" i="3" s="1"/>
  <c r="O268" i="3" s="1"/>
  <c r="P267" i="3"/>
  <c r="P267" i="9"/>
  <c r="D268" i="9"/>
  <c r="E268" i="9" s="1"/>
  <c r="F268" i="9" s="1"/>
  <c r="G268" i="9" s="1"/>
  <c r="H268" i="9" s="1"/>
  <c r="I268" i="9" s="1"/>
  <c r="J268" i="9" s="1"/>
  <c r="K268" i="9" s="1"/>
  <c r="L268" i="9" s="1"/>
  <c r="M268" i="9" s="1"/>
  <c r="N268" i="9" s="1"/>
  <c r="O268" i="9" s="1"/>
  <c r="D268" i="7"/>
  <c r="E268" i="7" s="1"/>
  <c r="F268" i="7" s="1"/>
  <c r="G268" i="7" s="1"/>
  <c r="H268" i="7" s="1"/>
  <c r="I268" i="7" s="1"/>
  <c r="J268" i="7" s="1"/>
  <c r="K268" i="7" s="1"/>
  <c r="L268" i="7" s="1"/>
  <c r="M268" i="7" s="1"/>
  <c r="N268" i="7" s="1"/>
  <c r="O268" i="7" s="1"/>
  <c r="P267" i="7"/>
  <c r="G22" i="12"/>
  <c r="H8" i="12"/>
  <c r="G21" i="12"/>
  <c r="G20" i="12"/>
  <c r="G19" i="18"/>
  <c r="G22" i="18" s="1"/>
  <c r="H22" i="6" l="1"/>
  <c r="I8" i="6"/>
  <c r="H21" i="6"/>
  <c r="H20" i="6"/>
  <c r="D269" i="5"/>
  <c r="E269" i="5" s="1"/>
  <c r="F269" i="5" s="1"/>
  <c r="G269" i="5" s="1"/>
  <c r="H269" i="5" s="1"/>
  <c r="I269" i="5" s="1"/>
  <c r="J269" i="5" s="1"/>
  <c r="K269" i="5" s="1"/>
  <c r="L269" i="5" s="1"/>
  <c r="M269" i="5" s="1"/>
  <c r="N269" i="5" s="1"/>
  <c r="O269" i="5" s="1"/>
  <c r="P268" i="5"/>
  <c r="P268" i="15"/>
  <c r="D269" i="15"/>
  <c r="E269" i="15" s="1"/>
  <c r="F269" i="15" s="1"/>
  <c r="G269" i="15" s="1"/>
  <c r="H269" i="15" s="1"/>
  <c r="I269" i="15" s="1"/>
  <c r="J269" i="15" s="1"/>
  <c r="K269" i="15" s="1"/>
  <c r="L269" i="15" s="1"/>
  <c r="M269" i="15" s="1"/>
  <c r="N269" i="15" s="1"/>
  <c r="O269" i="15" s="1"/>
  <c r="Q22" i="4"/>
  <c r="R8" i="4"/>
  <c r="R11" i="4" s="1"/>
  <c r="R19" i="4" s="1"/>
  <c r="Q20" i="4"/>
  <c r="Q21" i="4"/>
  <c r="H11" i="12"/>
  <c r="H8" i="18"/>
  <c r="Q8" i="16"/>
  <c r="Q11" i="16" s="1"/>
  <c r="Q19" i="16" s="1"/>
  <c r="P22" i="16"/>
  <c r="P20" i="16"/>
  <c r="P21" i="16"/>
  <c r="D269" i="9"/>
  <c r="E269" i="9" s="1"/>
  <c r="F269" i="9" s="1"/>
  <c r="G269" i="9" s="1"/>
  <c r="H269" i="9" s="1"/>
  <c r="I269" i="9" s="1"/>
  <c r="J269" i="9" s="1"/>
  <c r="K269" i="9" s="1"/>
  <c r="L269" i="9" s="1"/>
  <c r="M269" i="9" s="1"/>
  <c r="N269" i="9" s="1"/>
  <c r="O269" i="9" s="1"/>
  <c r="P268" i="9"/>
  <c r="R8" i="10"/>
  <c r="R11" i="10" s="1"/>
  <c r="R19" i="10" s="1"/>
  <c r="Q22" i="10"/>
  <c r="Q21" i="10"/>
  <c r="Q20" i="10"/>
  <c r="H11" i="17"/>
  <c r="H19" i="2"/>
  <c r="H8" i="19"/>
  <c r="H11" i="14"/>
  <c r="G20" i="19"/>
  <c r="G21" i="19"/>
  <c r="P268" i="1"/>
  <c r="D269" i="1"/>
  <c r="E269" i="1" s="1"/>
  <c r="F269" i="1" s="1"/>
  <c r="G269" i="1" s="1"/>
  <c r="H269" i="1" s="1"/>
  <c r="I269" i="1" s="1"/>
  <c r="J269" i="1" s="1"/>
  <c r="K269" i="1" s="1"/>
  <c r="L269" i="1" s="1"/>
  <c r="M269" i="1" s="1"/>
  <c r="N269" i="1" s="1"/>
  <c r="O269" i="1" s="1"/>
  <c r="P268" i="7"/>
  <c r="D269" i="7"/>
  <c r="E269" i="7" s="1"/>
  <c r="F269" i="7" s="1"/>
  <c r="G269" i="7" s="1"/>
  <c r="H269" i="7" s="1"/>
  <c r="I269" i="7" s="1"/>
  <c r="J269" i="7" s="1"/>
  <c r="K269" i="7" s="1"/>
  <c r="L269" i="7" s="1"/>
  <c r="M269" i="7" s="1"/>
  <c r="N269" i="7" s="1"/>
  <c r="O269" i="7" s="1"/>
  <c r="D269" i="3"/>
  <c r="E269" i="3" s="1"/>
  <c r="F269" i="3" s="1"/>
  <c r="G269" i="3" s="1"/>
  <c r="H269" i="3" s="1"/>
  <c r="I269" i="3" s="1"/>
  <c r="J269" i="3" s="1"/>
  <c r="K269" i="3" s="1"/>
  <c r="L269" i="3" s="1"/>
  <c r="M269" i="3" s="1"/>
  <c r="N269" i="3" s="1"/>
  <c r="O269" i="3" s="1"/>
  <c r="P268" i="3"/>
  <c r="R8" i="8"/>
  <c r="R11" i="8" s="1"/>
  <c r="R19" i="8" s="1"/>
  <c r="Q22" i="8"/>
  <c r="Q20" i="8"/>
  <c r="Q21" i="8"/>
  <c r="G20" i="18"/>
  <c r="G21" i="18"/>
  <c r="D268" i="13"/>
  <c r="E268" i="13" s="1"/>
  <c r="F268" i="13" s="1"/>
  <c r="G268" i="13" s="1"/>
  <c r="H268" i="13" s="1"/>
  <c r="I268" i="13" s="1"/>
  <c r="J268" i="13" s="1"/>
  <c r="K268" i="13" s="1"/>
  <c r="L268" i="13" s="1"/>
  <c r="M268" i="13" s="1"/>
  <c r="N268" i="13" s="1"/>
  <c r="O268" i="13" s="1"/>
  <c r="P267" i="13"/>
  <c r="D268" i="11"/>
  <c r="E268" i="11" s="1"/>
  <c r="F268" i="11" s="1"/>
  <c r="G268" i="11" s="1"/>
  <c r="H268" i="11" s="1"/>
  <c r="I268" i="11" s="1"/>
  <c r="J268" i="11" s="1"/>
  <c r="K268" i="11" s="1"/>
  <c r="L268" i="11" s="1"/>
  <c r="M268" i="11" s="1"/>
  <c r="N268" i="11" s="1"/>
  <c r="O268" i="11" s="1"/>
  <c r="P267" i="11"/>
  <c r="P269" i="3" l="1"/>
  <c r="D270" i="3"/>
  <c r="E270" i="3" s="1"/>
  <c r="F270" i="3" s="1"/>
  <c r="G270" i="3" s="1"/>
  <c r="H270" i="3" s="1"/>
  <c r="I270" i="3" s="1"/>
  <c r="J270" i="3" s="1"/>
  <c r="K270" i="3" s="1"/>
  <c r="L270" i="3" s="1"/>
  <c r="M270" i="3" s="1"/>
  <c r="N270" i="3" s="1"/>
  <c r="O270" i="3" s="1"/>
  <c r="R22" i="4"/>
  <c r="S8" i="4"/>
  <c r="S11" i="4" s="1"/>
  <c r="S19" i="4" s="1"/>
  <c r="R21" i="4"/>
  <c r="R20" i="4"/>
  <c r="D270" i="1"/>
  <c r="E270" i="1" s="1"/>
  <c r="F270" i="1" s="1"/>
  <c r="G270" i="1" s="1"/>
  <c r="H270" i="1" s="1"/>
  <c r="I270" i="1" s="1"/>
  <c r="J270" i="1" s="1"/>
  <c r="K270" i="1" s="1"/>
  <c r="L270" i="1" s="1"/>
  <c r="M270" i="1" s="1"/>
  <c r="N270" i="1" s="1"/>
  <c r="O270" i="1" s="1"/>
  <c r="P269" i="1"/>
  <c r="D270" i="9"/>
  <c r="E270" i="9" s="1"/>
  <c r="F270" i="9" s="1"/>
  <c r="G270" i="9" s="1"/>
  <c r="H270" i="9" s="1"/>
  <c r="I270" i="9" s="1"/>
  <c r="J270" i="9" s="1"/>
  <c r="K270" i="9" s="1"/>
  <c r="L270" i="9" s="1"/>
  <c r="M270" i="9" s="1"/>
  <c r="N270" i="9" s="1"/>
  <c r="O270" i="9" s="1"/>
  <c r="P269" i="9"/>
  <c r="R22" i="10" s="1"/>
  <c r="D269" i="13"/>
  <c r="E269" i="13" s="1"/>
  <c r="F269" i="13" s="1"/>
  <c r="G269" i="13" s="1"/>
  <c r="H269" i="13" s="1"/>
  <c r="I269" i="13" s="1"/>
  <c r="J269" i="13" s="1"/>
  <c r="K269" i="13" s="1"/>
  <c r="L269" i="13" s="1"/>
  <c r="M269" i="13" s="1"/>
  <c r="N269" i="13" s="1"/>
  <c r="O269" i="13" s="1"/>
  <c r="P268" i="13"/>
  <c r="P269" i="7"/>
  <c r="D270" i="7"/>
  <c r="E270" i="7" s="1"/>
  <c r="F270" i="7" s="1"/>
  <c r="G270" i="7" s="1"/>
  <c r="H270" i="7" s="1"/>
  <c r="I270" i="7" s="1"/>
  <c r="J270" i="7" s="1"/>
  <c r="K270" i="7" s="1"/>
  <c r="L270" i="7" s="1"/>
  <c r="M270" i="7" s="1"/>
  <c r="N270" i="7" s="1"/>
  <c r="O270" i="7" s="1"/>
  <c r="P269" i="15"/>
  <c r="D270" i="15"/>
  <c r="E270" i="15" s="1"/>
  <c r="F270" i="15" s="1"/>
  <c r="G270" i="15" s="1"/>
  <c r="H270" i="15" s="1"/>
  <c r="I270" i="15" s="1"/>
  <c r="J270" i="15" s="1"/>
  <c r="K270" i="15" s="1"/>
  <c r="L270" i="15" s="1"/>
  <c r="M270" i="15" s="1"/>
  <c r="N270" i="15" s="1"/>
  <c r="O270" i="15" s="1"/>
  <c r="D270" i="5"/>
  <c r="E270" i="5" s="1"/>
  <c r="F270" i="5" s="1"/>
  <c r="G270" i="5" s="1"/>
  <c r="H270" i="5" s="1"/>
  <c r="I270" i="5" s="1"/>
  <c r="J270" i="5" s="1"/>
  <c r="K270" i="5" s="1"/>
  <c r="L270" i="5" s="1"/>
  <c r="M270" i="5" s="1"/>
  <c r="N270" i="5" s="1"/>
  <c r="O270" i="5" s="1"/>
  <c r="P269" i="5"/>
  <c r="R8" i="16"/>
  <c r="R11" i="16" s="1"/>
  <c r="R19" i="16" s="1"/>
  <c r="Q22" i="16"/>
  <c r="Q20" i="16"/>
  <c r="Q21" i="16"/>
  <c r="D269" i="11"/>
  <c r="E269" i="11" s="1"/>
  <c r="F269" i="11" s="1"/>
  <c r="G269" i="11" s="1"/>
  <c r="H269" i="11" s="1"/>
  <c r="I269" i="11" s="1"/>
  <c r="J269" i="11" s="1"/>
  <c r="K269" i="11" s="1"/>
  <c r="L269" i="11" s="1"/>
  <c r="M269" i="11" s="1"/>
  <c r="N269" i="11" s="1"/>
  <c r="O269" i="11" s="1"/>
  <c r="P268" i="11"/>
  <c r="S8" i="10"/>
  <c r="S11" i="10" s="1"/>
  <c r="S19" i="10" s="1"/>
  <c r="R20" i="10"/>
  <c r="R21" i="10"/>
  <c r="H11" i="19"/>
  <c r="H19" i="14"/>
  <c r="H19" i="17"/>
  <c r="H22" i="2"/>
  <c r="I8" i="2"/>
  <c r="H20" i="2"/>
  <c r="H21" i="2"/>
  <c r="I11" i="6"/>
  <c r="S8" i="8"/>
  <c r="S11" i="8" s="1"/>
  <c r="S19" i="8" s="1"/>
  <c r="R22" i="8"/>
  <c r="R21" i="8"/>
  <c r="R20" i="8"/>
  <c r="H19" i="12"/>
  <c r="H11" i="18"/>
  <c r="D270" i="13" l="1"/>
  <c r="E270" i="13" s="1"/>
  <c r="F270" i="13" s="1"/>
  <c r="G270" i="13" s="1"/>
  <c r="H270" i="13" s="1"/>
  <c r="I270" i="13" s="1"/>
  <c r="J270" i="13" s="1"/>
  <c r="K270" i="13" s="1"/>
  <c r="L270" i="13" s="1"/>
  <c r="M270" i="13" s="1"/>
  <c r="N270" i="13" s="1"/>
  <c r="O270" i="13" s="1"/>
  <c r="P269" i="13"/>
  <c r="I8" i="17"/>
  <c r="I11" i="2"/>
  <c r="H22" i="12"/>
  <c r="I8" i="12"/>
  <c r="H21" i="12"/>
  <c r="H20" i="12"/>
  <c r="H19" i="18"/>
  <c r="D271" i="1"/>
  <c r="E271" i="1" s="1"/>
  <c r="F271" i="1" s="1"/>
  <c r="G271" i="1" s="1"/>
  <c r="H271" i="1" s="1"/>
  <c r="I271" i="1" s="1"/>
  <c r="J271" i="1" s="1"/>
  <c r="K271" i="1" s="1"/>
  <c r="L271" i="1" s="1"/>
  <c r="M271" i="1" s="1"/>
  <c r="N271" i="1" s="1"/>
  <c r="O271" i="1" s="1"/>
  <c r="P270" i="1"/>
  <c r="D270" i="11"/>
  <c r="E270" i="11" s="1"/>
  <c r="F270" i="11" s="1"/>
  <c r="G270" i="11" s="1"/>
  <c r="H270" i="11" s="1"/>
  <c r="I270" i="11" s="1"/>
  <c r="J270" i="11" s="1"/>
  <c r="K270" i="11" s="1"/>
  <c r="L270" i="11" s="1"/>
  <c r="M270" i="11" s="1"/>
  <c r="N270" i="11" s="1"/>
  <c r="O270" i="11" s="1"/>
  <c r="P269" i="11"/>
  <c r="H20" i="17"/>
  <c r="H21" i="17"/>
  <c r="R22" i="16"/>
  <c r="S8" i="16"/>
  <c r="S11" i="16" s="1"/>
  <c r="S19" i="16" s="1"/>
  <c r="R21" i="16"/>
  <c r="R20" i="16"/>
  <c r="H22" i="17"/>
  <c r="H19" i="19"/>
  <c r="H22" i="14"/>
  <c r="I8" i="14"/>
  <c r="H20" i="14"/>
  <c r="H21" i="14"/>
  <c r="P270" i="9"/>
  <c r="D271" i="9"/>
  <c r="E271" i="9" s="1"/>
  <c r="F271" i="9" s="1"/>
  <c r="G271" i="9" s="1"/>
  <c r="H271" i="9" s="1"/>
  <c r="I271" i="9" s="1"/>
  <c r="J271" i="9" s="1"/>
  <c r="K271" i="9" s="1"/>
  <c r="L271" i="9" s="1"/>
  <c r="M271" i="9" s="1"/>
  <c r="N271" i="9" s="1"/>
  <c r="O271" i="9" s="1"/>
  <c r="D271" i="5"/>
  <c r="E271" i="5" s="1"/>
  <c r="F271" i="5" s="1"/>
  <c r="G271" i="5" s="1"/>
  <c r="H271" i="5" s="1"/>
  <c r="I271" i="5" s="1"/>
  <c r="J271" i="5" s="1"/>
  <c r="K271" i="5" s="1"/>
  <c r="L271" i="5" s="1"/>
  <c r="M271" i="5" s="1"/>
  <c r="N271" i="5" s="1"/>
  <c r="O271" i="5" s="1"/>
  <c r="P270" i="5"/>
  <c r="P270" i="15"/>
  <c r="D271" i="15"/>
  <c r="E271" i="15" s="1"/>
  <c r="F271" i="15" s="1"/>
  <c r="G271" i="15" s="1"/>
  <c r="H271" i="15" s="1"/>
  <c r="I271" i="15" s="1"/>
  <c r="J271" i="15" s="1"/>
  <c r="K271" i="15" s="1"/>
  <c r="L271" i="15" s="1"/>
  <c r="M271" i="15" s="1"/>
  <c r="N271" i="15" s="1"/>
  <c r="O271" i="15" s="1"/>
  <c r="S22" i="4"/>
  <c r="T8" i="4"/>
  <c r="T11" i="4" s="1"/>
  <c r="T19" i="4" s="1"/>
  <c r="S21" i="4"/>
  <c r="S20" i="4"/>
  <c r="S22" i="10"/>
  <c r="T8" i="10"/>
  <c r="T11" i="10" s="1"/>
  <c r="T19" i="10" s="1"/>
  <c r="S21" i="10"/>
  <c r="S20" i="10"/>
  <c r="D271" i="7"/>
  <c r="E271" i="7" s="1"/>
  <c r="F271" i="7" s="1"/>
  <c r="G271" i="7" s="1"/>
  <c r="H271" i="7" s="1"/>
  <c r="I271" i="7" s="1"/>
  <c r="J271" i="7" s="1"/>
  <c r="K271" i="7" s="1"/>
  <c r="L271" i="7" s="1"/>
  <c r="M271" i="7" s="1"/>
  <c r="N271" i="7" s="1"/>
  <c r="O271" i="7" s="1"/>
  <c r="P270" i="7"/>
  <c r="D271" i="3"/>
  <c r="E271" i="3" s="1"/>
  <c r="F271" i="3" s="1"/>
  <c r="G271" i="3" s="1"/>
  <c r="H271" i="3" s="1"/>
  <c r="I271" i="3" s="1"/>
  <c r="J271" i="3" s="1"/>
  <c r="K271" i="3" s="1"/>
  <c r="L271" i="3" s="1"/>
  <c r="M271" i="3" s="1"/>
  <c r="N271" i="3" s="1"/>
  <c r="O271" i="3" s="1"/>
  <c r="P270" i="3"/>
  <c r="S22" i="8"/>
  <c r="T8" i="8"/>
  <c r="T11" i="8" s="1"/>
  <c r="T19" i="8" s="1"/>
  <c r="S20" i="8"/>
  <c r="S21" i="8"/>
  <c r="I19" i="6"/>
  <c r="D272" i="15" l="1"/>
  <c r="E272" i="15" s="1"/>
  <c r="F272" i="15" s="1"/>
  <c r="G272" i="15" s="1"/>
  <c r="H272" i="15" s="1"/>
  <c r="I272" i="15" s="1"/>
  <c r="J272" i="15" s="1"/>
  <c r="K272" i="15" s="1"/>
  <c r="L272" i="15" s="1"/>
  <c r="M272" i="15" s="1"/>
  <c r="N272" i="15" s="1"/>
  <c r="O272" i="15" s="1"/>
  <c r="P271" i="15"/>
  <c r="H21" i="18"/>
  <c r="H20" i="18"/>
  <c r="D272" i="3"/>
  <c r="E272" i="3" s="1"/>
  <c r="F272" i="3" s="1"/>
  <c r="G272" i="3" s="1"/>
  <c r="H272" i="3" s="1"/>
  <c r="I272" i="3" s="1"/>
  <c r="J272" i="3" s="1"/>
  <c r="K272" i="3" s="1"/>
  <c r="L272" i="3" s="1"/>
  <c r="M272" i="3" s="1"/>
  <c r="N272" i="3" s="1"/>
  <c r="O272" i="3" s="1"/>
  <c r="P271" i="3"/>
  <c r="S22" i="16"/>
  <c r="T8" i="16"/>
  <c r="T11" i="16" s="1"/>
  <c r="T19" i="16" s="1"/>
  <c r="S21" i="16"/>
  <c r="S20" i="16"/>
  <c r="I11" i="12"/>
  <c r="I8" i="18"/>
  <c r="T22" i="8"/>
  <c r="U8" i="8"/>
  <c r="U11" i="8" s="1"/>
  <c r="U19" i="8" s="1"/>
  <c r="T21" i="8"/>
  <c r="T20" i="8"/>
  <c r="H21" i="19"/>
  <c r="H20" i="19"/>
  <c r="P271" i="9"/>
  <c r="D272" i="9"/>
  <c r="E272" i="9" s="1"/>
  <c r="F272" i="9" s="1"/>
  <c r="G272" i="9" s="1"/>
  <c r="H272" i="9" s="1"/>
  <c r="I272" i="9" s="1"/>
  <c r="J272" i="9" s="1"/>
  <c r="K272" i="9" s="1"/>
  <c r="L272" i="9" s="1"/>
  <c r="M272" i="9" s="1"/>
  <c r="N272" i="9" s="1"/>
  <c r="O272" i="9" s="1"/>
  <c r="H22" i="19"/>
  <c r="I11" i="17"/>
  <c r="I19" i="2"/>
  <c r="P271" i="1"/>
  <c r="D272" i="1"/>
  <c r="E272" i="1" s="1"/>
  <c r="F272" i="1" s="1"/>
  <c r="G272" i="1" s="1"/>
  <c r="H272" i="1" s="1"/>
  <c r="I272" i="1" s="1"/>
  <c r="J272" i="1" s="1"/>
  <c r="K272" i="1" s="1"/>
  <c r="L272" i="1" s="1"/>
  <c r="M272" i="1" s="1"/>
  <c r="N272" i="1" s="1"/>
  <c r="O272" i="1" s="1"/>
  <c r="D272" i="5"/>
  <c r="E272" i="5" s="1"/>
  <c r="F272" i="5" s="1"/>
  <c r="G272" i="5" s="1"/>
  <c r="H272" i="5" s="1"/>
  <c r="I272" i="5" s="1"/>
  <c r="J272" i="5" s="1"/>
  <c r="K272" i="5" s="1"/>
  <c r="L272" i="5" s="1"/>
  <c r="M272" i="5" s="1"/>
  <c r="N272" i="5" s="1"/>
  <c r="O272" i="5" s="1"/>
  <c r="P271" i="5"/>
  <c r="I22" i="6"/>
  <c r="J8" i="6"/>
  <c r="I21" i="6"/>
  <c r="I20" i="6"/>
  <c r="T22" i="10"/>
  <c r="U8" i="10"/>
  <c r="U11" i="10" s="1"/>
  <c r="U19" i="10" s="1"/>
  <c r="T20" i="10"/>
  <c r="T21" i="10"/>
  <c r="H22" i="18"/>
  <c r="T22" i="4"/>
  <c r="U8" i="4"/>
  <c r="U11" i="4" s="1"/>
  <c r="U19" i="4" s="1"/>
  <c r="T20" i="4"/>
  <c r="T21" i="4"/>
  <c r="D272" i="7"/>
  <c r="E272" i="7" s="1"/>
  <c r="F272" i="7" s="1"/>
  <c r="G272" i="7" s="1"/>
  <c r="H272" i="7" s="1"/>
  <c r="I272" i="7" s="1"/>
  <c r="J272" i="7" s="1"/>
  <c r="K272" i="7" s="1"/>
  <c r="L272" i="7" s="1"/>
  <c r="M272" i="7" s="1"/>
  <c r="N272" i="7" s="1"/>
  <c r="O272" i="7" s="1"/>
  <c r="P271" i="7"/>
  <c r="I8" i="19"/>
  <c r="I11" i="14"/>
  <c r="D271" i="11"/>
  <c r="E271" i="11" s="1"/>
  <c r="F271" i="11" s="1"/>
  <c r="G271" i="11" s="1"/>
  <c r="H271" i="11" s="1"/>
  <c r="I271" i="11" s="1"/>
  <c r="J271" i="11" s="1"/>
  <c r="K271" i="11" s="1"/>
  <c r="L271" i="11" s="1"/>
  <c r="M271" i="11" s="1"/>
  <c r="N271" i="11" s="1"/>
  <c r="O271" i="11" s="1"/>
  <c r="P270" i="11"/>
  <c r="D271" i="13"/>
  <c r="E271" i="13" s="1"/>
  <c r="F271" i="13" s="1"/>
  <c r="G271" i="13" s="1"/>
  <c r="H271" i="13" s="1"/>
  <c r="I271" i="13" s="1"/>
  <c r="J271" i="13" s="1"/>
  <c r="K271" i="13" s="1"/>
  <c r="L271" i="13" s="1"/>
  <c r="M271" i="13" s="1"/>
  <c r="N271" i="13" s="1"/>
  <c r="O271" i="13" s="1"/>
  <c r="P270" i="13"/>
  <c r="P271" i="13" l="1"/>
  <c r="D272" i="13"/>
  <c r="E272" i="13" s="1"/>
  <c r="F272" i="13" s="1"/>
  <c r="G272" i="13" s="1"/>
  <c r="H272" i="13" s="1"/>
  <c r="I272" i="13" s="1"/>
  <c r="J272" i="13" s="1"/>
  <c r="K272" i="13" s="1"/>
  <c r="L272" i="13" s="1"/>
  <c r="M272" i="13" s="1"/>
  <c r="N272" i="13" s="1"/>
  <c r="O272" i="13" s="1"/>
  <c r="I19" i="12"/>
  <c r="I11" i="18"/>
  <c r="I11" i="19"/>
  <c r="I19" i="14"/>
  <c r="D272" i="11"/>
  <c r="E272" i="11" s="1"/>
  <c r="F272" i="11" s="1"/>
  <c r="G272" i="11" s="1"/>
  <c r="H272" i="11" s="1"/>
  <c r="I272" i="11" s="1"/>
  <c r="J272" i="11" s="1"/>
  <c r="K272" i="11" s="1"/>
  <c r="L272" i="11" s="1"/>
  <c r="M272" i="11" s="1"/>
  <c r="N272" i="11" s="1"/>
  <c r="O272" i="11" s="1"/>
  <c r="P271" i="11"/>
  <c r="U22" i="10"/>
  <c r="V8" i="10"/>
  <c r="V11" i="10" s="1"/>
  <c r="V19" i="10" s="1"/>
  <c r="U20" i="10"/>
  <c r="U21" i="10"/>
  <c r="D273" i="9"/>
  <c r="E273" i="9" s="1"/>
  <c r="F273" i="9" s="1"/>
  <c r="G273" i="9" s="1"/>
  <c r="H273" i="9" s="1"/>
  <c r="I273" i="9" s="1"/>
  <c r="J273" i="9" s="1"/>
  <c r="K273" i="9" s="1"/>
  <c r="L273" i="9" s="1"/>
  <c r="M273" i="9" s="1"/>
  <c r="N273" i="9" s="1"/>
  <c r="O273" i="9" s="1"/>
  <c r="P272" i="9"/>
  <c r="U8" i="16"/>
  <c r="U11" i="16" s="1"/>
  <c r="U19" i="16" s="1"/>
  <c r="T22" i="16"/>
  <c r="T20" i="16"/>
  <c r="T21" i="16"/>
  <c r="I19" i="17"/>
  <c r="I22" i="17" s="1"/>
  <c r="I22" i="2"/>
  <c r="J8" i="2"/>
  <c r="I20" i="2"/>
  <c r="I21" i="2"/>
  <c r="P272" i="7"/>
  <c r="D273" i="7"/>
  <c r="E273" i="7" s="1"/>
  <c r="F273" i="7" s="1"/>
  <c r="G273" i="7" s="1"/>
  <c r="H273" i="7" s="1"/>
  <c r="I273" i="7" s="1"/>
  <c r="J273" i="7" s="1"/>
  <c r="K273" i="7" s="1"/>
  <c r="L273" i="7" s="1"/>
  <c r="M273" i="7" s="1"/>
  <c r="N273" i="7" s="1"/>
  <c r="O273" i="7" s="1"/>
  <c r="J11" i="6"/>
  <c r="D273" i="3"/>
  <c r="E273" i="3" s="1"/>
  <c r="F273" i="3" s="1"/>
  <c r="G273" i="3" s="1"/>
  <c r="H273" i="3" s="1"/>
  <c r="I273" i="3" s="1"/>
  <c r="J273" i="3" s="1"/>
  <c r="K273" i="3" s="1"/>
  <c r="L273" i="3" s="1"/>
  <c r="M273" i="3" s="1"/>
  <c r="N273" i="3" s="1"/>
  <c r="O273" i="3" s="1"/>
  <c r="P272" i="3"/>
  <c r="V8" i="4"/>
  <c r="V11" i="4" s="1"/>
  <c r="V19" i="4" s="1"/>
  <c r="U22" i="4"/>
  <c r="U20" i="4"/>
  <c r="U21" i="4"/>
  <c r="D273" i="5"/>
  <c r="E273" i="5" s="1"/>
  <c r="F273" i="5" s="1"/>
  <c r="G273" i="5" s="1"/>
  <c r="H273" i="5" s="1"/>
  <c r="I273" i="5" s="1"/>
  <c r="J273" i="5" s="1"/>
  <c r="K273" i="5" s="1"/>
  <c r="L273" i="5" s="1"/>
  <c r="M273" i="5" s="1"/>
  <c r="N273" i="5" s="1"/>
  <c r="O273" i="5" s="1"/>
  <c r="P272" i="5"/>
  <c r="U22" i="8"/>
  <c r="V8" i="8"/>
  <c r="V11" i="8" s="1"/>
  <c r="V19" i="8" s="1"/>
  <c r="U21" i="8"/>
  <c r="U20" i="8"/>
  <c r="D273" i="1"/>
  <c r="E273" i="1" s="1"/>
  <c r="F273" i="1" s="1"/>
  <c r="G273" i="1" s="1"/>
  <c r="H273" i="1" s="1"/>
  <c r="I273" i="1" s="1"/>
  <c r="J273" i="1" s="1"/>
  <c r="K273" i="1" s="1"/>
  <c r="L273" i="1" s="1"/>
  <c r="M273" i="1" s="1"/>
  <c r="N273" i="1" s="1"/>
  <c r="O273" i="1" s="1"/>
  <c r="P272" i="1"/>
  <c r="P272" i="15"/>
  <c r="D273" i="15"/>
  <c r="E273" i="15" s="1"/>
  <c r="F273" i="15" s="1"/>
  <c r="G273" i="15" s="1"/>
  <c r="H273" i="15" s="1"/>
  <c r="I273" i="15" s="1"/>
  <c r="J273" i="15" s="1"/>
  <c r="K273" i="15" s="1"/>
  <c r="L273" i="15" s="1"/>
  <c r="M273" i="15" s="1"/>
  <c r="N273" i="15" s="1"/>
  <c r="O273" i="15" s="1"/>
  <c r="D274" i="1" l="1"/>
  <c r="E274" i="1" s="1"/>
  <c r="F274" i="1" s="1"/>
  <c r="G274" i="1" s="1"/>
  <c r="H274" i="1" s="1"/>
  <c r="I274" i="1" s="1"/>
  <c r="J274" i="1" s="1"/>
  <c r="K274" i="1" s="1"/>
  <c r="L274" i="1" s="1"/>
  <c r="M274" i="1" s="1"/>
  <c r="N274" i="1" s="1"/>
  <c r="O274" i="1" s="1"/>
  <c r="P273" i="1"/>
  <c r="V8" i="16"/>
  <c r="V11" i="16" s="1"/>
  <c r="V19" i="16" s="1"/>
  <c r="U22" i="16"/>
  <c r="U21" i="16"/>
  <c r="U20" i="16"/>
  <c r="I22" i="12"/>
  <c r="J8" i="12"/>
  <c r="I20" i="12"/>
  <c r="I21" i="12"/>
  <c r="I19" i="18"/>
  <c r="V22" i="8"/>
  <c r="W8" i="8"/>
  <c r="W11" i="8" s="1"/>
  <c r="W19" i="8" s="1"/>
  <c r="V20" i="8"/>
  <c r="V21" i="8"/>
  <c r="D274" i="5"/>
  <c r="E274" i="5" s="1"/>
  <c r="F274" i="5" s="1"/>
  <c r="G274" i="5" s="1"/>
  <c r="H274" i="5" s="1"/>
  <c r="I274" i="5" s="1"/>
  <c r="J274" i="5" s="1"/>
  <c r="K274" i="5" s="1"/>
  <c r="L274" i="5" s="1"/>
  <c r="M274" i="5" s="1"/>
  <c r="N274" i="5" s="1"/>
  <c r="O274" i="5" s="1"/>
  <c r="P273" i="5"/>
  <c r="W8" i="10"/>
  <c r="W11" i="10" s="1"/>
  <c r="W19" i="10" s="1"/>
  <c r="V22" i="10"/>
  <c r="V20" i="10"/>
  <c r="V21" i="10"/>
  <c r="W8" i="4"/>
  <c r="W11" i="4" s="1"/>
  <c r="W19" i="4" s="1"/>
  <c r="V22" i="4"/>
  <c r="V21" i="4"/>
  <c r="V20" i="4"/>
  <c r="D273" i="11"/>
  <c r="E273" i="11" s="1"/>
  <c r="F273" i="11" s="1"/>
  <c r="G273" i="11" s="1"/>
  <c r="H273" i="11" s="1"/>
  <c r="I273" i="11" s="1"/>
  <c r="J273" i="11" s="1"/>
  <c r="K273" i="11" s="1"/>
  <c r="L273" i="11" s="1"/>
  <c r="M273" i="11" s="1"/>
  <c r="N273" i="11" s="1"/>
  <c r="O273" i="11" s="1"/>
  <c r="P272" i="11"/>
  <c r="D274" i="15"/>
  <c r="E274" i="15" s="1"/>
  <c r="F274" i="15" s="1"/>
  <c r="G274" i="15" s="1"/>
  <c r="H274" i="15" s="1"/>
  <c r="I274" i="15" s="1"/>
  <c r="J274" i="15" s="1"/>
  <c r="K274" i="15" s="1"/>
  <c r="L274" i="15" s="1"/>
  <c r="M274" i="15" s="1"/>
  <c r="N274" i="15" s="1"/>
  <c r="O274" i="15" s="1"/>
  <c r="P273" i="15"/>
  <c r="I20" i="17"/>
  <c r="I21" i="17"/>
  <c r="I19" i="19"/>
  <c r="I22" i="19" s="1"/>
  <c r="I22" i="14"/>
  <c r="J8" i="14"/>
  <c r="I20" i="14"/>
  <c r="I21" i="14"/>
  <c r="D274" i="3"/>
  <c r="E274" i="3" s="1"/>
  <c r="F274" i="3" s="1"/>
  <c r="G274" i="3" s="1"/>
  <c r="H274" i="3" s="1"/>
  <c r="I274" i="3" s="1"/>
  <c r="J274" i="3" s="1"/>
  <c r="K274" i="3" s="1"/>
  <c r="L274" i="3" s="1"/>
  <c r="M274" i="3" s="1"/>
  <c r="N274" i="3" s="1"/>
  <c r="O274" i="3" s="1"/>
  <c r="P273" i="3"/>
  <c r="J19" i="6"/>
  <c r="D274" i="7"/>
  <c r="E274" i="7" s="1"/>
  <c r="F274" i="7" s="1"/>
  <c r="G274" i="7" s="1"/>
  <c r="H274" i="7" s="1"/>
  <c r="I274" i="7" s="1"/>
  <c r="J274" i="7" s="1"/>
  <c r="K274" i="7" s="1"/>
  <c r="L274" i="7" s="1"/>
  <c r="M274" i="7" s="1"/>
  <c r="N274" i="7" s="1"/>
  <c r="O274" i="7" s="1"/>
  <c r="P273" i="7"/>
  <c r="D273" i="13"/>
  <c r="E273" i="13" s="1"/>
  <c r="F273" i="13" s="1"/>
  <c r="G273" i="13" s="1"/>
  <c r="H273" i="13" s="1"/>
  <c r="I273" i="13" s="1"/>
  <c r="J273" i="13" s="1"/>
  <c r="K273" i="13" s="1"/>
  <c r="L273" i="13" s="1"/>
  <c r="M273" i="13" s="1"/>
  <c r="N273" i="13" s="1"/>
  <c r="O273" i="13" s="1"/>
  <c r="P272" i="13"/>
  <c r="J8" i="17"/>
  <c r="J11" i="2"/>
  <c r="D274" i="9"/>
  <c r="E274" i="9" s="1"/>
  <c r="F274" i="9" s="1"/>
  <c r="G274" i="9" s="1"/>
  <c r="H274" i="9" s="1"/>
  <c r="I274" i="9" s="1"/>
  <c r="J274" i="9" s="1"/>
  <c r="K274" i="9" s="1"/>
  <c r="L274" i="9" s="1"/>
  <c r="M274" i="9" s="1"/>
  <c r="N274" i="9" s="1"/>
  <c r="O274" i="9" s="1"/>
  <c r="P273" i="9"/>
  <c r="I21" i="18" l="1"/>
  <c r="I20" i="18"/>
  <c r="D274" i="13"/>
  <c r="E274" i="13" s="1"/>
  <c r="F274" i="13" s="1"/>
  <c r="G274" i="13" s="1"/>
  <c r="H274" i="13" s="1"/>
  <c r="I274" i="13" s="1"/>
  <c r="J274" i="13" s="1"/>
  <c r="K274" i="13" s="1"/>
  <c r="L274" i="13" s="1"/>
  <c r="M274" i="13" s="1"/>
  <c r="N274" i="13" s="1"/>
  <c r="O274" i="13" s="1"/>
  <c r="P273" i="13"/>
  <c r="I20" i="19"/>
  <c r="I21" i="19"/>
  <c r="J11" i="12"/>
  <c r="J8" i="18"/>
  <c r="J22" i="6"/>
  <c r="K8" i="6"/>
  <c r="J21" i="6"/>
  <c r="J20" i="6"/>
  <c r="X8" i="10"/>
  <c r="X11" i="10" s="1"/>
  <c r="X19" i="10" s="1"/>
  <c r="W22" i="10"/>
  <c r="W20" i="10"/>
  <c r="W21" i="10"/>
  <c r="J11" i="17"/>
  <c r="J19" i="2"/>
  <c r="J8" i="19"/>
  <c r="J11" i="14"/>
  <c r="P274" i="7"/>
  <c r="D275" i="7"/>
  <c r="E275" i="7" s="1"/>
  <c r="F275" i="7" s="1"/>
  <c r="G275" i="7" s="1"/>
  <c r="H275" i="7" s="1"/>
  <c r="I275" i="7" s="1"/>
  <c r="J275" i="7" s="1"/>
  <c r="K275" i="7" s="1"/>
  <c r="L275" i="7" s="1"/>
  <c r="M275" i="7" s="1"/>
  <c r="N275" i="7" s="1"/>
  <c r="O275" i="7" s="1"/>
  <c r="D275" i="5"/>
  <c r="E275" i="5" s="1"/>
  <c r="F275" i="5" s="1"/>
  <c r="G275" i="5" s="1"/>
  <c r="H275" i="5" s="1"/>
  <c r="I275" i="5" s="1"/>
  <c r="J275" i="5" s="1"/>
  <c r="K275" i="5" s="1"/>
  <c r="L275" i="5" s="1"/>
  <c r="M275" i="5" s="1"/>
  <c r="N275" i="5" s="1"/>
  <c r="O275" i="5" s="1"/>
  <c r="P274" i="5"/>
  <c r="I22" i="18"/>
  <c r="V22" i="16"/>
  <c r="W8" i="16"/>
  <c r="W11" i="16" s="1"/>
  <c r="W19" i="16" s="1"/>
  <c r="V21" i="16"/>
  <c r="V20" i="16"/>
  <c r="D274" i="11"/>
  <c r="E274" i="11" s="1"/>
  <c r="F274" i="11" s="1"/>
  <c r="G274" i="11" s="1"/>
  <c r="H274" i="11" s="1"/>
  <c r="I274" i="11" s="1"/>
  <c r="J274" i="11" s="1"/>
  <c r="K274" i="11" s="1"/>
  <c r="L274" i="11" s="1"/>
  <c r="M274" i="11" s="1"/>
  <c r="N274" i="11" s="1"/>
  <c r="O274" i="11" s="1"/>
  <c r="P273" i="11"/>
  <c r="W22" i="4"/>
  <c r="X8" i="4"/>
  <c r="X11" i="4" s="1"/>
  <c r="X19" i="4" s="1"/>
  <c r="W21" i="4"/>
  <c r="W20" i="4"/>
  <c r="D275" i="15"/>
  <c r="E275" i="15" s="1"/>
  <c r="F275" i="15" s="1"/>
  <c r="G275" i="15" s="1"/>
  <c r="H275" i="15" s="1"/>
  <c r="I275" i="15" s="1"/>
  <c r="J275" i="15" s="1"/>
  <c r="K275" i="15" s="1"/>
  <c r="L275" i="15" s="1"/>
  <c r="M275" i="15" s="1"/>
  <c r="N275" i="15" s="1"/>
  <c r="O275" i="15" s="1"/>
  <c r="P274" i="15"/>
  <c r="D275" i="9"/>
  <c r="E275" i="9" s="1"/>
  <c r="F275" i="9" s="1"/>
  <c r="G275" i="9" s="1"/>
  <c r="H275" i="9" s="1"/>
  <c r="I275" i="9" s="1"/>
  <c r="J275" i="9" s="1"/>
  <c r="K275" i="9" s="1"/>
  <c r="L275" i="9" s="1"/>
  <c r="M275" i="9" s="1"/>
  <c r="N275" i="9" s="1"/>
  <c r="O275" i="9" s="1"/>
  <c r="P274" i="9"/>
  <c r="D275" i="3"/>
  <c r="E275" i="3" s="1"/>
  <c r="F275" i="3" s="1"/>
  <c r="G275" i="3" s="1"/>
  <c r="H275" i="3" s="1"/>
  <c r="I275" i="3" s="1"/>
  <c r="J275" i="3" s="1"/>
  <c r="K275" i="3" s="1"/>
  <c r="L275" i="3" s="1"/>
  <c r="M275" i="3" s="1"/>
  <c r="N275" i="3" s="1"/>
  <c r="O275" i="3" s="1"/>
  <c r="P274" i="3"/>
  <c r="W22" i="8"/>
  <c r="X8" i="8"/>
  <c r="X11" i="8" s="1"/>
  <c r="X19" i="8" s="1"/>
  <c r="W21" i="8"/>
  <c r="W20" i="8"/>
  <c r="P274" i="1"/>
  <c r="D275" i="1"/>
  <c r="E275" i="1" s="1"/>
  <c r="F275" i="1" s="1"/>
  <c r="G275" i="1" s="1"/>
  <c r="H275" i="1" s="1"/>
  <c r="I275" i="1" s="1"/>
  <c r="J275" i="1" s="1"/>
  <c r="K275" i="1" s="1"/>
  <c r="L275" i="1" s="1"/>
  <c r="M275" i="1" s="1"/>
  <c r="N275" i="1" s="1"/>
  <c r="O275" i="1" s="1"/>
  <c r="D276" i="5" l="1"/>
  <c r="E276" i="5" s="1"/>
  <c r="F276" i="5" s="1"/>
  <c r="G276" i="5" s="1"/>
  <c r="H276" i="5" s="1"/>
  <c r="I276" i="5" s="1"/>
  <c r="J276" i="5" s="1"/>
  <c r="K276" i="5" s="1"/>
  <c r="L276" i="5" s="1"/>
  <c r="M276" i="5" s="1"/>
  <c r="N276" i="5" s="1"/>
  <c r="O276" i="5" s="1"/>
  <c r="P275" i="5"/>
  <c r="D276" i="7"/>
  <c r="E276" i="7" s="1"/>
  <c r="F276" i="7" s="1"/>
  <c r="G276" i="7" s="1"/>
  <c r="H276" i="7" s="1"/>
  <c r="I276" i="7" s="1"/>
  <c r="J276" i="7" s="1"/>
  <c r="K276" i="7" s="1"/>
  <c r="L276" i="7" s="1"/>
  <c r="M276" i="7" s="1"/>
  <c r="N276" i="7" s="1"/>
  <c r="O276" i="7" s="1"/>
  <c r="P275" i="7"/>
  <c r="K11" i="6"/>
  <c r="Y8" i="4"/>
  <c r="Y11" i="4" s="1"/>
  <c r="Y19" i="4" s="1"/>
  <c r="X22" i="4"/>
  <c r="X21" i="4"/>
  <c r="X20" i="4"/>
  <c r="P274" i="11"/>
  <c r="D275" i="11"/>
  <c r="E275" i="11" s="1"/>
  <c r="F275" i="11" s="1"/>
  <c r="G275" i="11" s="1"/>
  <c r="H275" i="11" s="1"/>
  <c r="I275" i="11" s="1"/>
  <c r="J275" i="11" s="1"/>
  <c r="K275" i="11" s="1"/>
  <c r="L275" i="11" s="1"/>
  <c r="M275" i="11" s="1"/>
  <c r="N275" i="11" s="1"/>
  <c r="O275" i="11" s="1"/>
  <c r="J19" i="17"/>
  <c r="J22" i="17" s="1"/>
  <c r="J22" i="2"/>
  <c r="K8" i="2"/>
  <c r="J20" i="2"/>
  <c r="J21" i="2"/>
  <c r="J19" i="12"/>
  <c r="J11" i="18"/>
  <c r="J11" i="19"/>
  <c r="J19" i="14"/>
  <c r="D276" i="3"/>
  <c r="E276" i="3" s="1"/>
  <c r="F276" i="3" s="1"/>
  <c r="G276" i="3" s="1"/>
  <c r="H276" i="3" s="1"/>
  <c r="I276" i="3" s="1"/>
  <c r="J276" i="3" s="1"/>
  <c r="K276" i="3" s="1"/>
  <c r="L276" i="3" s="1"/>
  <c r="M276" i="3" s="1"/>
  <c r="N276" i="3" s="1"/>
  <c r="O276" i="3" s="1"/>
  <c r="P275" i="3"/>
  <c r="X22" i="8"/>
  <c r="Y8" i="8"/>
  <c r="Y11" i="8" s="1"/>
  <c r="Y19" i="8" s="1"/>
  <c r="X20" i="8"/>
  <c r="X21" i="8"/>
  <c r="W22" i="16"/>
  <c r="X8" i="16"/>
  <c r="X11" i="16" s="1"/>
  <c r="X19" i="16" s="1"/>
  <c r="W21" i="16"/>
  <c r="W20" i="16"/>
  <c r="P275" i="9"/>
  <c r="D276" i="9"/>
  <c r="E276" i="9" s="1"/>
  <c r="F276" i="9" s="1"/>
  <c r="G276" i="9" s="1"/>
  <c r="H276" i="9" s="1"/>
  <c r="I276" i="9" s="1"/>
  <c r="J276" i="9" s="1"/>
  <c r="K276" i="9" s="1"/>
  <c r="L276" i="9" s="1"/>
  <c r="M276" i="9" s="1"/>
  <c r="N276" i="9" s="1"/>
  <c r="O276" i="9" s="1"/>
  <c r="D275" i="13"/>
  <c r="E275" i="13" s="1"/>
  <c r="F275" i="13" s="1"/>
  <c r="G275" i="13" s="1"/>
  <c r="H275" i="13" s="1"/>
  <c r="I275" i="13" s="1"/>
  <c r="J275" i="13" s="1"/>
  <c r="K275" i="13" s="1"/>
  <c r="L275" i="13" s="1"/>
  <c r="M275" i="13" s="1"/>
  <c r="N275" i="13" s="1"/>
  <c r="O275" i="13" s="1"/>
  <c r="P274" i="13"/>
  <c r="X22" i="10"/>
  <c r="Y8" i="10"/>
  <c r="Y11" i="10" s="1"/>
  <c r="Y19" i="10" s="1"/>
  <c r="X20" i="10"/>
  <c r="X21" i="10"/>
  <c r="D276" i="1"/>
  <c r="E276" i="1" s="1"/>
  <c r="F276" i="1" s="1"/>
  <c r="G276" i="1" s="1"/>
  <c r="H276" i="1" s="1"/>
  <c r="I276" i="1" s="1"/>
  <c r="J276" i="1" s="1"/>
  <c r="K276" i="1" s="1"/>
  <c r="L276" i="1" s="1"/>
  <c r="M276" i="1" s="1"/>
  <c r="N276" i="1" s="1"/>
  <c r="O276" i="1" s="1"/>
  <c r="P275" i="1"/>
  <c r="D276" i="15"/>
  <c r="E276" i="15" s="1"/>
  <c r="F276" i="15" s="1"/>
  <c r="G276" i="15" s="1"/>
  <c r="H276" i="15" s="1"/>
  <c r="I276" i="15" s="1"/>
  <c r="J276" i="15" s="1"/>
  <c r="K276" i="15" s="1"/>
  <c r="L276" i="15" s="1"/>
  <c r="M276" i="15" s="1"/>
  <c r="N276" i="15" s="1"/>
  <c r="O276" i="15" s="1"/>
  <c r="P275" i="15"/>
  <c r="D277" i="3" l="1"/>
  <c r="E277" i="3" s="1"/>
  <c r="F277" i="3" s="1"/>
  <c r="G277" i="3" s="1"/>
  <c r="H277" i="3" s="1"/>
  <c r="I277" i="3" s="1"/>
  <c r="J277" i="3" s="1"/>
  <c r="K277" i="3" s="1"/>
  <c r="L277" i="3" s="1"/>
  <c r="M277" i="3" s="1"/>
  <c r="N277" i="3" s="1"/>
  <c r="O277" i="3" s="1"/>
  <c r="P277" i="3" s="1"/>
  <c r="P276" i="3"/>
  <c r="P275" i="13"/>
  <c r="D276" i="13"/>
  <c r="E276" i="13" s="1"/>
  <c r="F276" i="13" s="1"/>
  <c r="G276" i="13" s="1"/>
  <c r="H276" i="13" s="1"/>
  <c r="I276" i="13" s="1"/>
  <c r="J276" i="13" s="1"/>
  <c r="K276" i="13" s="1"/>
  <c r="L276" i="13" s="1"/>
  <c r="M276" i="13" s="1"/>
  <c r="N276" i="13" s="1"/>
  <c r="O276" i="13" s="1"/>
  <c r="Z8" i="8"/>
  <c r="Z11" i="8" s="1"/>
  <c r="Z19" i="8" s="1"/>
  <c r="Y22" i="8"/>
  <c r="Y21" i="8"/>
  <c r="Y20" i="8"/>
  <c r="D277" i="9"/>
  <c r="E277" i="9" s="1"/>
  <c r="F277" i="9" s="1"/>
  <c r="G277" i="9" s="1"/>
  <c r="H277" i="9" s="1"/>
  <c r="I277" i="9" s="1"/>
  <c r="J277" i="9" s="1"/>
  <c r="K277" i="9" s="1"/>
  <c r="L277" i="9" s="1"/>
  <c r="M277" i="9" s="1"/>
  <c r="N277" i="9" s="1"/>
  <c r="O277" i="9" s="1"/>
  <c r="P277" i="9" s="1"/>
  <c r="P276" i="9"/>
  <c r="J19" i="19"/>
  <c r="J22" i="14"/>
  <c r="K8" i="14"/>
  <c r="J21" i="14"/>
  <c r="J20" i="14"/>
  <c r="D276" i="11"/>
  <c r="E276" i="11" s="1"/>
  <c r="F276" i="11" s="1"/>
  <c r="G276" i="11" s="1"/>
  <c r="H276" i="11" s="1"/>
  <c r="I276" i="11" s="1"/>
  <c r="J276" i="11" s="1"/>
  <c r="K276" i="11" s="1"/>
  <c r="L276" i="11" s="1"/>
  <c r="M276" i="11" s="1"/>
  <c r="N276" i="11" s="1"/>
  <c r="O276" i="11" s="1"/>
  <c r="P275" i="11"/>
  <c r="Y22" i="4"/>
  <c r="Z8" i="4"/>
  <c r="Z11" i="4" s="1"/>
  <c r="Z19" i="4" s="1"/>
  <c r="Y20" i="4"/>
  <c r="Y21" i="4"/>
  <c r="X22" i="16"/>
  <c r="Y8" i="16"/>
  <c r="Y11" i="16" s="1"/>
  <c r="Y19" i="16" s="1"/>
  <c r="X21" i="16"/>
  <c r="X20" i="16"/>
  <c r="J22" i="12"/>
  <c r="K8" i="12"/>
  <c r="J21" i="12"/>
  <c r="J20" i="12"/>
  <c r="J19" i="18"/>
  <c r="J22" i="18" s="1"/>
  <c r="K19" i="6"/>
  <c r="Y22" i="10"/>
  <c r="Z8" i="10"/>
  <c r="Z11" i="10" s="1"/>
  <c r="Z19" i="10" s="1"/>
  <c r="Y20" i="10"/>
  <c r="Y21" i="10"/>
  <c r="D277" i="15"/>
  <c r="E277" i="15" s="1"/>
  <c r="F277" i="15" s="1"/>
  <c r="G277" i="15" s="1"/>
  <c r="H277" i="15" s="1"/>
  <c r="I277" i="15" s="1"/>
  <c r="J277" i="15" s="1"/>
  <c r="K277" i="15" s="1"/>
  <c r="L277" i="15" s="1"/>
  <c r="M277" i="15" s="1"/>
  <c r="N277" i="15" s="1"/>
  <c r="O277" i="15" s="1"/>
  <c r="P277" i="15" s="1"/>
  <c r="P276" i="15"/>
  <c r="P276" i="1"/>
  <c r="D277" i="1"/>
  <c r="E277" i="1" s="1"/>
  <c r="F277" i="1" s="1"/>
  <c r="G277" i="1" s="1"/>
  <c r="H277" i="1" s="1"/>
  <c r="I277" i="1" s="1"/>
  <c r="J277" i="1" s="1"/>
  <c r="K277" i="1" s="1"/>
  <c r="L277" i="1" s="1"/>
  <c r="M277" i="1" s="1"/>
  <c r="N277" i="1" s="1"/>
  <c r="O277" i="1" s="1"/>
  <c r="P277" i="1" s="1"/>
  <c r="K8" i="17"/>
  <c r="K11" i="2"/>
  <c r="D277" i="7"/>
  <c r="E277" i="7" s="1"/>
  <c r="F277" i="7" s="1"/>
  <c r="G277" i="7" s="1"/>
  <c r="H277" i="7" s="1"/>
  <c r="I277" i="7" s="1"/>
  <c r="J277" i="7" s="1"/>
  <c r="K277" i="7" s="1"/>
  <c r="L277" i="7" s="1"/>
  <c r="M277" i="7" s="1"/>
  <c r="N277" i="7" s="1"/>
  <c r="O277" i="7" s="1"/>
  <c r="P277" i="7" s="1"/>
  <c r="P276" i="7"/>
  <c r="J20" i="17"/>
  <c r="J21" i="17"/>
  <c r="P276" i="5"/>
  <c r="D277" i="5"/>
  <c r="E277" i="5" s="1"/>
  <c r="F277" i="5" s="1"/>
  <c r="G277" i="5" s="1"/>
  <c r="H277" i="5" s="1"/>
  <c r="I277" i="5" s="1"/>
  <c r="J277" i="5" s="1"/>
  <c r="K277" i="5" s="1"/>
  <c r="L277" i="5" s="1"/>
  <c r="M277" i="5" s="1"/>
  <c r="N277" i="5" s="1"/>
  <c r="O277" i="5" s="1"/>
  <c r="P277" i="5" s="1"/>
  <c r="J20" i="19" l="1"/>
  <c r="J21" i="19"/>
  <c r="J22" i="19"/>
  <c r="Z22" i="4"/>
  <c r="Z21" i="4"/>
  <c r="Z20" i="4"/>
  <c r="Z22" i="10"/>
  <c r="Z21" i="10"/>
  <c r="Z20" i="10"/>
  <c r="K11" i="17"/>
  <c r="K19" i="2"/>
  <c r="Z22" i="8"/>
  <c r="Z20" i="8"/>
  <c r="Z21" i="8"/>
  <c r="D277" i="11"/>
  <c r="E277" i="11" s="1"/>
  <c r="F277" i="11" s="1"/>
  <c r="G277" i="11" s="1"/>
  <c r="H277" i="11" s="1"/>
  <c r="I277" i="11" s="1"/>
  <c r="J277" i="11" s="1"/>
  <c r="K277" i="11" s="1"/>
  <c r="L277" i="11" s="1"/>
  <c r="M277" i="11" s="1"/>
  <c r="N277" i="11" s="1"/>
  <c r="O277" i="11" s="1"/>
  <c r="P277" i="11" s="1"/>
  <c r="P276" i="11"/>
  <c r="P276" i="13"/>
  <c r="D277" i="13"/>
  <c r="E277" i="13" s="1"/>
  <c r="F277" i="13" s="1"/>
  <c r="G277" i="13" s="1"/>
  <c r="H277" i="13" s="1"/>
  <c r="I277" i="13" s="1"/>
  <c r="J277" i="13" s="1"/>
  <c r="K277" i="13" s="1"/>
  <c r="L277" i="13" s="1"/>
  <c r="M277" i="13" s="1"/>
  <c r="N277" i="13" s="1"/>
  <c r="O277" i="13" s="1"/>
  <c r="P277" i="13" s="1"/>
  <c r="L8" i="6"/>
  <c r="K22" i="6"/>
  <c r="K21" i="6"/>
  <c r="K20" i="6"/>
  <c r="J20" i="18"/>
  <c r="J21" i="18"/>
  <c r="K11" i="12"/>
  <c r="K8" i="18"/>
  <c r="Z8" i="16"/>
  <c r="Z11" i="16" s="1"/>
  <c r="Z19" i="16" s="1"/>
  <c r="Y22" i="16"/>
  <c r="Y20" i="16"/>
  <c r="Y21" i="16"/>
  <c r="K8" i="19"/>
  <c r="K11" i="14"/>
  <c r="K11" i="19" l="1"/>
  <c r="K19" i="14"/>
  <c r="L11" i="6"/>
  <c r="Z22" i="16"/>
  <c r="Z20" i="16"/>
  <c r="Z21" i="16"/>
  <c r="K19" i="17"/>
  <c r="K22" i="2"/>
  <c r="L8" i="2"/>
  <c r="K20" i="2"/>
  <c r="K21" i="2"/>
  <c r="K19" i="12"/>
  <c r="K11" i="18"/>
  <c r="L8" i="17" l="1"/>
  <c r="L11" i="2"/>
  <c r="L19" i="6"/>
  <c r="K20" i="17"/>
  <c r="K21" i="17"/>
  <c r="K19" i="19"/>
  <c r="K22" i="14"/>
  <c r="L8" i="14"/>
  <c r="K21" i="14"/>
  <c r="K20" i="14"/>
  <c r="K22" i="12"/>
  <c r="L8" i="12"/>
  <c r="K21" i="12"/>
  <c r="K20" i="12"/>
  <c r="K19" i="18"/>
  <c r="K22" i="17"/>
  <c r="L8" i="19" l="1"/>
  <c r="L11" i="14"/>
  <c r="K20" i="18"/>
  <c r="K21" i="18"/>
  <c r="K22" i="18"/>
  <c r="M8" i="6"/>
  <c r="L22" i="6"/>
  <c r="L21" i="6"/>
  <c r="L20" i="6"/>
  <c r="L11" i="17"/>
  <c r="L19" i="2"/>
  <c r="K21" i="19"/>
  <c r="K20" i="19"/>
  <c r="K22" i="19"/>
  <c r="L11" i="12"/>
  <c r="L8" i="18"/>
  <c r="L19" i="17" l="1"/>
  <c r="L22" i="17" s="1"/>
  <c r="L22" i="2"/>
  <c r="M8" i="2"/>
  <c r="L20" i="2"/>
  <c r="L21" i="2"/>
  <c r="L19" i="12"/>
  <c r="L11" i="18"/>
  <c r="L11" i="19"/>
  <c r="L19" i="14"/>
  <c r="M11" i="6"/>
  <c r="M19" i="6" l="1"/>
  <c r="L19" i="19"/>
  <c r="M8" i="14"/>
  <c r="L22" i="14"/>
  <c r="L20" i="14"/>
  <c r="L21" i="14"/>
  <c r="L22" i="12"/>
  <c r="M8" i="12"/>
  <c r="L21" i="12"/>
  <c r="L20" i="12"/>
  <c r="L19" i="18"/>
  <c r="M8" i="17"/>
  <c r="M11" i="2"/>
  <c r="L20" i="17"/>
  <c r="L21" i="17"/>
  <c r="M11" i="12" l="1"/>
  <c r="M8" i="18"/>
  <c r="M8" i="19"/>
  <c r="M11" i="14"/>
  <c r="L20" i="19"/>
  <c r="L21" i="19"/>
  <c r="L21" i="18"/>
  <c r="L20" i="18"/>
  <c r="M22" i="6"/>
  <c r="N8" i="6"/>
  <c r="M20" i="6"/>
  <c r="M21" i="6"/>
  <c r="L22" i="19"/>
  <c r="M11" i="17"/>
  <c r="M19" i="2"/>
  <c r="L22" i="18"/>
  <c r="N11" i="6" l="1"/>
  <c r="M19" i="17"/>
  <c r="M22" i="17" s="1"/>
  <c r="M22" i="2"/>
  <c r="N8" i="2"/>
  <c r="M21" i="2"/>
  <c r="M20" i="2"/>
  <c r="M11" i="19"/>
  <c r="M19" i="14"/>
  <c r="M19" i="12"/>
  <c r="M11" i="18"/>
  <c r="N8" i="12" l="1"/>
  <c r="M22" i="12"/>
  <c r="M20" i="12"/>
  <c r="M21" i="12"/>
  <c r="M19" i="18"/>
  <c r="M22" i="18" s="1"/>
  <c r="M19" i="19"/>
  <c r="N8" i="14"/>
  <c r="M22" i="14"/>
  <c r="M21" i="14"/>
  <c r="M20" i="14"/>
  <c r="N8" i="17"/>
  <c r="N11" i="2"/>
  <c r="M20" i="17"/>
  <c r="M21" i="17"/>
  <c r="N19" i="6"/>
  <c r="M21" i="19" l="1"/>
  <c r="M20" i="19"/>
  <c r="N8" i="19"/>
  <c r="N11" i="14"/>
  <c r="O8" i="6"/>
  <c r="N22" i="6"/>
  <c r="N21" i="6"/>
  <c r="N20" i="6"/>
  <c r="N11" i="12"/>
  <c r="N8" i="18"/>
  <c r="N11" i="17"/>
  <c r="N19" i="2"/>
  <c r="M20" i="18"/>
  <c r="M21" i="18"/>
  <c r="M22" i="19"/>
  <c r="N19" i="12" l="1"/>
  <c r="N11" i="18"/>
  <c r="O11" i="6"/>
  <c r="N11" i="19"/>
  <c r="N19" i="14"/>
  <c r="N19" i="17"/>
  <c r="N22" i="2"/>
  <c r="O8" i="2"/>
  <c r="N20" i="2"/>
  <c r="N21" i="2"/>
  <c r="N19" i="19" l="1"/>
  <c r="N22" i="19" s="1"/>
  <c r="N22" i="14"/>
  <c r="O8" i="14"/>
  <c r="N21" i="14"/>
  <c r="N20" i="14"/>
  <c r="O19" i="6"/>
  <c r="O8" i="17"/>
  <c r="O11" i="2"/>
  <c r="N22" i="12"/>
  <c r="O8" i="12"/>
  <c r="N21" i="12"/>
  <c r="N20" i="12"/>
  <c r="N19" i="18"/>
  <c r="N22" i="18" s="1"/>
  <c r="N20" i="17"/>
  <c r="N21" i="17"/>
  <c r="N22" i="17"/>
  <c r="O11" i="17" l="1"/>
  <c r="O19" i="2"/>
  <c r="P8" i="6"/>
  <c r="O22" i="6"/>
  <c r="O20" i="6"/>
  <c r="O21" i="6"/>
  <c r="N21" i="18"/>
  <c r="N20" i="18"/>
  <c r="O8" i="19"/>
  <c r="O11" i="14"/>
  <c r="O11" i="12"/>
  <c r="O8" i="18"/>
  <c r="N21" i="19"/>
  <c r="N20" i="19"/>
  <c r="O19" i="12" l="1"/>
  <c r="O11" i="18"/>
  <c r="O11" i="19"/>
  <c r="O19" i="14"/>
  <c r="P11" i="6"/>
  <c r="O19" i="17"/>
  <c r="O22" i="17" s="1"/>
  <c r="O22" i="2"/>
  <c r="P8" i="2"/>
  <c r="O20" i="2"/>
  <c r="O21" i="2"/>
  <c r="P19" i="6" l="1"/>
  <c r="O19" i="19"/>
  <c r="O22" i="14"/>
  <c r="P8" i="14"/>
  <c r="O20" i="14"/>
  <c r="O21" i="14"/>
  <c r="P8" i="17"/>
  <c r="P11" i="2"/>
  <c r="O21" i="17"/>
  <c r="O20" i="17"/>
  <c r="O22" i="12"/>
  <c r="P8" i="12"/>
  <c r="O21" i="12"/>
  <c r="O20" i="12"/>
  <c r="O19" i="18"/>
  <c r="O21" i="18" l="1"/>
  <c r="O20" i="18"/>
  <c r="O22" i="18"/>
  <c r="P11" i="17"/>
  <c r="P19" i="2"/>
  <c r="O20" i="19"/>
  <c r="O21" i="19"/>
  <c r="Q8" i="6"/>
  <c r="P22" i="6"/>
  <c r="P20" i="6"/>
  <c r="P21" i="6"/>
  <c r="P8" i="19"/>
  <c r="P11" i="14"/>
  <c r="P11" i="12"/>
  <c r="P8" i="18"/>
  <c r="O22" i="19"/>
  <c r="Q11" i="6" l="1"/>
  <c r="P19" i="17"/>
  <c r="P22" i="2"/>
  <c r="Q8" i="2"/>
  <c r="P21" i="2"/>
  <c r="P20" i="2"/>
  <c r="P19" i="12"/>
  <c r="P11" i="18"/>
  <c r="P11" i="19"/>
  <c r="P19" i="14"/>
  <c r="P19" i="19" l="1"/>
  <c r="P22" i="19" s="1"/>
  <c r="P22" i="14"/>
  <c r="Q8" i="14"/>
  <c r="P20" i="14"/>
  <c r="P21" i="14"/>
  <c r="P20" i="17"/>
  <c r="P21" i="17"/>
  <c r="Q19" i="6"/>
  <c r="P22" i="12"/>
  <c r="Q8" i="12"/>
  <c r="P21" i="12"/>
  <c r="P20" i="12"/>
  <c r="P19" i="18"/>
  <c r="P22" i="18" s="1"/>
  <c r="P22" i="17"/>
  <c r="Q8" i="17"/>
  <c r="Q11" i="2"/>
  <c r="R8" i="6" l="1"/>
  <c r="Q22" i="6"/>
  <c r="Q21" i="6"/>
  <c r="Q20" i="6"/>
  <c r="Q11" i="17"/>
  <c r="Q19" i="2"/>
  <c r="Q8" i="19"/>
  <c r="Q11" i="14"/>
  <c r="P20" i="18"/>
  <c r="P21" i="18"/>
  <c r="Q11" i="12"/>
  <c r="Q8" i="18"/>
  <c r="P20" i="19"/>
  <c r="P21" i="19"/>
  <c r="Q19" i="17" l="1"/>
  <c r="R8" i="2"/>
  <c r="Q22" i="2"/>
  <c r="Q21" i="2"/>
  <c r="Q20" i="2"/>
  <c r="R11" i="6"/>
  <c r="Q19" i="12"/>
  <c r="Q11" i="18"/>
  <c r="Q11" i="19"/>
  <c r="Q19" i="14"/>
  <c r="Q19" i="19" l="1"/>
  <c r="Q22" i="19" s="1"/>
  <c r="R8" i="14"/>
  <c r="Q22" i="14"/>
  <c r="Q21" i="14"/>
  <c r="Q20" i="14"/>
  <c r="R8" i="12"/>
  <c r="Q22" i="12"/>
  <c r="Q20" i="12"/>
  <c r="Q21" i="12"/>
  <c r="Q19" i="18"/>
  <c r="R19" i="6"/>
  <c r="Q20" i="17"/>
  <c r="Q21" i="17"/>
  <c r="R8" i="17"/>
  <c r="R11" i="2"/>
  <c r="Q22" i="17"/>
  <c r="Q20" i="18" l="1"/>
  <c r="Q21" i="18"/>
  <c r="R11" i="17"/>
  <c r="R19" i="2"/>
  <c r="R8" i="19"/>
  <c r="R11" i="14"/>
  <c r="R11" i="12"/>
  <c r="R8" i="18"/>
  <c r="Q22" i="18"/>
  <c r="R22" i="6"/>
  <c r="S8" i="6"/>
  <c r="R21" i="6"/>
  <c r="R20" i="6"/>
  <c r="Q20" i="19"/>
  <c r="Q21" i="19"/>
  <c r="S11" i="6" l="1"/>
  <c r="R19" i="12"/>
  <c r="R11" i="18"/>
  <c r="R11" i="19"/>
  <c r="R19" i="14"/>
  <c r="R19" i="17"/>
  <c r="R22" i="2"/>
  <c r="S8" i="2"/>
  <c r="R21" i="2"/>
  <c r="R20" i="2"/>
  <c r="R20" i="17" l="1"/>
  <c r="R21" i="17"/>
  <c r="R22" i="17"/>
  <c r="S8" i="17"/>
  <c r="S11" i="2"/>
  <c r="S8" i="12"/>
  <c r="R22" i="12"/>
  <c r="R21" i="12"/>
  <c r="R20" i="12"/>
  <c r="R19" i="18"/>
  <c r="R22" i="18" s="1"/>
  <c r="S19" i="6"/>
  <c r="R19" i="19"/>
  <c r="R22" i="19" s="1"/>
  <c r="R22" i="14"/>
  <c r="S8" i="14"/>
  <c r="R20" i="14"/>
  <c r="R21" i="14"/>
  <c r="S11" i="17" l="1"/>
  <c r="S19" i="2"/>
  <c r="S8" i="19"/>
  <c r="S11" i="14"/>
  <c r="R21" i="18"/>
  <c r="R20" i="18"/>
  <c r="S11" i="12"/>
  <c r="S8" i="18"/>
  <c r="R21" i="19"/>
  <c r="R20" i="19"/>
  <c r="S22" i="6"/>
  <c r="T8" i="6"/>
  <c r="S20" i="6"/>
  <c r="S21" i="6"/>
  <c r="S19" i="12" l="1"/>
  <c r="S11" i="18"/>
  <c r="S11" i="19"/>
  <c r="S19" i="14"/>
  <c r="S19" i="17"/>
  <c r="S22" i="2"/>
  <c r="T8" i="2"/>
  <c r="S21" i="2"/>
  <c r="S20" i="2"/>
  <c r="T11" i="6"/>
  <c r="S21" i="17" l="1"/>
  <c r="S20" i="17"/>
  <c r="S19" i="19"/>
  <c r="S22" i="14"/>
  <c r="T8" i="14"/>
  <c r="S21" i="14"/>
  <c r="S20" i="14"/>
  <c r="S22" i="17"/>
  <c r="T19" i="6"/>
  <c r="T8" i="17"/>
  <c r="T11" i="2"/>
  <c r="S22" i="12"/>
  <c r="T8" i="12"/>
  <c r="S21" i="12"/>
  <c r="S20" i="12"/>
  <c r="S19" i="18"/>
  <c r="S22" i="18" s="1"/>
  <c r="T22" i="6" l="1"/>
  <c r="U8" i="6"/>
  <c r="T20" i="6"/>
  <c r="T21" i="6"/>
  <c r="T11" i="12"/>
  <c r="T8" i="18"/>
  <c r="S20" i="18"/>
  <c r="S21" i="18"/>
  <c r="T8" i="19"/>
  <c r="T11" i="14"/>
  <c r="S21" i="19"/>
  <c r="S20" i="19"/>
  <c r="S22" i="19"/>
  <c r="T11" i="17"/>
  <c r="T19" i="2"/>
  <c r="T11" i="19" l="1"/>
  <c r="T19" i="14"/>
  <c r="U11" i="6"/>
  <c r="T19" i="12"/>
  <c r="T11" i="18"/>
  <c r="T19" i="17"/>
  <c r="U8" i="2"/>
  <c r="T22" i="2"/>
  <c r="T21" i="2"/>
  <c r="T20" i="2"/>
  <c r="U8" i="17" l="1"/>
  <c r="U11" i="2"/>
  <c r="T22" i="12"/>
  <c r="U8" i="12"/>
  <c r="T20" i="12"/>
  <c r="T21" i="12"/>
  <c r="T19" i="18"/>
  <c r="T22" i="18" s="1"/>
  <c r="T20" i="17"/>
  <c r="T21" i="17"/>
  <c r="U19" i="6"/>
  <c r="T22" i="17"/>
  <c r="T19" i="19"/>
  <c r="T22" i="19" s="1"/>
  <c r="T22" i="14"/>
  <c r="U8" i="14"/>
  <c r="T20" i="14"/>
  <c r="T21" i="14"/>
  <c r="U22" i="6" l="1"/>
  <c r="V8" i="6"/>
  <c r="U20" i="6"/>
  <c r="U21" i="6"/>
  <c r="T21" i="18"/>
  <c r="T20" i="18"/>
  <c r="U11" i="12"/>
  <c r="U8" i="18"/>
  <c r="U11" i="17"/>
  <c r="U19" i="2"/>
  <c r="U8" i="19"/>
  <c r="U11" i="14"/>
  <c r="T20" i="19"/>
  <c r="T21" i="19"/>
  <c r="V11" i="6" l="1"/>
  <c r="U19" i="17"/>
  <c r="U22" i="2"/>
  <c r="V8" i="2"/>
  <c r="U21" i="2"/>
  <c r="U20" i="2"/>
  <c r="U19" i="12"/>
  <c r="U11" i="18"/>
  <c r="U11" i="19"/>
  <c r="U19" i="14"/>
  <c r="V8" i="12" l="1"/>
  <c r="U22" i="12"/>
  <c r="U20" i="12"/>
  <c r="U21" i="12"/>
  <c r="U19" i="18"/>
  <c r="V8" i="17"/>
  <c r="V11" i="2"/>
  <c r="U19" i="19"/>
  <c r="U22" i="14"/>
  <c r="V8" i="14"/>
  <c r="U20" i="14"/>
  <c r="U21" i="14"/>
  <c r="U20" i="17"/>
  <c r="U21" i="17"/>
  <c r="V19" i="6"/>
  <c r="U22" i="17"/>
  <c r="V8" i="19" l="1"/>
  <c r="V11" i="14"/>
  <c r="U21" i="18"/>
  <c r="U20" i="18"/>
  <c r="V22" i="6"/>
  <c r="W8" i="6"/>
  <c r="V20" i="6"/>
  <c r="V21" i="6"/>
  <c r="U20" i="19"/>
  <c r="U21" i="19"/>
  <c r="U22" i="18"/>
  <c r="V11" i="17"/>
  <c r="V19" i="2"/>
  <c r="V11" i="12"/>
  <c r="V8" i="18"/>
  <c r="U22" i="19"/>
  <c r="W11" i="6" l="1"/>
  <c r="V19" i="12"/>
  <c r="V11" i="18"/>
  <c r="V19" i="17"/>
  <c r="V22" i="17" s="1"/>
  <c r="V22" i="2"/>
  <c r="W8" i="2"/>
  <c r="V20" i="2"/>
  <c r="V21" i="2"/>
  <c r="V11" i="19"/>
  <c r="V19" i="14"/>
  <c r="V19" i="19" l="1"/>
  <c r="V22" i="19" s="1"/>
  <c r="V22" i="14"/>
  <c r="W8" i="14"/>
  <c r="V21" i="14"/>
  <c r="V20" i="14"/>
  <c r="W8" i="17"/>
  <c r="W11" i="2"/>
  <c r="V21" i="17"/>
  <c r="V20" i="17"/>
  <c r="V22" i="12"/>
  <c r="W8" i="12"/>
  <c r="V21" i="12"/>
  <c r="V20" i="12"/>
  <c r="V19" i="18"/>
  <c r="V22" i="18" s="1"/>
  <c r="W19" i="6"/>
  <c r="W11" i="12" l="1"/>
  <c r="W8" i="18"/>
  <c r="W11" i="17"/>
  <c r="W19" i="2"/>
  <c r="X8" i="6"/>
  <c r="W22" i="6"/>
  <c r="W21" i="6"/>
  <c r="W20" i="6"/>
  <c r="V21" i="18"/>
  <c r="V20" i="18"/>
  <c r="W8" i="19"/>
  <c r="W11" i="14"/>
  <c r="V20" i="19"/>
  <c r="V21" i="19"/>
  <c r="X11" i="6" l="1"/>
  <c r="W19" i="17"/>
  <c r="W22" i="17" s="1"/>
  <c r="X8" i="2"/>
  <c r="W22" i="2"/>
  <c r="W20" i="2"/>
  <c r="W21" i="2"/>
  <c r="W11" i="19"/>
  <c r="W19" i="14"/>
  <c r="W19" i="12"/>
  <c r="W11" i="18"/>
  <c r="W22" i="12" l="1"/>
  <c r="X8" i="12"/>
  <c r="W20" i="12"/>
  <c r="W21" i="12"/>
  <c r="W19" i="18"/>
  <c r="W22" i="18" s="1"/>
  <c r="W19" i="19"/>
  <c r="W22" i="14"/>
  <c r="X8" i="14"/>
  <c r="W20" i="14"/>
  <c r="W21" i="14"/>
  <c r="X8" i="17"/>
  <c r="X11" i="2"/>
  <c r="W20" i="17"/>
  <c r="W21" i="17"/>
  <c r="X19" i="6"/>
  <c r="X8" i="19" l="1"/>
  <c r="X11" i="14"/>
  <c r="W20" i="19"/>
  <c r="W21" i="19"/>
  <c r="X22" i="6"/>
  <c r="Y8" i="6"/>
  <c r="X21" i="6"/>
  <c r="X20" i="6"/>
  <c r="X11" i="12"/>
  <c r="X8" i="18"/>
  <c r="X11" i="17"/>
  <c r="X19" i="2"/>
  <c r="W20" i="18"/>
  <c r="W21" i="18"/>
  <c r="W22" i="19"/>
  <c r="X19" i="12" l="1"/>
  <c r="X11" i="18"/>
  <c r="Y11" i="6"/>
  <c r="X11" i="19"/>
  <c r="X19" i="14"/>
  <c r="X19" i="17"/>
  <c r="X22" i="2"/>
  <c r="Y8" i="2"/>
  <c r="X20" i="2"/>
  <c r="X21" i="2"/>
  <c r="X19" i="19" l="1"/>
  <c r="X22" i="19" s="1"/>
  <c r="X22" i="14"/>
  <c r="Y8" i="14"/>
  <c r="X20" i="14"/>
  <c r="X21" i="14"/>
  <c r="Y19" i="6"/>
  <c r="X21" i="17"/>
  <c r="X20" i="17"/>
  <c r="Y8" i="17"/>
  <c r="Y11" i="2"/>
  <c r="Y8" i="12"/>
  <c r="X22" i="12"/>
  <c r="X21" i="12"/>
  <c r="X20" i="12"/>
  <c r="X19" i="18"/>
  <c r="X22" i="17"/>
  <c r="X20" i="18" l="1"/>
  <c r="X21" i="18"/>
  <c r="Y11" i="17"/>
  <c r="Y19" i="2"/>
  <c r="Y22" i="6"/>
  <c r="Z8" i="6"/>
  <c r="Y21" i="6"/>
  <c r="Y20" i="6"/>
  <c r="Y8" i="19"/>
  <c r="Y11" i="14"/>
  <c r="Y11" i="12"/>
  <c r="Y8" i="18"/>
  <c r="X22" i="18"/>
  <c r="X20" i="19"/>
  <c r="X21" i="19"/>
  <c r="Y19" i="12" l="1"/>
  <c r="Y11" i="18"/>
  <c r="Z11" i="6"/>
  <c r="Y19" i="17"/>
  <c r="Y22" i="2"/>
  <c r="Z8" i="2"/>
  <c r="Y21" i="2"/>
  <c r="Y20" i="2"/>
  <c r="Y11" i="19"/>
  <c r="Y19" i="14"/>
  <c r="Z8" i="17" l="1"/>
  <c r="Z11" i="2"/>
  <c r="Y20" i="17"/>
  <c r="Y21" i="17"/>
  <c r="Z19" i="6"/>
  <c r="Y19" i="19"/>
  <c r="Y22" i="14"/>
  <c r="Z8" i="14"/>
  <c r="Y21" i="14"/>
  <c r="Y20" i="14"/>
  <c r="Y22" i="17"/>
  <c r="Z8" i="12"/>
  <c r="Y22" i="12"/>
  <c r="Y21" i="12"/>
  <c r="Y20" i="12"/>
  <c r="Y19" i="18"/>
  <c r="Z8" i="19" l="1"/>
  <c r="Z11" i="14"/>
  <c r="Y21" i="19"/>
  <c r="Y20" i="19"/>
  <c r="Y20" i="18"/>
  <c r="Y21" i="18"/>
  <c r="Z22" i="6"/>
  <c r="Z21" i="6"/>
  <c r="Z20" i="6"/>
  <c r="Z11" i="12"/>
  <c r="Z8" i="18"/>
  <c r="Z11" i="17"/>
  <c r="Z19" i="2"/>
  <c r="Y22" i="18"/>
  <c r="Y22" i="19"/>
  <c r="Z19" i="12" l="1"/>
  <c r="Z11" i="18"/>
  <c r="Z19" i="17"/>
  <c r="Z22" i="17" s="1"/>
  <c r="Z22" i="2"/>
  <c r="Z21" i="2"/>
  <c r="Z20" i="2"/>
  <c r="Z11" i="19"/>
  <c r="Z19" i="14"/>
  <c r="Z19" i="19" l="1"/>
  <c r="Z22" i="19" s="1"/>
  <c r="Z22" i="14"/>
  <c r="Z20" i="14"/>
  <c r="Z21" i="14"/>
  <c r="Z20" i="17"/>
  <c r="Z21" i="17"/>
  <c r="Z22" i="12"/>
  <c r="Z20" i="12"/>
  <c r="Z21" i="12"/>
  <c r="Z19" i="18"/>
  <c r="Z21" i="18" l="1"/>
  <c r="Z20" i="18"/>
  <c r="Z22" i="18"/>
  <c r="Z21" i="19"/>
  <c r="Z2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CMFT Engine</author>
  </authors>
  <commentList>
    <comment ref="D25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Opening stocks 02-03: StatCan 32100013 "Total beginning stocks" (ENGINE_RULES 5.1).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CMFT Engine</author>
  </authors>
  <commentList>
    <comment ref="D25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Opening stocks 02-03: StatCan 32100013 "Total beginning stocks" (ENGINE_RULES 5.1).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CMFT Engine</author>
  </authors>
  <commentList>
    <comment ref="D255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Opening stocks 02-03: StatCan 32100013 "Total beginning stocks" (ENGINE_RULES 5.1).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CMFT Engine</author>
  </authors>
  <commentList>
    <comment ref="D255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Opening stocks 02-03: StatCan 32100013 "Total beginning stocks" (ENGINE_RULES 5.1).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CMFT Engine</author>
  </authors>
  <commentList>
    <comment ref="D255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Opening stocks 02-03: StatCan 32100013 "Total beginning stocks" (ENGINE_RULES 5.1).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CMFT Engine</author>
  </authors>
  <commentList>
    <comment ref="D255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Opening stocks 02-03: StatCan 32100013 "Total beginning stocks" (ENGINE_RULES 5.1).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CMFT Engine</author>
  </authors>
  <commentList>
    <comment ref="D255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Opening stocks 02-03: StatCan 32100013 "Total beginning stocks" (ENGINE_RULES 5.1).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CMFT Engine</author>
  </authors>
  <commentList>
    <comment ref="D255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Opening stocks 02-03: StatCan 32100013 "Total beginning stocks" (ENGINE_RULES 5.1).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<sst xmlns="http://schemas.openxmlformats.org/spreadsheetml/2006/main" count="7643" uniqueCount="84">
  <si>
    <t>Commodity</t>
  </si>
  <si>
    <t>Metric</t>
  </si>
  <si>
    <t>Crop Year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</si>
  <si>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</si>
  <si>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</si>
  <si>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</si>
  <si>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</si>
  <si>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</si>
  <si>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</si>
  <si>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</si>
  <si>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</si>
  <si>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</si>
  <si>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</si>
  <si>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</si>
  <si>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</si>
  <si>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AUG/JUL</t>
  </si>
  <si>
    <t>Wheat, excluding durum</t>
  </si>
  <si>
    <t>Planted Area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</si>
  <si>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</si>
  <si>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</si>
  <si>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</si>
  <si>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</si>
  <si>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</si>
  <si>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</si>
  <si>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</si>
  <si>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</si>
  <si>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</si>
  <si>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</si>
  <si>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</si>
  <si>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</si>
  <si>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</si>
  <si>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</si>
  <si>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</si>
  <si>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</si>
  <si>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</si>
  <si>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</si>
  <si>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</si>
  <si>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</si>
  <si>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</si>
  <si>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</si>
  <si>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</si>
  <si>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Harvested Area</t>
  </si>
  <si>
    <t>Yield</t>
  </si>
  <si>
    <t>Production</t>
  </si>
  <si>
    <t>Exports</t>
  </si>
  <si>
    <t>Imports</t>
  </si>
  <si>
    <t>Food</t>
  </si>
  <si>
    <t>Industrial</t>
  </si>
  <si>
    <t>Seed</t>
  </si>
  <si>
    <t>Food &amp; Processing</t>
  </si>
  <si>
    <t>FSR</t>
  </si>
  <si>
    <t>STOCKS</t>
  </si>
  <si>
    <t>Wheat Ex-Durum</t>
  </si>
  <si>
    <t>Unit</t>
  </si>
  <si>
    <t>MLN AC</t>
  </si>
  <si>
    <t>Proportion Harvested</t>
  </si>
  <si>
    <t>%</t>
  </si>
  <si>
    <t>BU/AC</t>
  </si>
  <si>
    <t>Beginning Stocks</t>
  </si>
  <si>
    <t>KMT</t>
  </si>
  <si>
    <t>Total Supply</t>
  </si>
  <si>
    <t>Total Disposition</t>
  </si>
  <si>
    <t>Ending Stocks</t>
  </si>
  <si>
    <t>Stocks-to-Use</t>
  </si>
  <si>
    <t>STU Days</t>
  </si>
  <si>
    <t>Days</t>
  </si>
  <si>
    <t>CHECK</t>
  </si>
  <si>
    <t>Durum wheat</t>
  </si>
  <si>
    <t>Durum</t>
  </si>
  <si>
    <t>Canola</t>
  </si>
  <si>
    <t>Crush</t>
  </si>
  <si>
    <t>Barley</t>
  </si>
  <si>
    <t>Oats</t>
  </si>
  <si>
    <t>SEP/AUG</t>
  </si>
  <si>
    <t>Soybeans</t>
  </si>
  <si>
    <t>Dry peas</t>
  </si>
  <si>
    <t>Lentils</t>
  </si>
  <si>
    <t>Canada Cereals</t>
  </si>
  <si>
    <t>MT/AC</t>
  </si>
  <si>
    <t>Canada Oilseeds</t>
  </si>
  <si>
    <t>Canada Pulses</t>
  </si>
  <si>
    <t>FS/Prod</t>
  </si>
  <si>
    <t>FSR/Prod</t>
  </si>
  <si>
    <t>Exp/Prod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</si>
</sst>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"/>
    <numFmt numFmtId="166" formatCode="0.0%"/>
    <numFmt numFmtId="167" formatCode="0.000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20"/>
      <name val="Calibri"/>
    </font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/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ck">
        <color rgb="FF000000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0" fontId="4" fillId="0" borderId="0" xfId="0" applyFont="1"/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horizontal="right" vertical="center"/>
    </xf>
    <xf numFmtId="0" fontId="6" fillId="0" borderId="0" xfId="0" applyFont="1"/>
    <xf numFmtId="0" fontId="7" fillId="0" borderId="0" xfId="0" applyFont="1"/>
    <xf numFmtId="0" fontId="8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166" fontId="7" fillId="0" borderId="0" xfId="1" applyNumberFormat="1" applyFont="1"/>
    <xf numFmtId="9" fontId="7" fillId="0" borderId="0" xfId="1" applyFont="1"/>
  </cellXfs>
  <cellStyles count="2">
    <cellStyle name="Normal" xfId="0" builtinId="0"/>
    <cellStyle name="Percent" xfId="1" builtinId="5"/>
  </cellStyles>
  <dxfs count="15"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7"/>
  <sheetViews>
    <sheetView workbookViewId="0">
      <pane xSplit="3" ySplit="1" topLeftCell="D1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20" customWidth="1"/>
    <col min="3" max="16" width="7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 t="s">
        <v>18</v>
      </c>
      <c r="D2" s="3">
        <v>19.501200000000001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>
        <f t="shared" ref="P2:P33" si="0">D2</f>
        <v>19.501200000000001</v>
      </c>
    </row>
    <row r="3" spans="1:16" x14ac:dyDescent="0.3">
      <c r="A3" s="2" t="s">
        <v>16</v>
      </c>
      <c r="B3" s="2" t="s">
        <v>17</v>
      </c>
      <c r="C3" s="2" t="s">
        <v>19</v>
      </c>
      <c r="D3" s="3">
        <v>19.771899999999999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>
        <f t="shared" si="0"/>
        <v>19.771899999999999</v>
      </c>
    </row>
    <row r="4" spans="1:16" x14ac:dyDescent="0.3">
      <c r="A4" s="2" t="s">
        <v>16</v>
      </c>
      <c r="B4" s="2" t="s">
        <v>17</v>
      </c>
      <c r="C4" s="2" t="s">
        <v>20</v>
      </c>
      <c r="D4" s="3">
        <v>19.1433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>
        <f t="shared" si="0"/>
        <v>19.1433</v>
      </c>
    </row>
    <row r="5" spans="1:16" x14ac:dyDescent="0.3">
      <c r="A5" s="2" t="s">
        <v>16</v>
      </c>
      <c r="B5" s="2" t="s">
        <v>17</v>
      </c>
      <c r="C5" s="2" t="s">
        <v>21</v>
      </c>
      <c r="D5" s="3">
        <v>18.155899999999999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>
        <f t="shared" si="0"/>
        <v>18.155899999999999</v>
      </c>
    </row>
    <row r="6" spans="1:16" x14ac:dyDescent="0.3">
      <c r="A6" s="2" t="s">
        <v>16</v>
      </c>
      <c r="B6" s="2" t="s">
        <v>17</v>
      </c>
      <c r="C6" s="2" t="s">
        <v>22</v>
      </c>
      <c r="D6" s="3">
        <v>20.549875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>
        <f t="shared" si="0"/>
        <v>20.549875</v>
      </c>
    </row>
    <row r="7" spans="1:16" x14ac:dyDescent="0.3">
      <c r="A7" s="2" t="s">
        <v>16</v>
      </c>
      <c r="B7" s="2" t="s">
        <v>17</v>
      </c>
      <c r="C7" s="2" t="s">
        <v>23</v>
      </c>
      <c r="D7" s="3">
        <v>16.963100000000001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>
        <f t="shared" si="0"/>
        <v>16.963100000000001</v>
      </c>
    </row>
    <row r="8" spans="1:16" x14ac:dyDescent="0.3">
      <c r="A8" s="2" t="s">
        <v>16</v>
      </c>
      <c r="B8" s="2" t="s">
        <v>17</v>
      </c>
      <c r="C8" s="2" t="s">
        <v>24</v>
      </c>
      <c r="D8" s="3">
        <v>19.111000000000001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>
        <f t="shared" si="0"/>
        <v>19.111000000000001</v>
      </c>
    </row>
    <row r="9" spans="1:16" x14ac:dyDescent="0.3">
      <c r="A9" s="2" t="s">
        <v>16</v>
      </c>
      <c r="B9" s="2" t="s">
        <v>17</v>
      </c>
      <c r="C9" s="2" t="s">
        <v>25</v>
      </c>
      <c r="D9" s="3">
        <v>19.257100000000001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>
        <f t="shared" si="0"/>
        <v>19.257100000000001</v>
      </c>
    </row>
    <row r="10" spans="1:16" x14ac:dyDescent="0.3">
      <c r="A10" s="2" t="s">
        <v>16</v>
      </c>
      <c r="B10" s="2" t="s">
        <v>17</v>
      </c>
      <c r="C10" s="2" t="s">
        <v>26</v>
      </c>
      <c r="D10" s="3">
        <v>17.984100000000002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>
        <f t="shared" si="0"/>
        <v>17.984100000000002</v>
      </c>
    </row>
    <row r="11" spans="1:16" x14ac:dyDescent="0.3">
      <c r="A11" s="2" t="s">
        <v>16</v>
      </c>
      <c r="B11" s="2" t="s">
        <v>17</v>
      </c>
      <c r="C11" s="2" t="s">
        <v>27</v>
      </c>
      <c r="D11" s="3">
        <v>17.551812000000002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>
        <f t="shared" si="0"/>
        <v>17.551812000000002</v>
      </c>
    </row>
    <row r="12" spans="1:16" x14ac:dyDescent="0.3">
      <c r="A12" s="2" t="s">
        <v>16</v>
      </c>
      <c r="B12" s="2" t="s">
        <v>17</v>
      </c>
      <c r="C12" s="2" t="s">
        <v>28</v>
      </c>
      <c r="D12" s="3">
        <v>19.067799999999998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>
        <f t="shared" si="0"/>
        <v>19.067799999999998</v>
      </c>
    </row>
    <row r="13" spans="1:16" x14ac:dyDescent="0.3">
      <c r="A13" s="2" t="s">
        <v>16</v>
      </c>
      <c r="B13" s="2" t="s">
        <v>17</v>
      </c>
      <c r="C13" s="2" t="s">
        <v>29</v>
      </c>
      <c r="D13" s="3">
        <v>21.2865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>
        <f t="shared" si="0"/>
        <v>21.2865</v>
      </c>
    </row>
    <row r="14" spans="1:16" x14ac:dyDescent="0.3">
      <c r="A14" s="2" t="s">
        <v>16</v>
      </c>
      <c r="B14" s="2" t="s">
        <v>17</v>
      </c>
      <c r="C14" s="2" t="s">
        <v>30</v>
      </c>
      <c r="D14" s="3">
        <v>19.607800000000001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>
        <f t="shared" si="0"/>
        <v>19.607800000000001</v>
      </c>
    </row>
    <row r="15" spans="1:16" x14ac:dyDescent="0.3">
      <c r="A15" s="2" t="s">
        <v>16</v>
      </c>
      <c r="B15" s="2" t="s">
        <v>17</v>
      </c>
      <c r="C15" s="2" t="s">
        <v>31</v>
      </c>
      <c r="D15" s="3">
        <v>18.397300000000001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>
        <f t="shared" si="0"/>
        <v>18.397300000000001</v>
      </c>
    </row>
    <row r="16" spans="1:16" x14ac:dyDescent="0.3">
      <c r="A16" s="2" t="s">
        <v>16</v>
      </c>
      <c r="B16" s="2" t="s">
        <v>17</v>
      </c>
      <c r="C16" s="2" t="s">
        <v>32</v>
      </c>
      <c r="D16" s="3">
        <v>17.681097000000001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>
        <f t="shared" si="0"/>
        <v>17.681097000000001</v>
      </c>
    </row>
    <row r="17" spans="1:16" x14ac:dyDescent="0.3">
      <c r="A17" s="2" t="s">
        <v>16</v>
      </c>
      <c r="B17" s="2" t="s">
        <v>17</v>
      </c>
      <c r="C17" s="2" t="s">
        <v>33</v>
      </c>
      <c r="D17" s="3">
        <v>17.346299999999999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>
        <f t="shared" si="0"/>
        <v>17.346299999999999</v>
      </c>
    </row>
    <row r="18" spans="1:16" x14ac:dyDescent="0.3">
      <c r="A18" s="2" t="s">
        <v>16</v>
      </c>
      <c r="B18" s="2" t="s">
        <v>17</v>
      </c>
      <c r="C18" s="2" t="s">
        <v>34</v>
      </c>
      <c r="D18" s="3">
        <v>18.706700000000001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>
        <f t="shared" si="0"/>
        <v>18.706700000000001</v>
      </c>
    </row>
    <row r="19" spans="1:16" x14ac:dyDescent="0.3">
      <c r="A19" s="2" t="s">
        <v>16</v>
      </c>
      <c r="B19" s="2" t="s">
        <v>17</v>
      </c>
      <c r="C19" s="2" t="s">
        <v>35</v>
      </c>
      <c r="D19" s="3">
        <v>20.127600000000001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>
        <f t="shared" si="0"/>
        <v>20.127600000000001</v>
      </c>
    </row>
    <row r="20" spans="1:16" x14ac:dyDescent="0.3">
      <c r="A20" s="2" t="s">
        <v>16</v>
      </c>
      <c r="B20" s="2" t="s">
        <v>17</v>
      </c>
      <c r="C20" s="2" t="s">
        <v>36</v>
      </c>
      <c r="D20" s="3">
        <v>19.501000000000001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>
        <f t="shared" si="0"/>
        <v>19.501000000000001</v>
      </c>
    </row>
    <row r="21" spans="1:16" x14ac:dyDescent="0.3">
      <c r="A21" s="2" t="s">
        <v>16</v>
      </c>
      <c r="B21" s="2" t="s">
        <v>17</v>
      </c>
      <c r="C21" s="2" t="s">
        <v>37</v>
      </c>
      <c r="D21" s="3">
        <v>17.718021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>
        <f t="shared" si="0"/>
        <v>17.718021</v>
      </c>
    </row>
    <row r="22" spans="1:16" x14ac:dyDescent="0.3">
      <c r="A22" s="2" t="s">
        <v>16</v>
      </c>
      <c r="B22" s="2" t="s">
        <v>17</v>
      </c>
      <c r="C22" s="2" t="s">
        <v>38</v>
      </c>
      <c r="D22" s="3">
        <v>19.419499999999999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>
        <f t="shared" si="0"/>
        <v>19.419499999999999</v>
      </c>
    </row>
    <row r="23" spans="1:16" x14ac:dyDescent="0.3">
      <c r="A23" s="2" t="s">
        <v>16</v>
      </c>
      <c r="B23" s="2" t="s">
        <v>17</v>
      </c>
      <c r="C23" s="2" t="s">
        <v>39</v>
      </c>
      <c r="D23" s="3">
        <v>21.0167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>
        <f t="shared" si="0"/>
        <v>21.0167</v>
      </c>
    </row>
    <row r="24" spans="1:16" x14ac:dyDescent="0.3">
      <c r="A24" s="2" t="s">
        <v>16</v>
      </c>
      <c r="B24" s="2" t="s">
        <v>17</v>
      </c>
      <c r="C24" s="2" t="s">
        <v>40</v>
      </c>
      <c r="D24" s="3">
        <v>20.409099999999999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>
        <f t="shared" si="0"/>
        <v>20.409099999999999</v>
      </c>
    </row>
    <row r="25" spans="1:16" x14ac:dyDescent="0.3">
      <c r="A25" s="2" t="s">
        <v>16</v>
      </c>
      <c r="B25" s="2" t="s">
        <v>41</v>
      </c>
      <c r="C25" s="2" t="s">
        <v>18</v>
      </c>
      <c r="D25" s="3">
        <v>15.974500000000001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>
        <f t="shared" si="0"/>
        <v>15.974500000000001</v>
      </c>
    </row>
    <row r="26" spans="1:16" x14ac:dyDescent="0.3">
      <c r="A26" s="2" t="s">
        <v>16</v>
      </c>
      <c r="B26" s="2" t="s">
        <v>41</v>
      </c>
      <c r="C26" s="2" t="s">
        <v>19</v>
      </c>
      <c r="D26" s="3">
        <v>19.3261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>
        <f t="shared" si="0"/>
        <v>19.3261</v>
      </c>
    </row>
    <row r="27" spans="1:16" x14ac:dyDescent="0.3">
      <c r="A27" s="2" t="s">
        <v>16</v>
      </c>
      <c r="B27" s="2" t="s">
        <v>41</v>
      </c>
      <c r="C27" s="2" t="s">
        <v>20</v>
      </c>
      <c r="D27" s="3">
        <v>18.1311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>
        <f t="shared" si="0"/>
        <v>18.1311</v>
      </c>
    </row>
    <row r="28" spans="1:16" x14ac:dyDescent="0.3">
      <c r="A28" s="2" t="s">
        <v>16</v>
      </c>
      <c r="B28" s="2" t="s">
        <v>41</v>
      </c>
      <c r="C28" s="2" t="s">
        <v>21</v>
      </c>
      <c r="D28" s="3">
        <v>17.607399999999998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>
        <f t="shared" si="0"/>
        <v>17.607399999999998</v>
      </c>
    </row>
    <row r="29" spans="1:16" x14ac:dyDescent="0.3">
      <c r="A29" s="2" t="s">
        <v>16</v>
      </c>
      <c r="B29" s="2" t="s">
        <v>41</v>
      </c>
      <c r="C29" s="2" t="s">
        <v>22</v>
      </c>
      <c r="D29" s="3">
        <v>20.174499999999998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>
        <f t="shared" si="0"/>
        <v>20.174499999999998</v>
      </c>
    </row>
    <row r="30" spans="1:16" x14ac:dyDescent="0.3">
      <c r="A30" s="2" t="s">
        <v>16</v>
      </c>
      <c r="B30" s="2" t="s">
        <v>41</v>
      </c>
      <c r="C30" s="2" t="s">
        <v>23</v>
      </c>
      <c r="D30" s="3">
        <v>16.581199999999999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>
        <f t="shared" si="0"/>
        <v>16.581199999999999</v>
      </c>
    </row>
    <row r="31" spans="1:16" x14ac:dyDescent="0.3">
      <c r="A31" s="2" t="s">
        <v>16</v>
      </c>
      <c r="B31" s="2" t="s">
        <v>41</v>
      </c>
      <c r="C31" s="2" t="s">
        <v>24</v>
      </c>
      <c r="D31" s="3">
        <v>18.779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>
        <f t="shared" si="0"/>
        <v>18.779</v>
      </c>
    </row>
    <row r="32" spans="1:16" x14ac:dyDescent="0.3">
      <c r="A32" s="2" t="s">
        <v>16</v>
      </c>
      <c r="B32" s="2" t="s">
        <v>41</v>
      </c>
      <c r="C32" s="2" t="s">
        <v>25</v>
      </c>
      <c r="D32" s="3">
        <v>18.361899999999999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>
        <f t="shared" si="0"/>
        <v>18.361899999999999</v>
      </c>
    </row>
    <row r="33" spans="1:16" x14ac:dyDescent="0.3">
      <c r="A33" s="2" t="s">
        <v>16</v>
      </c>
      <c r="B33" s="2" t="s">
        <v>41</v>
      </c>
      <c r="C33" s="2" t="s">
        <v>26</v>
      </c>
      <c r="D33" s="3">
        <v>17.425999999999998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>
        <f t="shared" si="0"/>
        <v>17.425999999999998</v>
      </c>
    </row>
    <row r="34" spans="1:16" x14ac:dyDescent="0.3">
      <c r="A34" s="2" t="s">
        <v>16</v>
      </c>
      <c r="B34" s="2" t="s">
        <v>41</v>
      </c>
      <c r="C34" s="2" t="s">
        <v>27</v>
      </c>
      <c r="D34" s="3">
        <v>17.203499999999998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>
        <f t="shared" ref="P34:P65" si="1">D34</f>
        <v>17.203499999999998</v>
      </c>
    </row>
    <row r="35" spans="1:16" x14ac:dyDescent="0.3">
      <c r="A35" s="2" t="s">
        <v>16</v>
      </c>
      <c r="B35" s="2" t="s">
        <v>41</v>
      </c>
      <c r="C35" s="2" t="s">
        <v>28</v>
      </c>
      <c r="D35" s="3">
        <v>18.839099999999998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>
        <f t="shared" si="1"/>
        <v>18.839099999999998</v>
      </c>
    </row>
    <row r="36" spans="1:16" x14ac:dyDescent="0.3">
      <c r="A36" s="2" t="s">
        <v>16</v>
      </c>
      <c r="B36" s="2" t="s">
        <v>41</v>
      </c>
      <c r="C36" s="2" t="s">
        <v>29</v>
      </c>
      <c r="D36" s="3">
        <v>20.861000000000001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>
        <f t="shared" si="1"/>
        <v>20.861000000000001</v>
      </c>
    </row>
    <row r="37" spans="1:16" x14ac:dyDescent="0.3">
      <c r="A37" s="2" t="s">
        <v>16</v>
      </c>
      <c r="B37" s="2" t="s">
        <v>41</v>
      </c>
      <c r="C37" s="2" t="s">
        <v>30</v>
      </c>
      <c r="D37" s="3">
        <v>18.917300000000001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>
        <f t="shared" si="1"/>
        <v>18.917300000000001</v>
      </c>
    </row>
    <row r="38" spans="1:16" x14ac:dyDescent="0.3">
      <c r="A38" s="2" t="s">
        <v>16</v>
      </c>
      <c r="B38" s="2" t="s">
        <v>41</v>
      </c>
      <c r="C38" s="2" t="s">
        <v>31</v>
      </c>
      <c r="D38" s="3">
        <v>17.900200000000002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>
        <f t="shared" si="1"/>
        <v>17.900200000000002</v>
      </c>
    </row>
    <row r="39" spans="1:16" x14ac:dyDescent="0.3">
      <c r="A39" s="2" t="s">
        <v>16</v>
      </c>
      <c r="B39" s="2" t="s">
        <v>41</v>
      </c>
      <c r="C39" s="2" t="s">
        <v>32</v>
      </c>
      <c r="D39" s="3">
        <v>16.415900000000001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>
        <f t="shared" si="1"/>
        <v>16.415900000000001</v>
      </c>
    </row>
    <row r="40" spans="1:16" x14ac:dyDescent="0.3">
      <c r="A40" s="2" t="s">
        <v>16</v>
      </c>
      <c r="B40" s="2" t="s">
        <v>41</v>
      </c>
      <c r="C40" s="2" t="s">
        <v>33</v>
      </c>
      <c r="D40" s="3">
        <v>17.038599999999999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>
        <f t="shared" si="1"/>
        <v>17.038599999999999</v>
      </c>
    </row>
    <row r="41" spans="1:16" x14ac:dyDescent="0.3">
      <c r="A41" s="2" t="s">
        <v>16</v>
      </c>
      <c r="B41" s="2" t="s">
        <v>41</v>
      </c>
      <c r="C41" s="2" t="s">
        <v>34</v>
      </c>
      <c r="D41" s="3">
        <v>18.348700000000001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>
        <f t="shared" si="1"/>
        <v>18.348700000000001</v>
      </c>
    </row>
    <row r="42" spans="1:16" x14ac:dyDescent="0.3">
      <c r="A42" s="2" t="s">
        <v>16</v>
      </c>
      <c r="B42" s="2" t="s">
        <v>41</v>
      </c>
      <c r="C42" s="2" t="s">
        <v>35</v>
      </c>
      <c r="D42" s="3">
        <v>19.1602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>
        <f t="shared" si="1"/>
        <v>19.1602</v>
      </c>
    </row>
    <row r="43" spans="1:16" x14ac:dyDescent="0.3">
      <c r="A43" s="2" t="s">
        <v>16</v>
      </c>
      <c r="B43" s="2" t="s">
        <v>41</v>
      </c>
      <c r="C43" s="2" t="s">
        <v>36</v>
      </c>
      <c r="D43" s="3">
        <v>19.083200000000001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>
        <f t="shared" si="1"/>
        <v>19.083200000000001</v>
      </c>
    </row>
    <row r="44" spans="1:16" x14ac:dyDescent="0.3">
      <c r="A44" s="2" t="s">
        <v>16</v>
      </c>
      <c r="B44" s="2" t="s">
        <v>41</v>
      </c>
      <c r="C44" s="2" t="s">
        <v>37</v>
      </c>
      <c r="D44" s="3">
        <v>17.218081999999999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>
        <f t="shared" si="1"/>
        <v>17.218081999999999</v>
      </c>
    </row>
    <row r="45" spans="1:16" x14ac:dyDescent="0.3">
      <c r="A45" s="2" t="s">
        <v>16</v>
      </c>
      <c r="B45" s="2" t="s">
        <v>41</v>
      </c>
      <c r="C45" s="2" t="s">
        <v>38</v>
      </c>
      <c r="D45" s="3">
        <v>19.055099999999999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>
        <f t="shared" si="1"/>
        <v>19.055099999999999</v>
      </c>
    </row>
    <row r="46" spans="1:16" x14ac:dyDescent="0.3">
      <c r="A46" s="2" t="s">
        <v>16</v>
      </c>
      <c r="B46" s="2" t="s">
        <v>41</v>
      </c>
      <c r="C46" s="2" t="s">
        <v>39</v>
      </c>
      <c r="D46" s="3">
        <v>20.569600000000001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>
        <f t="shared" si="1"/>
        <v>20.569600000000001</v>
      </c>
    </row>
    <row r="47" spans="1:16" x14ac:dyDescent="0.3">
      <c r="A47" s="2" t="s">
        <v>16</v>
      </c>
      <c r="B47" s="2" t="s">
        <v>41</v>
      </c>
      <c r="C47" s="2" t="s">
        <v>40</v>
      </c>
      <c r="D47" s="3">
        <v>19.982399999999998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>
        <f t="shared" si="1"/>
        <v>19.982399999999998</v>
      </c>
    </row>
    <row r="48" spans="1:16" x14ac:dyDescent="0.3">
      <c r="A48" s="2" t="s">
        <v>16</v>
      </c>
      <c r="B48" s="2" t="s">
        <v>42</v>
      </c>
      <c r="C48" s="2" t="s">
        <v>18</v>
      </c>
      <c r="D48" s="5">
        <v>27.7958977295064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6">
        <f t="shared" si="1"/>
        <v>27.7958977295064</v>
      </c>
    </row>
    <row r="49" spans="1:16" x14ac:dyDescent="0.3">
      <c r="A49" s="2" t="s">
        <v>16</v>
      </c>
      <c r="B49" s="2" t="s">
        <v>42</v>
      </c>
      <c r="C49" s="2" t="s">
        <v>19</v>
      </c>
      <c r="D49" s="5">
        <v>35.813799830281333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6">
        <f t="shared" si="1"/>
        <v>35.813799830281333</v>
      </c>
    </row>
    <row r="50" spans="1:16" x14ac:dyDescent="0.3">
      <c r="A50" s="2" t="s">
        <v>16</v>
      </c>
      <c r="B50" s="2" t="s">
        <v>42</v>
      </c>
      <c r="C50" s="2" t="s">
        <v>20</v>
      </c>
      <c r="D50" s="5">
        <v>40.519174907755179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">
        <f t="shared" si="1"/>
        <v>40.519174907755179</v>
      </c>
    </row>
    <row r="51" spans="1:16" x14ac:dyDescent="0.3">
      <c r="A51" s="2" t="s">
        <v>16</v>
      </c>
      <c r="B51" s="2" t="s">
        <v>42</v>
      </c>
      <c r="C51" s="2" t="s">
        <v>21</v>
      </c>
      <c r="D51" s="5">
        <v>41.389198515964871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6">
        <f t="shared" si="1"/>
        <v>41.389198515964871</v>
      </c>
    </row>
    <row r="52" spans="1:16" x14ac:dyDescent="0.3">
      <c r="A52" s="2" t="s">
        <v>16</v>
      </c>
      <c r="B52" s="2" t="s">
        <v>42</v>
      </c>
      <c r="C52" s="2" t="s">
        <v>22</v>
      </c>
      <c r="D52" s="5">
        <v>39.921312004758477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6">
        <f t="shared" si="1"/>
        <v>39.921312004758477</v>
      </c>
    </row>
    <row r="53" spans="1:16" x14ac:dyDescent="0.3">
      <c r="A53" s="2" t="s">
        <v>16</v>
      </c>
      <c r="B53" s="2" t="s">
        <v>42</v>
      </c>
      <c r="C53" s="2" t="s">
        <v>23</v>
      </c>
      <c r="D53" s="5">
        <v>36.36210728415314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6">
        <f t="shared" si="1"/>
        <v>36.36210728415314</v>
      </c>
    </row>
    <row r="54" spans="1:16" x14ac:dyDescent="0.3">
      <c r="A54" s="2" t="s">
        <v>16</v>
      </c>
      <c r="B54" s="2" t="s">
        <v>42</v>
      </c>
      <c r="C54" s="2" t="s">
        <v>24</v>
      </c>
      <c r="D54" s="5">
        <v>45.198135983279201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6">
        <f t="shared" si="1"/>
        <v>45.198135983279201</v>
      </c>
    </row>
    <row r="55" spans="1:16" x14ac:dyDescent="0.3">
      <c r="A55" s="2" t="s">
        <v>16</v>
      </c>
      <c r="B55" s="2" t="s">
        <v>42</v>
      </c>
      <c r="C55" s="2" t="s">
        <v>25</v>
      </c>
      <c r="D55" s="5">
        <v>43.12395547900816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6">
        <f t="shared" si="1"/>
        <v>43.12395547900816</v>
      </c>
    </row>
    <row r="56" spans="1:16" x14ac:dyDescent="0.3">
      <c r="A56" s="2" t="s">
        <v>16</v>
      </c>
      <c r="B56" s="2" t="s">
        <v>42</v>
      </c>
      <c r="C56" s="2" t="s">
        <v>26</v>
      </c>
      <c r="D56" s="5">
        <v>42.750765702398709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6">
        <f t="shared" si="1"/>
        <v>42.750765702398709</v>
      </c>
    </row>
    <row r="57" spans="1:16" x14ac:dyDescent="0.3">
      <c r="A57" s="2" t="s">
        <v>16</v>
      </c>
      <c r="B57" s="2" t="s">
        <v>42</v>
      </c>
      <c r="C57" s="2" t="s">
        <v>27</v>
      </c>
      <c r="D57" s="5">
        <v>45.09990960153457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>
        <f t="shared" si="1"/>
        <v>45.09990960153457</v>
      </c>
    </row>
    <row r="58" spans="1:16" x14ac:dyDescent="0.3">
      <c r="A58" s="2" t="s">
        <v>16</v>
      </c>
      <c r="B58" s="2" t="s">
        <v>42</v>
      </c>
      <c r="C58" s="2" t="s">
        <v>28</v>
      </c>
      <c r="D58" s="5">
        <v>44.116780938579858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6">
        <f t="shared" si="1"/>
        <v>44.116780938579858</v>
      </c>
    </row>
    <row r="59" spans="1:16" x14ac:dyDescent="0.3">
      <c r="A59" s="2" t="s">
        <v>16</v>
      </c>
      <c r="B59" s="2" t="s">
        <v>42</v>
      </c>
      <c r="C59" s="2" t="s">
        <v>29</v>
      </c>
      <c r="D59" s="5">
        <v>54.751124923062171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6">
        <f t="shared" si="1"/>
        <v>54.751124923062171</v>
      </c>
    </row>
    <row r="60" spans="1:16" x14ac:dyDescent="0.3">
      <c r="A60" s="2" t="s">
        <v>16</v>
      </c>
      <c r="B60" s="2" t="s">
        <v>42</v>
      </c>
      <c r="C60" s="2" t="s">
        <v>30</v>
      </c>
      <c r="D60" s="5">
        <v>47.100414899589261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6">
        <f t="shared" si="1"/>
        <v>47.100414899589261</v>
      </c>
    </row>
    <row r="61" spans="1:16" x14ac:dyDescent="0.3">
      <c r="A61" s="2" t="s">
        <v>16</v>
      </c>
      <c r="B61" s="2" t="s">
        <v>42</v>
      </c>
      <c r="C61" s="2" t="s">
        <v>31</v>
      </c>
      <c r="D61" s="5">
        <v>45.690383078959997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6">
        <f t="shared" si="1"/>
        <v>45.690383078959997</v>
      </c>
    </row>
    <row r="62" spans="1:16" x14ac:dyDescent="0.3">
      <c r="A62" s="2" t="s">
        <v>16</v>
      </c>
      <c r="B62" s="2" t="s">
        <v>42</v>
      </c>
      <c r="C62" s="2" t="s">
        <v>32</v>
      </c>
      <c r="D62" s="5">
        <v>54.565487909283071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6">
        <f t="shared" si="1"/>
        <v>54.565487909283071</v>
      </c>
    </row>
    <row r="63" spans="1:16" x14ac:dyDescent="0.3">
      <c r="A63" s="2" t="s">
        <v>16</v>
      </c>
      <c r="B63" s="2" t="s">
        <v>42</v>
      </c>
      <c r="C63" s="2" t="s">
        <v>33</v>
      </c>
      <c r="D63" s="5">
        <v>54.807602142781683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>
        <f t="shared" si="1"/>
        <v>54.807602142781683</v>
      </c>
    </row>
    <row r="64" spans="1:16" x14ac:dyDescent="0.3">
      <c r="A64" s="2" t="s">
        <v>16</v>
      </c>
      <c r="B64" s="2" t="s">
        <v>42</v>
      </c>
      <c r="C64" s="2" t="s">
        <v>34</v>
      </c>
      <c r="D64" s="5">
        <v>53.201237813578068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6">
        <f t="shared" si="1"/>
        <v>53.201237813578068</v>
      </c>
    </row>
    <row r="65" spans="1:16" x14ac:dyDescent="0.3">
      <c r="A65" s="2" t="s">
        <v>16</v>
      </c>
      <c r="B65" s="2" t="s">
        <v>42</v>
      </c>
      <c r="C65" s="2" t="s">
        <v>35</v>
      </c>
      <c r="D65" s="5">
        <v>53.030040780367642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>
        <f t="shared" si="1"/>
        <v>53.030040780367642</v>
      </c>
    </row>
    <row r="66" spans="1:16" x14ac:dyDescent="0.3">
      <c r="A66" s="2" t="s">
        <v>16</v>
      </c>
      <c r="B66" s="2" t="s">
        <v>42</v>
      </c>
      <c r="C66" s="2" t="s">
        <v>36</v>
      </c>
      <c r="D66" s="5">
        <v>55.579967940387363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>
        <f t="shared" ref="P66:P93" si="2">D66</f>
        <v>55.579967940387363</v>
      </c>
    </row>
    <row r="67" spans="1:16" x14ac:dyDescent="0.3">
      <c r="A67" s="2" t="s">
        <v>16</v>
      </c>
      <c r="B67" s="2" t="s">
        <v>42</v>
      </c>
      <c r="C67" s="2" t="s">
        <v>37</v>
      </c>
      <c r="D67" s="5">
        <v>41.377972290409581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6">
        <f t="shared" si="2"/>
        <v>41.377972290409581</v>
      </c>
    </row>
    <row r="68" spans="1:16" x14ac:dyDescent="0.3">
      <c r="A68" s="2" t="s">
        <v>16</v>
      </c>
      <c r="B68" s="2" t="s">
        <v>42</v>
      </c>
      <c r="C68" s="2" t="s">
        <v>38</v>
      </c>
      <c r="D68" s="5">
        <v>56.09078110742005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6">
        <f t="shared" si="2"/>
        <v>56.09078110742005</v>
      </c>
    </row>
    <row r="69" spans="1:16" x14ac:dyDescent="0.3">
      <c r="A69" s="2" t="s">
        <v>16</v>
      </c>
      <c r="B69" s="2" t="s">
        <v>42</v>
      </c>
      <c r="C69" s="2" t="s">
        <v>39</v>
      </c>
      <c r="D69" s="5">
        <v>52.100793150571711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6">
        <f t="shared" si="2"/>
        <v>52.100793150571711</v>
      </c>
    </row>
    <row r="70" spans="1:16" x14ac:dyDescent="0.3">
      <c r="A70" s="2" t="s">
        <v>16</v>
      </c>
      <c r="B70" s="2" t="s">
        <v>42</v>
      </c>
      <c r="C70" s="2" t="s">
        <v>40</v>
      </c>
      <c r="D70" s="5">
        <v>54.352262813776122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>
        <f t="shared" si="2"/>
        <v>54.352262813776122</v>
      </c>
    </row>
    <row r="71" spans="1:16" x14ac:dyDescent="0.3">
      <c r="A71" s="2" t="s">
        <v>16</v>
      </c>
      <c r="B71" s="2" t="s">
        <v>43</v>
      </c>
      <c r="C71" s="2" t="s">
        <v>18</v>
      </c>
      <c r="D71" s="7">
        <v>12084.4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8">
        <f t="shared" si="2"/>
        <v>12084.4</v>
      </c>
    </row>
    <row r="72" spans="1:16" x14ac:dyDescent="0.3">
      <c r="A72" s="2" t="s">
        <v>16</v>
      </c>
      <c r="B72" s="2" t="s">
        <v>43</v>
      </c>
      <c r="C72" s="2" t="s">
        <v>19</v>
      </c>
      <c r="D72" s="7">
        <v>18837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8">
        <f t="shared" si="2"/>
        <v>18837</v>
      </c>
    </row>
    <row r="73" spans="1:16" x14ac:dyDescent="0.3">
      <c r="A73" s="2" t="s">
        <v>16</v>
      </c>
      <c r="B73" s="2" t="s">
        <v>43</v>
      </c>
      <c r="C73" s="2" t="s">
        <v>20</v>
      </c>
      <c r="D73" s="7">
        <v>19994.099999999999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8">
        <f t="shared" si="2"/>
        <v>19994.099999999999</v>
      </c>
    </row>
    <row r="74" spans="1:16" x14ac:dyDescent="0.3">
      <c r="A74" s="2" t="s">
        <v>16</v>
      </c>
      <c r="B74" s="2" t="s">
        <v>43</v>
      </c>
      <c r="C74" s="2" t="s">
        <v>21</v>
      </c>
      <c r="D74" s="7">
        <v>19833.5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8">
        <f t="shared" si="2"/>
        <v>19833.5</v>
      </c>
    </row>
    <row r="75" spans="1:16" x14ac:dyDescent="0.3">
      <c r="A75" s="2" t="s">
        <v>16</v>
      </c>
      <c r="B75" s="2" t="s">
        <v>43</v>
      </c>
      <c r="C75" s="2" t="s">
        <v>22</v>
      </c>
      <c r="D75" s="7">
        <v>21919.200000000001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8">
        <f t="shared" si="2"/>
        <v>21919.200000000001</v>
      </c>
    </row>
    <row r="76" spans="1:16" x14ac:dyDescent="0.3">
      <c r="A76" s="2" t="s">
        <v>16</v>
      </c>
      <c r="B76" s="2" t="s">
        <v>43</v>
      </c>
      <c r="C76" s="2" t="s">
        <v>23</v>
      </c>
      <c r="D76" s="7">
        <v>16409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8">
        <f t="shared" si="2"/>
        <v>16409</v>
      </c>
    </row>
    <row r="77" spans="1:16" x14ac:dyDescent="0.3">
      <c r="A77" s="2" t="s">
        <v>16</v>
      </c>
      <c r="B77" s="2" t="s">
        <v>43</v>
      </c>
      <c r="C77" s="2" t="s">
        <v>24</v>
      </c>
      <c r="D77" s="7">
        <v>23099.9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8">
        <f t="shared" si="2"/>
        <v>23099.9</v>
      </c>
    </row>
    <row r="78" spans="1:16" x14ac:dyDescent="0.3">
      <c r="A78" s="2" t="s">
        <v>16</v>
      </c>
      <c r="B78" s="2" t="s">
        <v>43</v>
      </c>
      <c r="C78" s="2" t="s">
        <v>25</v>
      </c>
      <c r="D78" s="7">
        <v>21550.3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8">
        <f t="shared" si="2"/>
        <v>21550.3</v>
      </c>
    </row>
    <row r="79" spans="1:16" x14ac:dyDescent="0.3">
      <c r="A79" s="2" t="s">
        <v>16</v>
      </c>
      <c r="B79" s="2" t="s">
        <v>43</v>
      </c>
      <c r="C79" s="2" t="s">
        <v>26</v>
      </c>
      <c r="D79" s="7">
        <v>20274.900000000001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8">
        <f t="shared" si="2"/>
        <v>20274.900000000001</v>
      </c>
    </row>
    <row r="80" spans="1:16" x14ac:dyDescent="0.3">
      <c r="A80" s="2" t="s">
        <v>16</v>
      </c>
      <c r="B80" s="2" t="s">
        <v>43</v>
      </c>
      <c r="C80" s="2" t="s">
        <v>27</v>
      </c>
      <c r="D80" s="7">
        <v>21115.9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8">
        <f t="shared" si="2"/>
        <v>21115.9</v>
      </c>
    </row>
    <row r="81" spans="1:16" x14ac:dyDescent="0.3">
      <c r="A81" s="2" t="s">
        <v>16</v>
      </c>
      <c r="B81" s="2" t="s">
        <v>43</v>
      </c>
      <c r="C81" s="2" t="s">
        <v>28</v>
      </c>
      <c r="D81" s="7">
        <v>22619.4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8">
        <f t="shared" si="2"/>
        <v>22619.4</v>
      </c>
    </row>
    <row r="82" spans="1:16" x14ac:dyDescent="0.3">
      <c r="A82" s="2" t="s">
        <v>16</v>
      </c>
      <c r="B82" s="2" t="s">
        <v>43</v>
      </c>
      <c r="C82" s="2" t="s">
        <v>29</v>
      </c>
      <c r="D82" s="7">
        <v>31084.6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8">
        <f t="shared" si="2"/>
        <v>31084.6</v>
      </c>
    </row>
    <row r="83" spans="1:16" x14ac:dyDescent="0.3">
      <c r="A83" s="2" t="s">
        <v>16</v>
      </c>
      <c r="B83" s="2" t="s">
        <v>43</v>
      </c>
      <c r="C83" s="2" t="s">
        <v>30</v>
      </c>
      <c r="D83" s="7">
        <v>24249.4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8">
        <f t="shared" si="2"/>
        <v>24249.4</v>
      </c>
    </row>
    <row r="84" spans="1:16" x14ac:dyDescent="0.3">
      <c r="A84" s="2" t="s">
        <v>16</v>
      </c>
      <c r="B84" s="2" t="s">
        <v>43</v>
      </c>
      <c r="C84" s="2" t="s">
        <v>31</v>
      </c>
      <c r="D84" s="7">
        <v>22258.7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8">
        <f t="shared" si="2"/>
        <v>22258.7</v>
      </c>
    </row>
    <row r="85" spans="1:16" x14ac:dyDescent="0.3">
      <c r="A85" s="2" t="s">
        <v>16</v>
      </c>
      <c r="B85" s="2" t="s">
        <v>43</v>
      </c>
      <c r="C85" s="2" t="s">
        <v>32</v>
      </c>
      <c r="D85" s="7">
        <v>24378.1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8">
        <f t="shared" si="2"/>
        <v>24378.1</v>
      </c>
    </row>
    <row r="86" spans="1:16" x14ac:dyDescent="0.3">
      <c r="A86" s="2" t="s">
        <v>16</v>
      </c>
      <c r="B86" s="2" t="s">
        <v>43</v>
      </c>
      <c r="C86" s="2" t="s">
        <v>33</v>
      </c>
      <c r="D86" s="7">
        <v>25415.1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8">
        <f t="shared" si="2"/>
        <v>25415.1</v>
      </c>
    </row>
    <row r="87" spans="1:16" x14ac:dyDescent="0.3">
      <c r="A87" s="2" t="s">
        <v>16</v>
      </c>
      <c r="B87" s="2" t="s">
        <v>43</v>
      </c>
      <c r="C87" s="2" t="s">
        <v>34</v>
      </c>
      <c r="D87" s="7">
        <v>26567.1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8">
        <f t="shared" si="2"/>
        <v>26567.1</v>
      </c>
    </row>
    <row r="88" spans="1:16" x14ac:dyDescent="0.3">
      <c r="A88" s="2" t="s">
        <v>16</v>
      </c>
      <c r="B88" s="2" t="s">
        <v>43</v>
      </c>
      <c r="C88" s="2" t="s">
        <v>35</v>
      </c>
      <c r="D88" s="7">
        <v>27652.799999999999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8">
        <f t="shared" si="2"/>
        <v>27652.799999999999</v>
      </c>
    </row>
    <row r="89" spans="1:16" x14ac:dyDescent="0.3">
      <c r="A89" s="2" t="s">
        <v>16</v>
      </c>
      <c r="B89" s="2" t="s">
        <v>43</v>
      </c>
      <c r="C89" s="2" t="s">
        <v>36</v>
      </c>
      <c r="D89" s="7">
        <v>28866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8">
        <f t="shared" si="2"/>
        <v>28866</v>
      </c>
    </row>
    <row r="90" spans="1:16" x14ac:dyDescent="0.3">
      <c r="A90" s="2" t="s">
        <v>16</v>
      </c>
      <c r="B90" s="2" t="s">
        <v>43</v>
      </c>
      <c r="C90" s="2" t="s">
        <v>37</v>
      </c>
      <c r="D90" s="7">
        <v>19389.7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8">
        <f t="shared" si="2"/>
        <v>19389.7</v>
      </c>
    </row>
    <row r="91" spans="1:16" x14ac:dyDescent="0.3">
      <c r="A91" s="2" t="s">
        <v>16</v>
      </c>
      <c r="B91" s="2" t="s">
        <v>43</v>
      </c>
      <c r="C91" s="2" t="s">
        <v>38</v>
      </c>
      <c r="D91" s="7">
        <v>29088.400000000001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8">
        <f t="shared" si="2"/>
        <v>29088.400000000001</v>
      </c>
    </row>
    <row r="92" spans="1:16" x14ac:dyDescent="0.3">
      <c r="A92" s="2" t="s">
        <v>16</v>
      </c>
      <c r="B92" s="2" t="s">
        <v>43</v>
      </c>
      <c r="C92" s="2" t="s">
        <v>39</v>
      </c>
      <c r="D92" s="7">
        <v>29166.7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8">
        <f t="shared" si="2"/>
        <v>29166.7</v>
      </c>
    </row>
    <row r="93" spans="1:16" x14ac:dyDescent="0.3">
      <c r="A93" s="2" t="s">
        <v>16</v>
      </c>
      <c r="B93" s="2" t="s">
        <v>43</v>
      </c>
      <c r="C93" s="2" t="s">
        <v>40</v>
      </c>
      <c r="D93" s="7">
        <v>29558.5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8">
        <f t="shared" si="2"/>
        <v>29558.5</v>
      </c>
    </row>
    <row r="94" spans="1:16" x14ac:dyDescent="0.3">
      <c r="A94" s="2" t="s">
        <v>16</v>
      </c>
      <c r="B94" s="2" t="s">
        <v>44</v>
      </c>
      <c r="C94" s="2" t="s">
        <v>18</v>
      </c>
      <c r="D94" s="7">
        <v>701.34400000000005</v>
      </c>
      <c r="E94" s="7">
        <v>487.3</v>
      </c>
      <c r="F94" s="7">
        <v>646.78399999999999</v>
      </c>
      <c r="G94" s="7">
        <v>412.44</v>
      </c>
      <c r="H94" s="7">
        <v>435.04399999999998</v>
      </c>
      <c r="I94" s="7">
        <v>291.91199999999998</v>
      </c>
      <c r="J94" s="7">
        <v>353.22</v>
      </c>
      <c r="K94" s="7">
        <v>397.44799999999998</v>
      </c>
      <c r="L94" s="7">
        <v>452.05</v>
      </c>
      <c r="M94" s="7">
        <v>692.20799999999997</v>
      </c>
      <c r="N94" s="7">
        <v>511.64400000000001</v>
      </c>
      <c r="O94" s="7">
        <v>694.85799999999995</v>
      </c>
      <c r="P94" s="8">
        <f t="shared" ref="P94:P125" si="3">SUM(D94:O94)</f>
        <v>6076.2519999999995</v>
      </c>
    </row>
    <row r="95" spans="1:16" x14ac:dyDescent="0.3">
      <c r="A95" s="2" t="s">
        <v>16</v>
      </c>
      <c r="B95" s="2" t="s">
        <v>44</v>
      </c>
      <c r="C95" s="2" t="s">
        <v>19</v>
      </c>
      <c r="D95" s="7">
        <v>701.15800000000002</v>
      </c>
      <c r="E95" s="7">
        <v>1093.95</v>
      </c>
      <c r="F95" s="7">
        <v>1201.0899999999999</v>
      </c>
      <c r="G95" s="7">
        <v>954.18799999999999</v>
      </c>
      <c r="H95" s="7">
        <v>1072.4839999999999</v>
      </c>
      <c r="I95" s="7">
        <v>787.75400000000002</v>
      </c>
      <c r="J95" s="7">
        <v>718.62</v>
      </c>
      <c r="K95" s="7">
        <v>898.34799999999996</v>
      </c>
      <c r="L95" s="7">
        <v>991.47799999999995</v>
      </c>
      <c r="M95" s="7">
        <v>1396.1220000000001</v>
      </c>
      <c r="N95" s="7">
        <v>1380.3920000000001</v>
      </c>
      <c r="O95" s="7">
        <v>858.43399999999997</v>
      </c>
      <c r="P95" s="8">
        <f t="shared" si="3"/>
        <v>12054.017999999998</v>
      </c>
    </row>
    <row r="96" spans="1:16" x14ac:dyDescent="0.3">
      <c r="A96" s="2" t="s">
        <v>16</v>
      </c>
      <c r="B96" s="2" t="s">
        <v>44</v>
      </c>
      <c r="C96" s="2" t="s">
        <v>20</v>
      </c>
      <c r="D96" s="7">
        <v>1222.4259999999999</v>
      </c>
      <c r="E96" s="7">
        <v>773.54399999999998</v>
      </c>
      <c r="F96" s="7">
        <v>666.19999999999993</v>
      </c>
      <c r="G96" s="7">
        <v>1037.5260000000001</v>
      </c>
      <c r="H96" s="7">
        <v>1158.662</v>
      </c>
      <c r="I96" s="7">
        <v>945.51</v>
      </c>
      <c r="J96" s="7">
        <v>1066.98</v>
      </c>
      <c r="K96" s="7">
        <v>941.94399999999996</v>
      </c>
      <c r="L96" s="7">
        <v>874.31000000000006</v>
      </c>
      <c r="M96" s="7">
        <v>1014.712</v>
      </c>
      <c r="N96" s="7">
        <v>765.67</v>
      </c>
      <c r="O96" s="7">
        <v>863.40200000000004</v>
      </c>
      <c r="P96" s="8">
        <f t="shared" si="3"/>
        <v>11330.885999999999</v>
      </c>
    </row>
    <row r="97" spans="1:16" x14ac:dyDescent="0.3">
      <c r="A97" s="2" t="s">
        <v>16</v>
      </c>
      <c r="B97" s="2" t="s">
        <v>44</v>
      </c>
      <c r="C97" s="2" t="s">
        <v>21</v>
      </c>
      <c r="D97" s="7">
        <v>783.01</v>
      </c>
      <c r="E97" s="7">
        <v>751.02</v>
      </c>
      <c r="F97" s="7">
        <v>914.16200000000003</v>
      </c>
      <c r="G97" s="7">
        <v>820.976</v>
      </c>
      <c r="H97" s="7">
        <v>706.17200000000003</v>
      </c>
      <c r="I97" s="7">
        <v>812.80600000000004</v>
      </c>
      <c r="J97" s="7">
        <v>855.33600000000001</v>
      </c>
      <c r="K97" s="7">
        <v>907.23</v>
      </c>
      <c r="L97" s="7">
        <v>1340.3879999999999</v>
      </c>
      <c r="M97" s="7">
        <v>1440.598</v>
      </c>
      <c r="N97" s="7">
        <v>866.178</v>
      </c>
      <c r="O97" s="7">
        <v>1296.3320000000001</v>
      </c>
      <c r="P97" s="8">
        <f t="shared" si="3"/>
        <v>11494.208000000001</v>
      </c>
    </row>
    <row r="98" spans="1:16" x14ac:dyDescent="0.3">
      <c r="A98" s="2" t="s">
        <v>16</v>
      </c>
      <c r="B98" s="2" t="s">
        <v>44</v>
      </c>
      <c r="C98" s="2" t="s">
        <v>22</v>
      </c>
      <c r="D98" s="7">
        <v>1256.2819999999999</v>
      </c>
      <c r="E98" s="7">
        <v>1324.462</v>
      </c>
      <c r="F98" s="7">
        <v>1358.5340000000001</v>
      </c>
      <c r="G98" s="7">
        <v>1226.4780000000001</v>
      </c>
      <c r="H98" s="7">
        <v>1247.462</v>
      </c>
      <c r="I98" s="7">
        <v>894.63</v>
      </c>
      <c r="J98" s="7">
        <v>1017.052</v>
      </c>
      <c r="K98" s="7">
        <v>1029.1199999999999</v>
      </c>
      <c r="L98" s="7">
        <v>1199.298</v>
      </c>
      <c r="M98" s="7">
        <v>1302.5619999999999</v>
      </c>
      <c r="N98" s="7">
        <v>1408.0519999999999</v>
      </c>
      <c r="O98" s="7">
        <v>1327.6880000000001</v>
      </c>
      <c r="P98" s="8">
        <f t="shared" si="3"/>
        <v>14591.62</v>
      </c>
    </row>
    <row r="99" spans="1:16" x14ac:dyDescent="0.3">
      <c r="A99" s="2" t="s">
        <v>16</v>
      </c>
      <c r="B99" s="2" t="s">
        <v>44</v>
      </c>
      <c r="C99" s="2" t="s">
        <v>23</v>
      </c>
      <c r="D99" s="7">
        <v>1284.7639999999999</v>
      </c>
      <c r="E99" s="7">
        <v>1275.328</v>
      </c>
      <c r="F99" s="7">
        <v>1198.4079999999999</v>
      </c>
      <c r="G99" s="7">
        <v>982.36800000000005</v>
      </c>
      <c r="H99" s="7">
        <v>845.64400000000001</v>
      </c>
      <c r="I99" s="7">
        <v>854.14800000000002</v>
      </c>
      <c r="J99" s="7">
        <v>812.04</v>
      </c>
      <c r="K99" s="7">
        <v>995.69600000000003</v>
      </c>
      <c r="L99" s="7">
        <v>1071.748</v>
      </c>
      <c r="M99" s="7">
        <v>1338.21</v>
      </c>
      <c r="N99" s="7">
        <v>878.19399999999996</v>
      </c>
      <c r="O99" s="7">
        <v>1089.4739999999999</v>
      </c>
      <c r="P99" s="8">
        <f t="shared" si="3"/>
        <v>12626.021999999999</v>
      </c>
    </row>
    <row r="100" spans="1:16" x14ac:dyDescent="0.3">
      <c r="A100" s="2" t="s">
        <v>16</v>
      </c>
      <c r="B100" s="2" t="s">
        <v>44</v>
      </c>
      <c r="C100" s="2" t="s">
        <v>24</v>
      </c>
      <c r="D100" s="7">
        <v>950.91800000000001</v>
      </c>
      <c r="E100" s="7">
        <v>1054.0239999999999</v>
      </c>
      <c r="F100" s="7">
        <v>1142.6559999999999</v>
      </c>
      <c r="G100" s="7">
        <v>1270.242</v>
      </c>
      <c r="H100" s="7">
        <v>1123.01</v>
      </c>
      <c r="I100" s="7">
        <v>1435.9939999999999</v>
      </c>
      <c r="J100" s="7">
        <v>1170.4780000000001</v>
      </c>
      <c r="K100" s="7">
        <v>1273.318</v>
      </c>
      <c r="L100" s="7">
        <v>1509.1980000000001</v>
      </c>
      <c r="M100" s="7">
        <v>1565.472</v>
      </c>
      <c r="N100" s="7">
        <v>1245.03</v>
      </c>
      <c r="O100" s="7">
        <v>1215.3119999999999</v>
      </c>
      <c r="P100" s="8">
        <f t="shared" si="3"/>
        <v>14955.652</v>
      </c>
    </row>
    <row r="101" spans="1:16" x14ac:dyDescent="0.3">
      <c r="A101" s="2" t="s">
        <v>16</v>
      </c>
      <c r="B101" s="2" t="s">
        <v>44</v>
      </c>
      <c r="C101" s="2" t="s">
        <v>25</v>
      </c>
      <c r="D101" s="7">
        <v>1469.288</v>
      </c>
      <c r="E101" s="7">
        <v>1123.17</v>
      </c>
      <c r="F101" s="7">
        <v>1239.336</v>
      </c>
      <c r="G101" s="7">
        <v>1244.4000000000001</v>
      </c>
      <c r="H101" s="7">
        <v>967.65800000000002</v>
      </c>
      <c r="I101" s="7">
        <v>1326.6859999999999</v>
      </c>
      <c r="J101" s="7">
        <v>1179.8579999999999</v>
      </c>
      <c r="K101" s="7">
        <v>1368.798</v>
      </c>
      <c r="L101" s="7">
        <v>1388.4</v>
      </c>
      <c r="M101" s="7">
        <v>1716.9939999999999</v>
      </c>
      <c r="N101" s="7">
        <v>1510.97</v>
      </c>
      <c r="O101" s="7">
        <v>1340.9480000000001</v>
      </c>
      <c r="P101" s="8">
        <f t="shared" si="3"/>
        <v>15876.505999999999</v>
      </c>
    </row>
    <row r="102" spans="1:16" x14ac:dyDescent="0.3">
      <c r="A102" s="2" t="s">
        <v>16</v>
      </c>
      <c r="B102" s="2" t="s">
        <v>44</v>
      </c>
      <c r="C102" s="2" t="s">
        <v>26</v>
      </c>
      <c r="D102" s="7">
        <v>1127.8240000000001</v>
      </c>
      <c r="E102" s="7">
        <v>1044.008</v>
      </c>
      <c r="F102" s="7">
        <v>1242.0999999999999</v>
      </c>
      <c r="G102" s="7">
        <v>1047.298</v>
      </c>
      <c r="H102" s="7">
        <v>1221.992</v>
      </c>
      <c r="I102" s="7">
        <v>830.17200000000003</v>
      </c>
      <c r="J102" s="7">
        <v>765.952</v>
      </c>
      <c r="K102" s="7">
        <v>1120.886</v>
      </c>
      <c r="L102" s="7">
        <v>1267.722</v>
      </c>
      <c r="M102" s="7">
        <v>1326.548</v>
      </c>
      <c r="N102" s="7">
        <v>1345.5540000000001</v>
      </c>
      <c r="O102" s="7">
        <v>964.91200000000003</v>
      </c>
      <c r="P102" s="8">
        <f t="shared" si="3"/>
        <v>13304.968000000001</v>
      </c>
    </row>
    <row r="103" spans="1:16" x14ac:dyDescent="0.3">
      <c r="A103" s="2" t="s">
        <v>16</v>
      </c>
      <c r="B103" s="2" t="s">
        <v>44</v>
      </c>
      <c r="C103" s="2" t="s">
        <v>27</v>
      </c>
      <c r="D103" s="7">
        <v>1205.268</v>
      </c>
      <c r="E103" s="7">
        <v>1040.7860000000001</v>
      </c>
      <c r="F103" s="7">
        <v>1148.538</v>
      </c>
      <c r="G103" s="7">
        <v>1029.134</v>
      </c>
      <c r="H103" s="7">
        <v>1298.9159999999999</v>
      </c>
      <c r="I103" s="7">
        <v>967.21699999999998</v>
      </c>
      <c r="J103" s="7">
        <v>1109.288</v>
      </c>
      <c r="K103" s="7">
        <v>1326.39</v>
      </c>
      <c r="L103" s="7">
        <v>1484.231</v>
      </c>
      <c r="M103" s="7">
        <v>1422.1120000000001</v>
      </c>
      <c r="N103" s="7">
        <v>839.678</v>
      </c>
      <c r="O103" s="7">
        <v>844.53</v>
      </c>
      <c r="P103" s="8">
        <f t="shared" si="3"/>
        <v>13716.088000000002</v>
      </c>
    </row>
    <row r="104" spans="1:16" x14ac:dyDescent="0.3">
      <c r="A104" s="2" t="s">
        <v>16</v>
      </c>
      <c r="B104" s="2" t="s">
        <v>44</v>
      </c>
      <c r="C104" s="2" t="s">
        <v>28</v>
      </c>
      <c r="D104" s="7">
        <v>1270.7909999999999</v>
      </c>
      <c r="E104" s="7">
        <v>1190.8050000000001</v>
      </c>
      <c r="F104" s="7">
        <v>1105.7439999999999</v>
      </c>
      <c r="G104" s="7">
        <v>1074.8800000000001</v>
      </c>
      <c r="H104" s="7">
        <v>1319.481</v>
      </c>
      <c r="I104" s="7">
        <v>1298.5350000000001</v>
      </c>
      <c r="J104" s="7">
        <v>1101.5709999999999</v>
      </c>
      <c r="K104" s="7">
        <v>1250.5160000000001</v>
      </c>
      <c r="L104" s="7">
        <v>1320.83</v>
      </c>
      <c r="M104" s="7">
        <v>1439.5260000000001</v>
      </c>
      <c r="N104" s="7">
        <v>846.2</v>
      </c>
      <c r="O104" s="7">
        <v>1156.0509999999999</v>
      </c>
      <c r="P104" s="8">
        <f t="shared" si="3"/>
        <v>14374.93</v>
      </c>
    </row>
    <row r="105" spans="1:16" x14ac:dyDescent="0.3">
      <c r="A105" s="2" t="s">
        <v>16</v>
      </c>
      <c r="B105" s="2" t="s">
        <v>44</v>
      </c>
      <c r="C105" s="2" t="s">
        <v>29</v>
      </c>
      <c r="D105" s="7">
        <v>1255.348</v>
      </c>
      <c r="E105" s="7">
        <v>1338.953</v>
      </c>
      <c r="F105" s="7">
        <v>1480.8820000000001</v>
      </c>
      <c r="G105" s="7">
        <v>1628.4110000000001</v>
      </c>
      <c r="H105" s="7">
        <v>1212.0509999999999</v>
      </c>
      <c r="I105" s="7">
        <v>1349.7180000000001</v>
      </c>
      <c r="J105" s="7">
        <v>1299.82</v>
      </c>
      <c r="K105" s="7">
        <v>1263.383</v>
      </c>
      <c r="L105" s="7">
        <v>1456.8</v>
      </c>
      <c r="M105" s="7">
        <v>2137.0369999999998</v>
      </c>
      <c r="N105" s="7">
        <v>1674.239</v>
      </c>
      <c r="O105" s="7">
        <v>1863.3620000000001</v>
      </c>
      <c r="P105" s="8">
        <f t="shared" si="3"/>
        <v>17960.004000000001</v>
      </c>
    </row>
    <row r="106" spans="1:16" x14ac:dyDescent="0.3">
      <c r="A106" s="2" t="s">
        <v>16</v>
      </c>
      <c r="B106" s="2" t="s">
        <v>44</v>
      </c>
      <c r="C106" s="2" t="s">
        <v>30</v>
      </c>
      <c r="D106" s="7">
        <v>2157.4430000000002</v>
      </c>
      <c r="E106" s="7">
        <v>1563.991</v>
      </c>
      <c r="F106" s="7">
        <v>1564.3789999999999</v>
      </c>
      <c r="G106" s="7">
        <v>1337.3240000000001</v>
      </c>
      <c r="H106" s="7">
        <v>907.45399999999995</v>
      </c>
      <c r="I106" s="7">
        <v>1505.3320000000001</v>
      </c>
      <c r="J106" s="7">
        <v>1139.25</v>
      </c>
      <c r="K106" s="7">
        <v>1614.4829999999999</v>
      </c>
      <c r="L106" s="7">
        <v>1119.2239999999999</v>
      </c>
      <c r="M106" s="7">
        <v>2158.3290000000002</v>
      </c>
      <c r="N106" s="7">
        <v>2037.508</v>
      </c>
      <c r="O106" s="7">
        <v>1548.2239999999999</v>
      </c>
      <c r="P106" s="8">
        <f t="shared" si="3"/>
        <v>18652.940999999999</v>
      </c>
    </row>
    <row r="107" spans="1:16" x14ac:dyDescent="0.3">
      <c r="A107" s="2" t="s">
        <v>16</v>
      </c>
      <c r="B107" s="2" t="s">
        <v>44</v>
      </c>
      <c r="C107" s="2" t="s">
        <v>31</v>
      </c>
      <c r="D107" s="7">
        <v>2007.3630000000001</v>
      </c>
      <c r="E107" s="7">
        <v>1457.8320000000001</v>
      </c>
      <c r="F107" s="7">
        <v>1284.345</v>
      </c>
      <c r="G107" s="7">
        <v>1763.701</v>
      </c>
      <c r="H107" s="7">
        <v>1448.2560000000001</v>
      </c>
      <c r="I107" s="7">
        <v>1079.1420000000001</v>
      </c>
      <c r="J107" s="7">
        <v>1137.6679999999999</v>
      </c>
      <c r="K107" s="7">
        <v>1216.905</v>
      </c>
      <c r="L107" s="7">
        <v>1838.2329999999999</v>
      </c>
      <c r="M107" s="7">
        <v>1231.529</v>
      </c>
      <c r="N107" s="7">
        <v>1362.8630000000001</v>
      </c>
      <c r="O107" s="7">
        <v>1498.433</v>
      </c>
      <c r="P107" s="8">
        <f t="shared" si="3"/>
        <v>17326.27</v>
      </c>
    </row>
    <row r="108" spans="1:16" x14ac:dyDescent="0.3">
      <c r="A108" s="2" t="s">
        <v>16</v>
      </c>
      <c r="B108" s="2" t="s">
        <v>44</v>
      </c>
      <c r="C108" s="2" t="s">
        <v>32</v>
      </c>
      <c r="D108" s="7">
        <v>1304.7239999999999</v>
      </c>
      <c r="E108" s="7">
        <v>1152.8800000000001</v>
      </c>
      <c r="F108" s="7">
        <v>1454.162</v>
      </c>
      <c r="G108" s="7">
        <v>1203.9459999999999</v>
      </c>
      <c r="H108" s="7">
        <v>1106.0419999999999</v>
      </c>
      <c r="I108" s="7">
        <v>1011.527</v>
      </c>
      <c r="J108" s="7">
        <v>1026.32</v>
      </c>
      <c r="K108" s="7">
        <v>1268.587</v>
      </c>
      <c r="L108" s="7">
        <v>1315.171</v>
      </c>
      <c r="M108" s="7">
        <v>1700.723</v>
      </c>
      <c r="N108" s="7">
        <v>1441.22</v>
      </c>
      <c r="O108" s="7">
        <v>1464.307</v>
      </c>
      <c r="P108" s="8">
        <f t="shared" si="3"/>
        <v>15449.609</v>
      </c>
    </row>
    <row r="109" spans="1:16" x14ac:dyDescent="0.3">
      <c r="A109" s="2" t="s">
        <v>16</v>
      </c>
      <c r="B109" s="2" t="s">
        <v>44</v>
      </c>
      <c r="C109" s="2" t="s">
        <v>33</v>
      </c>
      <c r="D109" s="7">
        <v>1584.4880000000001</v>
      </c>
      <c r="E109" s="7">
        <v>1325.509</v>
      </c>
      <c r="F109" s="7">
        <v>1365.9459999999999</v>
      </c>
      <c r="G109" s="7">
        <v>1502.82</v>
      </c>
      <c r="H109" s="7">
        <v>1231.941</v>
      </c>
      <c r="I109" s="7">
        <v>1741.6990000000001</v>
      </c>
      <c r="J109" s="7">
        <v>941.76300000000003</v>
      </c>
      <c r="K109" s="7">
        <v>1563.3409999999999</v>
      </c>
      <c r="L109" s="7">
        <v>1518.0840000000001</v>
      </c>
      <c r="M109" s="7">
        <v>1886.5719999999999</v>
      </c>
      <c r="N109" s="7">
        <v>1303.4659999999999</v>
      </c>
      <c r="O109" s="7">
        <v>1238.537</v>
      </c>
      <c r="P109" s="8">
        <f t="shared" si="3"/>
        <v>17204.166000000001</v>
      </c>
    </row>
    <row r="110" spans="1:16" x14ac:dyDescent="0.3">
      <c r="A110" s="2" t="s">
        <v>16</v>
      </c>
      <c r="B110" s="2" t="s">
        <v>44</v>
      </c>
      <c r="C110" s="2" t="s">
        <v>34</v>
      </c>
      <c r="D110" s="7">
        <v>1600.673</v>
      </c>
      <c r="E110" s="7">
        <v>1665.7950000000001</v>
      </c>
      <c r="F110" s="7">
        <v>1779.625</v>
      </c>
      <c r="G110" s="7">
        <v>1746.837</v>
      </c>
      <c r="H110" s="7">
        <v>1684.4839999999999</v>
      </c>
      <c r="I110" s="7">
        <v>1605.779</v>
      </c>
      <c r="J110" s="7">
        <v>1242.5999999999999</v>
      </c>
      <c r="K110" s="7">
        <v>1479.3489999999999</v>
      </c>
      <c r="L110" s="7">
        <v>1941.366</v>
      </c>
      <c r="M110" s="7">
        <v>2044.6110000000001</v>
      </c>
      <c r="N110" s="7">
        <v>1496.6379999999999</v>
      </c>
      <c r="O110" s="7">
        <v>1297.0519999999999</v>
      </c>
      <c r="P110" s="8">
        <f t="shared" si="3"/>
        <v>19584.809000000001</v>
      </c>
    </row>
    <row r="111" spans="1:16" x14ac:dyDescent="0.3">
      <c r="A111" s="2" t="s">
        <v>16</v>
      </c>
      <c r="B111" s="2" t="s">
        <v>44</v>
      </c>
      <c r="C111" s="2" t="s">
        <v>35</v>
      </c>
      <c r="D111" s="7">
        <v>1418.296</v>
      </c>
      <c r="E111" s="7">
        <v>1140.92</v>
      </c>
      <c r="F111" s="7">
        <v>1656.701</v>
      </c>
      <c r="G111" s="7">
        <v>1294.1130000000001</v>
      </c>
      <c r="H111" s="7">
        <v>1338.5</v>
      </c>
      <c r="I111" s="7">
        <v>1320.7719999999999</v>
      </c>
      <c r="J111" s="7">
        <v>1034.4949999999999</v>
      </c>
      <c r="K111" s="7">
        <v>1413.8820000000001</v>
      </c>
      <c r="L111" s="7">
        <v>1636.673</v>
      </c>
      <c r="M111" s="7">
        <v>2336.3850000000002</v>
      </c>
      <c r="N111" s="7">
        <v>1737.028</v>
      </c>
      <c r="O111" s="7">
        <v>2197.3209999999999</v>
      </c>
      <c r="P111" s="8">
        <f t="shared" si="3"/>
        <v>18525.086000000003</v>
      </c>
    </row>
    <row r="112" spans="1:16" x14ac:dyDescent="0.3">
      <c r="A112" s="2" t="s">
        <v>16</v>
      </c>
      <c r="B112" s="2" t="s">
        <v>44</v>
      </c>
      <c r="C112" s="2" t="s">
        <v>36</v>
      </c>
      <c r="D112" s="7">
        <v>2054.683</v>
      </c>
      <c r="E112" s="7">
        <v>1545.482</v>
      </c>
      <c r="F112" s="7">
        <v>1859.5139999999999</v>
      </c>
      <c r="G112" s="7">
        <v>1585.3030000000001</v>
      </c>
      <c r="H112" s="7">
        <v>1744.4</v>
      </c>
      <c r="I112" s="7">
        <v>1981.942</v>
      </c>
      <c r="J112" s="7">
        <v>1154.2180000000001</v>
      </c>
      <c r="K112" s="7">
        <v>1892.3520000000001</v>
      </c>
      <c r="L112" s="7">
        <v>1807.5650000000001</v>
      </c>
      <c r="M112" s="7">
        <v>1882.768</v>
      </c>
      <c r="N112" s="7">
        <v>1760.19</v>
      </c>
      <c r="O112" s="7">
        <v>1108.249</v>
      </c>
      <c r="P112" s="8">
        <f t="shared" si="3"/>
        <v>20376.666000000001</v>
      </c>
    </row>
    <row r="113" spans="1:16" x14ac:dyDescent="0.3">
      <c r="A113" s="2" t="s">
        <v>16</v>
      </c>
      <c r="B113" s="2" t="s">
        <v>44</v>
      </c>
      <c r="C113" s="2" t="s">
        <v>37</v>
      </c>
      <c r="D113" s="7">
        <v>1536.758</v>
      </c>
      <c r="E113" s="7">
        <v>1102.9059999999999</v>
      </c>
      <c r="F113" s="7">
        <v>873.87</v>
      </c>
      <c r="G113" s="7">
        <v>919.95399999999995</v>
      </c>
      <c r="H113" s="7">
        <v>829.77</v>
      </c>
      <c r="I113" s="7">
        <v>942.80899999999997</v>
      </c>
      <c r="J113" s="7">
        <v>1002.88</v>
      </c>
      <c r="K113" s="7">
        <v>897.053</v>
      </c>
      <c r="L113" s="7">
        <v>809.06200000000001</v>
      </c>
      <c r="M113" s="7">
        <v>1093.345</v>
      </c>
      <c r="N113" s="7">
        <v>816.98799999999994</v>
      </c>
      <c r="O113" s="7">
        <v>1306.329</v>
      </c>
      <c r="P113" s="8">
        <f t="shared" si="3"/>
        <v>12131.723999999998</v>
      </c>
    </row>
    <row r="114" spans="1:16" x14ac:dyDescent="0.3">
      <c r="A114" s="2" t="s">
        <v>16</v>
      </c>
      <c r="B114" s="2" t="s">
        <v>44</v>
      </c>
      <c r="C114" s="2" t="s">
        <v>38</v>
      </c>
      <c r="D114" s="7">
        <v>1129.912</v>
      </c>
      <c r="E114" s="7">
        <v>1615.1659999999999</v>
      </c>
      <c r="F114" s="7">
        <v>2070.2660000000001</v>
      </c>
      <c r="G114" s="7">
        <v>1881.0139999999999</v>
      </c>
      <c r="H114" s="7">
        <v>1592.1320000000001</v>
      </c>
      <c r="I114" s="7">
        <v>1841.1669999999999</v>
      </c>
      <c r="J114" s="7">
        <v>1538.008</v>
      </c>
      <c r="K114" s="7">
        <v>2157.7930000000001</v>
      </c>
      <c r="L114" s="7">
        <v>1868.364</v>
      </c>
      <c r="M114" s="7">
        <v>1378.528</v>
      </c>
      <c r="N114" s="7">
        <v>1450.318</v>
      </c>
      <c r="O114" s="7">
        <v>1711.26</v>
      </c>
      <c r="P114" s="8">
        <f t="shared" si="3"/>
        <v>20233.927999999996</v>
      </c>
    </row>
    <row r="115" spans="1:16" x14ac:dyDescent="0.3">
      <c r="A115" s="2" t="s">
        <v>16</v>
      </c>
      <c r="B115" s="2" t="s">
        <v>44</v>
      </c>
      <c r="C115" s="2" t="s">
        <v>39</v>
      </c>
      <c r="D115" s="7">
        <v>1365.741</v>
      </c>
      <c r="E115" s="7">
        <v>2051.0169999999998</v>
      </c>
      <c r="F115" s="7">
        <v>2035.614</v>
      </c>
      <c r="G115" s="7">
        <v>1995.4970000000001</v>
      </c>
      <c r="H115" s="7">
        <v>1845.9390000000001</v>
      </c>
      <c r="I115" s="7">
        <v>1532.5889999999999</v>
      </c>
      <c r="J115" s="7">
        <v>1837.3789999999999</v>
      </c>
      <c r="K115" s="7">
        <v>1581.011</v>
      </c>
      <c r="L115" s="7">
        <v>2388.23</v>
      </c>
      <c r="M115" s="7">
        <v>1827.4490000000001</v>
      </c>
      <c r="N115" s="7">
        <v>1612.1669999999999</v>
      </c>
      <c r="O115" s="7">
        <v>1468.693</v>
      </c>
      <c r="P115" s="8">
        <f t="shared" si="3"/>
        <v>21541.326000000001</v>
      </c>
    </row>
    <row r="116" spans="1:16" x14ac:dyDescent="0.3">
      <c r="A116" s="2" t="s">
        <v>16</v>
      </c>
      <c r="B116" s="2" t="s">
        <v>44</v>
      </c>
      <c r="C116" s="2" t="s">
        <v>40</v>
      </c>
      <c r="D116" s="7">
        <v>1389.1369999999999</v>
      </c>
      <c r="E116" s="7">
        <v>1535.5039999999999</v>
      </c>
      <c r="F116" s="7">
        <v>2149.5720000000001</v>
      </c>
      <c r="G116" s="7">
        <v>1897.4349999999999</v>
      </c>
      <c r="H116" s="7">
        <v>1910.828</v>
      </c>
      <c r="I116" s="7">
        <v>1926.2080000000001</v>
      </c>
      <c r="J116" s="7">
        <v>1476.825</v>
      </c>
      <c r="K116" s="7">
        <v>2164.4940000000001</v>
      </c>
      <c r="L116" s="7">
        <v>2089.3490000000002</v>
      </c>
      <c r="M116" s="7">
        <v>2393.837</v>
      </c>
      <c r="N116" s="7">
        <v>2298.3249999999998</v>
      </c>
      <c r="O116" s="7">
        <v>1977.3869999999999</v>
      </c>
      <c r="P116" s="8">
        <f t="shared" si="3"/>
        <v>23208.900999999998</v>
      </c>
    </row>
    <row r="117" spans="1:16" x14ac:dyDescent="0.3">
      <c r="A117" s="2" t="s">
        <v>16</v>
      </c>
      <c r="B117" s="2" t="s">
        <v>45</v>
      </c>
      <c r="C117" s="2" t="s">
        <v>18</v>
      </c>
      <c r="D117" s="7">
        <v>0.63</v>
      </c>
      <c r="E117" s="7">
        <v>30.128</v>
      </c>
      <c r="F117" s="7">
        <v>1.212</v>
      </c>
      <c r="G117" s="7">
        <v>36.936</v>
      </c>
      <c r="H117" s="7">
        <v>67.25</v>
      </c>
      <c r="I117" s="7">
        <v>26.641999999999999</v>
      </c>
      <c r="J117" s="7">
        <v>2.016</v>
      </c>
      <c r="K117" s="7">
        <v>2.774</v>
      </c>
      <c r="L117" s="7">
        <v>1.304</v>
      </c>
      <c r="M117" s="7">
        <v>2.36</v>
      </c>
      <c r="N117" s="7">
        <v>0.96799999999999997</v>
      </c>
      <c r="O117" s="7">
        <v>0.432</v>
      </c>
      <c r="P117" s="8">
        <f t="shared" si="3"/>
        <v>172.65199999999999</v>
      </c>
    </row>
    <row r="118" spans="1:16" x14ac:dyDescent="0.3">
      <c r="A118" s="2" t="s">
        <v>16</v>
      </c>
      <c r="B118" s="2" t="s">
        <v>45</v>
      </c>
      <c r="C118" s="2" t="s">
        <v>19</v>
      </c>
      <c r="D118" s="7">
        <v>1.6240000000000001</v>
      </c>
      <c r="E118" s="7">
        <v>4.782</v>
      </c>
      <c r="F118" s="7">
        <v>2.532</v>
      </c>
      <c r="G118" s="7">
        <v>1.512</v>
      </c>
      <c r="H118" s="7">
        <v>1.252</v>
      </c>
      <c r="I118" s="7">
        <v>0.7</v>
      </c>
      <c r="J118" s="7">
        <v>0.96</v>
      </c>
      <c r="K118" s="7">
        <v>0.78800000000000003</v>
      </c>
      <c r="L118" s="7">
        <v>0.69200000000000006</v>
      </c>
      <c r="M118" s="7">
        <v>0.57199999999999995</v>
      </c>
      <c r="N118" s="7">
        <v>0.48199999999999998</v>
      </c>
      <c r="O118" s="7">
        <v>0.41599999999999998</v>
      </c>
      <c r="P118" s="8">
        <f t="shared" si="3"/>
        <v>16.312000000000001</v>
      </c>
    </row>
    <row r="119" spans="1:16" x14ac:dyDescent="0.3">
      <c r="A119" s="2" t="s">
        <v>16</v>
      </c>
      <c r="B119" s="2" t="s">
        <v>45</v>
      </c>
      <c r="C119" s="2" t="s">
        <v>20</v>
      </c>
      <c r="D119" s="7">
        <v>1.8680000000000001</v>
      </c>
      <c r="E119" s="7">
        <v>2.4980000000000002</v>
      </c>
      <c r="F119" s="7">
        <v>2.1440000000000001</v>
      </c>
      <c r="G119" s="7">
        <v>0.91800000000000004</v>
      </c>
      <c r="H119" s="7">
        <v>0.6</v>
      </c>
      <c r="I119" s="7">
        <v>0.53200000000000003</v>
      </c>
      <c r="J119" s="7">
        <v>0.36799999999999999</v>
      </c>
      <c r="K119" s="7">
        <v>0.69000000000000006</v>
      </c>
      <c r="L119" s="7">
        <v>0.64800000000000002</v>
      </c>
      <c r="M119" s="7">
        <v>0.68800000000000006</v>
      </c>
      <c r="N119" s="7">
        <v>1.3879999999999999</v>
      </c>
      <c r="O119" s="7">
        <v>0.93200000000000005</v>
      </c>
      <c r="P119" s="8">
        <f t="shared" si="3"/>
        <v>13.274000000000001</v>
      </c>
    </row>
    <row r="120" spans="1:16" x14ac:dyDescent="0.3">
      <c r="A120" s="2" t="s">
        <v>16</v>
      </c>
      <c r="B120" s="2" t="s">
        <v>45</v>
      </c>
      <c r="C120" s="2" t="s">
        <v>21</v>
      </c>
      <c r="D120" s="7">
        <v>3.9140000000000001</v>
      </c>
      <c r="E120" s="7">
        <v>3.238</v>
      </c>
      <c r="F120" s="7">
        <v>2.64</v>
      </c>
      <c r="G120" s="7">
        <v>1.42</v>
      </c>
      <c r="H120" s="7">
        <v>1.3</v>
      </c>
      <c r="I120" s="7">
        <v>1.4379999999999999</v>
      </c>
      <c r="J120" s="7">
        <v>1.1080000000000001</v>
      </c>
      <c r="K120" s="7">
        <v>1.262</v>
      </c>
      <c r="L120" s="7">
        <v>0.99199999999999999</v>
      </c>
      <c r="M120" s="7">
        <v>1.196</v>
      </c>
      <c r="N120" s="7">
        <v>2.0059999999999998</v>
      </c>
      <c r="O120" s="7">
        <v>2.218</v>
      </c>
      <c r="P120" s="8">
        <f t="shared" si="3"/>
        <v>22.732000000000003</v>
      </c>
    </row>
    <row r="121" spans="1:16" x14ac:dyDescent="0.3">
      <c r="A121" s="2" t="s">
        <v>16</v>
      </c>
      <c r="B121" s="2" t="s">
        <v>45</v>
      </c>
      <c r="C121" s="2" t="s">
        <v>22</v>
      </c>
      <c r="D121" s="7">
        <v>4.484</v>
      </c>
      <c r="E121" s="7">
        <v>4.4359999999999999</v>
      </c>
      <c r="F121" s="7">
        <v>1.958</v>
      </c>
      <c r="G121" s="7">
        <v>0.98199999999999998</v>
      </c>
      <c r="H121" s="7">
        <v>1.026</v>
      </c>
      <c r="I121" s="7">
        <v>1.982</v>
      </c>
      <c r="J121" s="7">
        <v>1.5740000000000001</v>
      </c>
      <c r="K121" s="7">
        <v>1.306</v>
      </c>
      <c r="L121" s="7">
        <v>1.506</v>
      </c>
      <c r="M121" s="7">
        <v>1.998</v>
      </c>
      <c r="N121" s="7">
        <v>2.032</v>
      </c>
      <c r="O121" s="7">
        <v>1.49</v>
      </c>
      <c r="P121" s="8">
        <f t="shared" si="3"/>
        <v>24.774000000000001</v>
      </c>
    </row>
    <row r="122" spans="1:16" x14ac:dyDescent="0.3">
      <c r="A122" s="2" t="s">
        <v>16</v>
      </c>
      <c r="B122" s="2" t="s">
        <v>45</v>
      </c>
      <c r="C122" s="2" t="s">
        <v>23</v>
      </c>
      <c r="D122" s="7">
        <v>1.41</v>
      </c>
      <c r="E122" s="7">
        <v>4.2539999999999996</v>
      </c>
      <c r="F122" s="7">
        <v>2.0339999999999998</v>
      </c>
      <c r="G122" s="7">
        <v>1.966</v>
      </c>
      <c r="H122" s="7">
        <v>1.226</v>
      </c>
      <c r="I122" s="7">
        <v>1.31</v>
      </c>
      <c r="J122" s="7">
        <v>0.96399999999999997</v>
      </c>
      <c r="K122" s="7">
        <v>1.8979999999999999</v>
      </c>
      <c r="L122" s="7">
        <v>1.6220000000000001</v>
      </c>
      <c r="M122" s="7">
        <v>1.54</v>
      </c>
      <c r="N122" s="7">
        <v>0.82</v>
      </c>
      <c r="O122" s="7">
        <v>1.4339999999999999</v>
      </c>
      <c r="P122" s="8">
        <f t="shared" si="3"/>
        <v>20.478000000000002</v>
      </c>
    </row>
    <row r="123" spans="1:16" x14ac:dyDescent="0.3">
      <c r="A123" s="2" t="s">
        <v>16</v>
      </c>
      <c r="B123" s="2" t="s">
        <v>45</v>
      </c>
      <c r="C123" s="2" t="s">
        <v>24</v>
      </c>
      <c r="D123" s="7">
        <v>3.1739999999999999</v>
      </c>
      <c r="E123" s="7">
        <v>3.5819999999999999</v>
      </c>
      <c r="F123" s="7">
        <v>1.796</v>
      </c>
      <c r="G123" s="7">
        <v>1.218</v>
      </c>
      <c r="H123" s="7">
        <v>0.86199999999999999</v>
      </c>
      <c r="I123" s="7">
        <v>0.55800000000000005</v>
      </c>
      <c r="J123" s="7">
        <v>0.93799999999999994</v>
      </c>
      <c r="K123" s="7">
        <v>1.1499999999999999</v>
      </c>
      <c r="L123" s="7">
        <v>3.3580000000000001</v>
      </c>
      <c r="M123" s="7">
        <v>4.032</v>
      </c>
      <c r="N123" s="7">
        <v>1.046</v>
      </c>
      <c r="O123" s="7">
        <v>1.36</v>
      </c>
      <c r="P123" s="8">
        <f t="shared" si="3"/>
        <v>23.073999999999998</v>
      </c>
    </row>
    <row r="124" spans="1:16" x14ac:dyDescent="0.3">
      <c r="A124" s="2" t="s">
        <v>16</v>
      </c>
      <c r="B124" s="2" t="s">
        <v>45</v>
      </c>
      <c r="C124" s="2" t="s">
        <v>25</v>
      </c>
      <c r="D124" s="7">
        <v>31.24</v>
      </c>
      <c r="E124" s="7">
        <v>22.297999999999998</v>
      </c>
      <c r="F124" s="7">
        <v>15.928000000000001</v>
      </c>
      <c r="G124" s="7">
        <v>16.687999999999999</v>
      </c>
      <c r="H124" s="7">
        <v>4.55</v>
      </c>
      <c r="I124" s="7">
        <v>3.536</v>
      </c>
      <c r="J124" s="7">
        <v>3.226</v>
      </c>
      <c r="K124" s="7">
        <v>3.496</v>
      </c>
      <c r="L124" s="7">
        <v>2.9180000000000001</v>
      </c>
      <c r="M124" s="7">
        <v>2.266</v>
      </c>
      <c r="N124" s="7">
        <v>3.0640000000000001</v>
      </c>
      <c r="O124" s="7">
        <v>5.76</v>
      </c>
      <c r="P124" s="8">
        <f t="shared" si="3"/>
        <v>114.97000000000001</v>
      </c>
    </row>
    <row r="125" spans="1:16" x14ac:dyDescent="0.3">
      <c r="A125" s="2" t="s">
        <v>16</v>
      </c>
      <c r="B125" s="2" t="s">
        <v>45</v>
      </c>
      <c r="C125" s="2" t="s">
        <v>26</v>
      </c>
      <c r="D125" s="7">
        <v>1.8839999999999999</v>
      </c>
      <c r="E125" s="7">
        <v>3.52</v>
      </c>
      <c r="F125" s="7">
        <v>0.80400000000000005</v>
      </c>
      <c r="G125" s="7">
        <v>1.0640000000000001</v>
      </c>
      <c r="H125" s="7">
        <v>1.496</v>
      </c>
      <c r="I125" s="7">
        <v>2.0419999999999998</v>
      </c>
      <c r="J125" s="7">
        <v>1.5780000000000001</v>
      </c>
      <c r="K125" s="7">
        <v>1.8680000000000001</v>
      </c>
      <c r="L125" s="7">
        <v>2.4239999999999999</v>
      </c>
      <c r="M125" s="7">
        <v>2.2280000000000002</v>
      </c>
      <c r="N125" s="7">
        <v>1.954</v>
      </c>
      <c r="O125" s="7">
        <v>10.66</v>
      </c>
      <c r="P125" s="8">
        <f t="shared" si="3"/>
        <v>31.522000000000002</v>
      </c>
    </row>
    <row r="126" spans="1:16" x14ac:dyDescent="0.3">
      <c r="A126" s="2" t="s">
        <v>16</v>
      </c>
      <c r="B126" s="2" t="s">
        <v>45</v>
      </c>
      <c r="C126" s="2" t="s">
        <v>27</v>
      </c>
      <c r="D126" s="7">
        <v>2.8660000000000001</v>
      </c>
      <c r="E126" s="7">
        <v>3.5819999999999999</v>
      </c>
      <c r="F126" s="7">
        <v>1.5940000000000001</v>
      </c>
      <c r="G126" s="7">
        <v>6.0240000000000009</v>
      </c>
      <c r="H126" s="7">
        <v>1.6479999999999999</v>
      </c>
      <c r="I126" s="7">
        <v>1.51</v>
      </c>
      <c r="J126" s="7">
        <v>13.179</v>
      </c>
      <c r="K126" s="7">
        <v>11.771000000000001</v>
      </c>
      <c r="L126" s="7">
        <v>3.335</v>
      </c>
      <c r="M126" s="7">
        <v>1.9119999999999999</v>
      </c>
      <c r="N126" s="7">
        <v>10.803000000000001</v>
      </c>
      <c r="O126" s="7">
        <v>2.8849999999999998</v>
      </c>
      <c r="P126" s="8">
        <f t="shared" ref="P126:P157" si="4">SUM(D126:O126)</f>
        <v>61.109000000000002</v>
      </c>
    </row>
    <row r="127" spans="1:16" x14ac:dyDescent="0.3">
      <c r="A127" s="2" t="s">
        <v>16</v>
      </c>
      <c r="B127" s="2" t="s">
        <v>45</v>
      </c>
      <c r="C127" s="2" t="s">
        <v>28</v>
      </c>
      <c r="D127" s="7">
        <v>2.4430000000000001</v>
      </c>
      <c r="E127" s="7">
        <v>2.9420000000000002</v>
      </c>
      <c r="F127" s="7">
        <v>2.8039999999999998</v>
      </c>
      <c r="G127" s="7">
        <v>1.954</v>
      </c>
      <c r="H127" s="7">
        <v>1.423</v>
      </c>
      <c r="I127" s="7">
        <v>1.754</v>
      </c>
      <c r="J127" s="7">
        <v>1.5169999999999999</v>
      </c>
      <c r="K127" s="7">
        <v>1.6479999999999999</v>
      </c>
      <c r="L127" s="7">
        <v>2.0329999999999999</v>
      </c>
      <c r="M127" s="7">
        <v>2.23</v>
      </c>
      <c r="N127" s="7">
        <v>14.691000000000001</v>
      </c>
      <c r="O127" s="7">
        <v>2.6</v>
      </c>
      <c r="P127" s="8">
        <f t="shared" si="4"/>
        <v>38.039000000000001</v>
      </c>
    </row>
    <row r="128" spans="1:16" x14ac:dyDescent="0.3">
      <c r="A128" s="2" t="s">
        <v>16</v>
      </c>
      <c r="B128" s="2" t="s">
        <v>45</v>
      </c>
      <c r="C128" s="2" t="s">
        <v>29</v>
      </c>
      <c r="D128" s="7">
        <v>2.7370000000000001</v>
      </c>
      <c r="E128" s="7">
        <v>3.7080000000000002</v>
      </c>
      <c r="F128" s="7">
        <v>1.9</v>
      </c>
      <c r="G128" s="7">
        <v>1.673</v>
      </c>
      <c r="H128" s="7">
        <v>7.1609999999999996</v>
      </c>
      <c r="I128" s="7">
        <v>1.677</v>
      </c>
      <c r="J128" s="7">
        <v>1.9510000000000001</v>
      </c>
      <c r="K128" s="7">
        <v>5.3869999999999996</v>
      </c>
      <c r="L128" s="7">
        <v>10.132999999999999</v>
      </c>
      <c r="M128" s="7">
        <v>3.839</v>
      </c>
      <c r="N128" s="7">
        <v>5.3650000000000002</v>
      </c>
      <c r="O128" s="7">
        <v>4.4530000000000003</v>
      </c>
      <c r="P128" s="8">
        <f t="shared" si="4"/>
        <v>49.984000000000002</v>
      </c>
    </row>
    <row r="129" spans="1:16" x14ac:dyDescent="0.3">
      <c r="A129" s="2" t="s">
        <v>16</v>
      </c>
      <c r="B129" s="2" t="s">
        <v>45</v>
      </c>
      <c r="C129" s="2" t="s">
        <v>30</v>
      </c>
      <c r="D129" s="7">
        <v>5.306</v>
      </c>
      <c r="E129" s="7">
        <v>5.875</v>
      </c>
      <c r="F129" s="7">
        <v>1.679</v>
      </c>
      <c r="G129" s="7">
        <v>8.3659999999999997</v>
      </c>
      <c r="H129" s="7">
        <v>78.819000000000003</v>
      </c>
      <c r="I129" s="7">
        <v>6.5960000000000001</v>
      </c>
      <c r="J129" s="7">
        <v>4.4369999999999994</v>
      </c>
      <c r="K129" s="7">
        <v>8.407</v>
      </c>
      <c r="L129" s="7">
        <v>9.1549999999999994</v>
      </c>
      <c r="M129" s="7">
        <v>9.3989999999999991</v>
      </c>
      <c r="N129" s="7">
        <v>5.9529999999999994</v>
      </c>
      <c r="O129" s="7">
        <v>9.5749999999999993</v>
      </c>
      <c r="P129" s="8">
        <f t="shared" si="4"/>
        <v>153.56699999999998</v>
      </c>
    </row>
    <row r="130" spans="1:16" x14ac:dyDescent="0.3">
      <c r="A130" s="2" t="s">
        <v>16</v>
      </c>
      <c r="B130" s="2" t="s">
        <v>45</v>
      </c>
      <c r="C130" s="2" t="s">
        <v>31</v>
      </c>
      <c r="D130" s="7">
        <v>11.954000000000001</v>
      </c>
      <c r="E130" s="7">
        <v>5.8319999999999999</v>
      </c>
      <c r="F130" s="7">
        <v>14.055</v>
      </c>
      <c r="G130" s="7">
        <v>5.23</v>
      </c>
      <c r="H130" s="7">
        <v>5.234</v>
      </c>
      <c r="I130" s="7">
        <v>5.6110000000000007</v>
      </c>
      <c r="J130" s="7">
        <v>5.8789999999999996</v>
      </c>
      <c r="K130" s="7">
        <v>4.5819999999999999</v>
      </c>
      <c r="L130" s="7">
        <v>4.2290000000000001</v>
      </c>
      <c r="M130" s="7">
        <v>8.5429999999999993</v>
      </c>
      <c r="N130" s="7">
        <v>12.17</v>
      </c>
      <c r="O130" s="7">
        <v>12.395</v>
      </c>
      <c r="P130" s="8">
        <f t="shared" si="4"/>
        <v>95.713999999999999</v>
      </c>
    </row>
    <row r="131" spans="1:16" x14ac:dyDescent="0.3">
      <c r="A131" s="2" t="s">
        <v>16</v>
      </c>
      <c r="B131" s="2" t="s">
        <v>45</v>
      </c>
      <c r="C131" s="2" t="s">
        <v>32</v>
      </c>
      <c r="D131" s="7">
        <v>10.641999999999999</v>
      </c>
      <c r="E131" s="7">
        <v>11.547000000000001</v>
      </c>
      <c r="F131" s="7">
        <v>14.898</v>
      </c>
      <c r="G131" s="7">
        <v>9.64</v>
      </c>
      <c r="H131" s="7">
        <v>9.19</v>
      </c>
      <c r="I131" s="7">
        <v>6.5289999999999999</v>
      </c>
      <c r="J131" s="7">
        <v>8.7439999999999998</v>
      </c>
      <c r="K131" s="7">
        <v>5.3330000000000002</v>
      </c>
      <c r="L131" s="7">
        <v>6.1929999999999996</v>
      </c>
      <c r="M131" s="7">
        <v>3.7930000000000001</v>
      </c>
      <c r="N131" s="7">
        <v>14.29</v>
      </c>
      <c r="O131" s="7">
        <v>3.5939999999999999</v>
      </c>
      <c r="P131" s="8">
        <f t="shared" si="4"/>
        <v>104.393</v>
      </c>
    </row>
    <row r="132" spans="1:16" x14ac:dyDescent="0.3">
      <c r="A132" s="2" t="s">
        <v>16</v>
      </c>
      <c r="B132" s="2" t="s">
        <v>45</v>
      </c>
      <c r="C132" s="2" t="s">
        <v>33</v>
      </c>
      <c r="D132" s="7">
        <v>7.99</v>
      </c>
      <c r="E132" s="7">
        <v>7.7530000000000001</v>
      </c>
      <c r="F132" s="7">
        <v>5.423</v>
      </c>
      <c r="G132" s="7">
        <v>5.9390000000000001</v>
      </c>
      <c r="H132" s="7">
        <v>3.1669999999999998</v>
      </c>
      <c r="I132" s="7">
        <v>4.3609999999999998</v>
      </c>
      <c r="J132" s="7">
        <v>5.7759999999999998</v>
      </c>
      <c r="K132" s="7">
        <v>8.2240000000000002</v>
      </c>
      <c r="L132" s="7">
        <v>7.36</v>
      </c>
      <c r="M132" s="7">
        <v>6.5670000000000002</v>
      </c>
      <c r="N132" s="7">
        <v>4.891</v>
      </c>
      <c r="O132" s="7">
        <v>8.6630000000000003</v>
      </c>
      <c r="P132" s="8">
        <f t="shared" si="4"/>
        <v>76.11399999999999</v>
      </c>
    </row>
    <row r="133" spans="1:16" x14ac:dyDescent="0.3">
      <c r="A133" s="2" t="s">
        <v>16</v>
      </c>
      <c r="B133" s="2" t="s">
        <v>45</v>
      </c>
      <c r="C133" s="2" t="s">
        <v>34</v>
      </c>
      <c r="D133" s="7">
        <v>8.8350000000000009</v>
      </c>
      <c r="E133" s="7">
        <v>7.2759999999999998</v>
      </c>
      <c r="F133" s="7">
        <v>7.2539999999999996</v>
      </c>
      <c r="G133" s="7">
        <v>4.1100000000000003</v>
      </c>
      <c r="H133" s="7">
        <v>4.2389999999999999</v>
      </c>
      <c r="I133" s="7">
        <v>2.883</v>
      </c>
      <c r="J133" s="7">
        <v>3.516</v>
      </c>
      <c r="K133" s="7">
        <v>7.0410000000000004</v>
      </c>
      <c r="L133" s="7">
        <v>5.1740000000000004</v>
      </c>
      <c r="M133" s="7">
        <v>10.323</v>
      </c>
      <c r="N133" s="7">
        <v>23.626999999999999</v>
      </c>
      <c r="O133" s="7">
        <v>10.84</v>
      </c>
      <c r="P133" s="8">
        <f t="shared" si="4"/>
        <v>95.117999999999995</v>
      </c>
    </row>
    <row r="134" spans="1:16" x14ac:dyDescent="0.3">
      <c r="A134" s="2" t="s">
        <v>16</v>
      </c>
      <c r="B134" s="2" t="s">
        <v>45</v>
      </c>
      <c r="C134" s="2" t="s">
        <v>35</v>
      </c>
      <c r="D134" s="7">
        <v>17.968</v>
      </c>
      <c r="E134" s="7">
        <v>14.673</v>
      </c>
      <c r="F134" s="7">
        <v>12.226000000000001</v>
      </c>
      <c r="G134" s="7">
        <v>12.521000000000001</v>
      </c>
      <c r="H134" s="7">
        <v>14.956</v>
      </c>
      <c r="I134" s="7">
        <v>18.628</v>
      </c>
      <c r="J134" s="7">
        <v>20.890999999999998</v>
      </c>
      <c r="K134" s="7">
        <v>24.907</v>
      </c>
      <c r="L134" s="7">
        <v>19.547999999999998</v>
      </c>
      <c r="M134" s="7">
        <v>5.335</v>
      </c>
      <c r="N134" s="7">
        <v>9.4540000000000006</v>
      </c>
      <c r="O134" s="7">
        <v>7.53</v>
      </c>
      <c r="P134" s="8">
        <f t="shared" si="4"/>
        <v>178.63700000000003</v>
      </c>
    </row>
    <row r="135" spans="1:16" x14ac:dyDescent="0.3">
      <c r="A135" s="2" t="s">
        <v>16</v>
      </c>
      <c r="B135" s="2" t="s">
        <v>45</v>
      </c>
      <c r="C135" s="2" t="s">
        <v>36</v>
      </c>
      <c r="D135" s="7">
        <v>9.3529999999999998</v>
      </c>
      <c r="E135" s="7">
        <v>5.2810000000000006</v>
      </c>
      <c r="F135" s="7">
        <v>4.4780000000000006</v>
      </c>
      <c r="G135" s="7">
        <v>2.6720000000000002</v>
      </c>
      <c r="H135" s="7">
        <v>4.1040000000000001</v>
      </c>
      <c r="I135" s="7">
        <v>4.5090000000000003</v>
      </c>
      <c r="J135" s="7">
        <v>5.9619999999999997</v>
      </c>
      <c r="K135" s="7">
        <v>5.8819999999999997</v>
      </c>
      <c r="L135" s="7">
        <v>6.4249999999999998</v>
      </c>
      <c r="M135" s="7">
        <v>53.697000000000003</v>
      </c>
      <c r="N135" s="7">
        <v>11.553000000000001</v>
      </c>
      <c r="O135" s="7">
        <v>14.795</v>
      </c>
      <c r="P135" s="8">
        <f t="shared" si="4"/>
        <v>128.71099999999998</v>
      </c>
    </row>
    <row r="136" spans="1:16" x14ac:dyDescent="0.3">
      <c r="A136" s="2" t="s">
        <v>16</v>
      </c>
      <c r="B136" s="2" t="s">
        <v>45</v>
      </c>
      <c r="C136" s="2" t="s">
        <v>37</v>
      </c>
      <c r="D136" s="7">
        <v>22.221</v>
      </c>
      <c r="E136" s="7">
        <v>25.559000000000001</v>
      </c>
      <c r="F136" s="7">
        <v>26.974</v>
      </c>
      <c r="G136" s="7">
        <v>16.951000000000001</v>
      </c>
      <c r="H136" s="7">
        <v>12.035</v>
      </c>
      <c r="I136" s="7">
        <v>7.4370000000000003</v>
      </c>
      <c r="J136" s="7">
        <v>6.149</v>
      </c>
      <c r="K136" s="7">
        <v>11.978999999999999</v>
      </c>
      <c r="L136" s="7">
        <v>8.5520000000000014</v>
      </c>
      <c r="M136" s="7">
        <v>6.5529999999999999</v>
      </c>
      <c r="N136" s="7">
        <v>4.8239999999999998</v>
      </c>
      <c r="O136" s="7">
        <v>3.4969999999999999</v>
      </c>
      <c r="P136" s="8">
        <f t="shared" si="4"/>
        <v>152.73099999999999</v>
      </c>
    </row>
    <row r="137" spans="1:16" x14ac:dyDescent="0.3">
      <c r="A137" s="2" t="s">
        <v>16</v>
      </c>
      <c r="B137" s="2" t="s">
        <v>45</v>
      </c>
      <c r="C137" s="2" t="s">
        <v>38</v>
      </c>
      <c r="D137" s="7">
        <v>4.6230000000000002</v>
      </c>
      <c r="E137" s="7">
        <v>36.960999999999999</v>
      </c>
      <c r="F137" s="7">
        <v>2.242</v>
      </c>
      <c r="G137" s="7">
        <v>1.5680000000000001</v>
      </c>
      <c r="H137" s="7">
        <v>1.0229999999999999</v>
      </c>
      <c r="I137" s="7">
        <v>1.1679999999999999</v>
      </c>
      <c r="J137" s="7">
        <v>1.5049999999999999</v>
      </c>
      <c r="K137" s="7">
        <v>2.4470000000000001</v>
      </c>
      <c r="L137" s="7">
        <v>2.4700000000000002</v>
      </c>
      <c r="M137" s="7">
        <v>2.2919999999999998</v>
      </c>
      <c r="N137" s="7">
        <v>4.2129999999999992</v>
      </c>
      <c r="O137" s="7">
        <v>3.2869999999999999</v>
      </c>
      <c r="P137" s="8">
        <f t="shared" si="4"/>
        <v>63.798999999999999</v>
      </c>
    </row>
    <row r="138" spans="1:16" x14ac:dyDescent="0.3">
      <c r="A138" s="2" t="s">
        <v>16</v>
      </c>
      <c r="B138" s="2" t="s">
        <v>45</v>
      </c>
      <c r="C138" s="2" t="s">
        <v>39</v>
      </c>
      <c r="D138" s="7">
        <v>5.4619999999999997</v>
      </c>
      <c r="E138" s="7">
        <v>23.448</v>
      </c>
      <c r="F138" s="7">
        <v>3.9929999999999999</v>
      </c>
      <c r="G138" s="7">
        <v>3.4729999999999999</v>
      </c>
      <c r="H138" s="7">
        <v>6.4260000000000002</v>
      </c>
      <c r="I138" s="7">
        <v>7.0979999999999999</v>
      </c>
      <c r="J138" s="7">
        <v>7.2229999999999999</v>
      </c>
      <c r="K138" s="7">
        <v>6.8360000000000003</v>
      </c>
      <c r="L138" s="7">
        <v>6.6559999999999997</v>
      </c>
      <c r="M138" s="7">
        <v>5.2759999999999998</v>
      </c>
      <c r="N138" s="7">
        <v>5.6920000000000002</v>
      </c>
      <c r="O138" s="7">
        <v>6.0570000000000004</v>
      </c>
      <c r="P138" s="8">
        <f t="shared" si="4"/>
        <v>87.64</v>
      </c>
    </row>
    <row r="139" spans="1:16" x14ac:dyDescent="0.3">
      <c r="A139" s="2" t="s">
        <v>16</v>
      </c>
      <c r="B139" s="2" t="s">
        <v>45</v>
      </c>
      <c r="C139" s="2" t="s">
        <v>40</v>
      </c>
      <c r="D139" s="7">
        <v>6.9580000000000002</v>
      </c>
      <c r="E139" s="7">
        <v>3.2709999999999999</v>
      </c>
      <c r="F139" s="7">
        <v>17.585999999999999</v>
      </c>
      <c r="G139" s="7">
        <v>7.4119999999999999</v>
      </c>
      <c r="H139" s="7">
        <v>7.6929999999999996</v>
      </c>
      <c r="I139" s="7">
        <v>5.0910000000000002</v>
      </c>
      <c r="J139" s="7">
        <v>2.835</v>
      </c>
      <c r="K139" s="7">
        <v>3.887</v>
      </c>
      <c r="L139" s="7">
        <v>1.1499999999999999</v>
      </c>
      <c r="M139" s="7">
        <v>1.3149999999999999</v>
      </c>
      <c r="N139" s="7">
        <v>2.7410000000000001</v>
      </c>
      <c r="O139" s="7">
        <v>20.2</v>
      </c>
      <c r="P139" s="8">
        <f t="shared" si="4"/>
        <v>80.138999999999996</v>
      </c>
    </row>
    <row r="140" spans="1:16" x14ac:dyDescent="0.3">
      <c r="A140" s="2" t="s">
        <v>16</v>
      </c>
      <c r="B140" s="2" t="s">
        <v>46</v>
      </c>
      <c r="C140" s="2" t="s">
        <v>18</v>
      </c>
      <c r="D140" s="7">
        <v>223.95</v>
      </c>
      <c r="E140" s="7">
        <v>223.95</v>
      </c>
      <c r="F140" s="7">
        <v>223.95</v>
      </c>
      <c r="G140" s="7">
        <v>223.95</v>
      </c>
      <c r="H140" s="7">
        <v>223.95</v>
      </c>
      <c r="I140" s="7">
        <v>223.95</v>
      </c>
      <c r="J140" s="7">
        <v>223.95</v>
      </c>
      <c r="K140" s="7">
        <v>223.95</v>
      </c>
      <c r="L140" s="7">
        <v>223.95</v>
      </c>
      <c r="M140" s="7">
        <v>223.95</v>
      </c>
      <c r="N140" s="7">
        <v>223.95</v>
      </c>
      <c r="O140" s="7">
        <v>223.95</v>
      </c>
      <c r="P140" s="8">
        <f t="shared" si="4"/>
        <v>2687.3999999999996</v>
      </c>
    </row>
    <row r="141" spans="1:16" x14ac:dyDescent="0.3">
      <c r="A141" s="2" t="s">
        <v>16</v>
      </c>
      <c r="B141" s="2" t="s">
        <v>46</v>
      </c>
      <c r="C141" s="2" t="s">
        <v>19</v>
      </c>
      <c r="D141" s="7">
        <v>221.33333333333329</v>
      </c>
      <c r="E141" s="7">
        <v>221.33333333333329</v>
      </c>
      <c r="F141" s="7">
        <v>221.33333333333329</v>
      </c>
      <c r="G141" s="7">
        <v>221.33333333333329</v>
      </c>
      <c r="H141" s="7">
        <v>221.33333333333329</v>
      </c>
      <c r="I141" s="7">
        <v>221.33333333333329</v>
      </c>
      <c r="J141" s="7">
        <v>221.33333333333329</v>
      </c>
      <c r="K141" s="7">
        <v>221.33333333333329</v>
      </c>
      <c r="L141" s="7">
        <v>221.33333333333329</v>
      </c>
      <c r="M141" s="7">
        <v>221.33333333333329</v>
      </c>
      <c r="N141" s="7">
        <v>221.33333333333329</v>
      </c>
      <c r="O141" s="7">
        <v>221.33333333333329</v>
      </c>
      <c r="P141" s="8">
        <f t="shared" si="4"/>
        <v>2656</v>
      </c>
    </row>
    <row r="142" spans="1:16" x14ac:dyDescent="0.3">
      <c r="A142" s="2" t="s">
        <v>16</v>
      </c>
      <c r="B142" s="2" t="s">
        <v>46</v>
      </c>
      <c r="C142" s="2" t="s">
        <v>20</v>
      </c>
      <c r="D142" s="7">
        <v>225.875</v>
      </c>
      <c r="E142" s="7">
        <v>225.875</v>
      </c>
      <c r="F142" s="7">
        <v>225.875</v>
      </c>
      <c r="G142" s="7">
        <v>225.875</v>
      </c>
      <c r="H142" s="7">
        <v>225.875</v>
      </c>
      <c r="I142" s="7">
        <v>225.875</v>
      </c>
      <c r="J142" s="7">
        <v>225.875</v>
      </c>
      <c r="K142" s="7">
        <v>225.875</v>
      </c>
      <c r="L142" s="7">
        <v>225.875</v>
      </c>
      <c r="M142" s="7">
        <v>225.875</v>
      </c>
      <c r="N142" s="7">
        <v>225.875</v>
      </c>
      <c r="O142" s="7">
        <v>225.875</v>
      </c>
      <c r="P142" s="8">
        <f t="shared" si="4"/>
        <v>2710.5</v>
      </c>
    </row>
    <row r="143" spans="1:16" x14ac:dyDescent="0.3">
      <c r="A143" s="2" t="s">
        <v>16</v>
      </c>
      <c r="B143" s="2" t="s">
        <v>46</v>
      </c>
      <c r="C143" s="2" t="s">
        <v>21</v>
      </c>
      <c r="D143" s="7">
        <v>228.5</v>
      </c>
      <c r="E143" s="7">
        <v>228.5</v>
      </c>
      <c r="F143" s="7">
        <v>228.5</v>
      </c>
      <c r="G143" s="7">
        <v>228.5</v>
      </c>
      <c r="H143" s="7">
        <v>228.5</v>
      </c>
      <c r="I143" s="7">
        <v>228.5</v>
      </c>
      <c r="J143" s="7">
        <v>228.5</v>
      </c>
      <c r="K143" s="7">
        <v>228.5</v>
      </c>
      <c r="L143" s="7">
        <v>228.5</v>
      </c>
      <c r="M143" s="7">
        <v>228.5</v>
      </c>
      <c r="N143" s="7">
        <v>228.5</v>
      </c>
      <c r="O143" s="7">
        <v>228.5</v>
      </c>
      <c r="P143" s="8">
        <f t="shared" si="4"/>
        <v>2742</v>
      </c>
    </row>
    <row r="144" spans="1:16" x14ac:dyDescent="0.3">
      <c r="A144" s="2" t="s">
        <v>16</v>
      </c>
      <c r="B144" s="2" t="s">
        <v>46</v>
      </c>
      <c r="C144" s="2" t="s">
        <v>22</v>
      </c>
      <c r="D144" s="7">
        <v>225.25</v>
      </c>
      <c r="E144" s="7">
        <v>225.25</v>
      </c>
      <c r="F144" s="7">
        <v>225.25</v>
      </c>
      <c r="G144" s="7">
        <v>225.25</v>
      </c>
      <c r="H144" s="7">
        <v>225.25</v>
      </c>
      <c r="I144" s="7">
        <v>225.25</v>
      </c>
      <c r="J144" s="7">
        <v>225.25</v>
      </c>
      <c r="K144" s="7">
        <v>225.25</v>
      </c>
      <c r="L144" s="7">
        <v>225.25</v>
      </c>
      <c r="M144" s="7">
        <v>225.25</v>
      </c>
      <c r="N144" s="7">
        <v>225.25</v>
      </c>
      <c r="O144" s="7">
        <v>225.25</v>
      </c>
      <c r="P144" s="8">
        <f t="shared" si="4"/>
        <v>2703</v>
      </c>
    </row>
    <row r="145" spans="1:16" x14ac:dyDescent="0.3">
      <c r="A145" s="2" t="s">
        <v>16</v>
      </c>
      <c r="B145" s="2" t="s">
        <v>46</v>
      </c>
      <c r="C145" s="2" t="s">
        <v>23</v>
      </c>
      <c r="D145" s="7">
        <v>219.02500000000001</v>
      </c>
      <c r="E145" s="7">
        <v>219.02500000000001</v>
      </c>
      <c r="F145" s="7">
        <v>219.02500000000001</v>
      </c>
      <c r="G145" s="7">
        <v>219.02500000000001</v>
      </c>
      <c r="H145" s="7">
        <v>219.02500000000001</v>
      </c>
      <c r="I145" s="7">
        <v>219.02500000000001</v>
      </c>
      <c r="J145" s="7">
        <v>219.02500000000001</v>
      </c>
      <c r="K145" s="7">
        <v>219.02500000000001</v>
      </c>
      <c r="L145" s="7">
        <v>219.02500000000001</v>
      </c>
      <c r="M145" s="7">
        <v>219.02500000000001</v>
      </c>
      <c r="N145" s="7">
        <v>219.02500000000001</v>
      </c>
      <c r="O145" s="7">
        <v>219.02500000000001</v>
      </c>
      <c r="P145" s="8">
        <f t="shared" si="4"/>
        <v>2628.3000000000006</v>
      </c>
    </row>
    <row r="146" spans="1:16" x14ac:dyDescent="0.3">
      <c r="A146" s="2" t="s">
        <v>16</v>
      </c>
      <c r="B146" s="2" t="s">
        <v>46</v>
      </c>
      <c r="C146" s="2" t="s">
        <v>24</v>
      </c>
      <c r="D146" s="7">
        <v>209.1</v>
      </c>
      <c r="E146" s="7">
        <v>209.1</v>
      </c>
      <c r="F146" s="7">
        <v>209.1</v>
      </c>
      <c r="G146" s="7">
        <v>209.1</v>
      </c>
      <c r="H146" s="7">
        <v>209.1</v>
      </c>
      <c r="I146" s="7">
        <v>209.1</v>
      </c>
      <c r="J146" s="7">
        <v>209.1</v>
      </c>
      <c r="K146" s="7">
        <v>209.1</v>
      </c>
      <c r="L146" s="7">
        <v>209.1</v>
      </c>
      <c r="M146" s="7">
        <v>209.1</v>
      </c>
      <c r="N146" s="7">
        <v>209.1</v>
      </c>
      <c r="O146" s="7">
        <v>209.1</v>
      </c>
      <c r="P146" s="8">
        <f t="shared" si="4"/>
        <v>2509.1999999999994</v>
      </c>
    </row>
    <row r="147" spans="1:16" x14ac:dyDescent="0.3">
      <c r="A147" s="2" t="s">
        <v>16</v>
      </c>
      <c r="B147" s="2" t="s">
        <v>46</v>
      </c>
      <c r="C147" s="2" t="s">
        <v>25</v>
      </c>
      <c r="D147" s="7">
        <v>214.15</v>
      </c>
      <c r="E147" s="7">
        <v>214.15</v>
      </c>
      <c r="F147" s="7">
        <v>214.15</v>
      </c>
      <c r="G147" s="7">
        <v>214.15</v>
      </c>
      <c r="H147" s="7">
        <v>214.15</v>
      </c>
      <c r="I147" s="7">
        <v>214.15</v>
      </c>
      <c r="J147" s="7">
        <v>214.15</v>
      </c>
      <c r="K147" s="7">
        <v>214.15</v>
      </c>
      <c r="L147" s="7">
        <v>214.15</v>
      </c>
      <c r="M147" s="7">
        <v>214.15</v>
      </c>
      <c r="N147" s="7">
        <v>214.15</v>
      </c>
      <c r="O147" s="7">
        <v>214.15</v>
      </c>
      <c r="P147" s="8">
        <f t="shared" si="4"/>
        <v>2569.8000000000006</v>
      </c>
    </row>
    <row r="148" spans="1:16" x14ac:dyDescent="0.3">
      <c r="A148" s="2" t="s">
        <v>16</v>
      </c>
      <c r="B148" s="2" t="s">
        <v>46</v>
      </c>
      <c r="C148" s="2" t="s">
        <v>26</v>
      </c>
      <c r="D148" s="7">
        <v>211.5916666666667</v>
      </c>
      <c r="E148" s="7">
        <v>211.5916666666667</v>
      </c>
      <c r="F148" s="7">
        <v>211.5916666666667</v>
      </c>
      <c r="G148" s="7">
        <v>211.5916666666667</v>
      </c>
      <c r="H148" s="7">
        <v>211.5916666666667</v>
      </c>
      <c r="I148" s="7">
        <v>211.5916666666667</v>
      </c>
      <c r="J148" s="7">
        <v>211.5916666666667</v>
      </c>
      <c r="K148" s="7">
        <v>211.5916666666667</v>
      </c>
      <c r="L148" s="7">
        <v>211.5916666666667</v>
      </c>
      <c r="M148" s="7">
        <v>211.5916666666667</v>
      </c>
      <c r="N148" s="7">
        <v>211.5916666666667</v>
      </c>
      <c r="O148" s="7">
        <v>211.5916666666667</v>
      </c>
      <c r="P148" s="8">
        <f t="shared" si="4"/>
        <v>2539.1000000000004</v>
      </c>
    </row>
    <row r="149" spans="1:16" x14ac:dyDescent="0.3">
      <c r="A149" s="2" t="s">
        <v>16</v>
      </c>
      <c r="B149" s="2" t="s">
        <v>46</v>
      </c>
      <c r="C149" s="2" t="s">
        <v>27</v>
      </c>
      <c r="D149" s="7">
        <v>207.6166666666667</v>
      </c>
      <c r="E149" s="7">
        <v>207.6166666666667</v>
      </c>
      <c r="F149" s="7">
        <v>207.6166666666667</v>
      </c>
      <c r="G149" s="7">
        <v>207.6166666666667</v>
      </c>
      <c r="H149" s="7">
        <v>207.6166666666667</v>
      </c>
      <c r="I149" s="7">
        <v>207.6166666666667</v>
      </c>
      <c r="J149" s="7">
        <v>207.6166666666667</v>
      </c>
      <c r="K149" s="7">
        <v>207.6166666666667</v>
      </c>
      <c r="L149" s="7">
        <v>207.6166666666667</v>
      </c>
      <c r="M149" s="7">
        <v>207.6166666666667</v>
      </c>
      <c r="N149" s="7">
        <v>207.6166666666667</v>
      </c>
      <c r="O149" s="7">
        <v>207.6166666666667</v>
      </c>
      <c r="P149" s="8">
        <f t="shared" si="4"/>
        <v>2491.400000000001</v>
      </c>
    </row>
    <row r="150" spans="1:16" x14ac:dyDescent="0.3">
      <c r="A150" s="2" t="s">
        <v>16</v>
      </c>
      <c r="B150" s="2" t="s">
        <v>46</v>
      </c>
      <c r="C150" s="2" t="s">
        <v>28</v>
      </c>
      <c r="D150" s="7">
        <v>208.6166666666667</v>
      </c>
      <c r="E150" s="7">
        <v>208.6166666666667</v>
      </c>
      <c r="F150" s="7">
        <v>208.6166666666667</v>
      </c>
      <c r="G150" s="7">
        <v>208.6166666666667</v>
      </c>
      <c r="H150" s="7">
        <v>208.6166666666667</v>
      </c>
      <c r="I150" s="7">
        <v>208.6166666666667</v>
      </c>
      <c r="J150" s="7">
        <v>208.6166666666667</v>
      </c>
      <c r="K150" s="7">
        <v>208.6166666666667</v>
      </c>
      <c r="L150" s="7">
        <v>208.6166666666667</v>
      </c>
      <c r="M150" s="7">
        <v>208.6166666666667</v>
      </c>
      <c r="N150" s="7">
        <v>208.6166666666667</v>
      </c>
      <c r="O150" s="7">
        <v>208.6166666666667</v>
      </c>
      <c r="P150" s="8">
        <f t="shared" si="4"/>
        <v>2503.400000000001</v>
      </c>
    </row>
    <row r="151" spans="1:16" x14ac:dyDescent="0.3">
      <c r="A151" s="2" t="s">
        <v>16</v>
      </c>
      <c r="B151" s="2" t="s">
        <v>46</v>
      </c>
      <c r="C151" s="2" t="s">
        <v>29</v>
      </c>
      <c r="D151" s="7">
        <v>212.30833333333331</v>
      </c>
      <c r="E151" s="7">
        <v>212.30833333333331</v>
      </c>
      <c r="F151" s="7">
        <v>212.30833333333331</v>
      </c>
      <c r="G151" s="7">
        <v>212.30833333333331</v>
      </c>
      <c r="H151" s="7">
        <v>212.30833333333331</v>
      </c>
      <c r="I151" s="7">
        <v>212.30833333333331</v>
      </c>
      <c r="J151" s="7">
        <v>212.30833333333331</v>
      </c>
      <c r="K151" s="7">
        <v>212.30833333333331</v>
      </c>
      <c r="L151" s="7">
        <v>212.30833333333331</v>
      </c>
      <c r="M151" s="7">
        <v>212.30833333333331</v>
      </c>
      <c r="N151" s="7">
        <v>212.30833333333331</v>
      </c>
      <c r="O151" s="7">
        <v>212.30833333333331</v>
      </c>
      <c r="P151" s="8">
        <f t="shared" si="4"/>
        <v>2547.7000000000003</v>
      </c>
    </row>
    <row r="152" spans="1:16" x14ac:dyDescent="0.3">
      <c r="A152" s="2" t="s">
        <v>16</v>
      </c>
      <c r="B152" s="2" t="s">
        <v>46</v>
      </c>
      <c r="C152" s="2" t="s">
        <v>30</v>
      </c>
      <c r="D152" s="7">
        <v>206.2416666666667</v>
      </c>
      <c r="E152" s="7">
        <v>206.2416666666667</v>
      </c>
      <c r="F152" s="7">
        <v>206.2416666666667</v>
      </c>
      <c r="G152" s="7">
        <v>206.2416666666667</v>
      </c>
      <c r="H152" s="7">
        <v>206.2416666666667</v>
      </c>
      <c r="I152" s="7">
        <v>206.2416666666667</v>
      </c>
      <c r="J152" s="7">
        <v>206.2416666666667</v>
      </c>
      <c r="K152" s="7">
        <v>206.2416666666667</v>
      </c>
      <c r="L152" s="7">
        <v>206.2416666666667</v>
      </c>
      <c r="M152" s="7">
        <v>206.2416666666667</v>
      </c>
      <c r="N152" s="7">
        <v>206.2416666666667</v>
      </c>
      <c r="O152" s="7">
        <v>206.2416666666667</v>
      </c>
      <c r="P152" s="8">
        <f t="shared" si="4"/>
        <v>2474.900000000001</v>
      </c>
    </row>
    <row r="153" spans="1:16" x14ac:dyDescent="0.3">
      <c r="A153" s="2" t="s">
        <v>16</v>
      </c>
      <c r="B153" s="2" t="s">
        <v>46</v>
      </c>
      <c r="C153" s="2" t="s">
        <v>31</v>
      </c>
      <c r="D153" s="7">
        <v>220.45</v>
      </c>
      <c r="E153" s="7">
        <v>220.45</v>
      </c>
      <c r="F153" s="7">
        <v>220.45</v>
      </c>
      <c r="G153" s="7">
        <v>220.45</v>
      </c>
      <c r="H153" s="7">
        <v>220.45</v>
      </c>
      <c r="I153" s="7">
        <v>220.45</v>
      </c>
      <c r="J153" s="7">
        <v>220.45</v>
      </c>
      <c r="K153" s="7">
        <v>220.45</v>
      </c>
      <c r="L153" s="7">
        <v>220.45</v>
      </c>
      <c r="M153" s="7">
        <v>220.45</v>
      </c>
      <c r="N153" s="7">
        <v>220.45</v>
      </c>
      <c r="O153" s="7">
        <v>220.45</v>
      </c>
      <c r="P153" s="8">
        <f t="shared" si="4"/>
        <v>2645.3999999999996</v>
      </c>
    </row>
    <row r="154" spans="1:16" x14ac:dyDescent="0.3">
      <c r="A154" s="2" t="s">
        <v>16</v>
      </c>
      <c r="B154" s="2" t="s">
        <v>46</v>
      </c>
      <c r="C154" s="2" t="s">
        <v>32</v>
      </c>
      <c r="D154" s="7">
        <v>211.0416666666666</v>
      </c>
      <c r="E154" s="7">
        <v>211.0416666666666</v>
      </c>
      <c r="F154" s="7">
        <v>211.0416666666666</v>
      </c>
      <c r="G154" s="7">
        <v>211.0416666666666</v>
      </c>
      <c r="H154" s="7">
        <v>211.0416666666666</v>
      </c>
      <c r="I154" s="7">
        <v>211.0416666666666</v>
      </c>
      <c r="J154" s="7">
        <v>211.0416666666666</v>
      </c>
      <c r="K154" s="7">
        <v>211.0416666666666</v>
      </c>
      <c r="L154" s="7">
        <v>211.0416666666666</v>
      </c>
      <c r="M154" s="7">
        <v>211.0416666666666</v>
      </c>
      <c r="N154" s="7">
        <v>211.0416666666666</v>
      </c>
      <c r="O154" s="7">
        <v>211.0416666666666</v>
      </c>
      <c r="P154" s="8">
        <f t="shared" si="4"/>
        <v>2532.4999999999986</v>
      </c>
    </row>
    <row r="155" spans="1:16" x14ac:dyDescent="0.3">
      <c r="A155" s="2" t="s">
        <v>16</v>
      </c>
      <c r="B155" s="2" t="s">
        <v>46</v>
      </c>
      <c r="C155" s="2" t="s">
        <v>33</v>
      </c>
      <c r="D155" s="7">
        <v>220.72499999999999</v>
      </c>
      <c r="E155" s="7">
        <v>220.72499999999999</v>
      </c>
      <c r="F155" s="7">
        <v>220.72499999999999</v>
      </c>
      <c r="G155" s="7">
        <v>220.72499999999999</v>
      </c>
      <c r="H155" s="7">
        <v>220.72499999999999</v>
      </c>
      <c r="I155" s="7">
        <v>220.72499999999999</v>
      </c>
      <c r="J155" s="7">
        <v>220.72499999999999</v>
      </c>
      <c r="K155" s="7">
        <v>220.72499999999999</v>
      </c>
      <c r="L155" s="7">
        <v>220.72499999999999</v>
      </c>
      <c r="M155" s="7">
        <v>220.72499999999999</v>
      </c>
      <c r="N155" s="7">
        <v>220.72499999999999</v>
      </c>
      <c r="O155" s="7">
        <v>220.72499999999999</v>
      </c>
      <c r="P155" s="8">
        <f t="shared" si="4"/>
        <v>2648.6999999999994</v>
      </c>
    </row>
    <row r="156" spans="1:16" x14ac:dyDescent="0.3">
      <c r="A156" s="2" t="s">
        <v>16</v>
      </c>
      <c r="B156" s="2" t="s">
        <v>46</v>
      </c>
      <c r="C156" s="2" t="s">
        <v>34</v>
      </c>
      <c r="D156" s="7">
        <v>232.8416666666667</v>
      </c>
      <c r="E156" s="7">
        <v>232.8416666666667</v>
      </c>
      <c r="F156" s="7">
        <v>232.8416666666667</v>
      </c>
      <c r="G156" s="7">
        <v>232.8416666666667</v>
      </c>
      <c r="H156" s="7">
        <v>232.8416666666667</v>
      </c>
      <c r="I156" s="7">
        <v>232.8416666666667</v>
      </c>
      <c r="J156" s="7">
        <v>232.8416666666667</v>
      </c>
      <c r="K156" s="7">
        <v>232.8416666666667</v>
      </c>
      <c r="L156" s="7">
        <v>232.8416666666667</v>
      </c>
      <c r="M156" s="7">
        <v>232.8416666666667</v>
      </c>
      <c r="N156" s="7">
        <v>232.8416666666667</v>
      </c>
      <c r="O156" s="7">
        <v>232.8416666666667</v>
      </c>
      <c r="P156" s="8">
        <f t="shared" si="4"/>
        <v>2794.1000000000004</v>
      </c>
    </row>
    <row r="157" spans="1:16" x14ac:dyDescent="0.3">
      <c r="A157" s="2" t="s">
        <v>16</v>
      </c>
      <c r="B157" s="2" t="s">
        <v>46</v>
      </c>
      <c r="C157" s="2" t="s">
        <v>35</v>
      </c>
      <c r="D157" s="7">
        <v>233.6583333333333</v>
      </c>
      <c r="E157" s="7">
        <v>233.6583333333333</v>
      </c>
      <c r="F157" s="7">
        <v>233.6583333333333</v>
      </c>
      <c r="G157" s="7">
        <v>233.6583333333333</v>
      </c>
      <c r="H157" s="7">
        <v>233.6583333333333</v>
      </c>
      <c r="I157" s="7">
        <v>233.6583333333333</v>
      </c>
      <c r="J157" s="7">
        <v>233.6583333333333</v>
      </c>
      <c r="K157" s="7">
        <v>233.6583333333333</v>
      </c>
      <c r="L157" s="7">
        <v>233.6583333333333</v>
      </c>
      <c r="M157" s="7">
        <v>233.6583333333333</v>
      </c>
      <c r="N157" s="7">
        <v>233.6583333333333</v>
      </c>
      <c r="O157" s="7">
        <v>233.6583333333333</v>
      </c>
      <c r="P157" s="8">
        <f t="shared" si="4"/>
        <v>2803.8999999999996</v>
      </c>
    </row>
    <row r="158" spans="1:16" x14ac:dyDescent="0.3">
      <c r="A158" s="2" t="s">
        <v>16</v>
      </c>
      <c r="B158" s="2" t="s">
        <v>46</v>
      </c>
      <c r="C158" s="2" t="s">
        <v>36</v>
      </c>
      <c r="D158" s="7">
        <v>231.81666666666669</v>
      </c>
      <c r="E158" s="7">
        <v>231.81666666666669</v>
      </c>
      <c r="F158" s="7">
        <v>231.81666666666669</v>
      </c>
      <c r="G158" s="7">
        <v>231.81666666666669</v>
      </c>
      <c r="H158" s="7">
        <v>231.81666666666669</v>
      </c>
      <c r="I158" s="7">
        <v>231.81666666666669</v>
      </c>
      <c r="J158" s="7">
        <v>231.81666666666669</v>
      </c>
      <c r="K158" s="7">
        <v>231.81666666666669</v>
      </c>
      <c r="L158" s="7">
        <v>231.81666666666669</v>
      </c>
      <c r="M158" s="7">
        <v>231.81666666666669</v>
      </c>
      <c r="N158" s="7">
        <v>231.81666666666669</v>
      </c>
      <c r="O158" s="7">
        <v>231.81666666666669</v>
      </c>
      <c r="P158" s="8">
        <f t="shared" ref="P158:P189" si="5">SUM(D158:O158)</f>
        <v>2781.7999999999997</v>
      </c>
    </row>
    <row r="159" spans="1:16" x14ac:dyDescent="0.3">
      <c r="A159" s="2" t="s">
        <v>16</v>
      </c>
      <c r="B159" s="2" t="s">
        <v>46</v>
      </c>
      <c r="C159" s="2" t="s">
        <v>37</v>
      </c>
      <c r="D159" s="7">
        <v>239.2166666666667</v>
      </c>
      <c r="E159" s="7">
        <v>239.2166666666667</v>
      </c>
      <c r="F159" s="7">
        <v>239.2166666666667</v>
      </c>
      <c r="G159" s="7">
        <v>239.2166666666667</v>
      </c>
      <c r="H159" s="7">
        <v>239.2166666666667</v>
      </c>
      <c r="I159" s="7">
        <v>239.2166666666667</v>
      </c>
      <c r="J159" s="7">
        <v>239.2166666666667</v>
      </c>
      <c r="K159" s="7">
        <v>239.2166666666667</v>
      </c>
      <c r="L159" s="7">
        <v>239.2166666666667</v>
      </c>
      <c r="M159" s="7">
        <v>239.2166666666667</v>
      </c>
      <c r="N159" s="7">
        <v>239.2166666666667</v>
      </c>
      <c r="O159" s="7">
        <v>239.2166666666667</v>
      </c>
      <c r="P159" s="8">
        <f t="shared" si="5"/>
        <v>2870.6000000000004</v>
      </c>
    </row>
    <row r="160" spans="1:16" x14ac:dyDescent="0.3">
      <c r="A160" s="2" t="s">
        <v>16</v>
      </c>
      <c r="B160" s="2" t="s">
        <v>46</v>
      </c>
      <c r="C160" s="2" t="s">
        <v>38</v>
      </c>
      <c r="D160" s="7">
        <v>238.85833333333329</v>
      </c>
      <c r="E160" s="7">
        <v>238.85833333333329</v>
      </c>
      <c r="F160" s="7">
        <v>238.85833333333329</v>
      </c>
      <c r="G160" s="7">
        <v>238.85833333333329</v>
      </c>
      <c r="H160" s="7">
        <v>238.85833333333329</v>
      </c>
      <c r="I160" s="7">
        <v>238.85833333333329</v>
      </c>
      <c r="J160" s="7">
        <v>238.85833333333329</v>
      </c>
      <c r="K160" s="7">
        <v>238.85833333333329</v>
      </c>
      <c r="L160" s="7">
        <v>238.85833333333329</v>
      </c>
      <c r="M160" s="7">
        <v>238.85833333333329</v>
      </c>
      <c r="N160" s="7">
        <v>238.85833333333329</v>
      </c>
      <c r="O160" s="7">
        <v>238.85833333333329</v>
      </c>
      <c r="P160" s="8">
        <f t="shared" si="5"/>
        <v>2866.2999999999993</v>
      </c>
    </row>
    <row r="161" spans="1:16" x14ac:dyDescent="0.3">
      <c r="A161" s="2" t="s">
        <v>16</v>
      </c>
      <c r="B161" s="2" t="s">
        <v>46</v>
      </c>
      <c r="C161" s="2" t="s">
        <v>39</v>
      </c>
      <c r="D161" s="7">
        <v>243.1166666666667</v>
      </c>
      <c r="E161" s="7">
        <v>243.1166666666667</v>
      </c>
      <c r="F161" s="7">
        <v>243.1166666666667</v>
      </c>
      <c r="G161" s="7">
        <v>243.1166666666667</v>
      </c>
      <c r="H161" s="7">
        <v>243.1166666666667</v>
      </c>
      <c r="I161" s="7">
        <v>243.1166666666667</v>
      </c>
      <c r="J161" s="7">
        <v>243.1166666666667</v>
      </c>
      <c r="K161" s="7">
        <v>243.1166666666667</v>
      </c>
      <c r="L161" s="7">
        <v>243.1166666666667</v>
      </c>
      <c r="M161" s="7">
        <v>243.1166666666667</v>
      </c>
      <c r="N161" s="7">
        <v>243.1166666666667</v>
      </c>
      <c r="O161" s="7">
        <v>243.1166666666667</v>
      </c>
      <c r="P161" s="8">
        <f t="shared" si="5"/>
        <v>2917.400000000001</v>
      </c>
    </row>
    <row r="162" spans="1:16" x14ac:dyDescent="0.3">
      <c r="A162" s="2" t="s">
        <v>16</v>
      </c>
      <c r="B162" s="2" t="s">
        <v>46</v>
      </c>
      <c r="C162" s="2" t="s">
        <v>40</v>
      </c>
      <c r="D162" s="7">
        <v>245.375</v>
      </c>
      <c r="E162" s="7">
        <v>245.375</v>
      </c>
      <c r="F162" s="7">
        <v>245.375</v>
      </c>
      <c r="G162" s="7">
        <v>245.375</v>
      </c>
      <c r="H162" s="7">
        <v>245.375</v>
      </c>
      <c r="I162" s="7">
        <v>245.375</v>
      </c>
      <c r="J162" s="7">
        <v>245.375</v>
      </c>
      <c r="K162" s="7">
        <v>245.375</v>
      </c>
      <c r="L162" s="7">
        <v>245.375</v>
      </c>
      <c r="M162" s="7">
        <v>245.375</v>
      </c>
      <c r="N162" s="7">
        <v>245.375</v>
      </c>
      <c r="O162" s="7">
        <v>245.375</v>
      </c>
      <c r="P162" s="8">
        <f t="shared" si="5"/>
        <v>2944.5</v>
      </c>
    </row>
    <row r="163" spans="1:16" x14ac:dyDescent="0.3">
      <c r="A163" s="2" t="s">
        <v>16</v>
      </c>
      <c r="B163" s="2" t="s">
        <v>47</v>
      </c>
      <c r="C163" s="2" t="s">
        <v>18</v>
      </c>
      <c r="D163" s="7">
        <v>9.0833333333333339</v>
      </c>
      <c r="E163" s="7">
        <v>9.0833333333333339</v>
      </c>
      <c r="F163" s="7">
        <v>9.0833333333333339</v>
      </c>
      <c r="G163" s="7">
        <v>9.0833333333333339</v>
      </c>
      <c r="H163" s="7">
        <v>9.0833333333333339</v>
      </c>
      <c r="I163" s="7">
        <v>9.0833333333333339</v>
      </c>
      <c r="J163" s="7">
        <v>9.0833333333333339</v>
      </c>
      <c r="K163" s="7">
        <v>9.0833333333333339</v>
      </c>
      <c r="L163" s="7">
        <v>9.0833333333333339</v>
      </c>
      <c r="M163" s="7">
        <v>9.0833333333333339</v>
      </c>
      <c r="N163" s="7">
        <v>9.0833333333333339</v>
      </c>
      <c r="O163" s="7">
        <v>9.0833333333333339</v>
      </c>
      <c r="P163" s="8">
        <f t="shared" si="5"/>
        <v>108.99999999999999</v>
      </c>
    </row>
    <row r="164" spans="1:16" x14ac:dyDescent="0.3">
      <c r="A164" s="2" t="s">
        <v>16</v>
      </c>
      <c r="B164" s="2" t="s">
        <v>47</v>
      </c>
      <c r="C164" s="2" t="s">
        <v>19</v>
      </c>
      <c r="D164" s="7">
        <v>9.9166666666666661</v>
      </c>
      <c r="E164" s="7">
        <v>9.9166666666666661</v>
      </c>
      <c r="F164" s="7">
        <v>9.9166666666666661</v>
      </c>
      <c r="G164" s="7">
        <v>9.9166666666666661</v>
      </c>
      <c r="H164" s="7">
        <v>9.9166666666666661</v>
      </c>
      <c r="I164" s="7">
        <v>9.9166666666666661</v>
      </c>
      <c r="J164" s="7">
        <v>9.9166666666666661</v>
      </c>
      <c r="K164" s="7">
        <v>9.9166666666666661</v>
      </c>
      <c r="L164" s="7">
        <v>9.9166666666666661</v>
      </c>
      <c r="M164" s="7">
        <v>9.9166666666666661</v>
      </c>
      <c r="N164" s="7">
        <v>9.9166666666666661</v>
      </c>
      <c r="O164" s="7">
        <v>9.9166666666666661</v>
      </c>
      <c r="P164" s="8">
        <f t="shared" si="5"/>
        <v>119.00000000000001</v>
      </c>
    </row>
    <row r="165" spans="1:16" x14ac:dyDescent="0.3">
      <c r="A165" s="2" t="s">
        <v>16</v>
      </c>
      <c r="B165" s="2" t="s">
        <v>47</v>
      </c>
      <c r="C165" s="2" t="s">
        <v>20</v>
      </c>
      <c r="D165" s="7">
        <v>11.16666666666667</v>
      </c>
      <c r="E165" s="7">
        <v>11.16666666666667</v>
      </c>
      <c r="F165" s="7">
        <v>11.16666666666667</v>
      </c>
      <c r="G165" s="7">
        <v>11.16666666666667</v>
      </c>
      <c r="H165" s="7">
        <v>11.16666666666667</v>
      </c>
      <c r="I165" s="7">
        <v>11.16666666666667</v>
      </c>
      <c r="J165" s="7">
        <v>11.16666666666667</v>
      </c>
      <c r="K165" s="7">
        <v>11.16666666666667</v>
      </c>
      <c r="L165" s="7">
        <v>11.16666666666667</v>
      </c>
      <c r="M165" s="7">
        <v>11.16666666666667</v>
      </c>
      <c r="N165" s="7">
        <v>11.16666666666667</v>
      </c>
      <c r="O165" s="7">
        <v>11.16666666666667</v>
      </c>
      <c r="P165" s="8">
        <f t="shared" si="5"/>
        <v>134.00000000000003</v>
      </c>
    </row>
    <row r="166" spans="1:16" x14ac:dyDescent="0.3">
      <c r="A166" s="2" t="s">
        <v>16</v>
      </c>
      <c r="B166" s="2" t="s">
        <v>47</v>
      </c>
      <c r="C166" s="2" t="s">
        <v>21</v>
      </c>
      <c r="D166" s="7">
        <v>14.83333333333333</v>
      </c>
      <c r="E166" s="7">
        <v>14.83333333333333</v>
      </c>
      <c r="F166" s="7">
        <v>14.83333333333333</v>
      </c>
      <c r="G166" s="7">
        <v>14.83333333333333</v>
      </c>
      <c r="H166" s="7">
        <v>14.83333333333333</v>
      </c>
      <c r="I166" s="7">
        <v>14.83333333333333</v>
      </c>
      <c r="J166" s="7">
        <v>14.83333333333333</v>
      </c>
      <c r="K166" s="7">
        <v>14.83333333333333</v>
      </c>
      <c r="L166" s="7">
        <v>14.83333333333333</v>
      </c>
      <c r="M166" s="7">
        <v>14.83333333333333</v>
      </c>
      <c r="N166" s="7">
        <v>14.83333333333333</v>
      </c>
      <c r="O166" s="7">
        <v>14.83333333333333</v>
      </c>
      <c r="P166" s="8">
        <f t="shared" si="5"/>
        <v>178</v>
      </c>
    </row>
    <row r="167" spans="1:16" x14ac:dyDescent="0.3">
      <c r="A167" s="2" t="s">
        <v>16</v>
      </c>
      <c r="B167" s="2" t="s">
        <v>47</v>
      </c>
      <c r="C167" s="2" t="s">
        <v>22</v>
      </c>
      <c r="D167" s="7">
        <v>34.25</v>
      </c>
      <c r="E167" s="7">
        <v>34.25</v>
      </c>
      <c r="F167" s="7">
        <v>34.25</v>
      </c>
      <c r="G167" s="7">
        <v>34.25</v>
      </c>
      <c r="H167" s="7">
        <v>34.25</v>
      </c>
      <c r="I167" s="7">
        <v>34.25</v>
      </c>
      <c r="J167" s="7">
        <v>34.25</v>
      </c>
      <c r="K167" s="7">
        <v>34.25</v>
      </c>
      <c r="L167" s="7">
        <v>34.25</v>
      </c>
      <c r="M167" s="7">
        <v>34.25</v>
      </c>
      <c r="N167" s="7">
        <v>34.25</v>
      </c>
      <c r="O167" s="7">
        <v>34.25</v>
      </c>
      <c r="P167" s="8">
        <f t="shared" si="5"/>
        <v>411</v>
      </c>
    </row>
    <row r="168" spans="1:16" x14ac:dyDescent="0.3">
      <c r="A168" s="2" t="s">
        <v>16</v>
      </c>
      <c r="B168" s="2" t="s">
        <v>47</v>
      </c>
      <c r="C168" s="2" t="s">
        <v>23</v>
      </c>
      <c r="D168" s="7">
        <v>32.833333333333343</v>
      </c>
      <c r="E168" s="7">
        <v>32.833333333333343</v>
      </c>
      <c r="F168" s="7">
        <v>32.833333333333343</v>
      </c>
      <c r="G168" s="7">
        <v>32.833333333333343</v>
      </c>
      <c r="H168" s="7">
        <v>32.833333333333343</v>
      </c>
      <c r="I168" s="7">
        <v>32.833333333333343</v>
      </c>
      <c r="J168" s="7">
        <v>32.833333333333343</v>
      </c>
      <c r="K168" s="7">
        <v>32.833333333333343</v>
      </c>
      <c r="L168" s="7">
        <v>32.833333333333343</v>
      </c>
      <c r="M168" s="7">
        <v>32.833333333333343</v>
      </c>
      <c r="N168" s="7">
        <v>32.833333333333343</v>
      </c>
      <c r="O168" s="7">
        <v>32.833333333333343</v>
      </c>
      <c r="P168" s="8">
        <f t="shared" si="5"/>
        <v>394.00000000000023</v>
      </c>
    </row>
    <row r="169" spans="1:16" x14ac:dyDescent="0.3">
      <c r="A169" s="2" t="s">
        <v>16</v>
      </c>
      <c r="B169" s="2" t="s">
        <v>47</v>
      </c>
      <c r="C169" s="2" t="s">
        <v>24</v>
      </c>
      <c r="D169" s="7">
        <v>53.833333333333343</v>
      </c>
      <c r="E169" s="7">
        <v>53.833333333333343</v>
      </c>
      <c r="F169" s="7">
        <v>53.833333333333343</v>
      </c>
      <c r="G169" s="7">
        <v>53.833333333333343</v>
      </c>
      <c r="H169" s="7">
        <v>53.833333333333343</v>
      </c>
      <c r="I169" s="7">
        <v>53.833333333333343</v>
      </c>
      <c r="J169" s="7">
        <v>53.833333333333343</v>
      </c>
      <c r="K169" s="7">
        <v>53.833333333333343</v>
      </c>
      <c r="L169" s="7">
        <v>53.833333333333343</v>
      </c>
      <c r="M169" s="7">
        <v>53.833333333333343</v>
      </c>
      <c r="N169" s="7">
        <v>53.833333333333343</v>
      </c>
      <c r="O169" s="7">
        <v>53.833333333333343</v>
      </c>
      <c r="P169" s="8">
        <f t="shared" si="5"/>
        <v>646.00000000000034</v>
      </c>
    </row>
    <row r="170" spans="1:16" x14ac:dyDescent="0.3">
      <c r="A170" s="2" t="s">
        <v>16</v>
      </c>
      <c r="B170" s="2" t="s">
        <v>47</v>
      </c>
      <c r="C170" s="2" t="s">
        <v>25</v>
      </c>
      <c r="D170" s="7">
        <v>60.75</v>
      </c>
      <c r="E170" s="7">
        <v>60.75</v>
      </c>
      <c r="F170" s="7">
        <v>60.75</v>
      </c>
      <c r="G170" s="7">
        <v>60.75</v>
      </c>
      <c r="H170" s="7">
        <v>60.75</v>
      </c>
      <c r="I170" s="7">
        <v>60.75</v>
      </c>
      <c r="J170" s="7">
        <v>60.75</v>
      </c>
      <c r="K170" s="7">
        <v>60.75</v>
      </c>
      <c r="L170" s="7">
        <v>60.75</v>
      </c>
      <c r="M170" s="7">
        <v>60.75</v>
      </c>
      <c r="N170" s="7">
        <v>60.75</v>
      </c>
      <c r="O170" s="7">
        <v>60.75</v>
      </c>
      <c r="P170" s="8">
        <f t="shared" si="5"/>
        <v>729</v>
      </c>
    </row>
    <row r="171" spans="1:16" x14ac:dyDescent="0.3">
      <c r="A171" s="2" t="s">
        <v>16</v>
      </c>
      <c r="B171" s="2" t="s">
        <v>47</v>
      </c>
      <c r="C171" s="2" t="s">
        <v>26</v>
      </c>
      <c r="D171" s="7">
        <v>68.333333333333329</v>
      </c>
      <c r="E171" s="7">
        <v>68.333333333333329</v>
      </c>
      <c r="F171" s="7">
        <v>68.333333333333329</v>
      </c>
      <c r="G171" s="7">
        <v>68.333333333333329</v>
      </c>
      <c r="H171" s="7">
        <v>68.333333333333329</v>
      </c>
      <c r="I171" s="7">
        <v>68.333333333333329</v>
      </c>
      <c r="J171" s="7">
        <v>68.333333333333329</v>
      </c>
      <c r="K171" s="7">
        <v>68.333333333333329</v>
      </c>
      <c r="L171" s="7">
        <v>68.333333333333329</v>
      </c>
      <c r="M171" s="7">
        <v>68.333333333333329</v>
      </c>
      <c r="N171" s="7">
        <v>68.333333333333329</v>
      </c>
      <c r="O171" s="7">
        <v>68.333333333333329</v>
      </c>
      <c r="P171" s="8">
        <f t="shared" si="5"/>
        <v>820.00000000000011</v>
      </c>
    </row>
    <row r="172" spans="1:16" x14ac:dyDescent="0.3">
      <c r="A172" s="2" t="s">
        <v>16</v>
      </c>
      <c r="B172" s="2" t="s">
        <v>47</v>
      </c>
      <c r="C172" s="2" t="s">
        <v>27</v>
      </c>
      <c r="D172" s="7">
        <v>87.333333333333329</v>
      </c>
      <c r="E172" s="7">
        <v>87.333333333333329</v>
      </c>
      <c r="F172" s="7">
        <v>87.333333333333329</v>
      </c>
      <c r="G172" s="7">
        <v>87.333333333333329</v>
      </c>
      <c r="H172" s="7">
        <v>87.333333333333329</v>
      </c>
      <c r="I172" s="7">
        <v>87.333333333333329</v>
      </c>
      <c r="J172" s="7">
        <v>87.333333333333329</v>
      </c>
      <c r="K172" s="7">
        <v>87.333333333333329</v>
      </c>
      <c r="L172" s="7">
        <v>87.333333333333329</v>
      </c>
      <c r="M172" s="7">
        <v>87.333333333333329</v>
      </c>
      <c r="N172" s="7">
        <v>87.333333333333329</v>
      </c>
      <c r="O172" s="7">
        <v>87.333333333333329</v>
      </c>
      <c r="P172" s="8">
        <f t="shared" si="5"/>
        <v>1048.0000000000002</v>
      </c>
    </row>
    <row r="173" spans="1:16" x14ac:dyDescent="0.3">
      <c r="A173" s="2" t="s">
        <v>16</v>
      </c>
      <c r="B173" s="2" t="s">
        <v>47</v>
      </c>
      <c r="C173" s="2" t="s">
        <v>28</v>
      </c>
      <c r="D173" s="7">
        <v>65.25</v>
      </c>
      <c r="E173" s="7">
        <v>65.25</v>
      </c>
      <c r="F173" s="7">
        <v>65.25</v>
      </c>
      <c r="G173" s="7">
        <v>65.25</v>
      </c>
      <c r="H173" s="7">
        <v>65.25</v>
      </c>
      <c r="I173" s="7">
        <v>65.25</v>
      </c>
      <c r="J173" s="7">
        <v>65.25</v>
      </c>
      <c r="K173" s="7">
        <v>65.25</v>
      </c>
      <c r="L173" s="7">
        <v>65.25</v>
      </c>
      <c r="M173" s="7">
        <v>65.25</v>
      </c>
      <c r="N173" s="7">
        <v>65.25</v>
      </c>
      <c r="O173" s="7">
        <v>65.25</v>
      </c>
      <c r="P173" s="8">
        <f t="shared" si="5"/>
        <v>783</v>
      </c>
    </row>
    <row r="174" spans="1:16" x14ac:dyDescent="0.3">
      <c r="A174" s="2" t="s">
        <v>16</v>
      </c>
      <c r="B174" s="2" t="s">
        <v>47</v>
      </c>
      <c r="C174" s="2" t="s">
        <v>29</v>
      </c>
      <c r="D174" s="7">
        <v>73.25</v>
      </c>
      <c r="E174" s="7">
        <v>73.25</v>
      </c>
      <c r="F174" s="7">
        <v>73.25</v>
      </c>
      <c r="G174" s="7">
        <v>73.25</v>
      </c>
      <c r="H174" s="7">
        <v>73.25</v>
      </c>
      <c r="I174" s="7">
        <v>73.25</v>
      </c>
      <c r="J174" s="7">
        <v>73.25</v>
      </c>
      <c r="K174" s="7">
        <v>73.25</v>
      </c>
      <c r="L174" s="7">
        <v>73.25</v>
      </c>
      <c r="M174" s="7">
        <v>73.25</v>
      </c>
      <c r="N174" s="7">
        <v>73.25</v>
      </c>
      <c r="O174" s="7">
        <v>73.25</v>
      </c>
      <c r="P174" s="8">
        <f t="shared" si="5"/>
        <v>879</v>
      </c>
    </row>
    <row r="175" spans="1:16" x14ac:dyDescent="0.3">
      <c r="A175" s="2" t="s">
        <v>16</v>
      </c>
      <c r="B175" s="2" t="s">
        <v>47</v>
      </c>
      <c r="C175" s="2" t="s">
        <v>30</v>
      </c>
      <c r="D175" s="7">
        <v>66.75</v>
      </c>
      <c r="E175" s="7">
        <v>66.75</v>
      </c>
      <c r="F175" s="7">
        <v>66.75</v>
      </c>
      <c r="G175" s="7">
        <v>66.75</v>
      </c>
      <c r="H175" s="7">
        <v>66.75</v>
      </c>
      <c r="I175" s="7">
        <v>66.75</v>
      </c>
      <c r="J175" s="7">
        <v>66.75</v>
      </c>
      <c r="K175" s="7">
        <v>66.75</v>
      </c>
      <c r="L175" s="7">
        <v>66.75</v>
      </c>
      <c r="M175" s="7">
        <v>66.75</v>
      </c>
      <c r="N175" s="7">
        <v>66.75</v>
      </c>
      <c r="O175" s="7">
        <v>66.75</v>
      </c>
      <c r="P175" s="8">
        <f t="shared" si="5"/>
        <v>801</v>
      </c>
    </row>
    <row r="176" spans="1:16" x14ac:dyDescent="0.3">
      <c r="A176" s="2" t="s">
        <v>16</v>
      </c>
      <c r="B176" s="2" t="s">
        <v>47</v>
      </c>
      <c r="C176" s="2" t="s">
        <v>31</v>
      </c>
      <c r="D176" s="7">
        <v>55.333333333333343</v>
      </c>
      <c r="E176" s="7">
        <v>55.333333333333343</v>
      </c>
      <c r="F176" s="7">
        <v>55.333333333333343</v>
      </c>
      <c r="G176" s="7">
        <v>55.333333333333343</v>
      </c>
      <c r="H176" s="7">
        <v>55.333333333333343</v>
      </c>
      <c r="I176" s="7">
        <v>55.333333333333343</v>
      </c>
      <c r="J176" s="7">
        <v>55.333333333333343</v>
      </c>
      <c r="K176" s="7">
        <v>55.333333333333343</v>
      </c>
      <c r="L176" s="7">
        <v>55.333333333333343</v>
      </c>
      <c r="M176" s="7">
        <v>55.333333333333343</v>
      </c>
      <c r="N176" s="7">
        <v>55.333333333333343</v>
      </c>
      <c r="O176" s="7">
        <v>55.333333333333343</v>
      </c>
      <c r="P176" s="8">
        <f t="shared" si="5"/>
        <v>664.00000000000034</v>
      </c>
    </row>
    <row r="177" spans="1:16" x14ac:dyDescent="0.3">
      <c r="A177" s="2" t="s">
        <v>16</v>
      </c>
      <c r="B177" s="2" t="s">
        <v>47</v>
      </c>
      <c r="C177" s="2" t="s">
        <v>32</v>
      </c>
      <c r="D177" s="7">
        <v>60.833333333333343</v>
      </c>
      <c r="E177" s="7">
        <v>60.833333333333343</v>
      </c>
      <c r="F177" s="7">
        <v>60.833333333333343</v>
      </c>
      <c r="G177" s="7">
        <v>60.833333333333343</v>
      </c>
      <c r="H177" s="7">
        <v>60.833333333333343</v>
      </c>
      <c r="I177" s="7">
        <v>60.833333333333343</v>
      </c>
      <c r="J177" s="7">
        <v>60.833333333333343</v>
      </c>
      <c r="K177" s="7">
        <v>60.833333333333343</v>
      </c>
      <c r="L177" s="7">
        <v>60.833333333333343</v>
      </c>
      <c r="M177" s="7">
        <v>60.833333333333343</v>
      </c>
      <c r="N177" s="7">
        <v>60.833333333333343</v>
      </c>
      <c r="O177" s="7">
        <v>60.833333333333343</v>
      </c>
      <c r="P177" s="8">
        <f t="shared" si="5"/>
        <v>730.00000000000034</v>
      </c>
    </row>
    <row r="178" spans="1:16" x14ac:dyDescent="0.3">
      <c r="A178" s="2" t="s">
        <v>16</v>
      </c>
      <c r="B178" s="2" t="s">
        <v>47</v>
      </c>
      <c r="C178" s="2" t="s">
        <v>33</v>
      </c>
      <c r="D178" s="7">
        <v>46.916666666666657</v>
      </c>
      <c r="E178" s="7">
        <v>46.916666666666657</v>
      </c>
      <c r="F178" s="7">
        <v>46.916666666666657</v>
      </c>
      <c r="G178" s="7">
        <v>46.916666666666657</v>
      </c>
      <c r="H178" s="7">
        <v>46.916666666666657</v>
      </c>
      <c r="I178" s="7">
        <v>46.916666666666657</v>
      </c>
      <c r="J178" s="7">
        <v>46.916666666666657</v>
      </c>
      <c r="K178" s="7">
        <v>46.916666666666657</v>
      </c>
      <c r="L178" s="7">
        <v>46.916666666666657</v>
      </c>
      <c r="M178" s="7">
        <v>46.916666666666657</v>
      </c>
      <c r="N178" s="7">
        <v>46.916666666666657</v>
      </c>
      <c r="O178" s="7">
        <v>46.916666666666657</v>
      </c>
      <c r="P178" s="8">
        <f t="shared" si="5"/>
        <v>562.99999999999977</v>
      </c>
    </row>
    <row r="179" spans="1:16" x14ac:dyDescent="0.3">
      <c r="A179" s="2" t="s">
        <v>16</v>
      </c>
      <c r="B179" s="2" t="s">
        <v>47</v>
      </c>
      <c r="C179" s="2" t="s">
        <v>34</v>
      </c>
      <c r="D179" s="7">
        <v>41.625</v>
      </c>
      <c r="E179" s="7">
        <v>41.625</v>
      </c>
      <c r="F179" s="7">
        <v>41.625</v>
      </c>
      <c r="G179" s="7">
        <v>41.625</v>
      </c>
      <c r="H179" s="7">
        <v>41.625</v>
      </c>
      <c r="I179" s="7">
        <v>41.625</v>
      </c>
      <c r="J179" s="7">
        <v>41.625</v>
      </c>
      <c r="K179" s="7">
        <v>41.625</v>
      </c>
      <c r="L179" s="7">
        <v>41.625</v>
      </c>
      <c r="M179" s="7">
        <v>41.625</v>
      </c>
      <c r="N179" s="7">
        <v>41.625</v>
      </c>
      <c r="O179" s="7">
        <v>41.625</v>
      </c>
      <c r="P179" s="8">
        <f t="shared" si="5"/>
        <v>499.5</v>
      </c>
    </row>
    <row r="180" spans="1:16" x14ac:dyDescent="0.3">
      <c r="A180" s="2" t="s">
        <v>16</v>
      </c>
      <c r="B180" s="2" t="s">
        <v>47</v>
      </c>
      <c r="C180" s="2" t="s">
        <v>35</v>
      </c>
      <c r="D180" s="7">
        <v>47.108333333333327</v>
      </c>
      <c r="E180" s="7">
        <v>47.108333333333327</v>
      </c>
      <c r="F180" s="7">
        <v>47.108333333333327</v>
      </c>
      <c r="G180" s="7">
        <v>47.108333333333327</v>
      </c>
      <c r="H180" s="7">
        <v>47.108333333333327</v>
      </c>
      <c r="I180" s="7">
        <v>47.108333333333327</v>
      </c>
      <c r="J180" s="7">
        <v>47.108333333333327</v>
      </c>
      <c r="K180" s="7">
        <v>47.108333333333327</v>
      </c>
      <c r="L180" s="7">
        <v>47.108333333333327</v>
      </c>
      <c r="M180" s="7">
        <v>47.108333333333327</v>
      </c>
      <c r="N180" s="7">
        <v>47.108333333333327</v>
      </c>
      <c r="O180" s="7">
        <v>47.108333333333327</v>
      </c>
      <c r="P180" s="8">
        <f t="shared" si="5"/>
        <v>565.30000000000007</v>
      </c>
    </row>
    <row r="181" spans="1:16" x14ac:dyDescent="0.3">
      <c r="A181" s="2" t="s">
        <v>16</v>
      </c>
      <c r="B181" s="2" t="s">
        <v>47</v>
      </c>
      <c r="C181" s="2" t="s">
        <v>36</v>
      </c>
      <c r="D181" s="7">
        <v>40.274999999999999</v>
      </c>
      <c r="E181" s="7">
        <v>40.274999999999999</v>
      </c>
      <c r="F181" s="7">
        <v>40.274999999999999</v>
      </c>
      <c r="G181" s="7">
        <v>40.274999999999999</v>
      </c>
      <c r="H181" s="7">
        <v>40.274999999999999</v>
      </c>
      <c r="I181" s="7">
        <v>40.274999999999999</v>
      </c>
      <c r="J181" s="7">
        <v>40.274999999999999</v>
      </c>
      <c r="K181" s="7">
        <v>40.274999999999999</v>
      </c>
      <c r="L181" s="7">
        <v>40.274999999999999</v>
      </c>
      <c r="M181" s="7">
        <v>40.274999999999999</v>
      </c>
      <c r="N181" s="7">
        <v>40.274999999999999</v>
      </c>
      <c r="O181" s="7">
        <v>40.274999999999999</v>
      </c>
      <c r="P181" s="8">
        <f t="shared" si="5"/>
        <v>483.2999999999999</v>
      </c>
    </row>
    <row r="182" spans="1:16" x14ac:dyDescent="0.3">
      <c r="A182" s="2" t="s">
        <v>16</v>
      </c>
      <c r="B182" s="2" t="s">
        <v>47</v>
      </c>
      <c r="C182" s="2" t="s">
        <v>37</v>
      </c>
      <c r="D182" s="7">
        <v>31.641666666666669</v>
      </c>
      <c r="E182" s="7">
        <v>31.641666666666669</v>
      </c>
      <c r="F182" s="7">
        <v>31.641666666666669</v>
      </c>
      <c r="G182" s="7">
        <v>31.641666666666669</v>
      </c>
      <c r="H182" s="7">
        <v>31.641666666666669</v>
      </c>
      <c r="I182" s="7">
        <v>31.641666666666669</v>
      </c>
      <c r="J182" s="7">
        <v>31.641666666666669</v>
      </c>
      <c r="K182" s="7">
        <v>31.641666666666669</v>
      </c>
      <c r="L182" s="7">
        <v>31.641666666666669</v>
      </c>
      <c r="M182" s="7">
        <v>31.641666666666669</v>
      </c>
      <c r="N182" s="7">
        <v>31.641666666666669</v>
      </c>
      <c r="O182" s="7">
        <v>31.641666666666669</v>
      </c>
      <c r="P182" s="8">
        <f t="shared" si="5"/>
        <v>379.7</v>
      </c>
    </row>
    <row r="183" spans="1:16" x14ac:dyDescent="0.3">
      <c r="A183" s="2" t="s">
        <v>16</v>
      </c>
      <c r="B183" s="2" t="s">
        <v>47</v>
      </c>
      <c r="C183" s="2" t="s">
        <v>38</v>
      </c>
      <c r="D183" s="7">
        <v>32.475000000000001</v>
      </c>
      <c r="E183" s="7">
        <v>32.475000000000001</v>
      </c>
      <c r="F183" s="7">
        <v>32.475000000000001</v>
      </c>
      <c r="G183" s="7">
        <v>32.475000000000001</v>
      </c>
      <c r="H183" s="7">
        <v>32.475000000000001</v>
      </c>
      <c r="I183" s="7">
        <v>32.475000000000001</v>
      </c>
      <c r="J183" s="7">
        <v>32.475000000000001</v>
      </c>
      <c r="K183" s="7">
        <v>32.475000000000001</v>
      </c>
      <c r="L183" s="7">
        <v>32.475000000000001</v>
      </c>
      <c r="M183" s="7">
        <v>32.475000000000001</v>
      </c>
      <c r="N183" s="7">
        <v>32.475000000000001</v>
      </c>
      <c r="O183" s="7">
        <v>32.475000000000001</v>
      </c>
      <c r="P183" s="8">
        <f t="shared" si="5"/>
        <v>389.7000000000001</v>
      </c>
    </row>
    <row r="184" spans="1:16" x14ac:dyDescent="0.3">
      <c r="A184" s="2" t="s">
        <v>16</v>
      </c>
      <c r="B184" s="2" t="s">
        <v>47</v>
      </c>
      <c r="C184" s="2" t="s">
        <v>39</v>
      </c>
      <c r="D184" s="7">
        <v>29.725000000000001</v>
      </c>
      <c r="E184" s="7">
        <v>29.725000000000001</v>
      </c>
      <c r="F184" s="7">
        <v>29.725000000000001</v>
      </c>
      <c r="G184" s="7">
        <v>29.725000000000001</v>
      </c>
      <c r="H184" s="7">
        <v>29.725000000000001</v>
      </c>
      <c r="I184" s="7">
        <v>29.725000000000001</v>
      </c>
      <c r="J184" s="7">
        <v>29.725000000000001</v>
      </c>
      <c r="K184" s="7">
        <v>29.725000000000001</v>
      </c>
      <c r="L184" s="7">
        <v>29.725000000000001</v>
      </c>
      <c r="M184" s="7">
        <v>29.725000000000001</v>
      </c>
      <c r="N184" s="7">
        <v>29.725000000000001</v>
      </c>
      <c r="O184" s="7">
        <v>29.725000000000001</v>
      </c>
      <c r="P184" s="8">
        <f t="shared" si="5"/>
        <v>356.70000000000005</v>
      </c>
    </row>
    <row r="185" spans="1:16" x14ac:dyDescent="0.3">
      <c r="A185" s="2" t="s">
        <v>16</v>
      </c>
      <c r="B185" s="2" t="s">
        <v>47</v>
      </c>
      <c r="C185" s="2" t="s">
        <v>40</v>
      </c>
      <c r="D185" s="7">
        <v>29.666666666666671</v>
      </c>
      <c r="E185" s="7">
        <v>29.666666666666671</v>
      </c>
      <c r="F185" s="7">
        <v>29.666666666666671</v>
      </c>
      <c r="G185" s="7">
        <v>29.666666666666671</v>
      </c>
      <c r="H185" s="7">
        <v>29.666666666666671</v>
      </c>
      <c r="I185" s="7">
        <v>29.666666666666671</v>
      </c>
      <c r="J185" s="7">
        <v>29.666666666666671</v>
      </c>
      <c r="K185" s="7">
        <v>29.666666666666671</v>
      </c>
      <c r="L185" s="7">
        <v>29.666666666666671</v>
      </c>
      <c r="M185" s="7">
        <v>29.666666666666671</v>
      </c>
      <c r="N185" s="7">
        <v>29.666666666666671</v>
      </c>
      <c r="O185" s="7">
        <v>29.666666666666671</v>
      </c>
      <c r="P185" s="8">
        <f t="shared" si="5"/>
        <v>356.00000000000017</v>
      </c>
    </row>
    <row r="186" spans="1:16" x14ac:dyDescent="0.3">
      <c r="A186" s="2" t="s">
        <v>16</v>
      </c>
      <c r="B186" s="2" t="s">
        <v>48</v>
      </c>
      <c r="C186" s="2" t="s">
        <v>18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8">
        <f t="shared" si="5"/>
        <v>0</v>
      </c>
    </row>
    <row r="187" spans="1:16" x14ac:dyDescent="0.3">
      <c r="A187" s="2" t="s">
        <v>16</v>
      </c>
      <c r="B187" s="2" t="s">
        <v>48</v>
      </c>
      <c r="C187" s="2" t="s">
        <v>19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8">
        <f t="shared" si="5"/>
        <v>0</v>
      </c>
    </row>
    <row r="188" spans="1:16" x14ac:dyDescent="0.3">
      <c r="A188" s="2" t="s">
        <v>16</v>
      </c>
      <c r="B188" s="2" t="s">
        <v>48</v>
      </c>
      <c r="C188" s="2" t="s">
        <v>20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8">
        <f t="shared" si="5"/>
        <v>0</v>
      </c>
    </row>
    <row r="189" spans="1:16" x14ac:dyDescent="0.3">
      <c r="A189" s="2" t="s">
        <v>16</v>
      </c>
      <c r="B189" s="2" t="s">
        <v>48</v>
      </c>
      <c r="C189" s="2" t="s">
        <v>21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8">
        <f t="shared" si="5"/>
        <v>0</v>
      </c>
    </row>
    <row r="190" spans="1:16" x14ac:dyDescent="0.3">
      <c r="A190" s="2" t="s">
        <v>16</v>
      </c>
      <c r="B190" s="2" t="s">
        <v>48</v>
      </c>
      <c r="C190" s="2" t="s">
        <v>22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8">
        <f t="shared" ref="P190:P221" si="6">SUM(D190:O190)</f>
        <v>0</v>
      </c>
    </row>
    <row r="191" spans="1:16" x14ac:dyDescent="0.3">
      <c r="A191" s="2" t="s">
        <v>16</v>
      </c>
      <c r="B191" s="2" t="s">
        <v>48</v>
      </c>
      <c r="C191" s="2" t="s">
        <v>23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8">
        <f t="shared" si="6"/>
        <v>0</v>
      </c>
    </row>
    <row r="192" spans="1:16" x14ac:dyDescent="0.3">
      <c r="A192" s="2" t="s">
        <v>16</v>
      </c>
      <c r="B192" s="2" t="s">
        <v>48</v>
      </c>
      <c r="C192" s="2" t="s">
        <v>24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8">
        <f t="shared" si="6"/>
        <v>0</v>
      </c>
    </row>
    <row r="193" spans="1:16" x14ac:dyDescent="0.3">
      <c r="A193" s="2" t="s">
        <v>16</v>
      </c>
      <c r="B193" s="2" t="s">
        <v>48</v>
      </c>
      <c r="C193" s="2" t="s">
        <v>25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8">
        <f t="shared" si="6"/>
        <v>0</v>
      </c>
    </row>
    <row r="194" spans="1:16" x14ac:dyDescent="0.3">
      <c r="A194" s="2" t="s">
        <v>16</v>
      </c>
      <c r="B194" s="2" t="s">
        <v>48</v>
      </c>
      <c r="C194" s="2" t="s">
        <v>26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8">
        <f t="shared" si="6"/>
        <v>0</v>
      </c>
    </row>
    <row r="195" spans="1:16" x14ac:dyDescent="0.3">
      <c r="A195" s="2" t="s">
        <v>16</v>
      </c>
      <c r="B195" s="2" t="s">
        <v>48</v>
      </c>
      <c r="C195" s="2" t="s">
        <v>27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8">
        <f t="shared" si="6"/>
        <v>0</v>
      </c>
    </row>
    <row r="196" spans="1:16" x14ac:dyDescent="0.3">
      <c r="A196" s="2" t="s">
        <v>16</v>
      </c>
      <c r="B196" s="2" t="s">
        <v>48</v>
      </c>
      <c r="C196" s="2" t="s">
        <v>28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8">
        <f t="shared" si="6"/>
        <v>0</v>
      </c>
    </row>
    <row r="197" spans="1:16" x14ac:dyDescent="0.3">
      <c r="A197" s="2" t="s">
        <v>16</v>
      </c>
      <c r="B197" s="2" t="s">
        <v>48</v>
      </c>
      <c r="C197" s="2" t="s">
        <v>29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8">
        <f t="shared" si="6"/>
        <v>0</v>
      </c>
    </row>
    <row r="198" spans="1:16" x14ac:dyDescent="0.3">
      <c r="A198" s="2" t="s">
        <v>16</v>
      </c>
      <c r="B198" s="2" t="s">
        <v>48</v>
      </c>
      <c r="C198" s="2" t="s">
        <v>30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8">
        <f t="shared" si="6"/>
        <v>0</v>
      </c>
    </row>
    <row r="199" spans="1:16" x14ac:dyDescent="0.3">
      <c r="A199" s="2" t="s">
        <v>16</v>
      </c>
      <c r="B199" s="2" t="s">
        <v>48</v>
      </c>
      <c r="C199" s="2" t="s">
        <v>31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8">
        <f t="shared" si="6"/>
        <v>0</v>
      </c>
    </row>
    <row r="200" spans="1:16" x14ac:dyDescent="0.3">
      <c r="A200" s="2" t="s">
        <v>16</v>
      </c>
      <c r="B200" s="2" t="s">
        <v>48</v>
      </c>
      <c r="C200" s="2" t="s">
        <v>32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8">
        <f t="shared" si="6"/>
        <v>0</v>
      </c>
    </row>
    <row r="201" spans="1:16" x14ac:dyDescent="0.3">
      <c r="A201" s="2" t="s">
        <v>16</v>
      </c>
      <c r="B201" s="2" t="s">
        <v>48</v>
      </c>
      <c r="C201" s="2" t="s">
        <v>33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8">
        <f t="shared" si="6"/>
        <v>0</v>
      </c>
    </row>
    <row r="202" spans="1:16" x14ac:dyDescent="0.3">
      <c r="A202" s="2" t="s">
        <v>16</v>
      </c>
      <c r="B202" s="2" t="s">
        <v>48</v>
      </c>
      <c r="C202" s="2" t="s">
        <v>34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8">
        <f t="shared" si="6"/>
        <v>0</v>
      </c>
    </row>
    <row r="203" spans="1:16" x14ac:dyDescent="0.3">
      <c r="A203" s="2" t="s">
        <v>16</v>
      </c>
      <c r="B203" s="2" t="s">
        <v>48</v>
      </c>
      <c r="C203" s="2" t="s">
        <v>35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8">
        <f t="shared" si="6"/>
        <v>0</v>
      </c>
    </row>
    <row r="204" spans="1:16" x14ac:dyDescent="0.3">
      <c r="A204" s="2" t="s">
        <v>16</v>
      </c>
      <c r="B204" s="2" t="s">
        <v>48</v>
      </c>
      <c r="C204" s="2" t="s">
        <v>36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8">
        <f t="shared" si="6"/>
        <v>0</v>
      </c>
    </row>
    <row r="205" spans="1:16" x14ac:dyDescent="0.3">
      <c r="A205" s="2" t="s">
        <v>16</v>
      </c>
      <c r="B205" s="2" t="s">
        <v>48</v>
      </c>
      <c r="C205" s="2" t="s">
        <v>37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8">
        <f t="shared" si="6"/>
        <v>0</v>
      </c>
    </row>
    <row r="206" spans="1:16" x14ac:dyDescent="0.3">
      <c r="A206" s="2" t="s">
        <v>16</v>
      </c>
      <c r="B206" s="2" t="s">
        <v>48</v>
      </c>
      <c r="C206" s="2" t="s">
        <v>38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8">
        <f t="shared" si="6"/>
        <v>0</v>
      </c>
    </row>
    <row r="207" spans="1:16" x14ac:dyDescent="0.3">
      <c r="A207" s="2" t="s">
        <v>16</v>
      </c>
      <c r="B207" s="2" t="s">
        <v>48</v>
      </c>
      <c r="C207" s="2" t="s">
        <v>39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8">
        <f t="shared" si="6"/>
        <v>0</v>
      </c>
    </row>
    <row r="208" spans="1:16" x14ac:dyDescent="0.3">
      <c r="A208" s="2" t="s">
        <v>16</v>
      </c>
      <c r="B208" s="2" t="s">
        <v>48</v>
      </c>
      <c r="C208" s="2" t="s">
        <v>40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8">
        <f t="shared" si="6"/>
        <v>0</v>
      </c>
    </row>
    <row r="209" spans="1:16" x14ac:dyDescent="0.3">
      <c r="A209" s="2" t="s">
        <v>16</v>
      </c>
      <c r="B209" s="2" t="s">
        <v>49</v>
      </c>
      <c r="C209" s="2" t="s">
        <v>18</v>
      </c>
      <c r="D209" s="7">
        <f t="shared" ref="D209:O209" si="7">D140+D163</f>
        <v>233.03333333333333</v>
      </c>
      <c r="E209" s="7">
        <f t="shared" si="7"/>
        <v>233.03333333333333</v>
      </c>
      <c r="F209" s="7">
        <f t="shared" si="7"/>
        <v>233.03333333333333</v>
      </c>
      <c r="G209" s="7">
        <f t="shared" si="7"/>
        <v>233.03333333333333</v>
      </c>
      <c r="H209" s="7">
        <f t="shared" si="7"/>
        <v>233.03333333333333</v>
      </c>
      <c r="I209" s="7">
        <f t="shared" si="7"/>
        <v>233.03333333333333</v>
      </c>
      <c r="J209" s="7">
        <f t="shared" si="7"/>
        <v>233.03333333333333</v>
      </c>
      <c r="K209" s="7">
        <f t="shared" si="7"/>
        <v>233.03333333333333</v>
      </c>
      <c r="L209" s="7">
        <f t="shared" si="7"/>
        <v>233.03333333333333</v>
      </c>
      <c r="M209" s="7">
        <f t="shared" si="7"/>
        <v>233.03333333333333</v>
      </c>
      <c r="N209" s="7">
        <f t="shared" si="7"/>
        <v>233.03333333333333</v>
      </c>
      <c r="O209" s="7">
        <f t="shared" si="7"/>
        <v>233.03333333333333</v>
      </c>
      <c r="P209" s="8">
        <f t="shared" si="6"/>
        <v>2796.4</v>
      </c>
    </row>
    <row r="210" spans="1:16" x14ac:dyDescent="0.3">
      <c r="A210" s="2" t="s">
        <v>16</v>
      </c>
      <c r="B210" s="2" t="s">
        <v>49</v>
      </c>
      <c r="C210" s="2" t="s">
        <v>19</v>
      </c>
      <c r="D210" s="7">
        <f t="shared" ref="D210:O210" si="8">D141+D164</f>
        <v>231.24999999999994</v>
      </c>
      <c r="E210" s="7">
        <f t="shared" si="8"/>
        <v>231.24999999999994</v>
      </c>
      <c r="F210" s="7">
        <f t="shared" si="8"/>
        <v>231.24999999999994</v>
      </c>
      <c r="G210" s="7">
        <f t="shared" si="8"/>
        <v>231.24999999999994</v>
      </c>
      <c r="H210" s="7">
        <f t="shared" si="8"/>
        <v>231.24999999999994</v>
      </c>
      <c r="I210" s="7">
        <f t="shared" si="8"/>
        <v>231.24999999999994</v>
      </c>
      <c r="J210" s="7">
        <f t="shared" si="8"/>
        <v>231.24999999999994</v>
      </c>
      <c r="K210" s="7">
        <f t="shared" si="8"/>
        <v>231.24999999999994</v>
      </c>
      <c r="L210" s="7">
        <f t="shared" si="8"/>
        <v>231.24999999999994</v>
      </c>
      <c r="M210" s="7">
        <f t="shared" si="8"/>
        <v>231.24999999999994</v>
      </c>
      <c r="N210" s="7">
        <f t="shared" si="8"/>
        <v>231.24999999999994</v>
      </c>
      <c r="O210" s="7">
        <f t="shared" si="8"/>
        <v>231.24999999999994</v>
      </c>
      <c r="P210" s="8">
        <f t="shared" si="6"/>
        <v>2774.9999999999995</v>
      </c>
    </row>
    <row r="211" spans="1:16" x14ac:dyDescent="0.3">
      <c r="A211" s="2" t="s">
        <v>16</v>
      </c>
      <c r="B211" s="2" t="s">
        <v>49</v>
      </c>
      <c r="C211" s="2" t="s">
        <v>20</v>
      </c>
      <c r="D211" s="7">
        <f t="shared" ref="D211:O211" si="9">D142+D165</f>
        <v>237.04166666666666</v>
      </c>
      <c r="E211" s="7">
        <f t="shared" si="9"/>
        <v>237.04166666666666</v>
      </c>
      <c r="F211" s="7">
        <f t="shared" si="9"/>
        <v>237.04166666666666</v>
      </c>
      <c r="G211" s="7">
        <f t="shared" si="9"/>
        <v>237.04166666666666</v>
      </c>
      <c r="H211" s="7">
        <f t="shared" si="9"/>
        <v>237.04166666666666</v>
      </c>
      <c r="I211" s="7">
        <f t="shared" si="9"/>
        <v>237.04166666666666</v>
      </c>
      <c r="J211" s="7">
        <f t="shared" si="9"/>
        <v>237.04166666666666</v>
      </c>
      <c r="K211" s="7">
        <f t="shared" si="9"/>
        <v>237.04166666666666</v>
      </c>
      <c r="L211" s="7">
        <f t="shared" si="9"/>
        <v>237.04166666666666</v>
      </c>
      <c r="M211" s="7">
        <f t="shared" si="9"/>
        <v>237.04166666666666</v>
      </c>
      <c r="N211" s="7">
        <f t="shared" si="9"/>
        <v>237.04166666666666</v>
      </c>
      <c r="O211" s="7">
        <f t="shared" si="9"/>
        <v>237.04166666666666</v>
      </c>
      <c r="P211" s="8">
        <f t="shared" si="6"/>
        <v>2844.4999999999995</v>
      </c>
    </row>
    <row r="212" spans="1:16" x14ac:dyDescent="0.3">
      <c r="A212" s="2" t="s">
        <v>16</v>
      </c>
      <c r="B212" s="2" t="s">
        <v>49</v>
      </c>
      <c r="C212" s="2" t="s">
        <v>21</v>
      </c>
      <c r="D212" s="7">
        <f t="shared" ref="D212:O212" si="10">D143+D166</f>
        <v>243.33333333333334</v>
      </c>
      <c r="E212" s="7">
        <f t="shared" si="10"/>
        <v>243.33333333333334</v>
      </c>
      <c r="F212" s="7">
        <f t="shared" si="10"/>
        <v>243.33333333333334</v>
      </c>
      <c r="G212" s="7">
        <f t="shared" si="10"/>
        <v>243.33333333333334</v>
      </c>
      <c r="H212" s="7">
        <f t="shared" si="10"/>
        <v>243.33333333333334</v>
      </c>
      <c r="I212" s="7">
        <f t="shared" si="10"/>
        <v>243.33333333333334</v>
      </c>
      <c r="J212" s="7">
        <f t="shared" si="10"/>
        <v>243.33333333333334</v>
      </c>
      <c r="K212" s="7">
        <f t="shared" si="10"/>
        <v>243.33333333333334</v>
      </c>
      <c r="L212" s="7">
        <f t="shared" si="10"/>
        <v>243.33333333333334</v>
      </c>
      <c r="M212" s="7">
        <f t="shared" si="10"/>
        <v>243.33333333333334</v>
      </c>
      <c r="N212" s="7">
        <f t="shared" si="10"/>
        <v>243.33333333333334</v>
      </c>
      <c r="O212" s="7">
        <f t="shared" si="10"/>
        <v>243.33333333333334</v>
      </c>
      <c r="P212" s="8">
        <f t="shared" si="6"/>
        <v>2920.0000000000005</v>
      </c>
    </row>
    <row r="213" spans="1:16" x14ac:dyDescent="0.3">
      <c r="A213" s="2" t="s">
        <v>16</v>
      </c>
      <c r="B213" s="2" t="s">
        <v>49</v>
      </c>
      <c r="C213" s="2" t="s">
        <v>22</v>
      </c>
      <c r="D213" s="7">
        <f t="shared" ref="D213:O213" si="11">D144+D167</f>
        <v>259.5</v>
      </c>
      <c r="E213" s="7">
        <f t="shared" si="11"/>
        <v>259.5</v>
      </c>
      <c r="F213" s="7">
        <f t="shared" si="11"/>
        <v>259.5</v>
      </c>
      <c r="G213" s="7">
        <f t="shared" si="11"/>
        <v>259.5</v>
      </c>
      <c r="H213" s="7">
        <f t="shared" si="11"/>
        <v>259.5</v>
      </c>
      <c r="I213" s="7">
        <f t="shared" si="11"/>
        <v>259.5</v>
      </c>
      <c r="J213" s="7">
        <f t="shared" si="11"/>
        <v>259.5</v>
      </c>
      <c r="K213" s="7">
        <f t="shared" si="11"/>
        <v>259.5</v>
      </c>
      <c r="L213" s="7">
        <f t="shared" si="11"/>
        <v>259.5</v>
      </c>
      <c r="M213" s="7">
        <f t="shared" si="11"/>
        <v>259.5</v>
      </c>
      <c r="N213" s="7">
        <f t="shared" si="11"/>
        <v>259.5</v>
      </c>
      <c r="O213" s="7">
        <f t="shared" si="11"/>
        <v>259.5</v>
      </c>
      <c r="P213" s="8">
        <f t="shared" si="6"/>
        <v>3114</v>
      </c>
    </row>
    <row r="214" spans="1:16" x14ac:dyDescent="0.3">
      <c r="A214" s="2" t="s">
        <v>16</v>
      </c>
      <c r="B214" s="2" t="s">
        <v>49</v>
      </c>
      <c r="C214" s="2" t="s">
        <v>23</v>
      </c>
      <c r="D214" s="7">
        <f t="shared" ref="D214:O214" si="12">D145+D168</f>
        <v>251.85833333333335</v>
      </c>
      <c r="E214" s="7">
        <f t="shared" si="12"/>
        <v>251.85833333333335</v>
      </c>
      <c r="F214" s="7">
        <f t="shared" si="12"/>
        <v>251.85833333333335</v>
      </c>
      <c r="G214" s="7">
        <f t="shared" si="12"/>
        <v>251.85833333333335</v>
      </c>
      <c r="H214" s="7">
        <f t="shared" si="12"/>
        <v>251.85833333333335</v>
      </c>
      <c r="I214" s="7">
        <f t="shared" si="12"/>
        <v>251.85833333333335</v>
      </c>
      <c r="J214" s="7">
        <f t="shared" si="12"/>
        <v>251.85833333333335</v>
      </c>
      <c r="K214" s="7">
        <f t="shared" si="12"/>
        <v>251.85833333333335</v>
      </c>
      <c r="L214" s="7">
        <f t="shared" si="12"/>
        <v>251.85833333333335</v>
      </c>
      <c r="M214" s="7">
        <f t="shared" si="12"/>
        <v>251.85833333333335</v>
      </c>
      <c r="N214" s="7">
        <f t="shared" si="12"/>
        <v>251.85833333333335</v>
      </c>
      <c r="O214" s="7">
        <f t="shared" si="12"/>
        <v>251.85833333333335</v>
      </c>
      <c r="P214" s="8">
        <f t="shared" si="6"/>
        <v>3022.3000000000011</v>
      </c>
    </row>
    <row r="215" spans="1:16" x14ac:dyDescent="0.3">
      <c r="A215" s="2" t="s">
        <v>16</v>
      </c>
      <c r="B215" s="2" t="s">
        <v>49</v>
      </c>
      <c r="C215" s="2" t="s">
        <v>24</v>
      </c>
      <c r="D215" s="7">
        <f t="shared" ref="D215:O215" si="13">D146+D169</f>
        <v>262.93333333333334</v>
      </c>
      <c r="E215" s="7">
        <f t="shared" si="13"/>
        <v>262.93333333333334</v>
      </c>
      <c r="F215" s="7">
        <f t="shared" si="13"/>
        <v>262.93333333333334</v>
      </c>
      <c r="G215" s="7">
        <f t="shared" si="13"/>
        <v>262.93333333333334</v>
      </c>
      <c r="H215" s="7">
        <f t="shared" si="13"/>
        <v>262.93333333333334</v>
      </c>
      <c r="I215" s="7">
        <f t="shared" si="13"/>
        <v>262.93333333333334</v>
      </c>
      <c r="J215" s="7">
        <f t="shared" si="13"/>
        <v>262.93333333333334</v>
      </c>
      <c r="K215" s="7">
        <f t="shared" si="13"/>
        <v>262.93333333333334</v>
      </c>
      <c r="L215" s="7">
        <f t="shared" si="13"/>
        <v>262.93333333333334</v>
      </c>
      <c r="M215" s="7">
        <f t="shared" si="13"/>
        <v>262.93333333333334</v>
      </c>
      <c r="N215" s="7">
        <f t="shared" si="13"/>
        <v>262.93333333333334</v>
      </c>
      <c r="O215" s="7">
        <f t="shared" si="13"/>
        <v>262.93333333333334</v>
      </c>
      <c r="P215" s="8">
        <f t="shared" si="6"/>
        <v>3155.2000000000003</v>
      </c>
    </row>
    <row r="216" spans="1:16" x14ac:dyDescent="0.3">
      <c r="A216" s="2" t="s">
        <v>16</v>
      </c>
      <c r="B216" s="2" t="s">
        <v>49</v>
      </c>
      <c r="C216" s="2" t="s">
        <v>25</v>
      </c>
      <c r="D216" s="7">
        <f t="shared" ref="D216:O216" si="14">D147+D170</f>
        <v>274.89999999999998</v>
      </c>
      <c r="E216" s="7">
        <f t="shared" si="14"/>
        <v>274.89999999999998</v>
      </c>
      <c r="F216" s="7">
        <f t="shared" si="14"/>
        <v>274.89999999999998</v>
      </c>
      <c r="G216" s="7">
        <f t="shared" si="14"/>
        <v>274.89999999999998</v>
      </c>
      <c r="H216" s="7">
        <f t="shared" si="14"/>
        <v>274.89999999999998</v>
      </c>
      <c r="I216" s="7">
        <f t="shared" si="14"/>
        <v>274.89999999999998</v>
      </c>
      <c r="J216" s="7">
        <f t="shared" si="14"/>
        <v>274.89999999999998</v>
      </c>
      <c r="K216" s="7">
        <f t="shared" si="14"/>
        <v>274.89999999999998</v>
      </c>
      <c r="L216" s="7">
        <f t="shared" si="14"/>
        <v>274.89999999999998</v>
      </c>
      <c r="M216" s="7">
        <f t="shared" si="14"/>
        <v>274.89999999999998</v>
      </c>
      <c r="N216" s="7">
        <f t="shared" si="14"/>
        <v>274.89999999999998</v>
      </c>
      <c r="O216" s="7">
        <f t="shared" si="14"/>
        <v>274.89999999999998</v>
      </c>
      <c r="P216" s="8">
        <f t="shared" si="6"/>
        <v>3298.8000000000006</v>
      </c>
    </row>
    <row r="217" spans="1:16" x14ac:dyDescent="0.3">
      <c r="A217" s="2" t="s">
        <v>16</v>
      </c>
      <c r="B217" s="2" t="s">
        <v>49</v>
      </c>
      <c r="C217" s="2" t="s">
        <v>26</v>
      </c>
      <c r="D217" s="7">
        <f t="shared" ref="D217:O217" si="15">D148+D171</f>
        <v>279.92500000000001</v>
      </c>
      <c r="E217" s="7">
        <f t="shared" si="15"/>
        <v>279.92500000000001</v>
      </c>
      <c r="F217" s="7">
        <f t="shared" si="15"/>
        <v>279.92500000000001</v>
      </c>
      <c r="G217" s="7">
        <f t="shared" si="15"/>
        <v>279.92500000000001</v>
      </c>
      <c r="H217" s="7">
        <f t="shared" si="15"/>
        <v>279.92500000000001</v>
      </c>
      <c r="I217" s="7">
        <f t="shared" si="15"/>
        <v>279.92500000000001</v>
      </c>
      <c r="J217" s="7">
        <f t="shared" si="15"/>
        <v>279.92500000000001</v>
      </c>
      <c r="K217" s="7">
        <f t="shared" si="15"/>
        <v>279.92500000000001</v>
      </c>
      <c r="L217" s="7">
        <f t="shared" si="15"/>
        <v>279.92500000000001</v>
      </c>
      <c r="M217" s="7">
        <f t="shared" si="15"/>
        <v>279.92500000000001</v>
      </c>
      <c r="N217" s="7">
        <f t="shared" si="15"/>
        <v>279.92500000000001</v>
      </c>
      <c r="O217" s="7">
        <f t="shared" si="15"/>
        <v>279.92500000000001</v>
      </c>
      <c r="P217" s="8">
        <f t="shared" si="6"/>
        <v>3359.1000000000008</v>
      </c>
    </row>
    <row r="218" spans="1:16" x14ac:dyDescent="0.3">
      <c r="A218" s="2" t="s">
        <v>16</v>
      </c>
      <c r="B218" s="2" t="s">
        <v>49</v>
      </c>
      <c r="C218" s="2" t="s">
        <v>27</v>
      </c>
      <c r="D218" s="7">
        <f t="shared" ref="D218:O218" si="16">D149+D172</f>
        <v>294.95000000000005</v>
      </c>
      <c r="E218" s="7">
        <f t="shared" si="16"/>
        <v>294.95000000000005</v>
      </c>
      <c r="F218" s="7">
        <f t="shared" si="16"/>
        <v>294.95000000000005</v>
      </c>
      <c r="G218" s="7">
        <f t="shared" si="16"/>
        <v>294.95000000000005</v>
      </c>
      <c r="H218" s="7">
        <f t="shared" si="16"/>
        <v>294.95000000000005</v>
      </c>
      <c r="I218" s="7">
        <f t="shared" si="16"/>
        <v>294.95000000000005</v>
      </c>
      <c r="J218" s="7">
        <f t="shared" si="16"/>
        <v>294.95000000000005</v>
      </c>
      <c r="K218" s="7">
        <f t="shared" si="16"/>
        <v>294.95000000000005</v>
      </c>
      <c r="L218" s="7">
        <f t="shared" si="16"/>
        <v>294.95000000000005</v>
      </c>
      <c r="M218" s="7">
        <f t="shared" si="16"/>
        <v>294.95000000000005</v>
      </c>
      <c r="N218" s="7">
        <f t="shared" si="16"/>
        <v>294.95000000000005</v>
      </c>
      <c r="O218" s="7">
        <f t="shared" si="16"/>
        <v>294.95000000000005</v>
      </c>
      <c r="P218" s="8">
        <f t="shared" si="6"/>
        <v>3539.3999999999996</v>
      </c>
    </row>
    <row r="219" spans="1:16" x14ac:dyDescent="0.3">
      <c r="A219" s="2" t="s">
        <v>16</v>
      </c>
      <c r="B219" s="2" t="s">
        <v>49</v>
      </c>
      <c r="C219" s="2" t="s">
        <v>28</v>
      </c>
      <c r="D219" s="7">
        <f t="shared" ref="D219:O219" si="17">D150+D173</f>
        <v>273.86666666666667</v>
      </c>
      <c r="E219" s="7">
        <f t="shared" si="17"/>
        <v>273.86666666666667</v>
      </c>
      <c r="F219" s="7">
        <f t="shared" si="17"/>
        <v>273.86666666666667</v>
      </c>
      <c r="G219" s="7">
        <f t="shared" si="17"/>
        <v>273.86666666666667</v>
      </c>
      <c r="H219" s="7">
        <f t="shared" si="17"/>
        <v>273.86666666666667</v>
      </c>
      <c r="I219" s="7">
        <f t="shared" si="17"/>
        <v>273.86666666666667</v>
      </c>
      <c r="J219" s="7">
        <f t="shared" si="17"/>
        <v>273.86666666666667</v>
      </c>
      <c r="K219" s="7">
        <f t="shared" si="17"/>
        <v>273.86666666666667</v>
      </c>
      <c r="L219" s="7">
        <f t="shared" si="17"/>
        <v>273.86666666666667</v>
      </c>
      <c r="M219" s="7">
        <f t="shared" si="17"/>
        <v>273.86666666666667</v>
      </c>
      <c r="N219" s="7">
        <f t="shared" si="17"/>
        <v>273.86666666666667</v>
      </c>
      <c r="O219" s="7">
        <f t="shared" si="17"/>
        <v>273.86666666666667</v>
      </c>
      <c r="P219" s="8">
        <f t="shared" si="6"/>
        <v>3286.400000000001</v>
      </c>
    </row>
    <row r="220" spans="1:16" x14ac:dyDescent="0.3">
      <c r="A220" s="2" t="s">
        <v>16</v>
      </c>
      <c r="B220" s="2" t="s">
        <v>49</v>
      </c>
      <c r="C220" s="2" t="s">
        <v>29</v>
      </c>
      <c r="D220" s="7">
        <f t="shared" ref="D220:O220" si="18">D151+D174</f>
        <v>285.55833333333328</v>
      </c>
      <c r="E220" s="7">
        <f t="shared" si="18"/>
        <v>285.55833333333328</v>
      </c>
      <c r="F220" s="7">
        <f t="shared" si="18"/>
        <v>285.55833333333328</v>
      </c>
      <c r="G220" s="7">
        <f t="shared" si="18"/>
        <v>285.55833333333328</v>
      </c>
      <c r="H220" s="7">
        <f t="shared" si="18"/>
        <v>285.55833333333328</v>
      </c>
      <c r="I220" s="7">
        <f t="shared" si="18"/>
        <v>285.55833333333328</v>
      </c>
      <c r="J220" s="7">
        <f t="shared" si="18"/>
        <v>285.55833333333328</v>
      </c>
      <c r="K220" s="7">
        <f t="shared" si="18"/>
        <v>285.55833333333328</v>
      </c>
      <c r="L220" s="7">
        <f t="shared" si="18"/>
        <v>285.55833333333328</v>
      </c>
      <c r="M220" s="7">
        <f t="shared" si="18"/>
        <v>285.55833333333328</v>
      </c>
      <c r="N220" s="7">
        <f t="shared" si="18"/>
        <v>285.55833333333328</v>
      </c>
      <c r="O220" s="7">
        <f t="shared" si="18"/>
        <v>285.55833333333328</v>
      </c>
      <c r="P220" s="8">
        <f t="shared" si="6"/>
        <v>3426.7000000000003</v>
      </c>
    </row>
    <row r="221" spans="1:16" x14ac:dyDescent="0.3">
      <c r="A221" s="2" t="s">
        <v>16</v>
      </c>
      <c r="B221" s="2" t="s">
        <v>49</v>
      </c>
      <c r="C221" s="2" t="s">
        <v>30</v>
      </c>
      <c r="D221" s="7">
        <f t="shared" ref="D221:O221" si="19">D152+D175</f>
        <v>272.99166666666667</v>
      </c>
      <c r="E221" s="7">
        <f t="shared" si="19"/>
        <v>272.99166666666667</v>
      </c>
      <c r="F221" s="7">
        <f t="shared" si="19"/>
        <v>272.99166666666667</v>
      </c>
      <c r="G221" s="7">
        <f t="shared" si="19"/>
        <v>272.99166666666667</v>
      </c>
      <c r="H221" s="7">
        <f t="shared" si="19"/>
        <v>272.99166666666667</v>
      </c>
      <c r="I221" s="7">
        <f t="shared" si="19"/>
        <v>272.99166666666667</v>
      </c>
      <c r="J221" s="7">
        <f t="shared" si="19"/>
        <v>272.99166666666667</v>
      </c>
      <c r="K221" s="7">
        <f t="shared" si="19"/>
        <v>272.99166666666667</v>
      </c>
      <c r="L221" s="7">
        <f t="shared" si="19"/>
        <v>272.99166666666667</v>
      </c>
      <c r="M221" s="7">
        <f t="shared" si="19"/>
        <v>272.99166666666667</v>
      </c>
      <c r="N221" s="7">
        <f t="shared" si="19"/>
        <v>272.99166666666667</v>
      </c>
      <c r="O221" s="7">
        <f t="shared" si="19"/>
        <v>272.99166666666667</v>
      </c>
      <c r="P221" s="8">
        <f t="shared" si="6"/>
        <v>3275.900000000001</v>
      </c>
    </row>
    <row r="222" spans="1:16" x14ac:dyDescent="0.3">
      <c r="A222" s="2" t="s">
        <v>16</v>
      </c>
      <c r="B222" s="2" t="s">
        <v>49</v>
      </c>
      <c r="C222" s="2" t="s">
        <v>31</v>
      </c>
      <c r="D222" s="7">
        <f t="shared" ref="D222:O222" si="20">D153+D176</f>
        <v>275.7833333333333</v>
      </c>
      <c r="E222" s="7">
        <f t="shared" si="20"/>
        <v>275.7833333333333</v>
      </c>
      <c r="F222" s="7">
        <f t="shared" si="20"/>
        <v>275.7833333333333</v>
      </c>
      <c r="G222" s="7">
        <f t="shared" si="20"/>
        <v>275.7833333333333</v>
      </c>
      <c r="H222" s="7">
        <f t="shared" si="20"/>
        <v>275.7833333333333</v>
      </c>
      <c r="I222" s="7">
        <f t="shared" si="20"/>
        <v>275.7833333333333</v>
      </c>
      <c r="J222" s="7">
        <f t="shared" si="20"/>
        <v>275.7833333333333</v>
      </c>
      <c r="K222" s="7">
        <f t="shared" si="20"/>
        <v>275.7833333333333</v>
      </c>
      <c r="L222" s="7">
        <f t="shared" si="20"/>
        <v>275.7833333333333</v>
      </c>
      <c r="M222" s="7">
        <f t="shared" si="20"/>
        <v>275.7833333333333</v>
      </c>
      <c r="N222" s="7">
        <f t="shared" si="20"/>
        <v>275.7833333333333</v>
      </c>
      <c r="O222" s="7">
        <f t="shared" si="20"/>
        <v>275.7833333333333</v>
      </c>
      <c r="P222" s="8">
        <f t="shared" ref="P222:P253" si="21">SUM(D222:O222)</f>
        <v>3309.3999999999996</v>
      </c>
    </row>
    <row r="223" spans="1:16" x14ac:dyDescent="0.3">
      <c r="A223" s="2" t="s">
        <v>16</v>
      </c>
      <c r="B223" s="2" t="s">
        <v>49</v>
      </c>
      <c r="C223" s="2" t="s">
        <v>32</v>
      </c>
      <c r="D223" s="7">
        <f t="shared" ref="D223:O223" si="22">D154+D177</f>
        <v>271.87499999999994</v>
      </c>
      <c r="E223" s="7">
        <f t="shared" si="22"/>
        <v>271.87499999999994</v>
      </c>
      <c r="F223" s="7">
        <f t="shared" si="22"/>
        <v>271.87499999999994</v>
      </c>
      <c r="G223" s="7">
        <f t="shared" si="22"/>
        <v>271.87499999999994</v>
      </c>
      <c r="H223" s="7">
        <f t="shared" si="22"/>
        <v>271.87499999999994</v>
      </c>
      <c r="I223" s="7">
        <f t="shared" si="22"/>
        <v>271.87499999999994</v>
      </c>
      <c r="J223" s="7">
        <f t="shared" si="22"/>
        <v>271.87499999999994</v>
      </c>
      <c r="K223" s="7">
        <f t="shared" si="22"/>
        <v>271.87499999999994</v>
      </c>
      <c r="L223" s="7">
        <f t="shared" si="22"/>
        <v>271.87499999999994</v>
      </c>
      <c r="M223" s="7">
        <f t="shared" si="22"/>
        <v>271.87499999999994</v>
      </c>
      <c r="N223" s="7">
        <f t="shared" si="22"/>
        <v>271.87499999999994</v>
      </c>
      <c r="O223" s="7">
        <f t="shared" si="22"/>
        <v>271.87499999999994</v>
      </c>
      <c r="P223" s="8">
        <f t="shared" si="21"/>
        <v>3262.4999999999995</v>
      </c>
    </row>
    <row r="224" spans="1:16" x14ac:dyDescent="0.3">
      <c r="A224" s="2" t="s">
        <v>16</v>
      </c>
      <c r="B224" s="2" t="s">
        <v>49</v>
      </c>
      <c r="C224" s="2" t="s">
        <v>33</v>
      </c>
      <c r="D224" s="7">
        <f t="shared" ref="D224:O224" si="23">D155+D178</f>
        <v>267.64166666666665</v>
      </c>
      <c r="E224" s="7">
        <f t="shared" si="23"/>
        <v>267.64166666666665</v>
      </c>
      <c r="F224" s="7">
        <f t="shared" si="23"/>
        <v>267.64166666666665</v>
      </c>
      <c r="G224" s="7">
        <f t="shared" si="23"/>
        <v>267.64166666666665</v>
      </c>
      <c r="H224" s="7">
        <f t="shared" si="23"/>
        <v>267.64166666666665</v>
      </c>
      <c r="I224" s="7">
        <f t="shared" si="23"/>
        <v>267.64166666666665</v>
      </c>
      <c r="J224" s="7">
        <f t="shared" si="23"/>
        <v>267.64166666666665</v>
      </c>
      <c r="K224" s="7">
        <f t="shared" si="23"/>
        <v>267.64166666666665</v>
      </c>
      <c r="L224" s="7">
        <f t="shared" si="23"/>
        <v>267.64166666666665</v>
      </c>
      <c r="M224" s="7">
        <f t="shared" si="23"/>
        <v>267.64166666666665</v>
      </c>
      <c r="N224" s="7">
        <f t="shared" si="23"/>
        <v>267.64166666666665</v>
      </c>
      <c r="O224" s="7">
        <f t="shared" si="23"/>
        <v>267.64166666666665</v>
      </c>
      <c r="P224" s="8">
        <f t="shared" si="21"/>
        <v>3211.6999999999989</v>
      </c>
    </row>
    <row r="225" spans="1:16" x14ac:dyDescent="0.3">
      <c r="A225" s="2" t="s">
        <v>16</v>
      </c>
      <c r="B225" s="2" t="s">
        <v>49</v>
      </c>
      <c r="C225" s="2" t="s">
        <v>34</v>
      </c>
      <c r="D225" s="7">
        <f t="shared" ref="D225:O225" si="24">D156+D179</f>
        <v>274.4666666666667</v>
      </c>
      <c r="E225" s="7">
        <f t="shared" si="24"/>
        <v>274.4666666666667</v>
      </c>
      <c r="F225" s="7">
        <f t="shared" si="24"/>
        <v>274.4666666666667</v>
      </c>
      <c r="G225" s="7">
        <f t="shared" si="24"/>
        <v>274.4666666666667</v>
      </c>
      <c r="H225" s="7">
        <f t="shared" si="24"/>
        <v>274.4666666666667</v>
      </c>
      <c r="I225" s="7">
        <f t="shared" si="24"/>
        <v>274.4666666666667</v>
      </c>
      <c r="J225" s="7">
        <f t="shared" si="24"/>
        <v>274.4666666666667</v>
      </c>
      <c r="K225" s="7">
        <f t="shared" si="24"/>
        <v>274.4666666666667</v>
      </c>
      <c r="L225" s="7">
        <f t="shared" si="24"/>
        <v>274.4666666666667</v>
      </c>
      <c r="M225" s="7">
        <f t="shared" si="24"/>
        <v>274.4666666666667</v>
      </c>
      <c r="N225" s="7">
        <f t="shared" si="24"/>
        <v>274.4666666666667</v>
      </c>
      <c r="O225" s="7">
        <f t="shared" si="24"/>
        <v>274.4666666666667</v>
      </c>
      <c r="P225" s="8">
        <f t="shared" si="21"/>
        <v>3293.6000000000004</v>
      </c>
    </row>
    <row r="226" spans="1:16" x14ac:dyDescent="0.3">
      <c r="A226" s="2" t="s">
        <v>16</v>
      </c>
      <c r="B226" s="2" t="s">
        <v>49</v>
      </c>
      <c r="C226" s="2" t="s">
        <v>35</v>
      </c>
      <c r="D226" s="7">
        <f t="shared" ref="D226:O226" si="25">D157+D180</f>
        <v>280.76666666666665</v>
      </c>
      <c r="E226" s="7">
        <f t="shared" si="25"/>
        <v>280.76666666666665</v>
      </c>
      <c r="F226" s="7">
        <f t="shared" si="25"/>
        <v>280.76666666666665</v>
      </c>
      <c r="G226" s="7">
        <f t="shared" si="25"/>
        <v>280.76666666666665</v>
      </c>
      <c r="H226" s="7">
        <f t="shared" si="25"/>
        <v>280.76666666666665</v>
      </c>
      <c r="I226" s="7">
        <f t="shared" si="25"/>
        <v>280.76666666666665</v>
      </c>
      <c r="J226" s="7">
        <f t="shared" si="25"/>
        <v>280.76666666666665</v>
      </c>
      <c r="K226" s="7">
        <f t="shared" si="25"/>
        <v>280.76666666666665</v>
      </c>
      <c r="L226" s="7">
        <f t="shared" si="25"/>
        <v>280.76666666666665</v>
      </c>
      <c r="M226" s="7">
        <f t="shared" si="25"/>
        <v>280.76666666666665</v>
      </c>
      <c r="N226" s="7">
        <f t="shared" si="25"/>
        <v>280.76666666666665</v>
      </c>
      <c r="O226" s="7">
        <f t="shared" si="25"/>
        <v>280.76666666666665</v>
      </c>
      <c r="P226" s="8">
        <f t="shared" si="21"/>
        <v>3369.1999999999989</v>
      </c>
    </row>
    <row r="227" spans="1:16" x14ac:dyDescent="0.3">
      <c r="A227" s="2" t="s">
        <v>16</v>
      </c>
      <c r="B227" s="2" t="s">
        <v>49</v>
      </c>
      <c r="C227" s="2" t="s">
        <v>36</v>
      </c>
      <c r="D227" s="7">
        <f t="shared" ref="D227:O227" si="26">D158+D181</f>
        <v>272.0916666666667</v>
      </c>
      <c r="E227" s="7">
        <f t="shared" si="26"/>
        <v>272.0916666666667</v>
      </c>
      <c r="F227" s="7">
        <f t="shared" si="26"/>
        <v>272.0916666666667</v>
      </c>
      <c r="G227" s="7">
        <f t="shared" si="26"/>
        <v>272.0916666666667</v>
      </c>
      <c r="H227" s="7">
        <f t="shared" si="26"/>
        <v>272.0916666666667</v>
      </c>
      <c r="I227" s="7">
        <f t="shared" si="26"/>
        <v>272.0916666666667</v>
      </c>
      <c r="J227" s="7">
        <f t="shared" si="26"/>
        <v>272.0916666666667</v>
      </c>
      <c r="K227" s="7">
        <f t="shared" si="26"/>
        <v>272.0916666666667</v>
      </c>
      <c r="L227" s="7">
        <f t="shared" si="26"/>
        <v>272.0916666666667</v>
      </c>
      <c r="M227" s="7">
        <f t="shared" si="26"/>
        <v>272.0916666666667</v>
      </c>
      <c r="N227" s="7">
        <f t="shared" si="26"/>
        <v>272.0916666666667</v>
      </c>
      <c r="O227" s="7">
        <f t="shared" si="26"/>
        <v>272.0916666666667</v>
      </c>
      <c r="P227" s="8">
        <f t="shared" si="21"/>
        <v>3265.1000000000004</v>
      </c>
    </row>
    <row r="228" spans="1:16" x14ac:dyDescent="0.3">
      <c r="A228" s="2" t="s">
        <v>16</v>
      </c>
      <c r="B228" s="2" t="s">
        <v>49</v>
      </c>
      <c r="C228" s="2" t="s">
        <v>37</v>
      </c>
      <c r="D228" s="7">
        <f t="shared" ref="D228:O228" si="27">D159+D182</f>
        <v>270.85833333333335</v>
      </c>
      <c r="E228" s="7">
        <f t="shared" si="27"/>
        <v>270.85833333333335</v>
      </c>
      <c r="F228" s="7">
        <f t="shared" si="27"/>
        <v>270.85833333333335</v>
      </c>
      <c r="G228" s="7">
        <f t="shared" si="27"/>
        <v>270.85833333333335</v>
      </c>
      <c r="H228" s="7">
        <f t="shared" si="27"/>
        <v>270.85833333333335</v>
      </c>
      <c r="I228" s="7">
        <f t="shared" si="27"/>
        <v>270.85833333333335</v>
      </c>
      <c r="J228" s="7">
        <f t="shared" si="27"/>
        <v>270.85833333333335</v>
      </c>
      <c r="K228" s="7">
        <f t="shared" si="27"/>
        <v>270.85833333333335</v>
      </c>
      <c r="L228" s="7">
        <f t="shared" si="27"/>
        <v>270.85833333333335</v>
      </c>
      <c r="M228" s="7">
        <f t="shared" si="27"/>
        <v>270.85833333333335</v>
      </c>
      <c r="N228" s="7">
        <f t="shared" si="27"/>
        <v>270.85833333333335</v>
      </c>
      <c r="O228" s="7">
        <f t="shared" si="27"/>
        <v>270.85833333333335</v>
      </c>
      <c r="P228" s="8">
        <f t="shared" si="21"/>
        <v>3250.3000000000011</v>
      </c>
    </row>
    <row r="229" spans="1:16" x14ac:dyDescent="0.3">
      <c r="A229" s="2" t="s">
        <v>16</v>
      </c>
      <c r="B229" s="2" t="s">
        <v>49</v>
      </c>
      <c r="C229" s="2" t="s">
        <v>38</v>
      </c>
      <c r="D229" s="7">
        <f t="shared" ref="D229:O229" si="28">D160+D183</f>
        <v>271.33333333333331</v>
      </c>
      <c r="E229" s="7">
        <f t="shared" si="28"/>
        <v>271.33333333333331</v>
      </c>
      <c r="F229" s="7">
        <f t="shared" si="28"/>
        <v>271.33333333333331</v>
      </c>
      <c r="G229" s="7">
        <f t="shared" si="28"/>
        <v>271.33333333333331</v>
      </c>
      <c r="H229" s="7">
        <f t="shared" si="28"/>
        <v>271.33333333333331</v>
      </c>
      <c r="I229" s="7">
        <f t="shared" si="28"/>
        <v>271.33333333333331</v>
      </c>
      <c r="J229" s="7">
        <f t="shared" si="28"/>
        <v>271.33333333333331</v>
      </c>
      <c r="K229" s="7">
        <f t="shared" si="28"/>
        <v>271.33333333333331</v>
      </c>
      <c r="L229" s="7">
        <f t="shared" si="28"/>
        <v>271.33333333333331</v>
      </c>
      <c r="M229" s="7">
        <f t="shared" si="28"/>
        <v>271.33333333333331</v>
      </c>
      <c r="N229" s="7">
        <f t="shared" si="28"/>
        <v>271.33333333333331</v>
      </c>
      <c r="O229" s="7">
        <f t="shared" si="28"/>
        <v>271.33333333333331</v>
      </c>
      <c r="P229" s="8">
        <f t="shared" si="21"/>
        <v>3256.0000000000005</v>
      </c>
    </row>
    <row r="230" spans="1:16" x14ac:dyDescent="0.3">
      <c r="A230" s="2" t="s">
        <v>16</v>
      </c>
      <c r="B230" s="2" t="s">
        <v>49</v>
      </c>
      <c r="C230" s="2" t="s">
        <v>39</v>
      </c>
      <c r="D230" s="7">
        <f t="shared" ref="D230:O230" si="29">D161+D184</f>
        <v>272.8416666666667</v>
      </c>
      <c r="E230" s="7">
        <f t="shared" si="29"/>
        <v>272.8416666666667</v>
      </c>
      <c r="F230" s="7">
        <f t="shared" si="29"/>
        <v>272.8416666666667</v>
      </c>
      <c r="G230" s="7">
        <f t="shared" si="29"/>
        <v>272.8416666666667</v>
      </c>
      <c r="H230" s="7">
        <f t="shared" si="29"/>
        <v>272.8416666666667</v>
      </c>
      <c r="I230" s="7">
        <f t="shared" si="29"/>
        <v>272.8416666666667</v>
      </c>
      <c r="J230" s="7">
        <f t="shared" si="29"/>
        <v>272.8416666666667</v>
      </c>
      <c r="K230" s="7">
        <f t="shared" si="29"/>
        <v>272.8416666666667</v>
      </c>
      <c r="L230" s="7">
        <f t="shared" si="29"/>
        <v>272.8416666666667</v>
      </c>
      <c r="M230" s="7">
        <f t="shared" si="29"/>
        <v>272.8416666666667</v>
      </c>
      <c r="N230" s="7">
        <f t="shared" si="29"/>
        <v>272.8416666666667</v>
      </c>
      <c r="O230" s="7">
        <f t="shared" si="29"/>
        <v>272.8416666666667</v>
      </c>
      <c r="P230" s="8">
        <f t="shared" si="21"/>
        <v>3274.1000000000004</v>
      </c>
    </row>
    <row r="231" spans="1:16" x14ac:dyDescent="0.3">
      <c r="A231" s="2" t="s">
        <v>16</v>
      </c>
      <c r="B231" s="2" t="s">
        <v>49</v>
      </c>
      <c r="C231" s="2" t="s">
        <v>40</v>
      </c>
      <c r="D231" s="7">
        <f t="shared" ref="D231:O231" si="30">D162+D185</f>
        <v>275.04166666666669</v>
      </c>
      <c r="E231" s="7">
        <f t="shared" si="30"/>
        <v>275.04166666666669</v>
      </c>
      <c r="F231" s="7">
        <f t="shared" si="30"/>
        <v>275.04166666666669</v>
      </c>
      <c r="G231" s="7">
        <f t="shared" si="30"/>
        <v>275.04166666666669</v>
      </c>
      <c r="H231" s="7">
        <f t="shared" si="30"/>
        <v>275.04166666666669</v>
      </c>
      <c r="I231" s="7">
        <f t="shared" si="30"/>
        <v>275.04166666666669</v>
      </c>
      <c r="J231" s="7">
        <f t="shared" si="30"/>
        <v>275.04166666666669</v>
      </c>
      <c r="K231" s="7">
        <f t="shared" si="30"/>
        <v>275.04166666666669</v>
      </c>
      <c r="L231" s="7">
        <f t="shared" si="30"/>
        <v>275.04166666666669</v>
      </c>
      <c r="M231" s="7">
        <f t="shared" si="30"/>
        <v>275.04166666666669</v>
      </c>
      <c r="N231" s="7">
        <f t="shared" si="30"/>
        <v>275.04166666666669</v>
      </c>
      <c r="O231" s="7">
        <f t="shared" si="30"/>
        <v>275.04166666666669</v>
      </c>
      <c r="P231" s="8">
        <f t="shared" si="21"/>
        <v>3300.4999999999995</v>
      </c>
    </row>
    <row r="232" spans="1:16" x14ac:dyDescent="0.3">
      <c r="A232" s="2" t="s">
        <v>16</v>
      </c>
      <c r="B232" s="2" t="s">
        <v>50</v>
      </c>
      <c r="C232" s="2" t="s">
        <v>18</v>
      </c>
      <c r="D232" s="7">
        <v>371.8666666666665</v>
      </c>
      <c r="E232" s="7">
        <v>371.8666666666665</v>
      </c>
      <c r="F232" s="7">
        <v>371.8666666666665</v>
      </c>
      <c r="G232" s="7">
        <v>371.8666666666665</v>
      </c>
      <c r="H232" s="7">
        <v>371.8666666666665</v>
      </c>
      <c r="I232" s="7">
        <v>371.8666666666665</v>
      </c>
      <c r="J232" s="7">
        <v>371.8666666666665</v>
      </c>
      <c r="K232" s="7">
        <v>371.8666666666665</v>
      </c>
      <c r="L232" s="7">
        <v>371.8666666666665</v>
      </c>
      <c r="M232" s="7">
        <v>371.8666666666665</v>
      </c>
      <c r="N232" s="7">
        <v>371.8666666666665</v>
      </c>
      <c r="O232" s="7">
        <v>371.8666666666665</v>
      </c>
      <c r="P232" s="8">
        <f t="shared" si="21"/>
        <v>4462.3999999999969</v>
      </c>
    </row>
    <row r="233" spans="1:16" x14ac:dyDescent="0.3">
      <c r="A233" s="2" t="s">
        <v>16</v>
      </c>
      <c r="B233" s="2" t="s">
        <v>50</v>
      </c>
      <c r="C233" s="2" t="s">
        <v>19</v>
      </c>
      <c r="D233" s="7">
        <v>326.64116666666689</v>
      </c>
      <c r="E233" s="7">
        <v>326.64116666666689</v>
      </c>
      <c r="F233" s="7">
        <v>326.64116666666689</v>
      </c>
      <c r="G233" s="7">
        <v>326.64116666666689</v>
      </c>
      <c r="H233" s="7">
        <v>326.64116666666689</v>
      </c>
      <c r="I233" s="7">
        <v>326.64116666666689</v>
      </c>
      <c r="J233" s="7">
        <v>326.64116666666689</v>
      </c>
      <c r="K233" s="7">
        <v>326.64116666666689</v>
      </c>
      <c r="L233" s="7">
        <v>326.64116666666689</v>
      </c>
      <c r="M233" s="7">
        <v>326.64116666666689</v>
      </c>
      <c r="N233" s="7">
        <v>326.64116666666689</v>
      </c>
      <c r="O233" s="7">
        <v>326.64116666666689</v>
      </c>
      <c r="P233" s="8">
        <f t="shared" si="21"/>
        <v>3919.6940000000018</v>
      </c>
    </row>
    <row r="234" spans="1:16" x14ac:dyDescent="0.3">
      <c r="A234" s="2" t="s">
        <v>16</v>
      </c>
      <c r="B234" s="2" t="s">
        <v>50</v>
      </c>
      <c r="C234" s="2" t="s">
        <v>20</v>
      </c>
      <c r="D234" s="7">
        <v>383.99900000000008</v>
      </c>
      <c r="E234" s="7">
        <v>383.99900000000008</v>
      </c>
      <c r="F234" s="7">
        <v>383.99900000000008</v>
      </c>
      <c r="G234" s="7">
        <v>383.99900000000008</v>
      </c>
      <c r="H234" s="7">
        <v>383.99900000000008</v>
      </c>
      <c r="I234" s="7">
        <v>383.99900000000008</v>
      </c>
      <c r="J234" s="7">
        <v>383.99900000000008</v>
      </c>
      <c r="K234" s="7">
        <v>383.99900000000008</v>
      </c>
      <c r="L234" s="7">
        <v>383.99900000000008</v>
      </c>
      <c r="M234" s="7">
        <v>383.99900000000008</v>
      </c>
      <c r="N234" s="7">
        <v>383.99900000000008</v>
      </c>
      <c r="O234" s="7">
        <v>383.99900000000008</v>
      </c>
      <c r="P234" s="8">
        <f t="shared" si="21"/>
        <v>4607.9880000000012</v>
      </c>
    </row>
    <row r="235" spans="1:16" x14ac:dyDescent="0.3">
      <c r="A235" s="2" t="s">
        <v>16</v>
      </c>
      <c r="B235" s="2" t="s">
        <v>50</v>
      </c>
      <c r="C235" s="2" t="s">
        <v>21</v>
      </c>
      <c r="D235" s="7">
        <v>371.08533333333298</v>
      </c>
      <c r="E235" s="7">
        <v>371.08533333333298</v>
      </c>
      <c r="F235" s="7">
        <v>371.08533333333298</v>
      </c>
      <c r="G235" s="7">
        <v>371.08533333333298</v>
      </c>
      <c r="H235" s="7">
        <v>371.08533333333298</v>
      </c>
      <c r="I235" s="7">
        <v>371.08533333333298</v>
      </c>
      <c r="J235" s="7">
        <v>371.08533333333298</v>
      </c>
      <c r="K235" s="7">
        <v>371.08533333333298</v>
      </c>
      <c r="L235" s="7">
        <v>371.08533333333298</v>
      </c>
      <c r="M235" s="7">
        <v>371.08533333333298</v>
      </c>
      <c r="N235" s="7">
        <v>371.08533333333298</v>
      </c>
      <c r="O235" s="7">
        <v>371.08533333333298</v>
      </c>
      <c r="P235" s="8">
        <f t="shared" si="21"/>
        <v>4453.0239999999958</v>
      </c>
    </row>
    <row r="236" spans="1:16" x14ac:dyDescent="0.3">
      <c r="A236" s="2" t="s">
        <v>16</v>
      </c>
      <c r="B236" s="2" t="s">
        <v>50</v>
      </c>
      <c r="C236" s="2" t="s">
        <v>22</v>
      </c>
      <c r="D236" s="7">
        <v>421.18783333333351</v>
      </c>
      <c r="E236" s="7">
        <v>421.18783333333351</v>
      </c>
      <c r="F236" s="7">
        <v>421.18783333333351</v>
      </c>
      <c r="G236" s="7">
        <v>421.18783333333351</v>
      </c>
      <c r="H236" s="7">
        <v>421.18783333333351</v>
      </c>
      <c r="I236" s="7">
        <v>421.18783333333351</v>
      </c>
      <c r="J236" s="7">
        <v>421.18783333333351</v>
      </c>
      <c r="K236" s="7">
        <v>421.18783333333351</v>
      </c>
      <c r="L236" s="7">
        <v>421.18783333333351</v>
      </c>
      <c r="M236" s="7">
        <v>421.18783333333351</v>
      </c>
      <c r="N236" s="7">
        <v>421.18783333333351</v>
      </c>
      <c r="O236" s="7">
        <v>421.18783333333351</v>
      </c>
      <c r="P236" s="8">
        <f t="shared" si="21"/>
        <v>5054.2540000000017</v>
      </c>
    </row>
    <row r="237" spans="1:16" x14ac:dyDescent="0.3">
      <c r="A237" s="2" t="s">
        <v>16</v>
      </c>
      <c r="B237" s="2" t="s">
        <v>50</v>
      </c>
      <c r="C237" s="2" t="s">
        <v>23</v>
      </c>
      <c r="D237" s="7">
        <v>235.9963333333335</v>
      </c>
      <c r="E237" s="7">
        <v>235.9963333333335</v>
      </c>
      <c r="F237" s="7">
        <v>235.9963333333335</v>
      </c>
      <c r="G237" s="7">
        <v>235.9963333333335</v>
      </c>
      <c r="H237" s="7">
        <v>235.9963333333335</v>
      </c>
      <c r="I237" s="7">
        <v>235.9963333333335</v>
      </c>
      <c r="J237" s="7">
        <v>235.9963333333335</v>
      </c>
      <c r="K237" s="7">
        <v>235.9963333333335</v>
      </c>
      <c r="L237" s="7">
        <v>235.9963333333335</v>
      </c>
      <c r="M237" s="7">
        <v>235.9963333333335</v>
      </c>
      <c r="N237" s="7">
        <v>235.9963333333335</v>
      </c>
      <c r="O237" s="7">
        <v>235.9963333333335</v>
      </c>
      <c r="P237" s="8">
        <f t="shared" si="21"/>
        <v>2831.9560000000019</v>
      </c>
    </row>
    <row r="238" spans="1:16" x14ac:dyDescent="0.3">
      <c r="A238" s="2" t="s">
        <v>16</v>
      </c>
      <c r="B238" s="2" t="s">
        <v>50</v>
      </c>
      <c r="C238" s="2" t="s">
        <v>24</v>
      </c>
      <c r="D238" s="7">
        <v>327.31850000000043</v>
      </c>
      <c r="E238" s="7">
        <v>327.31850000000043</v>
      </c>
      <c r="F238" s="7">
        <v>327.31850000000043</v>
      </c>
      <c r="G238" s="7">
        <v>327.31850000000043</v>
      </c>
      <c r="H238" s="7">
        <v>327.31850000000043</v>
      </c>
      <c r="I238" s="7">
        <v>327.31850000000043</v>
      </c>
      <c r="J238" s="7">
        <v>327.31850000000043</v>
      </c>
      <c r="K238" s="7">
        <v>327.31850000000043</v>
      </c>
      <c r="L238" s="7">
        <v>327.31850000000043</v>
      </c>
      <c r="M238" s="7">
        <v>327.31850000000043</v>
      </c>
      <c r="N238" s="7">
        <v>327.31850000000043</v>
      </c>
      <c r="O238" s="7">
        <v>327.31850000000043</v>
      </c>
      <c r="P238" s="8">
        <f t="shared" si="21"/>
        <v>3927.8220000000042</v>
      </c>
    </row>
    <row r="239" spans="1:16" x14ac:dyDescent="0.3">
      <c r="A239" s="2" t="s">
        <v>16</v>
      </c>
      <c r="B239" s="2" t="s">
        <v>50</v>
      </c>
      <c r="C239" s="2" t="s">
        <v>25</v>
      </c>
      <c r="D239" s="7">
        <v>173.55533333333341</v>
      </c>
      <c r="E239" s="7">
        <v>173.55533333333341</v>
      </c>
      <c r="F239" s="7">
        <v>173.55533333333341</v>
      </c>
      <c r="G239" s="7">
        <v>173.55533333333341</v>
      </c>
      <c r="H239" s="7">
        <v>173.55533333333341</v>
      </c>
      <c r="I239" s="7">
        <v>173.55533333333341</v>
      </c>
      <c r="J239" s="7">
        <v>173.55533333333341</v>
      </c>
      <c r="K239" s="7">
        <v>173.55533333333341</v>
      </c>
      <c r="L239" s="7">
        <v>173.55533333333341</v>
      </c>
      <c r="M239" s="7">
        <v>173.55533333333341</v>
      </c>
      <c r="N239" s="7">
        <v>173.55533333333341</v>
      </c>
      <c r="O239" s="7">
        <v>173.55533333333341</v>
      </c>
      <c r="P239" s="8">
        <f t="shared" si="21"/>
        <v>2082.6640000000011</v>
      </c>
    </row>
    <row r="240" spans="1:16" x14ac:dyDescent="0.3">
      <c r="A240" s="2" t="s">
        <v>16</v>
      </c>
      <c r="B240" s="2" t="s">
        <v>50</v>
      </c>
      <c r="C240" s="2" t="s">
        <v>26</v>
      </c>
      <c r="D240" s="7">
        <v>241.4711666666669</v>
      </c>
      <c r="E240" s="7">
        <v>241.4711666666669</v>
      </c>
      <c r="F240" s="7">
        <v>241.4711666666669</v>
      </c>
      <c r="G240" s="7">
        <v>241.4711666666669</v>
      </c>
      <c r="H240" s="7">
        <v>241.4711666666669</v>
      </c>
      <c r="I240" s="7">
        <v>241.4711666666669</v>
      </c>
      <c r="J240" s="7">
        <v>241.4711666666669</v>
      </c>
      <c r="K240" s="7">
        <v>241.4711666666669</v>
      </c>
      <c r="L240" s="7">
        <v>241.4711666666669</v>
      </c>
      <c r="M240" s="7">
        <v>241.4711666666669</v>
      </c>
      <c r="N240" s="7">
        <v>241.4711666666669</v>
      </c>
      <c r="O240" s="7">
        <v>241.4711666666669</v>
      </c>
      <c r="P240" s="8">
        <f t="shared" si="21"/>
        <v>2897.6540000000023</v>
      </c>
    </row>
    <row r="241" spans="1:16" x14ac:dyDescent="0.3">
      <c r="A241" s="2" t="s">
        <v>16</v>
      </c>
      <c r="B241" s="2" t="s">
        <v>50</v>
      </c>
      <c r="C241" s="2" t="s">
        <v>27</v>
      </c>
      <c r="D241" s="7">
        <v>439.11008333333348</v>
      </c>
      <c r="E241" s="7">
        <v>439.11008333333348</v>
      </c>
      <c r="F241" s="7">
        <v>439.11008333333348</v>
      </c>
      <c r="G241" s="7">
        <v>439.11008333333348</v>
      </c>
      <c r="H241" s="7">
        <v>439.11008333333348</v>
      </c>
      <c r="I241" s="7">
        <v>439.11008333333348</v>
      </c>
      <c r="J241" s="7">
        <v>439.11008333333348</v>
      </c>
      <c r="K241" s="7">
        <v>439.11008333333348</v>
      </c>
      <c r="L241" s="7">
        <v>439.11008333333348</v>
      </c>
      <c r="M241" s="7">
        <v>439.11008333333348</v>
      </c>
      <c r="N241" s="7">
        <v>439.11008333333348</v>
      </c>
      <c r="O241" s="7">
        <v>439.11008333333348</v>
      </c>
      <c r="P241" s="8">
        <f t="shared" si="21"/>
        <v>5269.3210000000017</v>
      </c>
    </row>
    <row r="242" spans="1:16" x14ac:dyDescent="0.3">
      <c r="A242" s="2" t="s">
        <v>16</v>
      </c>
      <c r="B242" s="2" t="s">
        <v>50</v>
      </c>
      <c r="C242" s="2" t="s">
        <v>28</v>
      </c>
      <c r="D242" s="7">
        <v>454.72575000000052</v>
      </c>
      <c r="E242" s="7">
        <v>454.72575000000052</v>
      </c>
      <c r="F242" s="7">
        <v>454.72575000000052</v>
      </c>
      <c r="G242" s="7">
        <v>454.72575000000052</v>
      </c>
      <c r="H242" s="7">
        <v>454.72575000000052</v>
      </c>
      <c r="I242" s="7">
        <v>454.72575000000052</v>
      </c>
      <c r="J242" s="7">
        <v>454.72575000000052</v>
      </c>
      <c r="K242" s="7">
        <v>454.72575000000052</v>
      </c>
      <c r="L242" s="7">
        <v>454.72575000000052</v>
      </c>
      <c r="M242" s="7">
        <v>454.72575000000052</v>
      </c>
      <c r="N242" s="7">
        <v>454.72575000000052</v>
      </c>
      <c r="O242" s="7">
        <v>454.72575000000052</v>
      </c>
      <c r="P242" s="8">
        <f t="shared" si="21"/>
        <v>5456.7090000000062</v>
      </c>
    </row>
    <row r="243" spans="1:16" x14ac:dyDescent="0.3">
      <c r="A243" s="2" t="s">
        <v>16</v>
      </c>
      <c r="B243" s="2" t="s">
        <v>50</v>
      </c>
      <c r="C243" s="2" t="s">
        <v>29</v>
      </c>
      <c r="D243" s="7">
        <v>422.88166666666638</v>
      </c>
      <c r="E243" s="7">
        <v>422.88166666666638</v>
      </c>
      <c r="F243" s="7">
        <v>422.88166666666638</v>
      </c>
      <c r="G243" s="7">
        <v>422.88166666666638</v>
      </c>
      <c r="H243" s="7">
        <v>422.88166666666638</v>
      </c>
      <c r="I243" s="7">
        <v>422.88166666666638</v>
      </c>
      <c r="J243" s="7">
        <v>422.88166666666638</v>
      </c>
      <c r="K243" s="7">
        <v>422.88166666666638</v>
      </c>
      <c r="L243" s="7">
        <v>422.88166666666638</v>
      </c>
      <c r="M243" s="7">
        <v>422.88166666666638</v>
      </c>
      <c r="N243" s="7">
        <v>422.88166666666638</v>
      </c>
      <c r="O243" s="7">
        <v>422.88166666666638</v>
      </c>
      <c r="P243" s="8">
        <f t="shared" si="21"/>
        <v>5074.5799999999954</v>
      </c>
    </row>
    <row r="244" spans="1:16" x14ac:dyDescent="0.3">
      <c r="A244" s="2" t="s">
        <v>16</v>
      </c>
      <c r="B244" s="2" t="s">
        <v>50</v>
      </c>
      <c r="C244" s="2" t="s">
        <v>30</v>
      </c>
      <c r="D244" s="7">
        <v>417.3521666666669</v>
      </c>
      <c r="E244" s="7">
        <v>417.3521666666669</v>
      </c>
      <c r="F244" s="7">
        <v>417.3521666666669</v>
      </c>
      <c r="G244" s="7">
        <v>417.3521666666669</v>
      </c>
      <c r="H244" s="7">
        <v>417.3521666666669</v>
      </c>
      <c r="I244" s="7">
        <v>417.3521666666669</v>
      </c>
      <c r="J244" s="7">
        <v>417.3521666666669</v>
      </c>
      <c r="K244" s="7">
        <v>417.3521666666669</v>
      </c>
      <c r="L244" s="7">
        <v>417.3521666666669</v>
      </c>
      <c r="M244" s="7">
        <v>417.3521666666669</v>
      </c>
      <c r="N244" s="7">
        <v>417.3521666666669</v>
      </c>
      <c r="O244" s="7">
        <v>417.3521666666669</v>
      </c>
      <c r="P244" s="8">
        <f t="shared" si="21"/>
        <v>5008.2260000000024</v>
      </c>
    </row>
    <row r="245" spans="1:16" x14ac:dyDescent="0.3">
      <c r="A245" s="2" t="s">
        <v>16</v>
      </c>
      <c r="B245" s="2" t="s">
        <v>50</v>
      </c>
      <c r="C245" s="2" t="s">
        <v>31</v>
      </c>
      <c r="D245" s="7">
        <v>313.77033333333321</v>
      </c>
      <c r="E245" s="7">
        <v>313.77033333333321</v>
      </c>
      <c r="F245" s="7">
        <v>313.77033333333321</v>
      </c>
      <c r="G245" s="7">
        <v>313.77033333333321</v>
      </c>
      <c r="H245" s="7">
        <v>313.77033333333321</v>
      </c>
      <c r="I245" s="7">
        <v>313.77033333333321</v>
      </c>
      <c r="J245" s="7">
        <v>313.77033333333321</v>
      </c>
      <c r="K245" s="7">
        <v>313.77033333333321</v>
      </c>
      <c r="L245" s="7">
        <v>313.77033333333321</v>
      </c>
      <c r="M245" s="7">
        <v>313.77033333333321</v>
      </c>
      <c r="N245" s="7">
        <v>313.77033333333321</v>
      </c>
      <c r="O245" s="7">
        <v>313.77033333333321</v>
      </c>
      <c r="P245" s="8">
        <f t="shared" si="21"/>
        <v>3765.2439999999992</v>
      </c>
    </row>
    <row r="246" spans="1:16" x14ac:dyDescent="0.3">
      <c r="A246" s="2" t="s">
        <v>16</v>
      </c>
      <c r="B246" s="2" t="s">
        <v>50</v>
      </c>
      <c r="C246" s="2" t="s">
        <v>32</v>
      </c>
      <c r="D246" s="7">
        <v>395.43199999999962</v>
      </c>
      <c r="E246" s="7">
        <v>395.43199999999962</v>
      </c>
      <c r="F246" s="7">
        <v>395.43199999999962</v>
      </c>
      <c r="G246" s="7">
        <v>395.43199999999962</v>
      </c>
      <c r="H246" s="7">
        <v>395.43199999999962</v>
      </c>
      <c r="I246" s="7">
        <v>395.43199999999962</v>
      </c>
      <c r="J246" s="7">
        <v>395.43199999999962</v>
      </c>
      <c r="K246" s="7">
        <v>395.43199999999962</v>
      </c>
      <c r="L246" s="7">
        <v>395.43199999999962</v>
      </c>
      <c r="M246" s="7">
        <v>395.43199999999962</v>
      </c>
      <c r="N246" s="7">
        <v>395.43199999999962</v>
      </c>
      <c r="O246" s="7">
        <v>395.43199999999962</v>
      </c>
      <c r="P246" s="8">
        <f t="shared" si="21"/>
        <v>4745.1839999999966</v>
      </c>
    </row>
    <row r="247" spans="1:16" x14ac:dyDescent="0.3">
      <c r="A247" s="2" t="s">
        <v>16</v>
      </c>
      <c r="B247" s="2" t="s">
        <v>50</v>
      </c>
      <c r="C247" s="2" t="s">
        <v>33</v>
      </c>
      <c r="D247" s="7">
        <v>410.22900000000021</v>
      </c>
      <c r="E247" s="7">
        <v>410.22900000000021</v>
      </c>
      <c r="F247" s="7">
        <v>410.22900000000021</v>
      </c>
      <c r="G247" s="7">
        <v>410.22900000000021</v>
      </c>
      <c r="H247" s="7">
        <v>410.22900000000021</v>
      </c>
      <c r="I247" s="7">
        <v>410.22900000000021</v>
      </c>
      <c r="J247" s="7">
        <v>410.22900000000021</v>
      </c>
      <c r="K247" s="7">
        <v>410.22900000000021</v>
      </c>
      <c r="L247" s="7">
        <v>410.22900000000021</v>
      </c>
      <c r="M247" s="7">
        <v>410.22900000000021</v>
      </c>
      <c r="N247" s="7">
        <v>410.22900000000021</v>
      </c>
      <c r="O247" s="7">
        <v>410.22900000000021</v>
      </c>
      <c r="P247" s="8">
        <f t="shared" si="21"/>
        <v>4922.7480000000023</v>
      </c>
    </row>
    <row r="248" spans="1:16" x14ac:dyDescent="0.3">
      <c r="A248" s="2" t="s">
        <v>16</v>
      </c>
      <c r="B248" s="2" t="s">
        <v>50</v>
      </c>
      <c r="C248" s="2" t="s">
        <v>34</v>
      </c>
      <c r="D248" s="7">
        <v>402.57574999999969</v>
      </c>
      <c r="E248" s="7">
        <v>402.57574999999969</v>
      </c>
      <c r="F248" s="7">
        <v>402.57574999999969</v>
      </c>
      <c r="G248" s="7">
        <v>402.57574999999969</v>
      </c>
      <c r="H248" s="7">
        <v>402.57574999999969</v>
      </c>
      <c r="I248" s="7">
        <v>402.57574999999969</v>
      </c>
      <c r="J248" s="7">
        <v>402.57574999999969</v>
      </c>
      <c r="K248" s="7">
        <v>402.57574999999969</v>
      </c>
      <c r="L248" s="7">
        <v>402.57574999999969</v>
      </c>
      <c r="M248" s="7">
        <v>402.57574999999969</v>
      </c>
      <c r="N248" s="7">
        <v>402.57574999999969</v>
      </c>
      <c r="O248" s="7">
        <v>402.57574999999969</v>
      </c>
      <c r="P248" s="8">
        <f t="shared" si="21"/>
        <v>4830.908999999996</v>
      </c>
    </row>
    <row r="249" spans="1:16" x14ac:dyDescent="0.3">
      <c r="A249" s="2" t="s">
        <v>16</v>
      </c>
      <c r="B249" s="2" t="s">
        <v>50</v>
      </c>
      <c r="C249" s="2" t="s">
        <v>35</v>
      </c>
      <c r="D249" s="7">
        <v>448.60425000000049</v>
      </c>
      <c r="E249" s="7">
        <v>448.60425000000049</v>
      </c>
      <c r="F249" s="7">
        <v>448.60425000000049</v>
      </c>
      <c r="G249" s="7">
        <v>448.60425000000049</v>
      </c>
      <c r="H249" s="7">
        <v>448.60425000000049</v>
      </c>
      <c r="I249" s="7">
        <v>448.60425000000049</v>
      </c>
      <c r="J249" s="7">
        <v>448.60425000000049</v>
      </c>
      <c r="K249" s="7">
        <v>448.60425000000049</v>
      </c>
      <c r="L249" s="7">
        <v>448.60425000000049</v>
      </c>
      <c r="M249" s="7">
        <v>448.60425000000049</v>
      </c>
      <c r="N249" s="7">
        <v>448.60425000000049</v>
      </c>
      <c r="O249" s="7">
        <v>448.60425000000049</v>
      </c>
      <c r="P249" s="8">
        <f t="shared" si="21"/>
        <v>5383.2510000000048</v>
      </c>
    </row>
    <row r="250" spans="1:16" x14ac:dyDescent="0.3">
      <c r="A250" s="2" t="s">
        <v>16</v>
      </c>
      <c r="B250" s="2" t="s">
        <v>50</v>
      </c>
      <c r="C250" s="2" t="s">
        <v>36</v>
      </c>
      <c r="D250" s="7">
        <v>414.59541666666718</v>
      </c>
      <c r="E250" s="7">
        <v>414.59541666666718</v>
      </c>
      <c r="F250" s="7">
        <v>414.59541666666718</v>
      </c>
      <c r="G250" s="7">
        <v>414.59541666666718</v>
      </c>
      <c r="H250" s="7">
        <v>414.59541666666718</v>
      </c>
      <c r="I250" s="7">
        <v>414.59541666666718</v>
      </c>
      <c r="J250" s="7">
        <v>414.59541666666718</v>
      </c>
      <c r="K250" s="7">
        <v>414.59541666666718</v>
      </c>
      <c r="L250" s="7">
        <v>414.59541666666718</v>
      </c>
      <c r="M250" s="7">
        <v>414.59541666666718</v>
      </c>
      <c r="N250" s="7">
        <v>414.59541666666718</v>
      </c>
      <c r="O250" s="7">
        <v>414.59541666666718</v>
      </c>
      <c r="P250" s="8">
        <f t="shared" si="21"/>
        <v>4975.145000000005</v>
      </c>
    </row>
    <row r="251" spans="1:16" x14ac:dyDescent="0.3">
      <c r="A251" s="2" t="s">
        <v>16</v>
      </c>
      <c r="B251" s="2" t="s">
        <v>50</v>
      </c>
      <c r="C251" s="2" t="s">
        <v>37</v>
      </c>
      <c r="D251" s="7">
        <v>476.54224999999991</v>
      </c>
      <c r="E251" s="7">
        <v>476.54224999999991</v>
      </c>
      <c r="F251" s="7">
        <v>476.54224999999991</v>
      </c>
      <c r="G251" s="7">
        <v>476.54224999999991</v>
      </c>
      <c r="H251" s="7">
        <v>476.54224999999991</v>
      </c>
      <c r="I251" s="7">
        <v>476.54224999999991</v>
      </c>
      <c r="J251" s="7">
        <v>476.54224999999991</v>
      </c>
      <c r="K251" s="7">
        <v>476.54224999999991</v>
      </c>
      <c r="L251" s="7">
        <v>476.54224999999991</v>
      </c>
      <c r="M251" s="7">
        <v>476.54224999999991</v>
      </c>
      <c r="N251" s="7">
        <v>476.54224999999991</v>
      </c>
      <c r="O251" s="7">
        <v>476.54224999999991</v>
      </c>
      <c r="P251" s="8">
        <f t="shared" si="21"/>
        <v>5718.5069999999978</v>
      </c>
    </row>
    <row r="252" spans="1:16" x14ac:dyDescent="0.3">
      <c r="A252" s="2" t="s">
        <v>16</v>
      </c>
      <c r="B252" s="2" t="s">
        <v>50</v>
      </c>
      <c r="C252" s="2" t="s">
        <v>38</v>
      </c>
      <c r="D252" s="7">
        <v>343.04758333333359</v>
      </c>
      <c r="E252" s="7">
        <v>343.04758333333359</v>
      </c>
      <c r="F252" s="7">
        <v>343.04758333333359</v>
      </c>
      <c r="G252" s="7">
        <v>343.04758333333359</v>
      </c>
      <c r="H252" s="7">
        <v>343.04758333333359</v>
      </c>
      <c r="I252" s="7">
        <v>343.04758333333359</v>
      </c>
      <c r="J252" s="7">
        <v>343.04758333333359</v>
      </c>
      <c r="K252" s="7">
        <v>343.04758333333359</v>
      </c>
      <c r="L252" s="7">
        <v>343.04758333333359</v>
      </c>
      <c r="M252" s="7">
        <v>343.04758333333359</v>
      </c>
      <c r="N252" s="7">
        <v>343.04758333333359</v>
      </c>
      <c r="O252" s="7">
        <v>343.04758333333359</v>
      </c>
      <c r="P252" s="8">
        <f t="shared" si="21"/>
        <v>4116.5710000000026</v>
      </c>
    </row>
    <row r="253" spans="1:16" x14ac:dyDescent="0.3">
      <c r="A253" s="2" t="s">
        <v>16</v>
      </c>
      <c r="B253" s="2" t="s">
        <v>50</v>
      </c>
      <c r="C253" s="2" t="s">
        <v>39</v>
      </c>
      <c r="D253" s="7">
        <v>410.53449999999981</v>
      </c>
      <c r="E253" s="7">
        <v>410.53449999999981</v>
      </c>
      <c r="F253" s="7">
        <v>410.53449999999981</v>
      </c>
      <c r="G253" s="7">
        <v>410.53449999999981</v>
      </c>
      <c r="H253" s="7">
        <v>410.53449999999981</v>
      </c>
      <c r="I253" s="7">
        <v>410.53449999999981</v>
      </c>
      <c r="J253" s="7">
        <v>410.53449999999981</v>
      </c>
      <c r="K253" s="7">
        <v>410.53449999999981</v>
      </c>
      <c r="L253" s="7">
        <v>410.53449999999981</v>
      </c>
      <c r="M253" s="7">
        <v>410.53449999999981</v>
      </c>
      <c r="N253" s="7">
        <v>410.53449999999981</v>
      </c>
      <c r="O253" s="7">
        <v>410.53449999999981</v>
      </c>
      <c r="P253" s="8">
        <f t="shared" si="21"/>
        <v>4926.4139999999979</v>
      </c>
    </row>
    <row r="254" spans="1:16" x14ac:dyDescent="0.3">
      <c r="A254" s="2" t="s">
        <v>16</v>
      </c>
      <c r="B254" s="2" t="s">
        <v>50</v>
      </c>
      <c r="C254" s="2" t="s">
        <v>40</v>
      </c>
      <c r="D254" s="7">
        <v>336.81150000000042</v>
      </c>
      <c r="E254" s="7">
        <v>336.81150000000042</v>
      </c>
      <c r="F254" s="7">
        <v>336.81150000000042</v>
      </c>
      <c r="G254" s="7">
        <v>336.81150000000042</v>
      </c>
      <c r="H254" s="7">
        <v>336.81150000000042</v>
      </c>
      <c r="I254" s="7">
        <v>336.81150000000042</v>
      </c>
      <c r="J254" s="7">
        <v>336.81150000000042</v>
      </c>
      <c r="K254" s="7">
        <v>336.81150000000042</v>
      </c>
      <c r="L254" s="7">
        <v>336.81150000000042</v>
      </c>
      <c r="M254" s="7">
        <v>336.81150000000042</v>
      </c>
      <c r="N254" s="7">
        <v>336.81150000000042</v>
      </c>
      <c r="O254" s="7">
        <v>336.81150000000042</v>
      </c>
      <c r="P254" s="8">
        <f t="shared" ref="P254" si="31">SUM(D254:O254)</f>
        <v>4041.7380000000044</v>
      </c>
    </row>
    <row r="255" spans="1:16" x14ac:dyDescent="0.3">
      <c r="A255" s="2" t="s">
        <v>16</v>
      </c>
      <c r="B255" s="2" t="s">
        <v>51</v>
      </c>
      <c r="C255" s="2" t="s">
        <v>18</v>
      </c>
      <c r="D255" s="7">
        <f>5184.5+D71+D117-D94-D209-D232-D186</f>
        <v>15963.286000000002</v>
      </c>
      <c r="E255" s="7">
        <f t="shared" ref="E255:O255" si="32">D255+E71+E117-E94-E209-E232-E186</f>
        <v>14901.214000000004</v>
      </c>
      <c r="F255" s="7">
        <f t="shared" si="32"/>
        <v>13650.742000000004</v>
      </c>
      <c r="G255" s="7">
        <f t="shared" si="32"/>
        <v>12670.338000000003</v>
      </c>
      <c r="H255" s="7">
        <f t="shared" si="32"/>
        <v>11697.644000000004</v>
      </c>
      <c r="I255" s="7">
        <f t="shared" si="32"/>
        <v>10827.474000000004</v>
      </c>
      <c r="J255" s="7">
        <f t="shared" si="32"/>
        <v>9871.3700000000044</v>
      </c>
      <c r="K255" s="7">
        <f t="shared" si="32"/>
        <v>8871.7960000000039</v>
      </c>
      <c r="L255" s="7">
        <f t="shared" si="32"/>
        <v>7816.1500000000042</v>
      </c>
      <c r="M255" s="7">
        <f t="shared" si="32"/>
        <v>6521.4020000000037</v>
      </c>
      <c r="N255" s="7">
        <f t="shared" si="32"/>
        <v>5405.8260000000028</v>
      </c>
      <c r="O255" s="7">
        <f t="shared" si="32"/>
        <v>4106.5000000000018</v>
      </c>
      <c r="P255" s="8">
        <f t="shared" ref="P255:P277" si="33">O255</f>
        <v>4106.5000000000018</v>
      </c>
    </row>
    <row r="256" spans="1:16" x14ac:dyDescent="0.3">
      <c r="A256" s="2" t="s">
        <v>16</v>
      </c>
      <c r="B256" s="2" t="s">
        <v>51</v>
      </c>
      <c r="C256" s="2" t="s">
        <v>19</v>
      </c>
      <c r="D256" s="7">
        <f t="shared" ref="D256:D277" si="34">O255+D72+D118-D95-D210-D233-D187</f>
        <v>21686.074833333332</v>
      </c>
      <c r="E256" s="7">
        <f t="shared" ref="E256:O256" si="35">D256+E72+E118-E95-E210-E233-E187</f>
        <v>20039.015666666663</v>
      </c>
      <c r="F256" s="7">
        <f t="shared" si="35"/>
        <v>18282.566499999994</v>
      </c>
      <c r="G256" s="7">
        <f t="shared" si="35"/>
        <v>16771.999333333326</v>
      </c>
      <c r="H256" s="7">
        <f t="shared" si="35"/>
        <v>15142.87616666666</v>
      </c>
      <c r="I256" s="7">
        <f t="shared" si="35"/>
        <v>13797.930999999993</v>
      </c>
      <c r="J256" s="7">
        <f t="shared" si="35"/>
        <v>12522.379833333325</v>
      </c>
      <c r="K256" s="7">
        <f t="shared" si="35"/>
        <v>11066.928666666659</v>
      </c>
      <c r="L256" s="7">
        <f t="shared" si="35"/>
        <v>9518.251499999993</v>
      </c>
      <c r="M256" s="7">
        <f t="shared" si="35"/>
        <v>7564.8103333333256</v>
      </c>
      <c r="N256" s="7">
        <f t="shared" si="35"/>
        <v>5627.0091666666585</v>
      </c>
      <c r="O256" s="7">
        <f t="shared" si="35"/>
        <v>4211.0999999999913</v>
      </c>
      <c r="P256" s="8">
        <f t="shared" si="33"/>
        <v>4211.0999999999913</v>
      </c>
    </row>
    <row r="257" spans="1:16" x14ac:dyDescent="0.3">
      <c r="A257" s="2" t="s">
        <v>16</v>
      </c>
      <c r="B257" s="2" t="s">
        <v>51</v>
      </c>
      <c r="C257" s="2" t="s">
        <v>20</v>
      </c>
      <c r="D257" s="7">
        <f t="shared" si="34"/>
        <v>22363.601333333321</v>
      </c>
      <c r="E257" s="7">
        <f t="shared" ref="E257:O257" si="36">D257+E73+E119-E96-E211-E234-E188</f>
        <v>20971.514666666651</v>
      </c>
      <c r="F257" s="7">
        <f t="shared" si="36"/>
        <v>19686.417999999983</v>
      </c>
      <c r="G257" s="7">
        <f t="shared" si="36"/>
        <v>18028.769333333315</v>
      </c>
      <c r="H257" s="7">
        <f t="shared" si="36"/>
        <v>16249.666666666646</v>
      </c>
      <c r="I257" s="7">
        <f t="shared" si="36"/>
        <v>14683.647999999979</v>
      </c>
      <c r="J257" s="7">
        <f t="shared" si="36"/>
        <v>12995.995333333314</v>
      </c>
      <c r="K257" s="7">
        <f t="shared" si="36"/>
        <v>11433.700666666649</v>
      </c>
      <c r="L257" s="7">
        <f t="shared" si="36"/>
        <v>9938.9979999999832</v>
      </c>
      <c r="M257" s="7">
        <f t="shared" si="36"/>
        <v>8303.9333333333179</v>
      </c>
      <c r="N257" s="7">
        <f t="shared" si="36"/>
        <v>6918.6106666666519</v>
      </c>
      <c r="O257" s="7">
        <f t="shared" si="36"/>
        <v>5435.0999999999849</v>
      </c>
      <c r="P257" s="8">
        <f t="shared" si="33"/>
        <v>5435.0999999999849</v>
      </c>
    </row>
    <row r="258" spans="1:16" x14ac:dyDescent="0.3">
      <c r="A258" s="2" t="s">
        <v>16</v>
      </c>
      <c r="B258" s="2" t="s">
        <v>51</v>
      </c>
      <c r="C258" s="2" t="s">
        <v>21</v>
      </c>
      <c r="D258" s="7">
        <f t="shared" si="34"/>
        <v>23875.085333333322</v>
      </c>
      <c r="E258" s="7">
        <f t="shared" ref="E258:O258" si="37">D258+E74+E120-E97-E212-E235-E189</f>
        <v>22512.884666666658</v>
      </c>
      <c r="F258" s="7">
        <f t="shared" si="37"/>
        <v>20986.943999999992</v>
      </c>
      <c r="G258" s="7">
        <f t="shared" si="37"/>
        <v>19552.969333333327</v>
      </c>
      <c r="H258" s="7">
        <f t="shared" si="37"/>
        <v>18233.678666666663</v>
      </c>
      <c r="I258" s="7">
        <f t="shared" si="37"/>
        <v>16807.891999999996</v>
      </c>
      <c r="J258" s="7">
        <f t="shared" si="37"/>
        <v>15339.245333333331</v>
      </c>
      <c r="K258" s="7">
        <f t="shared" si="37"/>
        <v>13818.858666666665</v>
      </c>
      <c r="L258" s="7">
        <f t="shared" si="37"/>
        <v>11865.044</v>
      </c>
      <c r="M258" s="7">
        <f t="shared" si="37"/>
        <v>9811.2233333333334</v>
      </c>
      <c r="N258" s="7">
        <f t="shared" si="37"/>
        <v>8332.6326666666664</v>
      </c>
      <c r="O258" s="7">
        <f t="shared" si="37"/>
        <v>6424.1</v>
      </c>
      <c r="P258" s="8">
        <f t="shared" si="33"/>
        <v>6424.1</v>
      </c>
    </row>
    <row r="259" spans="1:16" x14ac:dyDescent="0.3">
      <c r="A259" s="2" t="s">
        <v>16</v>
      </c>
      <c r="B259" s="2" t="s">
        <v>51</v>
      </c>
      <c r="C259" s="2" t="s">
        <v>22</v>
      </c>
      <c r="D259" s="7">
        <f t="shared" si="34"/>
        <v>26410.814166666671</v>
      </c>
      <c r="E259" s="7">
        <f t="shared" ref="E259:O259" si="38">D259+E75+E121-E98-E213-E236-E190</f>
        <v>24410.100333333339</v>
      </c>
      <c r="F259" s="7">
        <f t="shared" si="38"/>
        <v>22372.836500000005</v>
      </c>
      <c r="G259" s="7">
        <f t="shared" si="38"/>
        <v>20466.652666666672</v>
      </c>
      <c r="H259" s="7">
        <f t="shared" si="38"/>
        <v>18539.528833333341</v>
      </c>
      <c r="I259" s="7">
        <f t="shared" si="38"/>
        <v>16966.193000000007</v>
      </c>
      <c r="J259" s="7">
        <f t="shared" si="38"/>
        <v>15270.027166666674</v>
      </c>
      <c r="K259" s="7">
        <f t="shared" si="38"/>
        <v>13561.525333333342</v>
      </c>
      <c r="L259" s="7">
        <f t="shared" si="38"/>
        <v>11683.045500000007</v>
      </c>
      <c r="M259" s="7">
        <f t="shared" si="38"/>
        <v>9701.7936666666737</v>
      </c>
      <c r="N259" s="7">
        <f t="shared" si="38"/>
        <v>7615.0858333333399</v>
      </c>
      <c r="O259" s="7">
        <f t="shared" si="38"/>
        <v>5608.2000000000062</v>
      </c>
      <c r="P259" s="8">
        <f t="shared" si="33"/>
        <v>5608.2000000000062</v>
      </c>
    </row>
    <row r="260" spans="1:16" x14ac:dyDescent="0.3">
      <c r="A260" s="2" t="s">
        <v>16</v>
      </c>
      <c r="B260" s="2" t="s">
        <v>51</v>
      </c>
      <c r="C260" s="2" t="s">
        <v>23</v>
      </c>
      <c r="D260" s="7">
        <f t="shared" si="34"/>
        <v>20245.991333333339</v>
      </c>
      <c r="E260" s="7">
        <f t="shared" ref="E260:O260" si="39">D260+E76+E122-E99-E214-E237-E191</f>
        <v>18487.062666666672</v>
      </c>
      <c r="F260" s="7">
        <f t="shared" si="39"/>
        <v>16802.834000000006</v>
      </c>
      <c r="G260" s="7">
        <f t="shared" si="39"/>
        <v>15334.577333333338</v>
      </c>
      <c r="H260" s="7">
        <f t="shared" si="39"/>
        <v>14002.304666666671</v>
      </c>
      <c r="I260" s="7">
        <f t="shared" si="39"/>
        <v>12661.612000000005</v>
      </c>
      <c r="J260" s="7">
        <f t="shared" si="39"/>
        <v>11362.681333333338</v>
      </c>
      <c r="K260" s="7">
        <f t="shared" si="39"/>
        <v>9881.0286666666689</v>
      </c>
      <c r="L260" s="7">
        <f t="shared" si="39"/>
        <v>8323.0480000000025</v>
      </c>
      <c r="M260" s="7">
        <f t="shared" si="39"/>
        <v>6498.5233333333363</v>
      </c>
      <c r="N260" s="7">
        <f t="shared" si="39"/>
        <v>5133.2946666666694</v>
      </c>
      <c r="O260" s="7">
        <f t="shared" si="39"/>
        <v>3557.4000000000024</v>
      </c>
      <c r="P260" s="8">
        <f t="shared" si="33"/>
        <v>3557.4000000000024</v>
      </c>
    </row>
    <row r="261" spans="1:16" x14ac:dyDescent="0.3">
      <c r="A261" s="2" t="s">
        <v>16</v>
      </c>
      <c r="B261" s="2" t="s">
        <v>51</v>
      </c>
      <c r="C261" s="2" t="s">
        <v>24</v>
      </c>
      <c r="D261" s="7">
        <f t="shared" si="34"/>
        <v>25119.304166666665</v>
      </c>
      <c r="E261" s="7">
        <f t="shared" ref="E261:O261" si="40">D261+E77+E123-E100-E215-E238-E192</f>
        <v>23478.610333333327</v>
      </c>
      <c r="F261" s="7">
        <f t="shared" si="40"/>
        <v>21747.498499999991</v>
      </c>
      <c r="G261" s="7">
        <f t="shared" si="40"/>
        <v>19888.222666666657</v>
      </c>
      <c r="H261" s="7">
        <f t="shared" si="40"/>
        <v>18175.822833333325</v>
      </c>
      <c r="I261" s="7">
        <f t="shared" si="40"/>
        <v>16150.134999999991</v>
      </c>
      <c r="J261" s="7">
        <f t="shared" si="40"/>
        <v>14390.343166666657</v>
      </c>
      <c r="K261" s="7">
        <f t="shared" si="40"/>
        <v>12527.923333333323</v>
      </c>
      <c r="L261" s="7">
        <f t="shared" si="40"/>
        <v>10431.831499999989</v>
      </c>
      <c r="M261" s="7">
        <f t="shared" si="40"/>
        <v>8280.1396666666551</v>
      </c>
      <c r="N261" s="7">
        <f t="shared" si="40"/>
        <v>6445.9038333333219</v>
      </c>
      <c r="O261" s="7">
        <f t="shared" si="40"/>
        <v>4641.699999999988</v>
      </c>
      <c r="P261" s="8">
        <f t="shared" si="33"/>
        <v>4641.699999999988</v>
      </c>
    </row>
    <row r="262" spans="1:16" x14ac:dyDescent="0.3">
      <c r="A262" s="2" t="s">
        <v>16</v>
      </c>
      <c r="B262" s="2" t="s">
        <v>51</v>
      </c>
      <c r="C262" s="2" t="s">
        <v>25</v>
      </c>
      <c r="D262" s="7">
        <f t="shared" si="34"/>
        <v>24305.496666666651</v>
      </c>
      <c r="E262" s="7">
        <f t="shared" ref="E262:O262" si="41">D262+E78+E124-E101-E216-E239-E193</f>
        <v>22756.169333333313</v>
      </c>
      <c r="F262" s="7">
        <f t="shared" si="41"/>
        <v>21084.305999999979</v>
      </c>
      <c r="G262" s="7">
        <f t="shared" si="41"/>
        <v>19408.13866666664</v>
      </c>
      <c r="H262" s="7">
        <f t="shared" si="41"/>
        <v>17996.575333333305</v>
      </c>
      <c r="I262" s="7">
        <f t="shared" si="41"/>
        <v>16224.969999999968</v>
      </c>
      <c r="J262" s="7">
        <f t="shared" si="41"/>
        <v>14599.882666666635</v>
      </c>
      <c r="K262" s="7">
        <f t="shared" si="41"/>
        <v>12786.125333333301</v>
      </c>
      <c r="L262" s="7">
        <f t="shared" si="41"/>
        <v>10952.187999999967</v>
      </c>
      <c r="M262" s="7">
        <f t="shared" si="41"/>
        <v>8789.0046666666331</v>
      </c>
      <c r="N262" s="7">
        <f t="shared" si="41"/>
        <v>6832.6433333332998</v>
      </c>
      <c r="O262" s="7">
        <f t="shared" si="41"/>
        <v>5048.9999999999663</v>
      </c>
      <c r="P262" s="8">
        <f t="shared" si="33"/>
        <v>5048.9999999999663</v>
      </c>
    </row>
    <row r="263" spans="1:16" x14ac:dyDescent="0.3">
      <c r="A263" s="2" t="s">
        <v>16</v>
      </c>
      <c r="B263" s="2" t="s">
        <v>51</v>
      </c>
      <c r="C263" s="2" t="s">
        <v>26</v>
      </c>
      <c r="D263" s="7">
        <f t="shared" si="34"/>
        <v>23676.563833333301</v>
      </c>
      <c r="E263" s="7">
        <f t="shared" ref="E263:O263" si="42">D263+E79+E125-E102-E217-E240-E194</f>
        <v>22114.679666666634</v>
      </c>
      <c r="F263" s="7">
        <f t="shared" si="42"/>
        <v>20351.98749999997</v>
      </c>
      <c r="G263" s="7">
        <f t="shared" si="42"/>
        <v>18784.357333333304</v>
      </c>
      <c r="H263" s="7">
        <f t="shared" si="42"/>
        <v>17042.46516666664</v>
      </c>
      <c r="I263" s="7">
        <f t="shared" si="42"/>
        <v>15692.938999999975</v>
      </c>
      <c r="J263" s="7">
        <f t="shared" si="42"/>
        <v>14407.16883333331</v>
      </c>
      <c r="K263" s="7">
        <f t="shared" si="42"/>
        <v>12766.754666666644</v>
      </c>
      <c r="L263" s="7">
        <f t="shared" si="42"/>
        <v>10980.06049999998</v>
      </c>
      <c r="M263" s="7">
        <f t="shared" si="42"/>
        <v>9134.3443333333125</v>
      </c>
      <c r="N263" s="7">
        <f t="shared" si="42"/>
        <v>7269.3481666666448</v>
      </c>
      <c r="O263" s="7">
        <f t="shared" si="42"/>
        <v>5793.6999999999771</v>
      </c>
      <c r="P263" s="8">
        <f t="shared" si="33"/>
        <v>5793.6999999999771</v>
      </c>
    </row>
    <row r="264" spans="1:16" x14ac:dyDescent="0.3">
      <c r="A264" s="2" t="s">
        <v>16</v>
      </c>
      <c r="B264" s="2" t="s">
        <v>51</v>
      </c>
      <c r="C264" s="2" t="s">
        <v>27</v>
      </c>
      <c r="D264" s="7">
        <f t="shared" si="34"/>
        <v>24973.137916666645</v>
      </c>
      <c r="E264" s="7">
        <f t="shared" ref="E264:O264" si="43">D264+E80+E126-E103-E218-E241-E195</f>
        <v>23201.873833333309</v>
      </c>
      <c r="F264" s="7">
        <f t="shared" si="43"/>
        <v>21320.869749999976</v>
      </c>
      <c r="G264" s="7">
        <f t="shared" si="43"/>
        <v>19563.699666666642</v>
      </c>
      <c r="H264" s="7">
        <f t="shared" si="43"/>
        <v>17532.371583333308</v>
      </c>
      <c r="I264" s="7">
        <f t="shared" si="43"/>
        <v>15832.604499999972</v>
      </c>
      <c r="J264" s="7">
        <f t="shared" si="43"/>
        <v>14002.435416666638</v>
      </c>
      <c r="K264" s="7">
        <f t="shared" si="43"/>
        <v>11953.756333333306</v>
      </c>
      <c r="L264" s="7">
        <f t="shared" si="43"/>
        <v>9738.8002499999711</v>
      </c>
      <c r="M264" s="7">
        <f t="shared" si="43"/>
        <v>7584.5401666666367</v>
      </c>
      <c r="N264" s="7">
        <f t="shared" si="43"/>
        <v>6021.6050833333029</v>
      </c>
      <c r="O264" s="7">
        <f t="shared" si="43"/>
        <v>4445.8999999999705</v>
      </c>
      <c r="P264" s="8">
        <f t="shared" si="33"/>
        <v>4445.8999999999705</v>
      </c>
    </row>
    <row r="265" spans="1:16" x14ac:dyDescent="0.3">
      <c r="A265" s="2" t="s">
        <v>16</v>
      </c>
      <c r="B265" s="2" t="s">
        <v>51</v>
      </c>
      <c r="C265" s="2" t="s">
        <v>28</v>
      </c>
      <c r="D265" s="7">
        <f t="shared" si="34"/>
        <v>25068.359583333306</v>
      </c>
      <c r="E265" s="7">
        <f t="shared" ref="E265:O265" si="44">D265+E81+E127-E104-E219-E242-E196</f>
        <v>23151.904166666638</v>
      </c>
      <c r="F265" s="7">
        <f t="shared" si="44"/>
        <v>21320.371749999973</v>
      </c>
      <c r="G265" s="7">
        <f t="shared" si="44"/>
        <v>19518.853333333307</v>
      </c>
      <c r="H265" s="7">
        <f t="shared" si="44"/>
        <v>17472.20291666664</v>
      </c>
      <c r="I265" s="7">
        <f t="shared" si="44"/>
        <v>15446.829499999974</v>
      </c>
      <c r="J265" s="7">
        <f t="shared" si="44"/>
        <v>13618.183083333308</v>
      </c>
      <c r="K265" s="7">
        <f t="shared" si="44"/>
        <v>11640.722666666639</v>
      </c>
      <c r="L265" s="7">
        <f t="shared" si="44"/>
        <v>9593.3332499999706</v>
      </c>
      <c r="M265" s="7">
        <f t="shared" si="44"/>
        <v>7427.444833333303</v>
      </c>
      <c r="N265" s="7">
        <f t="shared" si="44"/>
        <v>5867.3434166666357</v>
      </c>
      <c r="O265" s="7">
        <f t="shared" si="44"/>
        <v>3985.2999999999693</v>
      </c>
      <c r="P265" s="8">
        <f t="shared" si="33"/>
        <v>3985.2999999999693</v>
      </c>
    </row>
    <row r="266" spans="1:16" x14ac:dyDescent="0.3">
      <c r="A266" s="2" t="s">
        <v>16</v>
      </c>
      <c r="B266" s="2" t="s">
        <v>51</v>
      </c>
      <c r="C266" s="2" t="s">
        <v>29</v>
      </c>
      <c r="D266" s="7">
        <f t="shared" si="34"/>
        <v>33108.848999999966</v>
      </c>
      <c r="E266" s="7">
        <f t="shared" ref="E266:O266" si="45">D266+E82+E128-E105-E220-E243-E197</f>
        <v>31065.163999999961</v>
      </c>
      <c r="F266" s="7">
        <f t="shared" si="45"/>
        <v>28877.741999999958</v>
      </c>
      <c r="G266" s="7">
        <f t="shared" si="45"/>
        <v>26542.563999999955</v>
      </c>
      <c r="H266" s="7">
        <f t="shared" si="45"/>
        <v>24629.233999999953</v>
      </c>
      <c r="I266" s="7">
        <f t="shared" si="45"/>
        <v>22572.75299999995</v>
      </c>
      <c r="J266" s="7">
        <f t="shared" si="45"/>
        <v>20566.443999999949</v>
      </c>
      <c r="K266" s="7">
        <f t="shared" si="45"/>
        <v>18600.007999999943</v>
      </c>
      <c r="L266" s="7">
        <f t="shared" si="45"/>
        <v>16444.900999999943</v>
      </c>
      <c r="M266" s="7">
        <f t="shared" si="45"/>
        <v>13603.262999999944</v>
      </c>
      <c r="N266" s="7">
        <f t="shared" si="45"/>
        <v>11225.948999999946</v>
      </c>
      <c r="O266" s="7">
        <f t="shared" si="45"/>
        <v>8658.5999999999476</v>
      </c>
      <c r="P266" s="8">
        <f t="shared" si="33"/>
        <v>8658.5999999999476</v>
      </c>
    </row>
    <row r="267" spans="1:16" x14ac:dyDescent="0.3">
      <c r="A267" s="2" t="s">
        <v>16</v>
      </c>
      <c r="B267" s="2" t="s">
        <v>51</v>
      </c>
      <c r="C267" s="2" t="s">
        <v>30</v>
      </c>
      <c r="D267" s="7">
        <f t="shared" si="34"/>
        <v>30065.519166666614</v>
      </c>
      <c r="E267" s="7">
        <f t="shared" ref="E267:O267" si="46">D267+E83+E129-E106-E221-E244-E198</f>
        <v>27817.05933333328</v>
      </c>
      <c r="F267" s="7">
        <f t="shared" si="46"/>
        <v>25564.015499999947</v>
      </c>
      <c r="G267" s="7">
        <f t="shared" si="46"/>
        <v>23544.713666666616</v>
      </c>
      <c r="H267" s="7">
        <f t="shared" si="46"/>
        <v>22025.734833333281</v>
      </c>
      <c r="I267" s="7">
        <f t="shared" si="46"/>
        <v>19836.654999999952</v>
      </c>
      <c r="J267" s="7">
        <f t="shared" si="46"/>
        <v>18011.498166666621</v>
      </c>
      <c r="K267" s="7">
        <f t="shared" si="46"/>
        <v>15715.078333333286</v>
      </c>
      <c r="L267" s="7">
        <f t="shared" si="46"/>
        <v>13914.665499999952</v>
      </c>
      <c r="M267" s="7">
        <f t="shared" si="46"/>
        <v>11075.391666666617</v>
      </c>
      <c r="N267" s="7">
        <f t="shared" si="46"/>
        <v>8353.4928333332828</v>
      </c>
      <c r="O267" s="7">
        <f t="shared" si="46"/>
        <v>6124.49999999995</v>
      </c>
      <c r="P267" s="8">
        <f t="shared" si="33"/>
        <v>6124.49999999995</v>
      </c>
    </row>
    <row r="268" spans="1:16" x14ac:dyDescent="0.3">
      <c r="A268" s="2" t="s">
        <v>16</v>
      </c>
      <c r="B268" s="2" t="s">
        <v>51</v>
      </c>
      <c r="C268" s="2" t="s">
        <v>31</v>
      </c>
      <c r="D268" s="7">
        <f t="shared" si="34"/>
        <v>25798.237333333283</v>
      </c>
      <c r="E268" s="7">
        <f t="shared" ref="E268:O268" si="47">D268+E84+E130-E107-E222-E245-E199</f>
        <v>23756.683666666617</v>
      </c>
      <c r="F268" s="7">
        <f t="shared" si="47"/>
        <v>21896.839999999949</v>
      </c>
      <c r="G268" s="7">
        <f t="shared" si="47"/>
        <v>19548.815333333281</v>
      </c>
      <c r="H268" s="7">
        <f t="shared" si="47"/>
        <v>17516.239666666614</v>
      </c>
      <c r="I268" s="7">
        <f t="shared" si="47"/>
        <v>15853.154999999948</v>
      </c>
      <c r="J268" s="7">
        <f t="shared" si="47"/>
        <v>14131.812333333282</v>
      </c>
      <c r="K268" s="7">
        <f t="shared" si="47"/>
        <v>12329.935666666615</v>
      </c>
      <c r="L268" s="7">
        <f t="shared" si="47"/>
        <v>9906.3779999999479</v>
      </c>
      <c r="M268" s="7">
        <f t="shared" si="47"/>
        <v>8093.8383333332813</v>
      </c>
      <c r="N268" s="7">
        <f t="shared" si="47"/>
        <v>6153.5916666666153</v>
      </c>
      <c r="O268" s="7">
        <f t="shared" si="47"/>
        <v>4077.9999999999495</v>
      </c>
      <c r="P268" s="8">
        <f t="shared" si="33"/>
        <v>4077.9999999999495</v>
      </c>
    </row>
    <row r="269" spans="1:16" x14ac:dyDescent="0.3">
      <c r="A269" s="2" t="s">
        <v>16</v>
      </c>
      <c r="B269" s="2" t="s">
        <v>51</v>
      </c>
      <c r="C269" s="2" t="s">
        <v>32</v>
      </c>
      <c r="D269" s="7">
        <f t="shared" si="34"/>
        <v>26494.710999999948</v>
      </c>
      <c r="E269" s="7">
        <f t="shared" ref="E269:O269" si="48">D269+E85+E131-E108-E223-E246-E200</f>
        <v>24686.070999999945</v>
      </c>
      <c r="F269" s="7">
        <f t="shared" si="48"/>
        <v>22579.499999999945</v>
      </c>
      <c r="G269" s="7">
        <f t="shared" si="48"/>
        <v>20717.886999999944</v>
      </c>
      <c r="H269" s="7">
        <f t="shared" si="48"/>
        <v>18953.727999999941</v>
      </c>
      <c r="I269" s="7">
        <f t="shared" si="48"/>
        <v>17281.422999999937</v>
      </c>
      <c r="J269" s="7">
        <f t="shared" si="48"/>
        <v>15596.539999999937</v>
      </c>
      <c r="K269" s="7">
        <f t="shared" si="48"/>
        <v>13665.978999999939</v>
      </c>
      <c r="L269" s="7">
        <f t="shared" si="48"/>
        <v>11689.693999999939</v>
      </c>
      <c r="M269" s="7">
        <f t="shared" si="48"/>
        <v>9325.4569999999403</v>
      </c>
      <c r="N269" s="7">
        <f t="shared" si="48"/>
        <v>7231.2199999999411</v>
      </c>
      <c r="O269" s="7">
        <f t="shared" si="48"/>
        <v>5103.1999999999416</v>
      </c>
      <c r="P269" s="8">
        <f t="shared" si="33"/>
        <v>5103.1999999999416</v>
      </c>
    </row>
    <row r="270" spans="1:16" x14ac:dyDescent="0.3">
      <c r="A270" s="2" t="s">
        <v>16</v>
      </c>
      <c r="B270" s="2" t="s">
        <v>51</v>
      </c>
      <c r="C270" s="2" t="s">
        <v>33</v>
      </c>
      <c r="D270" s="7">
        <f t="shared" si="34"/>
        <v>28263.931333333276</v>
      </c>
      <c r="E270" s="7">
        <f t="shared" ref="E270:O270" si="49">D270+E86+E132-E109-E224-E247-E201</f>
        <v>26268.304666666609</v>
      </c>
      <c r="F270" s="7">
        <f t="shared" si="49"/>
        <v>24229.910999999942</v>
      </c>
      <c r="G270" s="7">
        <f t="shared" si="49"/>
        <v>22055.159333333275</v>
      </c>
      <c r="H270" s="7">
        <f t="shared" si="49"/>
        <v>20148.514666666611</v>
      </c>
      <c r="I270" s="7">
        <f t="shared" si="49"/>
        <v>17733.305999999946</v>
      </c>
      <c r="J270" s="7">
        <f t="shared" si="49"/>
        <v>16119.448333333283</v>
      </c>
      <c r="K270" s="7">
        <f t="shared" si="49"/>
        <v>13886.460666666617</v>
      </c>
      <c r="L270" s="7">
        <f t="shared" si="49"/>
        <v>11697.865999999951</v>
      </c>
      <c r="M270" s="7">
        <f t="shared" si="49"/>
        <v>9139.9903333332841</v>
      </c>
      <c r="N270" s="7">
        <f t="shared" si="49"/>
        <v>7163.5446666666166</v>
      </c>
      <c r="O270" s="7">
        <f t="shared" si="49"/>
        <v>5255.7999999999493</v>
      </c>
      <c r="P270" s="8">
        <f t="shared" si="33"/>
        <v>5255.7999999999493</v>
      </c>
    </row>
    <row r="271" spans="1:16" x14ac:dyDescent="0.3">
      <c r="A271" s="2" t="s">
        <v>16</v>
      </c>
      <c r="B271" s="2" t="s">
        <v>51</v>
      </c>
      <c r="C271" s="2" t="s">
        <v>34</v>
      </c>
      <c r="D271" s="7">
        <f t="shared" si="34"/>
        <v>29554.01958333328</v>
      </c>
      <c r="E271" s="7">
        <f t="shared" ref="E271:O271" si="50">D271+E87+E133-E110-E225-E248-E202</f>
        <v>27218.458166666616</v>
      </c>
      <c r="F271" s="7">
        <f t="shared" si="50"/>
        <v>24769.04474999995</v>
      </c>
      <c r="G271" s="7">
        <f t="shared" si="50"/>
        <v>22349.275333333284</v>
      </c>
      <c r="H271" s="7">
        <f t="shared" si="50"/>
        <v>19991.987916666618</v>
      </c>
      <c r="I271" s="7">
        <f t="shared" si="50"/>
        <v>17712.049499999954</v>
      </c>
      <c r="J271" s="7">
        <f t="shared" si="50"/>
        <v>15795.923083333288</v>
      </c>
      <c r="K271" s="7">
        <f t="shared" si="50"/>
        <v>13646.57266666662</v>
      </c>
      <c r="L271" s="7">
        <f t="shared" si="50"/>
        <v>11033.338249999953</v>
      </c>
      <c r="M271" s="7">
        <f t="shared" si="50"/>
        <v>8322.0078333332858</v>
      </c>
      <c r="N271" s="7">
        <f t="shared" si="50"/>
        <v>6171.9544166666201</v>
      </c>
      <c r="O271" s="7">
        <f t="shared" si="50"/>
        <v>4208.6999999999534</v>
      </c>
      <c r="P271" s="8">
        <f t="shared" si="33"/>
        <v>4208.6999999999534</v>
      </c>
    </row>
    <row r="272" spans="1:16" x14ac:dyDescent="0.3">
      <c r="A272" s="2" t="s">
        <v>16</v>
      </c>
      <c r="B272" s="2" t="s">
        <v>51</v>
      </c>
      <c r="C272" s="2" t="s">
        <v>35</v>
      </c>
      <c r="D272" s="7">
        <f t="shared" si="34"/>
        <v>29731.801083333288</v>
      </c>
      <c r="E272" s="7">
        <f t="shared" ref="E272:O272" si="51">D272+E88+E134-E111-E226-E249-E203</f>
        <v>27876.183166666618</v>
      </c>
      <c r="F272" s="7">
        <f t="shared" si="51"/>
        <v>25502.33724999995</v>
      </c>
      <c r="G272" s="7">
        <f t="shared" si="51"/>
        <v>23491.374333333282</v>
      </c>
      <c r="H272" s="7">
        <f t="shared" si="51"/>
        <v>21438.459416666614</v>
      </c>
      <c r="I272" s="7">
        <f t="shared" si="51"/>
        <v>19406.944499999947</v>
      </c>
      <c r="J272" s="7">
        <f t="shared" si="51"/>
        <v>17663.969583333281</v>
      </c>
      <c r="K272" s="7">
        <f t="shared" si="51"/>
        <v>15545.623666666614</v>
      </c>
      <c r="L272" s="7">
        <f t="shared" si="51"/>
        <v>13199.127749999947</v>
      </c>
      <c r="M272" s="7">
        <f t="shared" si="51"/>
        <v>10138.706833333279</v>
      </c>
      <c r="N272" s="7">
        <f t="shared" si="51"/>
        <v>7681.7619166666118</v>
      </c>
      <c r="O272" s="7">
        <f t="shared" si="51"/>
        <v>4762.5999999999449</v>
      </c>
      <c r="P272" s="8">
        <f t="shared" si="33"/>
        <v>4762.5999999999449</v>
      </c>
    </row>
    <row r="273" spans="1:16" x14ac:dyDescent="0.3">
      <c r="A273" s="2" t="s">
        <v>16</v>
      </c>
      <c r="B273" s="2" t="s">
        <v>51</v>
      </c>
      <c r="C273" s="2" t="s">
        <v>36</v>
      </c>
      <c r="D273" s="7">
        <f t="shared" si="34"/>
        <v>30896.582916666615</v>
      </c>
      <c r="E273" s="7">
        <f t="shared" ref="E273:O273" si="52">D273+E89+E135-E112-E227-E250-E204</f>
        <v>28669.69483333328</v>
      </c>
      <c r="F273" s="7">
        <f t="shared" si="52"/>
        <v>26127.971749999946</v>
      </c>
      <c r="G273" s="7">
        <f t="shared" si="52"/>
        <v>23858.653666666611</v>
      </c>
      <c r="H273" s="7">
        <f t="shared" si="52"/>
        <v>21431.670583333274</v>
      </c>
      <c r="I273" s="7">
        <f t="shared" si="52"/>
        <v>18767.550499999939</v>
      </c>
      <c r="J273" s="7">
        <f t="shared" si="52"/>
        <v>16932.607416666604</v>
      </c>
      <c r="K273" s="7">
        <f t="shared" si="52"/>
        <v>14359.45033333327</v>
      </c>
      <c r="L273" s="7">
        <f t="shared" si="52"/>
        <v>11871.623249999935</v>
      </c>
      <c r="M273" s="7">
        <f t="shared" si="52"/>
        <v>9355.865166666601</v>
      </c>
      <c r="N273" s="7">
        <f t="shared" si="52"/>
        <v>6920.5410833332662</v>
      </c>
      <c r="O273" s="7">
        <f t="shared" si="52"/>
        <v>5140.3999999999323</v>
      </c>
      <c r="P273" s="8">
        <f t="shared" si="33"/>
        <v>5140.3999999999323</v>
      </c>
    </row>
    <row r="274" spans="1:16" x14ac:dyDescent="0.3">
      <c r="A274" s="2" t="s">
        <v>16</v>
      </c>
      <c r="B274" s="2" t="s">
        <v>51</v>
      </c>
      <c r="C274" s="2" t="s">
        <v>37</v>
      </c>
      <c r="D274" s="7">
        <f t="shared" si="34"/>
        <v>22268.162416666601</v>
      </c>
      <c r="E274" s="7">
        <f t="shared" ref="E274:O274" si="53">D274+E90+E136-E113-E228-E251-E205</f>
        <v>20443.414833333271</v>
      </c>
      <c r="F274" s="7">
        <f t="shared" si="53"/>
        <v>18849.118249999938</v>
      </c>
      <c r="G274" s="7">
        <f t="shared" si="53"/>
        <v>17198.714666666605</v>
      </c>
      <c r="H274" s="7">
        <f t="shared" si="53"/>
        <v>15633.57908333327</v>
      </c>
      <c r="I274" s="7">
        <f t="shared" si="53"/>
        <v>13950.806499999937</v>
      </c>
      <c r="J274" s="7">
        <f t="shared" si="53"/>
        <v>12206.674916666603</v>
      </c>
      <c r="K274" s="7">
        <f t="shared" si="53"/>
        <v>10574.200333333269</v>
      </c>
      <c r="L274" s="7">
        <f t="shared" si="53"/>
        <v>9026.2897499999344</v>
      </c>
      <c r="M274" s="7">
        <f t="shared" si="53"/>
        <v>7192.097166666601</v>
      </c>
      <c r="N274" s="7">
        <f t="shared" si="53"/>
        <v>5632.5325833332672</v>
      </c>
      <c r="O274" s="7">
        <f t="shared" si="53"/>
        <v>3582.2999999999342</v>
      </c>
      <c r="P274" s="8">
        <f t="shared" si="33"/>
        <v>3582.2999999999342</v>
      </c>
    </row>
    <row r="275" spans="1:16" x14ac:dyDescent="0.3">
      <c r="A275" s="2" t="s">
        <v>16</v>
      </c>
      <c r="B275" s="2" t="s">
        <v>51</v>
      </c>
      <c r="C275" s="2" t="s">
        <v>38</v>
      </c>
      <c r="D275" s="7">
        <f t="shared" si="34"/>
        <v>30931.030083333269</v>
      </c>
      <c r="E275" s="7">
        <f t="shared" ref="E275:O275" si="54">D275+E91+E137-E114-E229-E252-E206</f>
        <v>28738.444166666603</v>
      </c>
      <c r="F275" s="7">
        <f t="shared" si="54"/>
        <v>26056.039249999936</v>
      </c>
      <c r="G275" s="7">
        <f t="shared" si="54"/>
        <v>23562.212333333271</v>
      </c>
      <c r="H275" s="7">
        <f t="shared" si="54"/>
        <v>21356.722416666606</v>
      </c>
      <c r="I275" s="7">
        <f t="shared" si="54"/>
        <v>18902.342499999941</v>
      </c>
      <c r="J275" s="7">
        <f t="shared" si="54"/>
        <v>16751.458583333275</v>
      </c>
      <c r="K275" s="7">
        <f t="shared" si="54"/>
        <v>13981.731666666608</v>
      </c>
      <c r="L275" s="7">
        <f t="shared" si="54"/>
        <v>11501.456749999941</v>
      </c>
      <c r="M275" s="7">
        <f t="shared" si="54"/>
        <v>9510.8398333332734</v>
      </c>
      <c r="N275" s="7">
        <f t="shared" si="54"/>
        <v>7450.353916666606</v>
      </c>
      <c r="O275" s="7">
        <f t="shared" si="54"/>
        <v>5127.9999999999391</v>
      </c>
      <c r="P275" s="8">
        <f t="shared" si="33"/>
        <v>5127.9999999999391</v>
      </c>
    </row>
    <row r="276" spans="1:16" x14ac:dyDescent="0.3">
      <c r="A276" s="2" t="s">
        <v>16</v>
      </c>
      <c r="B276" s="2" t="s">
        <v>51</v>
      </c>
      <c r="C276" s="2" t="s">
        <v>39</v>
      </c>
      <c r="D276" s="7">
        <f t="shared" si="34"/>
        <v>32251.044833333268</v>
      </c>
      <c r="E276" s="7">
        <f t="shared" ref="E276:O276" si="55">D276+E92+E138-E115-E230-E253-E207</f>
        <v>29540.0996666666</v>
      </c>
      <c r="F276" s="7">
        <f t="shared" si="55"/>
        <v>26825.102499999928</v>
      </c>
      <c r="G276" s="7">
        <f t="shared" si="55"/>
        <v>24149.702333333262</v>
      </c>
      <c r="H276" s="7">
        <f t="shared" si="55"/>
        <v>21626.813166666594</v>
      </c>
      <c r="I276" s="7">
        <f t="shared" si="55"/>
        <v>19417.945999999927</v>
      </c>
      <c r="J276" s="7">
        <f t="shared" si="55"/>
        <v>16904.413833333259</v>
      </c>
      <c r="K276" s="7">
        <f t="shared" si="55"/>
        <v>14646.862666666591</v>
      </c>
      <c r="L276" s="7">
        <f t="shared" si="55"/>
        <v>11581.912499999926</v>
      </c>
      <c r="M276" s="7">
        <f t="shared" si="55"/>
        <v>9076.3633333332582</v>
      </c>
      <c r="N276" s="7">
        <f t="shared" si="55"/>
        <v>6786.5121666665909</v>
      </c>
      <c r="O276" s="7">
        <f t="shared" si="55"/>
        <v>4640.4999999999236</v>
      </c>
      <c r="P276" s="8">
        <f t="shared" si="33"/>
        <v>4640.4999999999236</v>
      </c>
    </row>
    <row r="277" spans="1:16" x14ac:dyDescent="0.3">
      <c r="A277" s="2" t="s">
        <v>16</v>
      </c>
      <c r="B277" s="2" t="s">
        <v>51</v>
      </c>
      <c r="C277" s="2" t="s">
        <v>40</v>
      </c>
      <c r="D277" s="7">
        <f t="shared" si="34"/>
        <v>32204.967833333256</v>
      </c>
      <c r="E277" s="7">
        <f t="shared" ref="E277:O277" si="56">D277+E93+E139-E116-E231-E254-E208</f>
        <v>30060.881666666588</v>
      </c>
      <c r="F277" s="7">
        <f t="shared" si="56"/>
        <v>27317.04249999992</v>
      </c>
      <c r="G277" s="7">
        <f t="shared" si="56"/>
        <v>24815.166333333251</v>
      </c>
      <c r="H277" s="7">
        <f t="shared" si="56"/>
        <v>22300.178166666581</v>
      </c>
      <c r="I277" s="7">
        <f t="shared" si="56"/>
        <v>19767.207999999915</v>
      </c>
      <c r="J277" s="7">
        <f t="shared" si="56"/>
        <v>17681.364833333246</v>
      </c>
      <c r="K277" s="7">
        <f t="shared" si="56"/>
        <v>14908.904666666578</v>
      </c>
      <c r="L277" s="7">
        <f t="shared" si="56"/>
        <v>12208.852499999912</v>
      </c>
      <c r="M277" s="7">
        <f t="shared" si="56"/>
        <v>9204.4773333332469</v>
      </c>
      <c r="N277" s="7">
        <f t="shared" si="56"/>
        <v>6297.0401666665794</v>
      </c>
      <c r="O277" s="7">
        <f t="shared" si="56"/>
        <v>3727.9999999999127</v>
      </c>
      <c r="P277" s="8">
        <f t="shared" si="33"/>
        <v>3727.9999999999127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2"/>
  <sheetViews>
    <sheetView workbookViewId="0">
      <pane xSplit="3" ySplit="2" topLeftCell="D3" activePane="bottomRight" state="frozen"/>
      <selection pane="topRight"/>
      <selection pane="bottomLeft"/>
      <selection pane="bottomRight" activeCell="A25" sqref="A25:XFD32"/>
    </sheetView>
  </sheetViews>
  <sheetFormatPr defaultRowHeight="13.8" x14ac:dyDescent="0.3"/>
  <cols>
    <col min="1" max="1" width="18" style="25" customWidth="1"/>
    <col min="2" max="2" width="22" style="25" customWidth="1"/>
    <col min="3" max="3" width="9" style="25" customWidth="1"/>
    <col min="4" max="26" width="10" style="25" customWidth="1"/>
    <col min="27" max="16384" width="8.88671875" style="25"/>
  </cols>
  <sheetData>
    <row r="1" spans="1:26" x14ac:dyDescent="0.3">
      <c r="A1" s="24" t="s">
        <v>52</v>
      </c>
    </row>
    <row r="2" spans="1:26" x14ac:dyDescent="0.3">
      <c r="A2" s="26" t="s">
        <v>0</v>
      </c>
      <c r="B2" s="26" t="s">
        <v>1</v>
      </c>
      <c r="C2" s="26" t="s">
        <v>53</v>
      </c>
      <c r="D2" s="26" t="s">
        <v>18</v>
      </c>
      <c r="E2" s="26" t="s">
        <v>19</v>
      </c>
      <c r="F2" s="26" t="s">
        <v>20</v>
      </c>
      <c r="G2" s="26" t="s">
        <v>21</v>
      </c>
      <c r="H2" s="26" t="s">
        <v>22</v>
      </c>
      <c r="I2" s="26" t="s">
        <v>23</v>
      </c>
      <c r="J2" s="26" t="s">
        <v>24</v>
      </c>
      <c r="K2" s="26" t="s">
        <v>25</v>
      </c>
      <c r="L2" s="26" t="s">
        <v>26</v>
      </c>
      <c r="M2" s="26" t="s">
        <v>27</v>
      </c>
      <c r="N2" s="26" t="s">
        <v>28</v>
      </c>
      <c r="O2" s="26" t="s">
        <v>29</v>
      </c>
      <c r="P2" s="26" t="s">
        <v>30</v>
      </c>
      <c r="Q2" s="26" t="s">
        <v>31</v>
      </c>
      <c r="R2" s="26" t="s">
        <v>32</v>
      </c>
      <c r="S2" s="26" t="s">
        <v>33</v>
      </c>
      <c r="T2" s="26" t="s">
        <v>34</v>
      </c>
      <c r="U2" s="26" t="s">
        <v>35</v>
      </c>
      <c r="V2" s="26" t="s">
        <v>36</v>
      </c>
      <c r="W2" s="26" t="s">
        <v>37</v>
      </c>
      <c r="X2" s="26" t="s">
        <v>38</v>
      </c>
      <c r="Y2" s="26" t="s">
        <v>39</v>
      </c>
      <c r="Z2" s="26" t="s">
        <v>40</v>
      </c>
    </row>
    <row r="3" spans="1:26" x14ac:dyDescent="0.3">
      <c r="A3" s="27" t="s">
        <v>52</v>
      </c>
      <c r="B3" s="27" t="s">
        <v>17</v>
      </c>
      <c r="C3" s="28" t="s">
        <v>54</v>
      </c>
      <c r="D3" s="29">
        <f>SUMIFS(Wheat_Mo!$P:$P,Wheat_Mo!$B:$B,"Planted Area",Wheat_Mo!$C:$C,RIGHT(D$2,5))</f>
        <v>19.501200000000001</v>
      </c>
      <c r="E3" s="29">
        <f>SUMIFS(Wheat_Mo!$P:$P,Wheat_Mo!$B:$B,"Planted Area",Wheat_Mo!$C:$C,RIGHT(E$2,5))</f>
        <v>19.771899999999999</v>
      </c>
      <c r="F3" s="29">
        <f>SUMIFS(Wheat_Mo!$P:$P,Wheat_Mo!$B:$B,"Planted Area",Wheat_Mo!$C:$C,RIGHT(F$2,5))</f>
        <v>19.1433</v>
      </c>
      <c r="G3" s="29">
        <f>SUMIFS(Wheat_Mo!$P:$P,Wheat_Mo!$B:$B,"Planted Area",Wheat_Mo!$C:$C,RIGHT(G$2,5))</f>
        <v>18.155899999999999</v>
      </c>
      <c r="H3" s="29">
        <f>SUMIFS(Wheat_Mo!$P:$P,Wheat_Mo!$B:$B,"Planted Area",Wheat_Mo!$C:$C,RIGHT(H$2,5))</f>
        <v>20.549875</v>
      </c>
      <c r="I3" s="29">
        <f>SUMIFS(Wheat_Mo!$P:$P,Wheat_Mo!$B:$B,"Planted Area",Wheat_Mo!$C:$C,RIGHT(I$2,5))</f>
        <v>16.963100000000001</v>
      </c>
      <c r="J3" s="29">
        <f>SUMIFS(Wheat_Mo!$P:$P,Wheat_Mo!$B:$B,"Planted Area",Wheat_Mo!$C:$C,RIGHT(J$2,5))</f>
        <v>19.111000000000001</v>
      </c>
      <c r="K3" s="29">
        <f>SUMIFS(Wheat_Mo!$P:$P,Wheat_Mo!$B:$B,"Planted Area",Wheat_Mo!$C:$C,RIGHT(K$2,5))</f>
        <v>19.257100000000001</v>
      </c>
      <c r="L3" s="29">
        <f>SUMIFS(Wheat_Mo!$P:$P,Wheat_Mo!$B:$B,"Planted Area",Wheat_Mo!$C:$C,RIGHT(L$2,5))</f>
        <v>17.984100000000002</v>
      </c>
      <c r="M3" s="29">
        <f>SUMIFS(Wheat_Mo!$P:$P,Wheat_Mo!$B:$B,"Planted Area",Wheat_Mo!$C:$C,RIGHT(M$2,5))</f>
        <v>17.551812000000002</v>
      </c>
      <c r="N3" s="29">
        <f>SUMIFS(Wheat_Mo!$P:$P,Wheat_Mo!$B:$B,"Planted Area",Wheat_Mo!$C:$C,RIGHT(N$2,5))</f>
        <v>19.067799999999998</v>
      </c>
      <c r="O3" s="29">
        <f>SUMIFS(Wheat_Mo!$P:$P,Wheat_Mo!$B:$B,"Planted Area",Wheat_Mo!$C:$C,RIGHT(O$2,5))</f>
        <v>21.2865</v>
      </c>
      <c r="P3" s="29">
        <f>SUMIFS(Wheat_Mo!$P:$P,Wheat_Mo!$B:$B,"Planted Area",Wheat_Mo!$C:$C,RIGHT(P$2,5))</f>
        <v>19.607800000000001</v>
      </c>
      <c r="Q3" s="29">
        <f>SUMIFS(Wheat_Mo!$P:$P,Wheat_Mo!$B:$B,"Planted Area",Wheat_Mo!$C:$C,RIGHT(Q$2,5))</f>
        <v>18.397300000000001</v>
      </c>
      <c r="R3" s="29">
        <f>SUMIFS(Wheat_Mo!$P:$P,Wheat_Mo!$B:$B,"Planted Area",Wheat_Mo!$C:$C,RIGHT(R$2,5))</f>
        <v>17.681097000000001</v>
      </c>
      <c r="S3" s="29">
        <f>SUMIFS(Wheat_Mo!$P:$P,Wheat_Mo!$B:$B,"Planted Area",Wheat_Mo!$C:$C,RIGHT(S$2,5))</f>
        <v>17.346299999999999</v>
      </c>
      <c r="T3" s="29">
        <f>SUMIFS(Wheat_Mo!$P:$P,Wheat_Mo!$B:$B,"Planted Area",Wheat_Mo!$C:$C,RIGHT(T$2,5))</f>
        <v>18.706700000000001</v>
      </c>
      <c r="U3" s="29">
        <f>SUMIFS(Wheat_Mo!$P:$P,Wheat_Mo!$B:$B,"Planted Area",Wheat_Mo!$C:$C,RIGHT(U$2,5))</f>
        <v>20.127600000000001</v>
      </c>
      <c r="V3" s="29">
        <f>SUMIFS(Wheat_Mo!$P:$P,Wheat_Mo!$B:$B,"Planted Area",Wheat_Mo!$C:$C,RIGHT(V$2,5))</f>
        <v>19.501000000000001</v>
      </c>
      <c r="W3" s="29">
        <f>SUMIFS(Wheat_Mo!$P:$P,Wheat_Mo!$B:$B,"Planted Area",Wheat_Mo!$C:$C,RIGHT(W$2,5))</f>
        <v>17.718021</v>
      </c>
      <c r="X3" s="29">
        <f>SUMIFS(Wheat_Mo!$P:$P,Wheat_Mo!$B:$B,"Planted Area",Wheat_Mo!$C:$C,RIGHT(X$2,5))</f>
        <v>19.419499999999999</v>
      </c>
      <c r="Y3" s="29">
        <f>SUMIFS(Wheat_Mo!$P:$P,Wheat_Mo!$B:$B,"Planted Area",Wheat_Mo!$C:$C,RIGHT(Y$2,5))</f>
        <v>21.0167</v>
      </c>
      <c r="Z3" s="29">
        <f>SUMIFS(Wheat_Mo!$P:$P,Wheat_Mo!$B:$B,"Planted Area",Wheat_Mo!$C:$C,RIGHT(Z$2,5))</f>
        <v>20.409099999999999</v>
      </c>
    </row>
    <row r="4" spans="1:26" x14ac:dyDescent="0.3">
      <c r="A4" s="27" t="s">
        <v>52</v>
      </c>
      <c r="B4" s="27" t="s">
        <v>41</v>
      </c>
      <c r="C4" s="28" t="s">
        <v>54</v>
      </c>
      <c r="D4" s="29">
        <f>SUMIFS(Wheat_Mo!$P:$P,Wheat_Mo!$B:$B,"Harvested Area",Wheat_Mo!$C:$C,RIGHT(D$2,5))</f>
        <v>15.974500000000001</v>
      </c>
      <c r="E4" s="29">
        <f>SUMIFS(Wheat_Mo!$P:$P,Wheat_Mo!$B:$B,"Harvested Area",Wheat_Mo!$C:$C,RIGHT(E$2,5))</f>
        <v>19.3261</v>
      </c>
      <c r="F4" s="29">
        <f>SUMIFS(Wheat_Mo!$P:$P,Wheat_Mo!$B:$B,"Harvested Area",Wheat_Mo!$C:$C,RIGHT(F$2,5))</f>
        <v>18.1311</v>
      </c>
      <c r="G4" s="29">
        <f>SUMIFS(Wheat_Mo!$P:$P,Wheat_Mo!$B:$B,"Harvested Area",Wheat_Mo!$C:$C,RIGHT(G$2,5))</f>
        <v>17.607399999999998</v>
      </c>
      <c r="H4" s="29">
        <f>SUMIFS(Wheat_Mo!$P:$P,Wheat_Mo!$B:$B,"Harvested Area",Wheat_Mo!$C:$C,RIGHT(H$2,5))</f>
        <v>20.174499999999998</v>
      </c>
      <c r="I4" s="29">
        <f>SUMIFS(Wheat_Mo!$P:$P,Wheat_Mo!$B:$B,"Harvested Area",Wheat_Mo!$C:$C,RIGHT(I$2,5))</f>
        <v>16.581199999999999</v>
      </c>
      <c r="J4" s="29">
        <f>SUMIFS(Wheat_Mo!$P:$P,Wheat_Mo!$B:$B,"Harvested Area",Wheat_Mo!$C:$C,RIGHT(J$2,5))</f>
        <v>18.779</v>
      </c>
      <c r="K4" s="29">
        <f>SUMIFS(Wheat_Mo!$P:$P,Wheat_Mo!$B:$B,"Harvested Area",Wheat_Mo!$C:$C,RIGHT(K$2,5))</f>
        <v>18.361899999999999</v>
      </c>
      <c r="L4" s="29">
        <f>SUMIFS(Wheat_Mo!$P:$P,Wheat_Mo!$B:$B,"Harvested Area",Wheat_Mo!$C:$C,RIGHT(L$2,5))</f>
        <v>17.425999999999998</v>
      </c>
      <c r="M4" s="29">
        <f>SUMIFS(Wheat_Mo!$P:$P,Wheat_Mo!$B:$B,"Harvested Area",Wheat_Mo!$C:$C,RIGHT(M$2,5))</f>
        <v>17.203499999999998</v>
      </c>
      <c r="N4" s="29">
        <f>SUMIFS(Wheat_Mo!$P:$P,Wheat_Mo!$B:$B,"Harvested Area",Wheat_Mo!$C:$C,RIGHT(N$2,5))</f>
        <v>18.839099999999998</v>
      </c>
      <c r="O4" s="29">
        <f>SUMIFS(Wheat_Mo!$P:$P,Wheat_Mo!$B:$B,"Harvested Area",Wheat_Mo!$C:$C,RIGHT(O$2,5))</f>
        <v>20.861000000000001</v>
      </c>
      <c r="P4" s="29">
        <f>SUMIFS(Wheat_Mo!$P:$P,Wheat_Mo!$B:$B,"Harvested Area",Wheat_Mo!$C:$C,RIGHT(P$2,5))</f>
        <v>18.917300000000001</v>
      </c>
      <c r="Q4" s="29">
        <f>SUMIFS(Wheat_Mo!$P:$P,Wheat_Mo!$B:$B,"Harvested Area",Wheat_Mo!$C:$C,RIGHT(Q$2,5))</f>
        <v>17.900200000000002</v>
      </c>
      <c r="R4" s="29">
        <f>SUMIFS(Wheat_Mo!$P:$P,Wheat_Mo!$B:$B,"Harvested Area",Wheat_Mo!$C:$C,RIGHT(R$2,5))</f>
        <v>16.415900000000001</v>
      </c>
      <c r="S4" s="29">
        <f>SUMIFS(Wheat_Mo!$P:$P,Wheat_Mo!$B:$B,"Harvested Area",Wheat_Mo!$C:$C,RIGHT(S$2,5))</f>
        <v>17.038599999999999</v>
      </c>
      <c r="T4" s="29">
        <f>SUMIFS(Wheat_Mo!$P:$P,Wheat_Mo!$B:$B,"Harvested Area",Wheat_Mo!$C:$C,RIGHT(T$2,5))</f>
        <v>18.348700000000001</v>
      </c>
      <c r="U4" s="29">
        <f>SUMIFS(Wheat_Mo!$P:$P,Wheat_Mo!$B:$B,"Harvested Area",Wheat_Mo!$C:$C,RIGHT(U$2,5))</f>
        <v>19.1602</v>
      </c>
      <c r="V4" s="29">
        <f>SUMIFS(Wheat_Mo!$P:$P,Wheat_Mo!$B:$B,"Harvested Area",Wheat_Mo!$C:$C,RIGHT(V$2,5))</f>
        <v>19.083200000000001</v>
      </c>
      <c r="W4" s="29">
        <f>SUMIFS(Wheat_Mo!$P:$P,Wheat_Mo!$B:$B,"Harvested Area",Wheat_Mo!$C:$C,RIGHT(W$2,5))</f>
        <v>17.218081999999999</v>
      </c>
      <c r="X4" s="29">
        <f>SUMIFS(Wheat_Mo!$P:$P,Wheat_Mo!$B:$B,"Harvested Area",Wheat_Mo!$C:$C,RIGHT(X$2,5))</f>
        <v>19.055099999999999</v>
      </c>
      <c r="Y4" s="29">
        <f>SUMIFS(Wheat_Mo!$P:$P,Wheat_Mo!$B:$B,"Harvested Area",Wheat_Mo!$C:$C,RIGHT(Y$2,5))</f>
        <v>20.569600000000001</v>
      </c>
      <c r="Z4" s="29">
        <f>SUMIFS(Wheat_Mo!$P:$P,Wheat_Mo!$B:$B,"Harvested Area",Wheat_Mo!$C:$C,RIGHT(Z$2,5))</f>
        <v>19.982399999999998</v>
      </c>
    </row>
    <row r="5" spans="1:26" x14ac:dyDescent="0.3">
      <c r="A5" s="27" t="s">
        <v>52</v>
      </c>
      <c r="B5" s="27" t="s">
        <v>55</v>
      </c>
      <c r="C5" s="28" t="s">
        <v>56</v>
      </c>
      <c r="D5" s="30">
        <f t="shared" ref="D5:Z5" si="0">IF(D3&lt;&gt;0,D4/D3,"")</f>
        <v>0.81915471868397838</v>
      </c>
      <c r="E5" s="30">
        <f t="shared" si="0"/>
        <v>0.977452849751415</v>
      </c>
      <c r="F5" s="30">
        <f t="shared" si="0"/>
        <v>0.94712510382222503</v>
      </c>
      <c r="G5" s="30">
        <f t="shared" si="0"/>
        <v>0.96978943483936353</v>
      </c>
      <c r="H5" s="30">
        <f t="shared" si="0"/>
        <v>0.98173346553202867</v>
      </c>
      <c r="I5" s="30">
        <f t="shared" si="0"/>
        <v>0.97748642641969918</v>
      </c>
      <c r="J5" s="30">
        <f t="shared" si="0"/>
        <v>0.98262780597561605</v>
      </c>
      <c r="K5" s="30">
        <f t="shared" si="0"/>
        <v>0.95351324965856732</v>
      </c>
      <c r="L5" s="30">
        <f t="shared" si="0"/>
        <v>0.96896703198936818</v>
      </c>
      <c r="M5" s="30">
        <f t="shared" si="0"/>
        <v>0.98015521132518946</v>
      </c>
      <c r="N5" s="30">
        <f t="shared" si="0"/>
        <v>0.98800595768782973</v>
      </c>
      <c r="O5" s="30">
        <f t="shared" si="0"/>
        <v>0.98001080497028636</v>
      </c>
      <c r="P5" s="30">
        <f t="shared" si="0"/>
        <v>0.9647844225257296</v>
      </c>
      <c r="Q5" s="30">
        <f t="shared" si="0"/>
        <v>0.97297973072135591</v>
      </c>
      <c r="R5" s="30">
        <f t="shared" si="0"/>
        <v>0.92844352361168536</v>
      </c>
      <c r="S5" s="30">
        <f t="shared" si="0"/>
        <v>0.98226134680018218</v>
      </c>
      <c r="T5" s="30">
        <f t="shared" si="0"/>
        <v>0.98086247173472607</v>
      </c>
      <c r="U5" s="30">
        <f t="shared" si="0"/>
        <v>0.95193664420994051</v>
      </c>
      <c r="V5" s="30">
        <f t="shared" si="0"/>
        <v>0.97857545766883747</v>
      </c>
      <c r="W5" s="30">
        <f t="shared" si="0"/>
        <v>0.97178358689156075</v>
      </c>
      <c r="X5" s="30">
        <f t="shared" si="0"/>
        <v>0.98123535621411473</v>
      </c>
      <c r="Y5" s="30">
        <f t="shared" si="0"/>
        <v>0.97872644135378062</v>
      </c>
      <c r="Z5" s="30">
        <f t="shared" si="0"/>
        <v>0.97909265964692216</v>
      </c>
    </row>
    <row r="6" spans="1:26" x14ac:dyDescent="0.3">
      <c r="A6" s="27" t="s">
        <v>52</v>
      </c>
      <c r="B6" s="27" t="s">
        <v>42</v>
      </c>
      <c r="C6" s="28" t="s">
        <v>57</v>
      </c>
      <c r="D6" s="31">
        <f>SUMIFS(Wheat_Mo!$P:$P,Wheat_Mo!$B:$B,"Yield",Wheat_Mo!$C:$C,RIGHT(D$2,5))</f>
        <v>27.7958977295064</v>
      </c>
      <c r="E6" s="31">
        <f>SUMIFS(Wheat_Mo!$P:$P,Wheat_Mo!$B:$B,"Yield",Wheat_Mo!$C:$C,RIGHT(E$2,5))</f>
        <v>35.813799830281333</v>
      </c>
      <c r="F6" s="31">
        <f>SUMIFS(Wheat_Mo!$P:$P,Wheat_Mo!$B:$B,"Yield",Wheat_Mo!$C:$C,RIGHT(F$2,5))</f>
        <v>40.519174907755179</v>
      </c>
      <c r="G6" s="31">
        <f>SUMIFS(Wheat_Mo!$P:$P,Wheat_Mo!$B:$B,"Yield",Wheat_Mo!$C:$C,RIGHT(G$2,5))</f>
        <v>41.389198515964871</v>
      </c>
      <c r="H6" s="31">
        <f>SUMIFS(Wheat_Mo!$P:$P,Wheat_Mo!$B:$B,"Yield",Wheat_Mo!$C:$C,RIGHT(H$2,5))</f>
        <v>39.921312004758477</v>
      </c>
      <c r="I6" s="31">
        <f>SUMIFS(Wheat_Mo!$P:$P,Wheat_Mo!$B:$B,"Yield",Wheat_Mo!$C:$C,RIGHT(I$2,5))</f>
        <v>36.36210728415314</v>
      </c>
      <c r="J6" s="31">
        <f>SUMIFS(Wheat_Mo!$P:$P,Wheat_Mo!$B:$B,"Yield",Wheat_Mo!$C:$C,RIGHT(J$2,5))</f>
        <v>45.198135983279201</v>
      </c>
      <c r="K6" s="31">
        <f>SUMIFS(Wheat_Mo!$P:$P,Wheat_Mo!$B:$B,"Yield",Wheat_Mo!$C:$C,RIGHT(K$2,5))</f>
        <v>43.12395547900816</v>
      </c>
      <c r="L6" s="31">
        <f>SUMIFS(Wheat_Mo!$P:$P,Wheat_Mo!$B:$B,"Yield",Wheat_Mo!$C:$C,RIGHT(L$2,5))</f>
        <v>42.750765702398709</v>
      </c>
      <c r="M6" s="31">
        <f>SUMIFS(Wheat_Mo!$P:$P,Wheat_Mo!$B:$B,"Yield",Wheat_Mo!$C:$C,RIGHT(M$2,5))</f>
        <v>45.09990960153457</v>
      </c>
      <c r="N6" s="31">
        <f>SUMIFS(Wheat_Mo!$P:$P,Wheat_Mo!$B:$B,"Yield",Wheat_Mo!$C:$C,RIGHT(N$2,5))</f>
        <v>44.116780938579858</v>
      </c>
      <c r="O6" s="31">
        <f>SUMIFS(Wheat_Mo!$P:$P,Wheat_Mo!$B:$B,"Yield",Wheat_Mo!$C:$C,RIGHT(O$2,5))</f>
        <v>54.751124923062171</v>
      </c>
      <c r="P6" s="31">
        <f>SUMIFS(Wheat_Mo!$P:$P,Wheat_Mo!$B:$B,"Yield",Wheat_Mo!$C:$C,RIGHT(P$2,5))</f>
        <v>47.100414899589261</v>
      </c>
      <c r="Q6" s="31">
        <f>SUMIFS(Wheat_Mo!$P:$P,Wheat_Mo!$B:$B,"Yield",Wheat_Mo!$C:$C,RIGHT(Q$2,5))</f>
        <v>45.690383078959997</v>
      </c>
      <c r="R6" s="31">
        <f>SUMIFS(Wheat_Mo!$P:$P,Wheat_Mo!$B:$B,"Yield",Wheat_Mo!$C:$C,RIGHT(R$2,5))</f>
        <v>54.565487909283071</v>
      </c>
      <c r="S6" s="31">
        <f>SUMIFS(Wheat_Mo!$P:$P,Wheat_Mo!$B:$B,"Yield",Wheat_Mo!$C:$C,RIGHT(S$2,5))</f>
        <v>54.807602142781683</v>
      </c>
      <c r="T6" s="31">
        <f>SUMIFS(Wheat_Mo!$P:$P,Wheat_Mo!$B:$B,"Yield",Wheat_Mo!$C:$C,RIGHT(T$2,5))</f>
        <v>53.201237813578068</v>
      </c>
      <c r="U6" s="31">
        <f>SUMIFS(Wheat_Mo!$P:$P,Wheat_Mo!$B:$B,"Yield",Wheat_Mo!$C:$C,RIGHT(U$2,5))</f>
        <v>53.030040780367642</v>
      </c>
      <c r="V6" s="31">
        <f>SUMIFS(Wheat_Mo!$P:$P,Wheat_Mo!$B:$B,"Yield",Wheat_Mo!$C:$C,RIGHT(V$2,5))</f>
        <v>55.579967940387363</v>
      </c>
      <c r="W6" s="31">
        <f>SUMIFS(Wheat_Mo!$P:$P,Wheat_Mo!$B:$B,"Yield",Wheat_Mo!$C:$C,RIGHT(W$2,5))</f>
        <v>41.377972290409581</v>
      </c>
      <c r="X6" s="31">
        <f>SUMIFS(Wheat_Mo!$P:$P,Wheat_Mo!$B:$B,"Yield",Wheat_Mo!$C:$C,RIGHT(X$2,5))</f>
        <v>56.09078110742005</v>
      </c>
      <c r="Y6" s="31">
        <f>SUMIFS(Wheat_Mo!$P:$P,Wheat_Mo!$B:$B,"Yield",Wheat_Mo!$C:$C,RIGHT(Y$2,5))</f>
        <v>52.100793150571711</v>
      </c>
      <c r="Z6" s="31">
        <f>SUMIFS(Wheat_Mo!$P:$P,Wheat_Mo!$B:$B,"Yield",Wheat_Mo!$C:$C,RIGHT(Z$2,5))</f>
        <v>54.352262813776122</v>
      </c>
    </row>
    <row r="8" spans="1:26" x14ac:dyDescent="0.3">
      <c r="A8" s="27" t="s">
        <v>52</v>
      </c>
      <c r="B8" s="27" t="s">
        <v>58</v>
      </c>
      <c r="C8" s="28" t="s">
        <v>59</v>
      </c>
      <c r="D8" s="32">
        <f>SUMIFS(Wheat_Mo!$D:$D,Wheat_Mo!$B:$B,"STOCKS",Wheat_Mo!$C:$C,RIGHT(D$2,5))-SUMIFS(Wheat_Mo!$D:$D,Wheat_Mo!$B:$B,"Production",Wheat_Mo!$C:$C,RIGHT(D$2,5))-SUMIFS(Wheat_Mo!$D:$D,Wheat_Mo!$B:$B,"Imports",Wheat_Mo!$C:$C,RIGHT(D$2,5))+SUMIFS(Wheat_Mo!$D:$D,Wheat_Mo!$B:$B,"Exports",Wheat_Mo!$C:$C,RIGHT(D$2,5))+SUMIFS(Wheat_Mo!$D:$D,Wheat_Mo!$B:$B,"Food &amp; Processing",Wheat_Mo!$C:$C,RIGHT(D$2,5))+SUMIFS(Wheat_Mo!$D:$D,Wheat_Mo!$B:$B,"FSR",Wheat_Mo!$C:$C,RIGHT(D$2,5))+SUMIFS(Wheat_Mo!$D:$D,Wheat_Mo!$B:$B,"Seed",Wheat_Mo!$C:$C,RIGHT(D$2,5))</f>
        <v>5184.5000000000027</v>
      </c>
      <c r="E8" s="32">
        <f t="shared" ref="E8:Z8" si="1">D19</f>
        <v>4106.5000000000073</v>
      </c>
      <c r="F8" s="32">
        <f t="shared" si="1"/>
        <v>4211.1000000000058</v>
      </c>
      <c r="G8" s="32">
        <f t="shared" si="1"/>
        <v>5435.1000000000058</v>
      </c>
      <c r="H8" s="32">
        <f t="shared" si="1"/>
        <v>6424.1000000000095</v>
      </c>
      <c r="I8" s="32">
        <f t="shared" si="1"/>
        <v>5608.200000000008</v>
      </c>
      <c r="J8" s="32">
        <f t="shared" si="1"/>
        <v>3557.4000000000051</v>
      </c>
      <c r="K8" s="32">
        <f t="shared" si="1"/>
        <v>4641.7000000000007</v>
      </c>
      <c r="L8" s="32">
        <f t="shared" si="1"/>
        <v>5049</v>
      </c>
      <c r="M8" s="32">
        <f t="shared" si="1"/>
        <v>5793.7000000000007</v>
      </c>
      <c r="N8" s="32">
        <f t="shared" si="1"/>
        <v>4445.8999999999978</v>
      </c>
      <c r="O8" s="32">
        <f t="shared" si="1"/>
        <v>3985.299999999992</v>
      </c>
      <c r="P8" s="32">
        <f t="shared" si="1"/>
        <v>8658.5999999999949</v>
      </c>
      <c r="Q8" s="32">
        <f t="shared" si="1"/>
        <v>6124.4999999999927</v>
      </c>
      <c r="R8" s="32">
        <f t="shared" si="1"/>
        <v>4077.9999999999927</v>
      </c>
      <c r="S8" s="32">
        <f t="shared" si="1"/>
        <v>5103.1999999999935</v>
      </c>
      <c r="T8" s="32">
        <f t="shared" si="1"/>
        <v>5255.7999999999884</v>
      </c>
      <c r="U8" s="32">
        <f t="shared" si="1"/>
        <v>4208.6999999999898</v>
      </c>
      <c r="V8" s="32">
        <f t="shared" si="1"/>
        <v>4762.5999999999804</v>
      </c>
      <c r="W8" s="32">
        <f t="shared" si="1"/>
        <v>5140.3999999999724</v>
      </c>
      <c r="X8" s="32">
        <f t="shared" si="1"/>
        <v>3582.2999999999774</v>
      </c>
      <c r="Y8" s="32">
        <f t="shared" si="1"/>
        <v>5127.9999999999818</v>
      </c>
      <c r="Z8" s="32">
        <f t="shared" si="1"/>
        <v>4640.4999999999818</v>
      </c>
    </row>
    <row r="9" spans="1:26" x14ac:dyDescent="0.3">
      <c r="A9" s="27" t="s">
        <v>52</v>
      </c>
      <c r="B9" s="27" t="s">
        <v>45</v>
      </c>
      <c r="C9" s="28" t="s">
        <v>59</v>
      </c>
      <c r="D9" s="32">
        <f>SUMIFS(Wheat_Mo!$P:$P,Wheat_Mo!$B:$B,"Imports",Wheat_Mo!$C:$C,RIGHT(D$2,5))</f>
        <v>172.65199999999999</v>
      </c>
      <c r="E9" s="32">
        <f>SUMIFS(Wheat_Mo!$P:$P,Wheat_Mo!$B:$B,"Imports",Wheat_Mo!$C:$C,RIGHT(E$2,5))</f>
        <v>16.312000000000001</v>
      </c>
      <c r="F9" s="32">
        <f>SUMIFS(Wheat_Mo!$P:$P,Wheat_Mo!$B:$B,"Imports",Wheat_Mo!$C:$C,RIGHT(F$2,5))</f>
        <v>13.274000000000001</v>
      </c>
      <c r="G9" s="32">
        <f>SUMIFS(Wheat_Mo!$P:$P,Wheat_Mo!$B:$B,"Imports",Wheat_Mo!$C:$C,RIGHT(G$2,5))</f>
        <v>22.732000000000003</v>
      </c>
      <c r="H9" s="32">
        <f>SUMIFS(Wheat_Mo!$P:$P,Wheat_Mo!$B:$B,"Imports",Wheat_Mo!$C:$C,RIGHT(H$2,5))</f>
        <v>24.774000000000001</v>
      </c>
      <c r="I9" s="32">
        <f>SUMIFS(Wheat_Mo!$P:$P,Wheat_Mo!$B:$B,"Imports",Wheat_Mo!$C:$C,RIGHT(I$2,5))</f>
        <v>20.478000000000002</v>
      </c>
      <c r="J9" s="32">
        <f>SUMIFS(Wheat_Mo!$P:$P,Wheat_Mo!$B:$B,"Imports",Wheat_Mo!$C:$C,RIGHT(J$2,5))</f>
        <v>23.073999999999998</v>
      </c>
      <c r="K9" s="32">
        <f>SUMIFS(Wheat_Mo!$P:$P,Wheat_Mo!$B:$B,"Imports",Wheat_Mo!$C:$C,RIGHT(K$2,5))</f>
        <v>114.97000000000001</v>
      </c>
      <c r="L9" s="32">
        <f>SUMIFS(Wheat_Mo!$P:$P,Wheat_Mo!$B:$B,"Imports",Wheat_Mo!$C:$C,RIGHT(L$2,5))</f>
        <v>31.522000000000002</v>
      </c>
      <c r="M9" s="32">
        <f>SUMIFS(Wheat_Mo!$P:$P,Wheat_Mo!$B:$B,"Imports",Wheat_Mo!$C:$C,RIGHT(M$2,5))</f>
        <v>61.109000000000002</v>
      </c>
      <c r="N9" s="32">
        <f>SUMIFS(Wheat_Mo!$P:$P,Wheat_Mo!$B:$B,"Imports",Wheat_Mo!$C:$C,RIGHT(N$2,5))</f>
        <v>38.039000000000001</v>
      </c>
      <c r="O9" s="32">
        <f>SUMIFS(Wheat_Mo!$P:$P,Wheat_Mo!$B:$B,"Imports",Wheat_Mo!$C:$C,RIGHT(O$2,5))</f>
        <v>49.984000000000002</v>
      </c>
      <c r="P9" s="32">
        <f>SUMIFS(Wheat_Mo!$P:$P,Wheat_Mo!$B:$B,"Imports",Wheat_Mo!$C:$C,RIGHT(P$2,5))</f>
        <v>153.56699999999998</v>
      </c>
      <c r="Q9" s="32">
        <f>SUMIFS(Wheat_Mo!$P:$P,Wheat_Mo!$B:$B,"Imports",Wheat_Mo!$C:$C,RIGHT(Q$2,5))</f>
        <v>95.713999999999999</v>
      </c>
      <c r="R9" s="32">
        <f>SUMIFS(Wheat_Mo!$P:$P,Wheat_Mo!$B:$B,"Imports",Wheat_Mo!$C:$C,RIGHT(R$2,5))</f>
        <v>104.393</v>
      </c>
      <c r="S9" s="32">
        <f>SUMIFS(Wheat_Mo!$P:$P,Wheat_Mo!$B:$B,"Imports",Wheat_Mo!$C:$C,RIGHT(S$2,5))</f>
        <v>76.11399999999999</v>
      </c>
      <c r="T9" s="32">
        <f>SUMIFS(Wheat_Mo!$P:$P,Wheat_Mo!$B:$B,"Imports",Wheat_Mo!$C:$C,RIGHT(T$2,5))</f>
        <v>95.117999999999995</v>
      </c>
      <c r="U9" s="32">
        <f>SUMIFS(Wheat_Mo!$P:$P,Wheat_Mo!$B:$B,"Imports",Wheat_Mo!$C:$C,RIGHT(U$2,5))</f>
        <v>178.63700000000003</v>
      </c>
      <c r="V9" s="32">
        <f>SUMIFS(Wheat_Mo!$P:$P,Wheat_Mo!$B:$B,"Imports",Wheat_Mo!$C:$C,RIGHT(V$2,5))</f>
        <v>128.71099999999998</v>
      </c>
      <c r="W9" s="32">
        <f>SUMIFS(Wheat_Mo!$P:$P,Wheat_Mo!$B:$B,"Imports",Wheat_Mo!$C:$C,RIGHT(W$2,5))</f>
        <v>152.73099999999999</v>
      </c>
      <c r="X9" s="32">
        <f>SUMIFS(Wheat_Mo!$P:$P,Wheat_Mo!$B:$B,"Imports",Wheat_Mo!$C:$C,RIGHT(X$2,5))</f>
        <v>63.798999999999999</v>
      </c>
      <c r="Y9" s="32">
        <f>SUMIFS(Wheat_Mo!$P:$P,Wheat_Mo!$B:$B,"Imports",Wheat_Mo!$C:$C,RIGHT(Y$2,5))</f>
        <v>87.64</v>
      </c>
      <c r="Z9" s="32">
        <f>SUMIFS(Wheat_Mo!$P:$P,Wheat_Mo!$B:$B,"Imports",Wheat_Mo!$C:$C,RIGHT(Z$2,5))</f>
        <v>80.138999999999996</v>
      </c>
    </row>
    <row r="10" spans="1:26" x14ac:dyDescent="0.3">
      <c r="A10" s="27" t="s">
        <v>52</v>
      </c>
      <c r="B10" s="27" t="s">
        <v>43</v>
      </c>
      <c r="C10" s="28" t="s">
        <v>59</v>
      </c>
      <c r="D10" s="32">
        <f>SUMIFS(Wheat_Mo!$P:$P,Wheat_Mo!$B:$B,"Production",Wheat_Mo!$C:$C,RIGHT(D$2,5))</f>
        <v>12084.4</v>
      </c>
      <c r="E10" s="32">
        <f>SUMIFS(Wheat_Mo!$P:$P,Wheat_Mo!$B:$B,"Production",Wheat_Mo!$C:$C,RIGHT(E$2,5))</f>
        <v>18837</v>
      </c>
      <c r="F10" s="32">
        <f>SUMIFS(Wheat_Mo!$P:$P,Wheat_Mo!$B:$B,"Production",Wheat_Mo!$C:$C,RIGHT(F$2,5))</f>
        <v>19994.099999999999</v>
      </c>
      <c r="G10" s="32">
        <f>SUMIFS(Wheat_Mo!$P:$P,Wheat_Mo!$B:$B,"Production",Wheat_Mo!$C:$C,RIGHT(G$2,5))</f>
        <v>19833.5</v>
      </c>
      <c r="H10" s="32">
        <f>SUMIFS(Wheat_Mo!$P:$P,Wheat_Mo!$B:$B,"Production",Wheat_Mo!$C:$C,RIGHT(H$2,5))</f>
        <v>21919.200000000001</v>
      </c>
      <c r="I10" s="32">
        <f>SUMIFS(Wheat_Mo!$P:$P,Wheat_Mo!$B:$B,"Production",Wheat_Mo!$C:$C,RIGHT(I$2,5))</f>
        <v>16409</v>
      </c>
      <c r="J10" s="32">
        <f>SUMIFS(Wheat_Mo!$P:$P,Wheat_Mo!$B:$B,"Production",Wheat_Mo!$C:$C,RIGHT(J$2,5))</f>
        <v>23099.9</v>
      </c>
      <c r="K10" s="32">
        <f>SUMIFS(Wheat_Mo!$P:$P,Wheat_Mo!$B:$B,"Production",Wheat_Mo!$C:$C,RIGHT(K$2,5))</f>
        <v>21550.3</v>
      </c>
      <c r="L10" s="32">
        <f>SUMIFS(Wheat_Mo!$P:$P,Wheat_Mo!$B:$B,"Production",Wheat_Mo!$C:$C,RIGHT(L$2,5))</f>
        <v>20274.900000000001</v>
      </c>
      <c r="M10" s="32">
        <f>SUMIFS(Wheat_Mo!$P:$P,Wheat_Mo!$B:$B,"Production",Wheat_Mo!$C:$C,RIGHT(M$2,5))</f>
        <v>21115.9</v>
      </c>
      <c r="N10" s="32">
        <f>SUMIFS(Wheat_Mo!$P:$P,Wheat_Mo!$B:$B,"Production",Wheat_Mo!$C:$C,RIGHT(N$2,5))</f>
        <v>22619.4</v>
      </c>
      <c r="O10" s="32">
        <f>SUMIFS(Wheat_Mo!$P:$P,Wheat_Mo!$B:$B,"Production",Wheat_Mo!$C:$C,RIGHT(O$2,5))</f>
        <v>31084.6</v>
      </c>
      <c r="P10" s="32">
        <f>SUMIFS(Wheat_Mo!$P:$P,Wheat_Mo!$B:$B,"Production",Wheat_Mo!$C:$C,RIGHT(P$2,5))</f>
        <v>24249.4</v>
      </c>
      <c r="Q10" s="32">
        <f>SUMIFS(Wheat_Mo!$P:$P,Wheat_Mo!$B:$B,"Production",Wheat_Mo!$C:$C,RIGHT(Q$2,5))</f>
        <v>22258.7</v>
      </c>
      <c r="R10" s="32">
        <f>SUMIFS(Wheat_Mo!$P:$P,Wheat_Mo!$B:$B,"Production",Wheat_Mo!$C:$C,RIGHT(R$2,5))</f>
        <v>24378.1</v>
      </c>
      <c r="S10" s="32">
        <f>SUMIFS(Wheat_Mo!$P:$P,Wheat_Mo!$B:$B,"Production",Wheat_Mo!$C:$C,RIGHT(S$2,5))</f>
        <v>25415.1</v>
      </c>
      <c r="T10" s="32">
        <f>SUMIFS(Wheat_Mo!$P:$P,Wheat_Mo!$B:$B,"Production",Wheat_Mo!$C:$C,RIGHT(T$2,5))</f>
        <v>26567.1</v>
      </c>
      <c r="U10" s="32">
        <f>SUMIFS(Wheat_Mo!$P:$P,Wheat_Mo!$B:$B,"Production",Wheat_Mo!$C:$C,RIGHT(U$2,5))</f>
        <v>27652.799999999999</v>
      </c>
      <c r="V10" s="32">
        <f>SUMIFS(Wheat_Mo!$P:$P,Wheat_Mo!$B:$B,"Production",Wheat_Mo!$C:$C,RIGHT(V$2,5))</f>
        <v>28866</v>
      </c>
      <c r="W10" s="32">
        <f>SUMIFS(Wheat_Mo!$P:$P,Wheat_Mo!$B:$B,"Production",Wheat_Mo!$C:$C,RIGHT(W$2,5))</f>
        <v>19389.7</v>
      </c>
      <c r="X10" s="32">
        <f>SUMIFS(Wheat_Mo!$P:$P,Wheat_Mo!$B:$B,"Production",Wheat_Mo!$C:$C,RIGHT(X$2,5))</f>
        <v>29088.400000000001</v>
      </c>
      <c r="Y10" s="32">
        <f>SUMIFS(Wheat_Mo!$P:$P,Wheat_Mo!$B:$B,"Production",Wheat_Mo!$C:$C,RIGHT(Y$2,5))</f>
        <v>29166.7</v>
      </c>
      <c r="Z10" s="32">
        <f>SUMIFS(Wheat_Mo!$P:$P,Wheat_Mo!$B:$B,"Production",Wheat_Mo!$C:$C,RIGHT(Z$2,5))</f>
        <v>29558.5</v>
      </c>
    </row>
    <row r="11" spans="1:26" x14ac:dyDescent="0.3">
      <c r="A11" s="33" t="s">
        <v>52</v>
      </c>
      <c r="B11" s="33" t="s">
        <v>60</v>
      </c>
      <c r="C11" s="34" t="s">
        <v>59</v>
      </c>
      <c r="D11" s="35">
        <f t="shared" ref="D11:Z11" si="2">D8+D9+D10</f>
        <v>17441.552000000003</v>
      </c>
      <c r="E11" s="35">
        <f t="shared" si="2"/>
        <v>22959.812000000005</v>
      </c>
      <c r="F11" s="35">
        <f t="shared" si="2"/>
        <v>24218.474000000006</v>
      </c>
      <c r="G11" s="35">
        <f t="shared" si="2"/>
        <v>25291.332000000006</v>
      </c>
      <c r="H11" s="35">
        <f t="shared" si="2"/>
        <v>28368.074000000011</v>
      </c>
      <c r="I11" s="35">
        <f t="shared" si="2"/>
        <v>22037.678000000007</v>
      </c>
      <c r="J11" s="35">
        <f t="shared" si="2"/>
        <v>26680.374000000007</v>
      </c>
      <c r="K11" s="35">
        <f t="shared" si="2"/>
        <v>26306.97</v>
      </c>
      <c r="L11" s="35">
        <f t="shared" si="2"/>
        <v>25355.422000000002</v>
      </c>
      <c r="M11" s="35">
        <f t="shared" si="2"/>
        <v>26970.709000000003</v>
      </c>
      <c r="N11" s="35">
        <f t="shared" si="2"/>
        <v>27103.339</v>
      </c>
      <c r="O11" s="35">
        <f t="shared" si="2"/>
        <v>35119.883999999991</v>
      </c>
      <c r="P11" s="35">
        <f t="shared" si="2"/>
        <v>33061.566999999995</v>
      </c>
      <c r="Q11" s="35">
        <f t="shared" si="2"/>
        <v>28478.913999999993</v>
      </c>
      <c r="R11" s="35">
        <f t="shared" si="2"/>
        <v>28560.492999999991</v>
      </c>
      <c r="S11" s="35">
        <f t="shared" si="2"/>
        <v>30594.41399999999</v>
      </c>
      <c r="T11" s="35">
        <f t="shared" si="2"/>
        <v>31918.017999999989</v>
      </c>
      <c r="U11" s="35">
        <f t="shared" si="2"/>
        <v>32040.136999999988</v>
      </c>
      <c r="V11" s="35">
        <f t="shared" si="2"/>
        <v>33757.31099999998</v>
      </c>
      <c r="W11" s="35">
        <f t="shared" si="2"/>
        <v>24682.830999999973</v>
      </c>
      <c r="X11" s="35">
        <f t="shared" si="2"/>
        <v>32734.498999999978</v>
      </c>
      <c r="Y11" s="35">
        <f t="shared" si="2"/>
        <v>34382.339999999982</v>
      </c>
      <c r="Z11" s="35">
        <f t="shared" si="2"/>
        <v>34279.138999999981</v>
      </c>
    </row>
    <row r="13" spans="1:26" x14ac:dyDescent="0.3">
      <c r="A13" s="27" t="s">
        <v>52</v>
      </c>
      <c r="B13" s="27" t="s">
        <v>46</v>
      </c>
      <c r="C13" s="28" t="s">
        <v>59</v>
      </c>
      <c r="D13" s="32">
        <f>SUMIFS(Wheat_Mo!$P:$P,Wheat_Mo!$B:$B,"Food",Wheat_Mo!$C:$C,RIGHT(D$2,5))</f>
        <v>2687.3999999999996</v>
      </c>
      <c r="E13" s="32">
        <f>SUMIFS(Wheat_Mo!$P:$P,Wheat_Mo!$B:$B,"Food",Wheat_Mo!$C:$C,RIGHT(E$2,5))</f>
        <v>2656</v>
      </c>
      <c r="F13" s="32">
        <f>SUMIFS(Wheat_Mo!$P:$P,Wheat_Mo!$B:$B,"Food",Wheat_Mo!$C:$C,RIGHT(F$2,5))</f>
        <v>2710.5</v>
      </c>
      <c r="G13" s="32">
        <f>SUMIFS(Wheat_Mo!$P:$P,Wheat_Mo!$B:$B,"Food",Wheat_Mo!$C:$C,RIGHT(G$2,5))</f>
        <v>2742</v>
      </c>
      <c r="H13" s="32">
        <f>SUMIFS(Wheat_Mo!$P:$P,Wheat_Mo!$B:$B,"Food",Wheat_Mo!$C:$C,RIGHT(H$2,5))</f>
        <v>2703</v>
      </c>
      <c r="I13" s="32">
        <f>SUMIFS(Wheat_Mo!$P:$P,Wheat_Mo!$B:$B,"Food",Wheat_Mo!$C:$C,RIGHT(I$2,5))</f>
        <v>2628.3000000000006</v>
      </c>
      <c r="J13" s="32">
        <f>SUMIFS(Wheat_Mo!$P:$P,Wheat_Mo!$B:$B,"Food",Wheat_Mo!$C:$C,RIGHT(J$2,5))</f>
        <v>2509.1999999999994</v>
      </c>
      <c r="K13" s="32">
        <f>SUMIFS(Wheat_Mo!$P:$P,Wheat_Mo!$B:$B,"Food",Wheat_Mo!$C:$C,RIGHT(K$2,5))</f>
        <v>2569.8000000000006</v>
      </c>
      <c r="L13" s="32">
        <f>SUMIFS(Wheat_Mo!$P:$P,Wheat_Mo!$B:$B,"Food",Wheat_Mo!$C:$C,RIGHT(L$2,5))</f>
        <v>2539.1000000000004</v>
      </c>
      <c r="M13" s="32">
        <f>SUMIFS(Wheat_Mo!$P:$P,Wheat_Mo!$B:$B,"Food",Wheat_Mo!$C:$C,RIGHT(M$2,5))</f>
        <v>2491.400000000001</v>
      </c>
      <c r="N13" s="32">
        <f>SUMIFS(Wheat_Mo!$P:$P,Wheat_Mo!$B:$B,"Food",Wheat_Mo!$C:$C,RIGHT(N$2,5))</f>
        <v>2503.400000000001</v>
      </c>
      <c r="O13" s="32">
        <f>SUMIFS(Wheat_Mo!$P:$P,Wheat_Mo!$B:$B,"Food",Wheat_Mo!$C:$C,RIGHT(O$2,5))</f>
        <v>2547.7000000000003</v>
      </c>
      <c r="P13" s="32">
        <f>SUMIFS(Wheat_Mo!$P:$P,Wheat_Mo!$B:$B,"Food",Wheat_Mo!$C:$C,RIGHT(P$2,5))</f>
        <v>2474.900000000001</v>
      </c>
      <c r="Q13" s="32">
        <f>SUMIFS(Wheat_Mo!$P:$P,Wheat_Mo!$B:$B,"Food",Wheat_Mo!$C:$C,RIGHT(Q$2,5))</f>
        <v>2645.3999999999996</v>
      </c>
      <c r="R13" s="32">
        <f>SUMIFS(Wheat_Mo!$P:$P,Wheat_Mo!$B:$B,"Food",Wheat_Mo!$C:$C,RIGHT(R$2,5))</f>
        <v>2532.4999999999986</v>
      </c>
      <c r="S13" s="32">
        <f>SUMIFS(Wheat_Mo!$P:$P,Wheat_Mo!$B:$B,"Food",Wheat_Mo!$C:$C,RIGHT(S$2,5))</f>
        <v>2648.6999999999994</v>
      </c>
      <c r="T13" s="32">
        <f>SUMIFS(Wheat_Mo!$P:$P,Wheat_Mo!$B:$B,"Food",Wheat_Mo!$C:$C,RIGHT(T$2,5))</f>
        <v>2794.1000000000004</v>
      </c>
      <c r="U13" s="32">
        <f>SUMIFS(Wheat_Mo!$P:$P,Wheat_Mo!$B:$B,"Food",Wheat_Mo!$C:$C,RIGHT(U$2,5))</f>
        <v>2803.8999999999996</v>
      </c>
      <c r="V13" s="32">
        <f>SUMIFS(Wheat_Mo!$P:$P,Wheat_Mo!$B:$B,"Food",Wheat_Mo!$C:$C,RIGHT(V$2,5))</f>
        <v>2781.7999999999997</v>
      </c>
      <c r="W13" s="32">
        <f>SUMIFS(Wheat_Mo!$P:$P,Wheat_Mo!$B:$B,"Food",Wheat_Mo!$C:$C,RIGHT(W$2,5))</f>
        <v>2870.6000000000004</v>
      </c>
      <c r="X13" s="32">
        <f>SUMIFS(Wheat_Mo!$P:$P,Wheat_Mo!$B:$B,"Food",Wheat_Mo!$C:$C,RIGHT(X$2,5))</f>
        <v>2866.2999999999993</v>
      </c>
      <c r="Y13" s="32">
        <f>SUMIFS(Wheat_Mo!$P:$P,Wheat_Mo!$B:$B,"Food",Wheat_Mo!$C:$C,RIGHT(Y$2,5))</f>
        <v>2917.400000000001</v>
      </c>
      <c r="Z13" s="32">
        <f>SUMIFS(Wheat_Mo!$P:$P,Wheat_Mo!$B:$B,"Food",Wheat_Mo!$C:$C,RIGHT(Z$2,5))</f>
        <v>2944.5</v>
      </c>
    </row>
    <row r="14" spans="1:26" x14ac:dyDescent="0.3">
      <c r="A14" s="27" t="s">
        <v>52</v>
      </c>
      <c r="B14" s="27" t="s">
        <v>47</v>
      </c>
      <c r="C14" s="28" t="s">
        <v>59</v>
      </c>
      <c r="D14" s="32">
        <f>SUMIFS(Wheat_Mo!$P:$P,Wheat_Mo!$B:$B,"Industrial",Wheat_Mo!$C:$C,RIGHT(D$2,5))</f>
        <v>108.99999999999999</v>
      </c>
      <c r="E14" s="32">
        <f>SUMIFS(Wheat_Mo!$P:$P,Wheat_Mo!$B:$B,"Industrial",Wheat_Mo!$C:$C,RIGHT(E$2,5))</f>
        <v>119.00000000000001</v>
      </c>
      <c r="F14" s="32">
        <f>SUMIFS(Wheat_Mo!$P:$P,Wheat_Mo!$B:$B,"Industrial",Wheat_Mo!$C:$C,RIGHT(F$2,5))</f>
        <v>134.00000000000003</v>
      </c>
      <c r="G14" s="32">
        <f>SUMIFS(Wheat_Mo!$P:$P,Wheat_Mo!$B:$B,"Industrial",Wheat_Mo!$C:$C,RIGHT(G$2,5))</f>
        <v>178</v>
      </c>
      <c r="H14" s="32">
        <f>SUMIFS(Wheat_Mo!$P:$P,Wheat_Mo!$B:$B,"Industrial",Wheat_Mo!$C:$C,RIGHT(H$2,5))</f>
        <v>411</v>
      </c>
      <c r="I14" s="32">
        <f>SUMIFS(Wheat_Mo!$P:$P,Wheat_Mo!$B:$B,"Industrial",Wheat_Mo!$C:$C,RIGHT(I$2,5))</f>
        <v>394.00000000000023</v>
      </c>
      <c r="J14" s="32">
        <f>SUMIFS(Wheat_Mo!$P:$P,Wheat_Mo!$B:$B,"Industrial",Wheat_Mo!$C:$C,RIGHT(J$2,5))</f>
        <v>646.00000000000034</v>
      </c>
      <c r="K14" s="32">
        <f>SUMIFS(Wheat_Mo!$P:$P,Wheat_Mo!$B:$B,"Industrial",Wheat_Mo!$C:$C,RIGHT(K$2,5))</f>
        <v>729</v>
      </c>
      <c r="L14" s="32">
        <f>SUMIFS(Wheat_Mo!$P:$P,Wheat_Mo!$B:$B,"Industrial",Wheat_Mo!$C:$C,RIGHT(L$2,5))</f>
        <v>820.00000000000011</v>
      </c>
      <c r="M14" s="32">
        <f>SUMIFS(Wheat_Mo!$P:$P,Wheat_Mo!$B:$B,"Industrial",Wheat_Mo!$C:$C,RIGHT(M$2,5))</f>
        <v>1048.0000000000002</v>
      </c>
      <c r="N14" s="32">
        <f>SUMIFS(Wheat_Mo!$P:$P,Wheat_Mo!$B:$B,"Industrial",Wheat_Mo!$C:$C,RIGHT(N$2,5))</f>
        <v>783</v>
      </c>
      <c r="O14" s="32">
        <f>SUMIFS(Wheat_Mo!$P:$P,Wheat_Mo!$B:$B,"Industrial",Wheat_Mo!$C:$C,RIGHT(O$2,5))</f>
        <v>879</v>
      </c>
      <c r="P14" s="32">
        <f>SUMIFS(Wheat_Mo!$P:$P,Wheat_Mo!$B:$B,"Industrial",Wheat_Mo!$C:$C,RIGHT(P$2,5))</f>
        <v>801</v>
      </c>
      <c r="Q14" s="32">
        <f>SUMIFS(Wheat_Mo!$P:$P,Wheat_Mo!$B:$B,"Industrial",Wheat_Mo!$C:$C,RIGHT(Q$2,5))</f>
        <v>664.00000000000034</v>
      </c>
      <c r="R14" s="32">
        <f>SUMIFS(Wheat_Mo!$P:$P,Wheat_Mo!$B:$B,"Industrial",Wheat_Mo!$C:$C,RIGHT(R$2,5))</f>
        <v>730.00000000000034</v>
      </c>
      <c r="S14" s="32">
        <f>SUMIFS(Wheat_Mo!$P:$P,Wheat_Mo!$B:$B,"Industrial",Wheat_Mo!$C:$C,RIGHT(S$2,5))</f>
        <v>562.99999999999977</v>
      </c>
      <c r="T14" s="32">
        <f>SUMIFS(Wheat_Mo!$P:$P,Wheat_Mo!$B:$B,"Industrial",Wheat_Mo!$C:$C,RIGHT(T$2,5))</f>
        <v>499.5</v>
      </c>
      <c r="U14" s="32">
        <f>SUMIFS(Wheat_Mo!$P:$P,Wheat_Mo!$B:$B,"Industrial",Wheat_Mo!$C:$C,RIGHT(U$2,5))</f>
        <v>565.30000000000007</v>
      </c>
      <c r="V14" s="32">
        <f>SUMIFS(Wheat_Mo!$P:$P,Wheat_Mo!$B:$B,"Industrial",Wheat_Mo!$C:$C,RIGHT(V$2,5))</f>
        <v>483.2999999999999</v>
      </c>
      <c r="W14" s="32">
        <f>SUMIFS(Wheat_Mo!$P:$P,Wheat_Mo!$B:$B,"Industrial",Wheat_Mo!$C:$C,RIGHT(W$2,5))</f>
        <v>379.7</v>
      </c>
      <c r="X14" s="32">
        <f>SUMIFS(Wheat_Mo!$P:$P,Wheat_Mo!$B:$B,"Industrial",Wheat_Mo!$C:$C,RIGHT(X$2,5))</f>
        <v>389.7000000000001</v>
      </c>
      <c r="Y14" s="32">
        <f>SUMIFS(Wheat_Mo!$P:$P,Wheat_Mo!$B:$B,"Industrial",Wheat_Mo!$C:$C,RIGHT(Y$2,5))</f>
        <v>356.70000000000005</v>
      </c>
      <c r="Z14" s="32">
        <f>SUMIFS(Wheat_Mo!$P:$P,Wheat_Mo!$B:$B,"Industrial",Wheat_Mo!$C:$C,RIGHT(Z$2,5))</f>
        <v>356.00000000000017</v>
      </c>
    </row>
    <row r="15" spans="1:26" x14ac:dyDescent="0.3">
      <c r="A15" s="27" t="s">
        <v>52</v>
      </c>
      <c r="B15" s="27" t="s">
        <v>50</v>
      </c>
      <c r="C15" s="28" t="s">
        <v>59</v>
      </c>
      <c r="D15" s="32">
        <f>SUMIFS(Wheat_Mo!$P:$P,Wheat_Mo!$B:$B,"FSR",Wheat_Mo!$C:$C,RIGHT(D$2,5))+SUMIFS(Wheat_Mo!$P:$P,Wheat_Mo!$B:$B,"Seed",Wheat_Mo!$C:$C,RIGHT(D$2,5))</f>
        <v>4462.3999999999969</v>
      </c>
      <c r="E15" s="32">
        <f>SUMIFS(Wheat_Mo!$P:$P,Wheat_Mo!$B:$B,"FSR",Wheat_Mo!$C:$C,RIGHT(E$2,5))+SUMIFS(Wheat_Mo!$P:$P,Wheat_Mo!$B:$B,"Seed",Wheat_Mo!$C:$C,RIGHT(E$2,5))</f>
        <v>3919.6940000000018</v>
      </c>
      <c r="F15" s="32">
        <f>SUMIFS(Wheat_Mo!$P:$P,Wheat_Mo!$B:$B,"FSR",Wheat_Mo!$C:$C,RIGHT(F$2,5))+SUMIFS(Wheat_Mo!$P:$P,Wheat_Mo!$B:$B,"Seed",Wheat_Mo!$C:$C,RIGHT(F$2,5))</f>
        <v>4607.9880000000012</v>
      </c>
      <c r="G15" s="32">
        <f>SUMIFS(Wheat_Mo!$P:$P,Wheat_Mo!$B:$B,"FSR",Wheat_Mo!$C:$C,RIGHT(G$2,5))+SUMIFS(Wheat_Mo!$P:$P,Wheat_Mo!$B:$B,"Seed",Wheat_Mo!$C:$C,RIGHT(G$2,5))</f>
        <v>4453.0239999999958</v>
      </c>
      <c r="H15" s="32">
        <f>SUMIFS(Wheat_Mo!$P:$P,Wheat_Mo!$B:$B,"FSR",Wheat_Mo!$C:$C,RIGHT(H$2,5))+SUMIFS(Wheat_Mo!$P:$P,Wheat_Mo!$B:$B,"Seed",Wheat_Mo!$C:$C,RIGHT(H$2,5))</f>
        <v>5054.2540000000017</v>
      </c>
      <c r="I15" s="32">
        <f>SUMIFS(Wheat_Mo!$P:$P,Wheat_Mo!$B:$B,"FSR",Wheat_Mo!$C:$C,RIGHT(I$2,5))+SUMIFS(Wheat_Mo!$P:$P,Wheat_Mo!$B:$B,"Seed",Wheat_Mo!$C:$C,RIGHT(I$2,5))</f>
        <v>2831.9560000000019</v>
      </c>
      <c r="J15" s="32">
        <f>SUMIFS(Wheat_Mo!$P:$P,Wheat_Mo!$B:$B,"FSR",Wheat_Mo!$C:$C,RIGHT(J$2,5))+SUMIFS(Wheat_Mo!$P:$P,Wheat_Mo!$B:$B,"Seed",Wheat_Mo!$C:$C,RIGHT(J$2,5))</f>
        <v>3927.8220000000042</v>
      </c>
      <c r="K15" s="32">
        <f>SUMIFS(Wheat_Mo!$P:$P,Wheat_Mo!$B:$B,"FSR",Wheat_Mo!$C:$C,RIGHT(K$2,5))+SUMIFS(Wheat_Mo!$P:$P,Wheat_Mo!$B:$B,"Seed",Wheat_Mo!$C:$C,RIGHT(K$2,5))</f>
        <v>2082.6640000000011</v>
      </c>
      <c r="L15" s="32">
        <f>SUMIFS(Wheat_Mo!$P:$P,Wheat_Mo!$B:$B,"FSR",Wheat_Mo!$C:$C,RIGHT(L$2,5))+SUMIFS(Wheat_Mo!$P:$P,Wheat_Mo!$B:$B,"Seed",Wheat_Mo!$C:$C,RIGHT(L$2,5))</f>
        <v>2897.6540000000023</v>
      </c>
      <c r="M15" s="32">
        <f>SUMIFS(Wheat_Mo!$P:$P,Wheat_Mo!$B:$B,"FSR",Wheat_Mo!$C:$C,RIGHT(M$2,5))+SUMIFS(Wheat_Mo!$P:$P,Wheat_Mo!$B:$B,"Seed",Wheat_Mo!$C:$C,RIGHT(M$2,5))</f>
        <v>5269.3210000000017</v>
      </c>
      <c r="N15" s="32">
        <f>SUMIFS(Wheat_Mo!$P:$P,Wheat_Mo!$B:$B,"FSR",Wheat_Mo!$C:$C,RIGHT(N$2,5))+SUMIFS(Wheat_Mo!$P:$P,Wheat_Mo!$B:$B,"Seed",Wheat_Mo!$C:$C,RIGHT(N$2,5))</f>
        <v>5456.7090000000062</v>
      </c>
      <c r="O15" s="32">
        <f>SUMIFS(Wheat_Mo!$P:$P,Wheat_Mo!$B:$B,"FSR",Wheat_Mo!$C:$C,RIGHT(O$2,5))+SUMIFS(Wheat_Mo!$P:$P,Wheat_Mo!$B:$B,"Seed",Wheat_Mo!$C:$C,RIGHT(O$2,5))</f>
        <v>5074.5799999999954</v>
      </c>
      <c r="P15" s="32">
        <f>SUMIFS(Wheat_Mo!$P:$P,Wheat_Mo!$B:$B,"FSR",Wheat_Mo!$C:$C,RIGHT(P$2,5))+SUMIFS(Wheat_Mo!$P:$P,Wheat_Mo!$B:$B,"Seed",Wheat_Mo!$C:$C,RIGHT(P$2,5))</f>
        <v>5008.2260000000024</v>
      </c>
      <c r="Q15" s="32">
        <f>SUMIFS(Wheat_Mo!$P:$P,Wheat_Mo!$B:$B,"FSR",Wheat_Mo!$C:$C,RIGHT(Q$2,5))+SUMIFS(Wheat_Mo!$P:$P,Wheat_Mo!$B:$B,"Seed",Wheat_Mo!$C:$C,RIGHT(Q$2,5))</f>
        <v>3765.2439999999992</v>
      </c>
      <c r="R15" s="32">
        <f>SUMIFS(Wheat_Mo!$P:$P,Wheat_Mo!$B:$B,"FSR",Wheat_Mo!$C:$C,RIGHT(R$2,5))+SUMIFS(Wheat_Mo!$P:$P,Wheat_Mo!$B:$B,"Seed",Wheat_Mo!$C:$C,RIGHT(R$2,5))</f>
        <v>4745.1839999999966</v>
      </c>
      <c r="S15" s="32">
        <f>SUMIFS(Wheat_Mo!$P:$P,Wheat_Mo!$B:$B,"FSR",Wheat_Mo!$C:$C,RIGHT(S$2,5))+SUMIFS(Wheat_Mo!$P:$P,Wheat_Mo!$B:$B,"Seed",Wheat_Mo!$C:$C,RIGHT(S$2,5))</f>
        <v>4922.7480000000023</v>
      </c>
      <c r="T15" s="32">
        <f>SUMIFS(Wheat_Mo!$P:$P,Wheat_Mo!$B:$B,"FSR",Wheat_Mo!$C:$C,RIGHT(T$2,5))+SUMIFS(Wheat_Mo!$P:$P,Wheat_Mo!$B:$B,"Seed",Wheat_Mo!$C:$C,RIGHT(T$2,5))</f>
        <v>4830.908999999996</v>
      </c>
      <c r="U15" s="32">
        <f>SUMIFS(Wheat_Mo!$P:$P,Wheat_Mo!$B:$B,"FSR",Wheat_Mo!$C:$C,RIGHT(U$2,5))+SUMIFS(Wheat_Mo!$P:$P,Wheat_Mo!$B:$B,"Seed",Wheat_Mo!$C:$C,RIGHT(U$2,5))</f>
        <v>5383.2510000000048</v>
      </c>
      <c r="V15" s="32">
        <f>SUMIFS(Wheat_Mo!$P:$P,Wheat_Mo!$B:$B,"FSR",Wheat_Mo!$C:$C,RIGHT(V$2,5))+SUMIFS(Wheat_Mo!$P:$P,Wheat_Mo!$B:$B,"Seed",Wheat_Mo!$C:$C,RIGHT(V$2,5))</f>
        <v>4975.145000000005</v>
      </c>
      <c r="W15" s="32">
        <f>SUMIFS(Wheat_Mo!$P:$P,Wheat_Mo!$B:$B,"FSR",Wheat_Mo!$C:$C,RIGHT(W$2,5))+SUMIFS(Wheat_Mo!$P:$P,Wheat_Mo!$B:$B,"Seed",Wheat_Mo!$C:$C,RIGHT(W$2,5))</f>
        <v>5718.5069999999978</v>
      </c>
      <c r="X15" s="32">
        <f>SUMIFS(Wheat_Mo!$P:$P,Wheat_Mo!$B:$B,"FSR",Wheat_Mo!$C:$C,RIGHT(X$2,5))+SUMIFS(Wheat_Mo!$P:$P,Wheat_Mo!$B:$B,"Seed",Wheat_Mo!$C:$C,RIGHT(X$2,5))</f>
        <v>4116.5710000000026</v>
      </c>
      <c r="Y15" s="32">
        <f>SUMIFS(Wheat_Mo!$P:$P,Wheat_Mo!$B:$B,"FSR",Wheat_Mo!$C:$C,RIGHT(Y$2,5))+SUMIFS(Wheat_Mo!$P:$P,Wheat_Mo!$B:$B,"Seed",Wheat_Mo!$C:$C,RIGHT(Y$2,5))</f>
        <v>4926.4139999999979</v>
      </c>
      <c r="Z15" s="32">
        <f>SUMIFS(Wheat_Mo!$P:$P,Wheat_Mo!$B:$B,"FSR",Wheat_Mo!$C:$C,RIGHT(Z$2,5))+SUMIFS(Wheat_Mo!$P:$P,Wheat_Mo!$B:$B,"Seed",Wheat_Mo!$C:$C,RIGHT(Z$2,5))</f>
        <v>4041.7380000000044</v>
      </c>
    </row>
    <row r="16" spans="1:26" x14ac:dyDescent="0.3">
      <c r="A16" s="27" t="s">
        <v>52</v>
      </c>
      <c r="B16" s="27" t="s">
        <v>44</v>
      </c>
      <c r="C16" s="28" t="s">
        <v>59</v>
      </c>
      <c r="D16" s="32">
        <f>SUMIFS(Wheat_Mo!$P:$P,Wheat_Mo!$B:$B,"Exports",Wheat_Mo!$C:$C,RIGHT(D$2,5))</f>
        <v>6076.2519999999995</v>
      </c>
      <c r="E16" s="32">
        <f>SUMIFS(Wheat_Mo!$P:$P,Wheat_Mo!$B:$B,"Exports",Wheat_Mo!$C:$C,RIGHT(E$2,5))</f>
        <v>12054.017999999998</v>
      </c>
      <c r="F16" s="32">
        <f>SUMIFS(Wheat_Mo!$P:$P,Wheat_Mo!$B:$B,"Exports",Wheat_Mo!$C:$C,RIGHT(F$2,5))</f>
        <v>11330.885999999999</v>
      </c>
      <c r="G16" s="32">
        <f>SUMIFS(Wheat_Mo!$P:$P,Wheat_Mo!$B:$B,"Exports",Wheat_Mo!$C:$C,RIGHT(G$2,5))</f>
        <v>11494.208000000001</v>
      </c>
      <c r="H16" s="32">
        <f>SUMIFS(Wheat_Mo!$P:$P,Wheat_Mo!$B:$B,"Exports",Wheat_Mo!$C:$C,RIGHT(H$2,5))</f>
        <v>14591.62</v>
      </c>
      <c r="I16" s="32">
        <f>SUMIFS(Wheat_Mo!$P:$P,Wheat_Mo!$B:$B,"Exports",Wheat_Mo!$C:$C,RIGHT(I$2,5))</f>
        <v>12626.021999999999</v>
      </c>
      <c r="J16" s="32">
        <f>SUMIFS(Wheat_Mo!$P:$P,Wheat_Mo!$B:$B,"Exports",Wheat_Mo!$C:$C,RIGHT(J$2,5))</f>
        <v>14955.652</v>
      </c>
      <c r="K16" s="32">
        <f>SUMIFS(Wheat_Mo!$P:$P,Wheat_Mo!$B:$B,"Exports",Wheat_Mo!$C:$C,RIGHT(K$2,5))</f>
        <v>15876.505999999999</v>
      </c>
      <c r="L16" s="32">
        <f>SUMIFS(Wheat_Mo!$P:$P,Wheat_Mo!$B:$B,"Exports",Wheat_Mo!$C:$C,RIGHT(L$2,5))</f>
        <v>13304.968000000001</v>
      </c>
      <c r="M16" s="32">
        <f>SUMIFS(Wheat_Mo!$P:$P,Wheat_Mo!$B:$B,"Exports",Wheat_Mo!$C:$C,RIGHT(M$2,5))</f>
        <v>13716.088000000002</v>
      </c>
      <c r="N16" s="32">
        <f>SUMIFS(Wheat_Mo!$P:$P,Wheat_Mo!$B:$B,"Exports",Wheat_Mo!$C:$C,RIGHT(N$2,5))</f>
        <v>14374.93</v>
      </c>
      <c r="O16" s="32">
        <f>SUMIFS(Wheat_Mo!$P:$P,Wheat_Mo!$B:$B,"Exports",Wheat_Mo!$C:$C,RIGHT(O$2,5))</f>
        <v>17960.004000000001</v>
      </c>
      <c r="P16" s="32">
        <f>SUMIFS(Wheat_Mo!$P:$P,Wheat_Mo!$B:$B,"Exports",Wheat_Mo!$C:$C,RIGHT(P$2,5))</f>
        <v>18652.940999999999</v>
      </c>
      <c r="Q16" s="32">
        <f>SUMIFS(Wheat_Mo!$P:$P,Wheat_Mo!$B:$B,"Exports",Wheat_Mo!$C:$C,RIGHT(Q$2,5))</f>
        <v>17326.27</v>
      </c>
      <c r="R16" s="32">
        <f>SUMIFS(Wheat_Mo!$P:$P,Wheat_Mo!$B:$B,"Exports",Wheat_Mo!$C:$C,RIGHT(R$2,5))</f>
        <v>15449.609</v>
      </c>
      <c r="S16" s="32">
        <f>SUMIFS(Wheat_Mo!$P:$P,Wheat_Mo!$B:$B,"Exports",Wheat_Mo!$C:$C,RIGHT(S$2,5))</f>
        <v>17204.166000000001</v>
      </c>
      <c r="T16" s="32">
        <f>SUMIFS(Wheat_Mo!$P:$P,Wheat_Mo!$B:$B,"Exports",Wheat_Mo!$C:$C,RIGHT(T$2,5))</f>
        <v>19584.809000000001</v>
      </c>
      <c r="U16" s="32">
        <f>SUMIFS(Wheat_Mo!$P:$P,Wheat_Mo!$B:$B,"Exports",Wheat_Mo!$C:$C,RIGHT(U$2,5))</f>
        <v>18525.086000000003</v>
      </c>
      <c r="V16" s="32">
        <f>SUMIFS(Wheat_Mo!$P:$P,Wheat_Mo!$B:$B,"Exports",Wheat_Mo!$C:$C,RIGHT(V$2,5))</f>
        <v>20376.666000000001</v>
      </c>
      <c r="W16" s="32">
        <f>SUMIFS(Wheat_Mo!$P:$P,Wheat_Mo!$B:$B,"Exports",Wheat_Mo!$C:$C,RIGHT(W$2,5))</f>
        <v>12131.723999999998</v>
      </c>
      <c r="X16" s="32">
        <f>SUMIFS(Wheat_Mo!$P:$P,Wheat_Mo!$B:$B,"Exports",Wheat_Mo!$C:$C,RIGHT(X$2,5))</f>
        <v>20233.927999999996</v>
      </c>
      <c r="Y16" s="32">
        <f>SUMIFS(Wheat_Mo!$P:$P,Wheat_Mo!$B:$B,"Exports",Wheat_Mo!$C:$C,RIGHT(Y$2,5))</f>
        <v>21541.326000000001</v>
      </c>
      <c r="Z16" s="32">
        <f>SUMIFS(Wheat_Mo!$P:$P,Wheat_Mo!$B:$B,"Exports",Wheat_Mo!$C:$C,RIGHT(Z$2,5))</f>
        <v>23208.900999999998</v>
      </c>
    </row>
    <row r="17" spans="1:26" x14ac:dyDescent="0.3">
      <c r="A17" s="33" t="s">
        <v>52</v>
      </c>
      <c r="B17" s="33" t="s">
        <v>61</v>
      </c>
      <c r="C17" s="34" t="s">
        <v>59</v>
      </c>
      <c r="D17" s="35">
        <f t="shared" ref="D17:Z17" si="3">D13+D14+D15+D16</f>
        <v>13335.051999999996</v>
      </c>
      <c r="E17" s="35">
        <f t="shared" si="3"/>
        <v>18748.712</v>
      </c>
      <c r="F17" s="35">
        <f t="shared" si="3"/>
        <v>18783.374</v>
      </c>
      <c r="G17" s="35">
        <f t="shared" si="3"/>
        <v>18867.231999999996</v>
      </c>
      <c r="H17" s="35">
        <f t="shared" si="3"/>
        <v>22759.874000000003</v>
      </c>
      <c r="I17" s="35">
        <f t="shared" si="3"/>
        <v>18480.278000000002</v>
      </c>
      <c r="J17" s="35">
        <f t="shared" si="3"/>
        <v>22038.674000000006</v>
      </c>
      <c r="K17" s="35">
        <f t="shared" si="3"/>
        <v>21257.97</v>
      </c>
      <c r="L17" s="35">
        <f t="shared" si="3"/>
        <v>19561.722000000002</v>
      </c>
      <c r="M17" s="35">
        <f t="shared" si="3"/>
        <v>22524.809000000005</v>
      </c>
      <c r="N17" s="35">
        <f t="shared" si="3"/>
        <v>23118.039000000008</v>
      </c>
      <c r="O17" s="35">
        <f t="shared" si="3"/>
        <v>26461.283999999996</v>
      </c>
      <c r="P17" s="35">
        <f t="shared" si="3"/>
        <v>26937.067000000003</v>
      </c>
      <c r="Q17" s="35">
        <f t="shared" si="3"/>
        <v>24400.914000000001</v>
      </c>
      <c r="R17" s="35">
        <f t="shared" si="3"/>
        <v>23457.292999999998</v>
      </c>
      <c r="S17" s="35">
        <f t="shared" si="3"/>
        <v>25338.614000000001</v>
      </c>
      <c r="T17" s="35">
        <f t="shared" si="3"/>
        <v>27709.317999999999</v>
      </c>
      <c r="U17" s="35">
        <f t="shared" si="3"/>
        <v>27277.537000000008</v>
      </c>
      <c r="V17" s="35">
        <f t="shared" si="3"/>
        <v>28616.911000000007</v>
      </c>
      <c r="W17" s="35">
        <f t="shared" si="3"/>
        <v>21100.530999999995</v>
      </c>
      <c r="X17" s="35">
        <f t="shared" si="3"/>
        <v>27606.498999999996</v>
      </c>
      <c r="Y17" s="35">
        <f t="shared" si="3"/>
        <v>29741.84</v>
      </c>
      <c r="Z17" s="35">
        <f t="shared" si="3"/>
        <v>30551.139000000003</v>
      </c>
    </row>
    <row r="19" spans="1:26" x14ac:dyDescent="0.3">
      <c r="A19" s="36" t="s">
        <v>52</v>
      </c>
      <c r="B19" s="36" t="s">
        <v>62</v>
      </c>
      <c r="C19" s="37" t="s">
        <v>59</v>
      </c>
      <c r="D19" s="38">
        <f t="shared" ref="D19:Z19" si="4">D11-D17</f>
        <v>4106.5000000000073</v>
      </c>
      <c r="E19" s="38">
        <f t="shared" si="4"/>
        <v>4211.1000000000058</v>
      </c>
      <c r="F19" s="38">
        <f t="shared" si="4"/>
        <v>5435.1000000000058</v>
      </c>
      <c r="G19" s="38">
        <f t="shared" si="4"/>
        <v>6424.1000000000095</v>
      </c>
      <c r="H19" s="38">
        <f t="shared" si="4"/>
        <v>5608.200000000008</v>
      </c>
      <c r="I19" s="38">
        <f t="shared" si="4"/>
        <v>3557.4000000000051</v>
      </c>
      <c r="J19" s="38">
        <f t="shared" si="4"/>
        <v>4641.7000000000007</v>
      </c>
      <c r="K19" s="38">
        <f t="shared" si="4"/>
        <v>5049</v>
      </c>
      <c r="L19" s="38">
        <f t="shared" si="4"/>
        <v>5793.7000000000007</v>
      </c>
      <c r="M19" s="38">
        <f t="shared" si="4"/>
        <v>4445.8999999999978</v>
      </c>
      <c r="N19" s="38">
        <f t="shared" si="4"/>
        <v>3985.299999999992</v>
      </c>
      <c r="O19" s="38">
        <f t="shared" si="4"/>
        <v>8658.5999999999949</v>
      </c>
      <c r="P19" s="38">
        <f t="shared" si="4"/>
        <v>6124.4999999999927</v>
      </c>
      <c r="Q19" s="38">
        <f t="shared" si="4"/>
        <v>4077.9999999999927</v>
      </c>
      <c r="R19" s="38">
        <f t="shared" si="4"/>
        <v>5103.1999999999935</v>
      </c>
      <c r="S19" s="38">
        <f t="shared" si="4"/>
        <v>5255.7999999999884</v>
      </c>
      <c r="T19" s="38">
        <f t="shared" si="4"/>
        <v>4208.6999999999898</v>
      </c>
      <c r="U19" s="38">
        <f t="shared" si="4"/>
        <v>4762.5999999999804</v>
      </c>
      <c r="V19" s="38">
        <f t="shared" si="4"/>
        <v>5140.3999999999724</v>
      </c>
      <c r="W19" s="38">
        <f t="shared" si="4"/>
        <v>3582.2999999999774</v>
      </c>
      <c r="X19" s="38">
        <f t="shared" si="4"/>
        <v>5127.9999999999818</v>
      </c>
      <c r="Y19" s="38">
        <f t="shared" si="4"/>
        <v>4640.4999999999818</v>
      </c>
      <c r="Z19" s="38">
        <f t="shared" si="4"/>
        <v>3727.9999999999782</v>
      </c>
    </row>
    <row r="20" spans="1:26" x14ac:dyDescent="0.3">
      <c r="A20" s="27" t="s">
        <v>52</v>
      </c>
      <c r="B20" s="27" t="s">
        <v>63</v>
      </c>
      <c r="C20" s="28" t="s">
        <v>56</v>
      </c>
      <c r="D20" s="30">
        <f t="shared" ref="D20:Z20" si="5">IF(D17&lt;&gt;0,D19/D17,"")</f>
        <v>0.3079478055278681</v>
      </c>
      <c r="E20" s="30">
        <f t="shared" si="5"/>
        <v>0.22460742903299202</v>
      </c>
      <c r="F20" s="30">
        <f t="shared" si="5"/>
        <v>0.28935696004349409</v>
      </c>
      <c r="G20" s="30">
        <f t="shared" si="5"/>
        <v>0.34048979733752205</v>
      </c>
      <c r="H20" s="30">
        <f t="shared" si="5"/>
        <v>0.2464073395133913</v>
      </c>
      <c r="I20" s="30">
        <f t="shared" si="5"/>
        <v>0.19249710421022911</v>
      </c>
      <c r="J20" s="30">
        <f t="shared" si="5"/>
        <v>0.21061611964494775</v>
      </c>
      <c r="K20" s="30">
        <f t="shared" si="5"/>
        <v>0.2375109194339817</v>
      </c>
      <c r="L20" s="30">
        <f t="shared" si="5"/>
        <v>0.29617535715925214</v>
      </c>
      <c r="M20" s="30">
        <f t="shared" si="5"/>
        <v>0.19737792227228196</v>
      </c>
      <c r="N20" s="30">
        <f t="shared" si="5"/>
        <v>0.17238918923875812</v>
      </c>
      <c r="O20" s="30">
        <f t="shared" si="5"/>
        <v>0.32721768150026265</v>
      </c>
      <c r="P20" s="30">
        <f t="shared" si="5"/>
        <v>0.22736328346363738</v>
      </c>
      <c r="Q20" s="30">
        <f t="shared" si="5"/>
        <v>0.16712488720709365</v>
      </c>
      <c r="R20" s="30">
        <f t="shared" si="5"/>
        <v>0.21755280969547483</v>
      </c>
      <c r="S20" s="30">
        <f t="shared" si="5"/>
        <v>0.20742255278840382</v>
      </c>
      <c r="T20" s="30">
        <f t="shared" si="5"/>
        <v>0.15188753472748734</v>
      </c>
      <c r="U20" s="30">
        <f t="shared" si="5"/>
        <v>0.17459787516739431</v>
      </c>
      <c r="V20" s="30">
        <f t="shared" si="5"/>
        <v>0.17962805279717195</v>
      </c>
      <c r="W20" s="30">
        <f t="shared" si="5"/>
        <v>0.16977297869897104</v>
      </c>
      <c r="X20" s="30">
        <f t="shared" si="5"/>
        <v>0.18575336191669878</v>
      </c>
      <c r="Y20" s="30">
        <f t="shared" si="5"/>
        <v>0.15602598897714404</v>
      </c>
      <c r="Z20" s="30">
        <f t="shared" si="5"/>
        <v>0.12202491042968898</v>
      </c>
    </row>
    <row r="21" spans="1:26" x14ac:dyDescent="0.3">
      <c r="A21" s="27" t="s">
        <v>52</v>
      </c>
      <c r="B21" s="27" t="s">
        <v>64</v>
      </c>
      <c r="C21" s="28" t="s">
        <v>65</v>
      </c>
      <c r="D21" s="32">
        <f t="shared" ref="D21:Z21" si="6">IF(D17&lt;&gt;0,D19/D17*365,"")</f>
        <v>112.40094901767186</v>
      </c>
      <c r="E21" s="32">
        <f t="shared" si="6"/>
        <v>81.981711597042093</v>
      </c>
      <c r="F21" s="32">
        <f t="shared" si="6"/>
        <v>105.61529041587535</v>
      </c>
      <c r="G21" s="32">
        <f t="shared" si="6"/>
        <v>124.27877602819555</v>
      </c>
      <c r="H21" s="32">
        <f t="shared" si="6"/>
        <v>89.938678922387822</v>
      </c>
      <c r="I21" s="32">
        <f t="shared" si="6"/>
        <v>70.261443036733624</v>
      </c>
      <c r="J21" s="32">
        <f t="shared" si="6"/>
        <v>76.874883670405936</v>
      </c>
      <c r="K21" s="32">
        <f t="shared" si="6"/>
        <v>86.691485593403314</v>
      </c>
      <c r="L21" s="32">
        <f t="shared" si="6"/>
        <v>108.10400536312703</v>
      </c>
      <c r="M21" s="32">
        <f t="shared" si="6"/>
        <v>72.042941629382909</v>
      </c>
      <c r="N21" s="32">
        <f t="shared" si="6"/>
        <v>62.922054072146715</v>
      </c>
      <c r="O21" s="32">
        <f t="shared" si="6"/>
        <v>119.43445374759587</v>
      </c>
      <c r="P21" s="32">
        <f t="shared" si="6"/>
        <v>82.987598464227645</v>
      </c>
      <c r="Q21" s="32">
        <f t="shared" si="6"/>
        <v>61.000583830589179</v>
      </c>
      <c r="R21" s="32">
        <f t="shared" si="6"/>
        <v>79.406775538848308</v>
      </c>
      <c r="S21" s="32">
        <f t="shared" si="6"/>
        <v>75.709231767767392</v>
      </c>
      <c r="T21" s="32">
        <f t="shared" si="6"/>
        <v>55.438950175532881</v>
      </c>
      <c r="U21" s="32">
        <f t="shared" si="6"/>
        <v>63.72822443609892</v>
      </c>
      <c r="V21" s="32">
        <f t="shared" si="6"/>
        <v>65.564239270967761</v>
      </c>
      <c r="W21" s="32">
        <f t="shared" si="6"/>
        <v>61.967137225124432</v>
      </c>
      <c r="X21" s="32">
        <f t="shared" si="6"/>
        <v>67.799977099595054</v>
      </c>
      <c r="Y21" s="32">
        <f t="shared" si="6"/>
        <v>56.94948597665757</v>
      </c>
      <c r="Z21" s="32">
        <f t="shared" si="6"/>
        <v>44.53909230683648</v>
      </c>
    </row>
    <row r="22" spans="1:26" x14ac:dyDescent="0.3">
      <c r="A22" s="36" t="s">
        <v>52</v>
      </c>
      <c r="B22" s="36" t="s">
        <v>66</v>
      </c>
      <c r="C22" s="37" t="s">
        <v>59</v>
      </c>
      <c r="D22" s="38">
        <f>D19-SUMIFS(Wheat_Mo!$P:$P,Wheat_Mo!$B:$B,"STOCKS",Wheat_Mo!$C:$C,RIGHT(D$2,5))</f>
        <v>0</v>
      </c>
      <c r="E22" s="38">
        <f>E19-SUMIFS(Wheat_Mo!$P:$P,Wheat_Mo!$B:$B,"STOCKS",Wheat_Mo!$C:$C,RIGHT(E$2,5))</f>
        <v>1.4551915228366852E-11</v>
      </c>
      <c r="F22" s="38">
        <f>F19-SUMIFS(Wheat_Mo!$P:$P,Wheat_Mo!$B:$B,"STOCKS",Wheat_Mo!$C:$C,RIGHT(F$2,5))</f>
        <v>2.0918378140777349E-11</v>
      </c>
      <c r="G22" s="38">
        <f>G19-SUMIFS(Wheat_Mo!$P:$P,Wheat_Mo!$B:$B,"STOCKS",Wheat_Mo!$C:$C,RIGHT(G$2,5))</f>
        <v>9.0949470177292824E-12</v>
      </c>
      <c r="H22" s="38">
        <f>H19-SUMIFS(Wheat_Mo!$P:$P,Wheat_Mo!$B:$B,"STOCKS",Wheat_Mo!$C:$C,RIGHT(H$2,5))</f>
        <v>0</v>
      </c>
      <c r="I22" s="38">
        <f>I19-SUMIFS(Wheat_Mo!$P:$P,Wheat_Mo!$B:$B,"STOCKS",Wheat_Mo!$C:$C,RIGHT(I$2,5))</f>
        <v>0</v>
      </c>
      <c r="J22" s="38">
        <f>J19-SUMIFS(Wheat_Mo!$P:$P,Wheat_Mo!$B:$B,"STOCKS",Wheat_Mo!$C:$C,RIGHT(J$2,5))</f>
        <v>1.2732925824820995E-11</v>
      </c>
      <c r="K22" s="38">
        <f>K19-SUMIFS(Wheat_Mo!$P:$P,Wheat_Mo!$B:$B,"STOCKS",Wheat_Mo!$C:$C,RIGHT(K$2,5))</f>
        <v>3.3651303965598345E-11</v>
      </c>
      <c r="L22" s="38">
        <f>L19-SUMIFS(Wheat_Mo!$P:$P,Wheat_Mo!$B:$B,"STOCKS",Wheat_Mo!$C:$C,RIGHT(L$2,5))</f>
        <v>2.3646862246096134E-11</v>
      </c>
      <c r="M22" s="38">
        <f>M19-SUMIFS(Wheat_Mo!$P:$P,Wheat_Mo!$B:$B,"STOCKS",Wheat_Mo!$C:$C,RIGHT(M$2,5))</f>
        <v>2.7284841053187847E-11</v>
      </c>
      <c r="N22" s="38">
        <f>N19-SUMIFS(Wheat_Mo!$P:$P,Wheat_Mo!$B:$B,"STOCKS",Wheat_Mo!$C:$C,RIGHT(N$2,5))</f>
        <v>2.2737367544323206E-11</v>
      </c>
      <c r="O22" s="38">
        <f>O19-SUMIFS(Wheat_Mo!$P:$P,Wheat_Mo!$B:$B,"STOCKS",Wheat_Mo!$C:$C,RIGHT(O$2,5))</f>
        <v>4.7293724492192268E-11</v>
      </c>
      <c r="P22" s="38">
        <f>P19-SUMIFS(Wheat_Mo!$P:$P,Wheat_Mo!$B:$B,"STOCKS",Wheat_Mo!$C:$C,RIGHT(P$2,5))</f>
        <v>4.2746250983327627E-11</v>
      </c>
      <c r="Q22" s="38">
        <f>Q19-SUMIFS(Wheat_Mo!$P:$P,Wheat_Mo!$B:$B,"STOCKS",Wheat_Mo!$C:$C,RIGHT(Q$2,5))</f>
        <v>4.3200998334214091E-11</v>
      </c>
      <c r="R22" s="38">
        <f>R19-SUMIFS(Wheat_Mo!$P:$P,Wheat_Mo!$B:$B,"STOCKS",Wheat_Mo!$C:$C,RIGHT(R$2,5))</f>
        <v>5.184119800105691E-11</v>
      </c>
      <c r="S22" s="38">
        <f>S19-SUMIFS(Wheat_Mo!$P:$P,Wheat_Mo!$B:$B,"STOCKS",Wheat_Mo!$C:$C,RIGHT(S$2,5))</f>
        <v>3.9108272176235914E-11</v>
      </c>
      <c r="T22" s="38">
        <f>T19-SUMIFS(Wheat_Mo!$P:$P,Wheat_Mo!$B:$B,"STOCKS",Wheat_Mo!$C:$C,RIGHT(T$2,5))</f>
        <v>3.637978807091713E-11</v>
      </c>
      <c r="U22" s="38">
        <f>U19-SUMIFS(Wheat_Mo!$P:$P,Wheat_Mo!$B:$B,"STOCKS",Wheat_Mo!$C:$C,RIGHT(U$2,5))</f>
        <v>3.5470293369144201E-11</v>
      </c>
      <c r="V22" s="38">
        <f>V19-SUMIFS(Wheat_Mo!$P:$P,Wheat_Mo!$B:$B,"STOCKS",Wheat_Mo!$C:$C,RIGHT(V$2,5))</f>
        <v>4.0017766878008842E-11</v>
      </c>
      <c r="W22" s="38">
        <f>W19-SUMIFS(Wheat_Mo!$P:$P,Wheat_Mo!$B:$B,"STOCKS",Wheat_Mo!$C:$C,RIGHT(W$2,5))</f>
        <v>4.3200998334214091E-11</v>
      </c>
      <c r="X22" s="38">
        <f>X19-SUMIFS(Wheat_Mo!$P:$P,Wheat_Mo!$B:$B,"STOCKS",Wheat_Mo!$C:$C,RIGHT(X$2,5))</f>
        <v>4.2746250983327627E-11</v>
      </c>
      <c r="Y22" s="38">
        <f>Y19-SUMIFS(Wheat_Mo!$P:$P,Wheat_Mo!$B:$B,"STOCKS",Wheat_Mo!$C:$C,RIGHT(Y$2,5))</f>
        <v>5.8207660913467407E-11</v>
      </c>
      <c r="Z22" s="38">
        <f>Z19-SUMIFS(Wheat_Mo!$P:$P,Wheat_Mo!$B:$B,"STOCKS",Wheat_Mo!$C:$C,RIGHT(Z$2,5))</f>
        <v>6.5483618527650833E-11</v>
      </c>
    </row>
    <row r="24" spans="1:26" x14ac:dyDescent="0.3"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x14ac:dyDescent="0.3">
      <c r="A25" s="25" t="str">
        <f>A22</f>
        <v>Wheat Ex-Durum</v>
      </c>
      <c r="B25" s="25" t="s">
        <v>81</v>
      </c>
      <c r="D25" s="40" cm="1">
        <f t="array" ref="D25">SUM(D13:D14/D$10)</f>
        <v>0.23140577935189169</v>
      </c>
      <c r="E25" s="40" cm="1">
        <f t="array" ref="E25">SUM(E13:E14/E$10)</f>
        <v>0.14731645166427773</v>
      </c>
      <c r="F25" s="40" cm="1">
        <f t="array" ref="F25">SUM(F13:F14/F$10)</f>
        <v>0.14226696875578296</v>
      </c>
      <c r="G25" s="40" cm="1">
        <f t="array" ref="G25">SUM(G13:G14/G$10)</f>
        <v>0.14722565356593642</v>
      </c>
      <c r="H25" s="40" cm="1">
        <f t="array" ref="H25">SUM(H13:H14/H$10)</f>
        <v>0.14206722873097558</v>
      </c>
      <c r="I25" s="40" cm="1">
        <f t="array" ref="I25">SUM(I13:I14/I$10)</f>
        <v>0.18418550795295269</v>
      </c>
      <c r="J25" s="40" cm="1">
        <f t="array" ref="J25">SUM(J13:J14/J$10)</f>
        <v>0.13658933588457092</v>
      </c>
      <c r="K25" s="40" cm="1">
        <f t="array" ref="K25">SUM(K13:K14/K$10)</f>
        <v>0.1530744351586753</v>
      </c>
      <c r="L25" s="40" cm="1">
        <f t="array" ref="L25">SUM(L13:L14/L$10)</f>
        <v>0.16567775919979877</v>
      </c>
      <c r="M25" s="40" cm="1">
        <f t="array" ref="M25">SUM(M13:M14/M$10)</f>
        <v>0.16761776670660503</v>
      </c>
      <c r="N25" s="40" cm="1">
        <f t="array" ref="N25">SUM(N13:N14/N$10)</f>
        <v>0.14529121020009375</v>
      </c>
      <c r="O25" s="40" cm="1">
        <f t="array" ref="O25">SUM(O13:O14/O$10)</f>
        <v>0.11023786698236428</v>
      </c>
      <c r="P25" s="40" cm="1">
        <f t="array" ref="P25">SUM(P13:P14/P$10)</f>
        <v>0.13509200227634502</v>
      </c>
      <c r="Q25" s="40" cm="1">
        <f t="array" ref="Q25">SUM(Q13:Q14/Q$10)</f>
        <v>0.1486789435142214</v>
      </c>
      <c r="R25" s="40" cm="1">
        <f t="array" ref="R25">SUM(R13:R14/R$10)</f>
        <v>0.13382913352558234</v>
      </c>
      <c r="S25" s="40" cm="1">
        <f t="array" ref="S25">SUM(S13:S14/S$10)</f>
        <v>0.1263697565620438</v>
      </c>
      <c r="T25" s="40" cm="1">
        <f t="array" ref="T25">SUM(T13:T14/T$10)</f>
        <v>0.1239728837547192</v>
      </c>
      <c r="U25" s="40" cm="1">
        <f t="array" ref="U25">SUM(U13:U14/U$10)</f>
        <v>0.12183937973731411</v>
      </c>
      <c r="V25" s="40" cm="1">
        <f t="array" ref="V25">SUM(V13:V14/V$10)</f>
        <v>0.11311231206263422</v>
      </c>
      <c r="W25" s="40" cm="1">
        <f t="array" ref="W25">SUM(W13:W14/W$10)</f>
        <v>0.16763023667204754</v>
      </c>
      <c r="X25" s="40" cm="1">
        <f t="array" ref="X25">SUM(X13:X14/X$10)</f>
        <v>0.11193465436393886</v>
      </c>
      <c r="Y25" s="40" cm="1">
        <f t="array" ref="Y25">SUM(Y13:Y14/Y$10)</f>
        <v>0.11225472885173848</v>
      </c>
      <c r="Z25" s="40" cm="1">
        <f t="array" ref="Z25">SUM(Z13:Z14/Z$10)</f>
        <v>0.11165992861613412</v>
      </c>
    </row>
    <row r="26" spans="1:26" x14ac:dyDescent="0.3">
      <c r="A26" s="25" t="str">
        <f>A25</f>
        <v>Wheat Ex-Durum</v>
      </c>
      <c r="B26" s="25" t="s">
        <v>82</v>
      </c>
      <c r="D26" s="40">
        <f t="shared" ref="D25:Y26" si="7">D15/D$10</f>
        <v>0.36926947138459476</v>
      </c>
      <c r="E26" s="40">
        <f t="shared" si="7"/>
        <v>0.20808483304135489</v>
      </c>
      <c r="F26" s="40">
        <f t="shared" si="7"/>
        <v>0.2304673878794245</v>
      </c>
      <c r="G26" s="40">
        <f t="shared" si="7"/>
        <v>0.22452033176191777</v>
      </c>
      <c r="H26" s="40">
        <f t="shared" si="7"/>
        <v>0.23058569655826863</v>
      </c>
      <c r="I26" s="40">
        <f t="shared" si="7"/>
        <v>0.17258553232981913</v>
      </c>
      <c r="J26" s="40">
        <f t="shared" si="7"/>
        <v>0.17003632050355214</v>
      </c>
      <c r="K26" s="40">
        <f t="shared" si="7"/>
        <v>9.664199570307612E-2</v>
      </c>
      <c r="L26" s="40">
        <f t="shared" si="7"/>
        <v>0.14291828812965796</v>
      </c>
      <c r="M26" s="40">
        <f t="shared" si="7"/>
        <v>0.24954280897333295</v>
      </c>
      <c r="N26" s="40">
        <f t="shared" si="7"/>
        <v>0.24124021857343722</v>
      </c>
      <c r="O26" s="40">
        <f t="shared" si="7"/>
        <v>0.16325061284365877</v>
      </c>
      <c r="P26" s="40">
        <f t="shared" si="7"/>
        <v>0.2065298935231388</v>
      </c>
      <c r="Q26" s="40">
        <f t="shared" si="7"/>
        <v>0.16915830663965098</v>
      </c>
      <c r="R26" s="40">
        <f t="shared" si="7"/>
        <v>0.19464945996611699</v>
      </c>
      <c r="S26" s="40">
        <f t="shared" si="7"/>
        <v>0.19369382768511642</v>
      </c>
      <c r="T26" s="40">
        <f t="shared" si="7"/>
        <v>0.18183802522669001</v>
      </c>
      <c r="U26" s="40">
        <f t="shared" si="7"/>
        <v>0.19467290834924511</v>
      </c>
      <c r="V26" s="40">
        <f t="shared" si="7"/>
        <v>0.17235311439063275</v>
      </c>
      <c r="W26" s="40">
        <f t="shared" si="7"/>
        <v>0.29492498594614652</v>
      </c>
      <c r="X26" s="40">
        <f t="shared" si="7"/>
        <v>0.14151933416757204</v>
      </c>
      <c r="Y26" s="40">
        <f t="shared" si="7"/>
        <v>0.16890542982236584</v>
      </c>
      <c r="Z26" s="40">
        <f t="shared" ref="Z24:Z26" si="8">Z15/Z$10</f>
        <v>0.13673691154828574</v>
      </c>
    </row>
    <row r="27" spans="1:26" x14ac:dyDescent="0.3">
      <c r="A27" s="25" t="str">
        <f>A26</f>
        <v>Wheat Ex-Durum</v>
      </c>
      <c r="B27" s="25" t="s">
        <v>83</v>
      </c>
      <c r="D27" s="40">
        <f t="shared" ref="D27:Y27" si="9">D16/D$10</f>
        <v>0.50281784780378003</v>
      </c>
      <c r="E27" s="40">
        <f t="shared" si="9"/>
        <v>0.63991176939003014</v>
      </c>
      <c r="F27" s="40">
        <f t="shared" si="9"/>
        <v>0.56671147988656656</v>
      </c>
      <c r="G27" s="40">
        <f t="shared" si="9"/>
        <v>0.5795350291174024</v>
      </c>
      <c r="H27" s="40">
        <f t="shared" si="9"/>
        <v>0.66570039052520169</v>
      </c>
      <c r="I27" s="40">
        <f t="shared" si="9"/>
        <v>0.7694571271863001</v>
      </c>
      <c r="J27" s="40">
        <f t="shared" si="9"/>
        <v>0.64743362525378889</v>
      </c>
      <c r="K27" s="40">
        <f t="shared" si="9"/>
        <v>0.7367185607624952</v>
      </c>
      <c r="L27" s="40">
        <f t="shared" si="9"/>
        <v>0.65622853873508624</v>
      </c>
      <c r="M27" s="40">
        <f t="shared" si="9"/>
        <v>0.64956208354841616</v>
      </c>
      <c r="N27" s="40">
        <f t="shared" si="9"/>
        <v>0.63551332042406072</v>
      </c>
      <c r="O27" s="40">
        <f t="shared" si="9"/>
        <v>0.57777819241682382</v>
      </c>
      <c r="P27" s="40">
        <f t="shared" si="9"/>
        <v>0.76921247536021498</v>
      </c>
      <c r="Q27" s="40">
        <f t="shared" si="9"/>
        <v>0.77840439917874804</v>
      </c>
      <c r="R27" s="40">
        <f t="shared" si="9"/>
        <v>0.63374951288246428</v>
      </c>
      <c r="S27" s="40">
        <f t="shared" si="9"/>
        <v>0.67692694500513484</v>
      </c>
      <c r="T27" s="40">
        <f t="shared" si="9"/>
        <v>0.73718279375618723</v>
      </c>
      <c r="U27" s="40">
        <f t="shared" si="9"/>
        <v>0.66991718740959338</v>
      </c>
      <c r="V27" s="40">
        <f t="shared" si="9"/>
        <v>0.7059054250675536</v>
      </c>
      <c r="W27" s="40">
        <f t="shared" si="9"/>
        <v>0.62567878822261291</v>
      </c>
      <c r="X27" s="40">
        <f t="shared" si="9"/>
        <v>0.69560127060958987</v>
      </c>
      <c r="Y27" s="40">
        <f t="shared" si="9"/>
        <v>0.7385589045041091</v>
      </c>
      <c r="Z27" s="40">
        <f>Z16/Z$10</f>
        <v>0.78518534431720144</v>
      </c>
    </row>
    <row r="29" spans="1:26" x14ac:dyDescent="0.3">
      <c r="D29" s="39" t="e">
        <f t="shared" ref="D29:Y32" si="10">(D13-C13)/C13</f>
        <v>#VALUE!</v>
      </c>
      <c r="E29" s="39">
        <f t="shared" si="10"/>
        <v>-1.1684155689513894E-2</v>
      </c>
      <c r="F29" s="39">
        <f t="shared" si="10"/>
        <v>2.051957831325301E-2</v>
      </c>
      <c r="G29" s="39">
        <f t="shared" si="10"/>
        <v>1.1621472053126729E-2</v>
      </c>
      <c r="H29" s="39">
        <f t="shared" si="10"/>
        <v>-1.4223194748358862E-2</v>
      </c>
      <c r="I29" s="39">
        <f t="shared" si="10"/>
        <v>-2.7635960044394881E-2</v>
      </c>
      <c r="J29" s="39">
        <f t="shared" si="10"/>
        <v>-4.5314461819427478E-2</v>
      </c>
      <c r="K29" s="39">
        <f t="shared" si="10"/>
        <v>2.4151123864180331E-2</v>
      </c>
      <c r="L29" s="39">
        <f t="shared" si="10"/>
        <v>-1.1946454977041119E-2</v>
      </c>
      <c r="M29" s="39">
        <f t="shared" si="10"/>
        <v>-1.8786184080973319E-2</v>
      </c>
      <c r="N29" s="39">
        <f t="shared" si="10"/>
        <v>4.8165689973508853E-3</v>
      </c>
      <c r="O29" s="39">
        <f t="shared" si="10"/>
        <v>1.7695933530398361E-2</v>
      </c>
      <c r="P29" s="39">
        <f t="shared" si="10"/>
        <v>-2.8574792950504087E-2</v>
      </c>
      <c r="Q29" s="39">
        <f t="shared" si="10"/>
        <v>6.8891672390803085E-2</v>
      </c>
      <c r="R29" s="39">
        <f t="shared" si="10"/>
        <v>-4.2677855900809337E-2</v>
      </c>
      <c r="S29" s="39">
        <f t="shared" si="10"/>
        <v>4.5883514313919363E-2</v>
      </c>
      <c r="T29" s="39">
        <f t="shared" si="10"/>
        <v>5.4894854079360074E-2</v>
      </c>
      <c r="U29" s="39">
        <f t="shared" si="10"/>
        <v>3.5073905729928316E-3</v>
      </c>
      <c r="V29" s="39">
        <f t="shared" si="10"/>
        <v>-7.8818788116551634E-3</v>
      </c>
      <c r="W29" s="39">
        <f t="shared" si="10"/>
        <v>3.1921777266518313E-2</v>
      </c>
      <c r="X29" s="39">
        <f t="shared" si="10"/>
        <v>-1.4979446805549678E-3</v>
      </c>
      <c r="Y29" s="39">
        <f t="shared" si="10"/>
        <v>1.7827861703241719E-2</v>
      </c>
      <c r="Z29" s="39">
        <f>(Z13-Y13)/Y13</f>
        <v>9.2890930280383182E-3</v>
      </c>
    </row>
    <row r="30" spans="1:26" x14ac:dyDescent="0.3">
      <c r="D30" s="39" t="e">
        <f t="shared" si="10"/>
        <v>#VALUE!</v>
      </c>
      <c r="E30" s="39">
        <f t="shared" si="10"/>
        <v>9.1743119266055315E-2</v>
      </c>
      <c r="F30" s="39">
        <f t="shared" si="10"/>
        <v>0.12605042016806733</v>
      </c>
      <c r="G30" s="39">
        <f t="shared" si="10"/>
        <v>0.32835820895522361</v>
      </c>
      <c r="H30" s="39">
        <f t="shared" si="10"/>
        <v>1.3089887640449438</v>
      </c>
      <c r="I30" s="39">
        <f t="shared" si="10"/>
        <v>-4.1362530413624754E-2</v>
      </c>
      <c r="J30" s="39">
        <f t="shared" si="10"/>
        <v>0.63959390862944154</v>
      </c>
      <c r="K30" s="39">
        <f t="shared" si="10"/>
        <v>0.12848297213622231</v>
      </c>
      <c r="L30" s="39">
        <f t="shared" si="10"/>
        <v>0.1248285322359398</v>
      </c>
      <c r="M30" s="39">
        <f t="shared" si="10"/>
        <v>0.27804878048780496</v>
      </c>
      <c r="N30" s="39">
        <f t="shared" si="10"/>
        <v>-0.25286259541984751</v>
      </c>
      <c r="O30" s="39">
        <f t="shared" si="10"/>
        <v>0.12260536398467432</v>
      </c>
      <c r="P30" s="39">
        <f t="shared" si="10"/>
        <v>-8.8737201365187715E-2</v>
      </c>
      <c r="Q30" s="39">
        <f t="shared" si="10"/>
        <v>-0.1710362047440695</v>
      </c>
      <c r="R30" s="39">
        <f t="shared" si="10"/>
        <v>9.9397590361445728E-2</v>
      </c>
      <c r="S30" s="39">
        <f t="shared" si="10"/>
        <v>-0.2287671232876719</v>
      </c>
      <c r="T30" s="39">
        <f t="shared" si="10"/>
        <v>-0.11278863232682025</v>
      </c>
      <c r="U30" s="39">
        <f t="shared" si="10"/>
        <v>0.13173173173173186</v>
      </c>
      <c r="V30" s="39">
        <f t="shared" si="10"/>
        <v>-0.14505572262515506</v>
      </c>
      <c r="W30" s="39">
        <f t="shared" si="10"/>
        <v>-0.21435961100765555</v>
      </c>
      <c r="X30" s="39">
        <f t="shared" si="10"/>
        <v>2.6336581511720077E-2</v>
      </c>
      <c r="Y30" s="39">
        <f t="shared" si="10"/>
        <v>-8.4680523479599812E-2</v>
      </c>
      <c r="Z30" s="39">
        <f t="shared" ref="Z30:Z32" si="11">(Z14-Y14)/Y14</f>
        <v>-1.9624334174372718E-3</v>
      </c>
    </row>
    <row r="31" spans="1:26" x14ac:dyDescent="0.3">
      <c r="D31" s="39" t="e">
        <f t="shared" si="10"/>
        <v>#VALUE!</v>
      </c>
      <c r="E31" s="39">
        <f t="shared" si="10"/>
        <v>-0.12161751523843571</v>
      </c>
      <c r="F31" s="39">
        <f t="shared" si="10"/>
        <v>0.17559891154768692</v>
      </c>
      <c r="G31" s="39">
        <f t="shared" si="10"/>
        <v>-3.362942785441398E-2</v>
      </c>
      <c r="H31" s="39">
        <f t="shared" si="10"/>
        <v>0.13501611489181431</v>
      </c>
      <c r="I31" s="39">
        <f t="shared" si="10"/>
        <v>-0.43968862664994657</v>
      </c>
      <c r="J31" s="39">
        <f t="shared" si="10"/>
        <v>0.38696434549124403</v>
      </c>
      <c r="K31" s="39">
        <f t="shared" si="10"/>
        <v>-0.46976619612599579</v>
      </c>
      <c r="L31" s="39">
        <f t="shared" si="10"/>
        <v>0.39132092358633014</v>
      </c>
      <c r="M31" s="39">
        <f t="shared" si="10"/>
        <v>0.81847832764022121</v>
      </c>
      <c r="N31" s="39">
        <f t="shared" si="10"/>
        <v>3.5562077163263428E-2</v>
      </c>
      <c r="O31" s="39">
        <f t="shared" si="10"/>
        <v>-7.0029206248676701E-2</v>
      </c>
      <c r="P31" s="39">
        <f t="shared" si="10"/>
        <v>-1.3075761934976501E-2</v>
      </c>
      <c r="Q31" s="39">
        <f t="shared" si="10"/>
        <v>-0.24818808096919001</v>
      </c>
      <c r="R31" s="39">
        <f t="shared" si="10"/>
        <v>0.26025936167748959</v>
      </c>
      <c r="S31" s="39">
        <f t="shared" si="10"/>
        <v>3.7419834510106643E-2</v>
      </c>
      <c r="T31" s="39">
        <f t="shared" si="10"/>
        <v>-1.8656043331896386E-2</v>
      </c>
      <c r="U31" s="39">
        <f t="shared" si="10"/>
        <v>0.11433500403340431</v>
      </c>
      <c r="V31" s="39">
        <f t="shared" si="10"/>
        <v>-7.5810323538694255E-2</v>
      </c>
      <c r="W31" s="39">
        <f t="shared" si="10"/>
        <v>0.14941514267423203</v>
      </c>
      <c r="X31" s="39">
        <f t="shared" si="10"/>
        <v>-0.28013185959202214</v>
      </c>
      <c r="Y31" s="39">
        <f t="shared" si="10"/>
        <v>0.19672756767707755</v>
      </c>
      <c r="Z31" s="39">
        <f t="shared" si="11"/>
        <v>-0.17957808661634891</v>
      </c>
    </row>
    <row r="32" spans="1:26" x14ac:dyDescent="0.3">
      <c r="D32" s="39" t="e">
        <f t="shared" si="10"/>
        <v>#VALUE!</v>
      </c>
      <c r="E32" s="39">
        <f t="shared" si="10"/>
        <v>0.98379165314407624</v>
      </c>
      <c r="F32" s="39">
        <f t="shared" si="10"/>
        <v>-5.9990950735265183E-2</v>
      </c>
      <c r="G32" s="39">
        <f t="shared" si="10"/>
        <v>1.4413877255494579E-2</v>
      </c>
      <c r="H32" s="39">
        <f t="shared" si="10"/>
        <v>0.2694758960338981</v>
      </c>
      <c r="I32" s="39">
        <f t="shared" si="10"/>
        <v>-0.13470731831009866</v>
      </c>
      <c r="J32" s="39">
        <f t="shared" si="10"/>
        <v>0.18451021232182244</v>
      </c>
      <c r="K32" s="39">
        <f t="shared" si="10"/>
        <v>6.157230724544803E-2</v>
      </c>
      <c r="L32" s="39">
        <f t="shared" si="10"/>
        <v>-0.16197128007887873</v>
      </c>
      <c r="M32" s="39">
        <f t="shared" si="10"/>
        <v>3.0899736098576169E-2</v>
      </c>
      <c r="N32" s="39">
        <f t="shared" si="10"/>
        <v>4.8034249998979206E-2</v>
      </c>
      <c r="O32" s="39">
        <f t="shared" si="10"/>
        <v>0.24939766663211579</v>
      </c>
      <c r="P32" s="39">
        <f t="shared" si="10"/>
        <v>3.8582229714425348E-2</v>
      </c>
      <c r="Q32" s="39">
        <f t="shared" si="10"/>
        <v>-7.1123958414922264E-2</v>
      </c>
      <c r="R32" s="39">
        <f t="shared" si="10"/>
        <v>-0.10831304141052864</v>
      </c>
      <c r="S32" s="39">
        <f t="shared" si="10"/>
        <v>0.11356643394664555</v>
      </c>
      <c r="T32" s="39">
        <f t="shared" si="10"/>
        <v>0.13837596079926223</v>
      </c>
      <c r="U32" s="39">
        <f t="shared" si="10"/>
        <v>-5.410943757480597E-2</v>
      </c>
      <c r="V32" s="39">
        <f t="shared" si="10"/>
        <v>9.9949873377105938E-2</v>
      </c>
      <c r="W32" s="39">
        <f t="shared" si="10"/>
        <v>-0.40462664500659734</v>
      </c>
      <c r="X32" s="39">
        <f t="shared" si="10"/>
        <v>0.66785264814794654</v>
      </c>
      <c r="Y32" s="39">
        <f t="shared" si="10"/>
        <v>6.4614147089977036E-2</v>
      </c>
      <c r="Z32" s="39">
        <f t="shared" si="11"/>
        <v>7.7412829646605646E-2</v>
      </c>
    </row>
  </sheetData>
  <conditionalFormatting sqref="D22:Z22">
    <cfRule type="cellIs" dxfId="1" priority="4" operator="between">
      <formula>-0.0009</formula>
      <formula>0.0009</formula>
    </cfRule>
  </conditionalFormatting>
  <conditionalFormatting sqref="D25:Z25">
    <cfRule type="colorScale" priority="3">
      <colorScale>
        <cfvo type="min"/>
        <cfvo type="max"/>
        <color rgb="FFFCFCFF"/>
        <color rgb="FF63BE7B"/>
      </colorScale>
    </cfRule>
  </conditionalFormatting>
  <conditionalFormatting sqref="D27:Z27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77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20" customWidth="1"/>
    <col min="3" max="16" width="7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67</v>
      </c>
      <c r="B2" s="2" t="s">
        <v>17</v>
      </c>
      <c r="C2" s="2" t="s">
        <v>18</v>
      </c>
      <c r="D2" s="3">
        <v>6.125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>
        <f t="shared" ref="P2:P33" si="0">D2</f>
        <v>6.125</v>
      </c>
    </row>
    <row r="3" spans="1:16" x14ac:dyDescent="0.3">
      <c r="A3" s="2" t="s">
        <v>67</v>
      </c>
      <c r="B3" s="2" t="s">
        <v>17</v>
      </c>
      <c r="C3" s="2" t="s">
        <v>19</v>
      </c>
      <c r="D3" s="3">
        <v>5.96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>
        <f t="shared" si="0"/>
        <v>5.96</v>
      </c>
    </row>
    <row r="4" spans="1:16" x14ac:dyDescent="0.3">
      <c r="A4" s="2" t="s">
        <v>67</v>
      </c>
      <c r="B4" s="2" t="s">
        <v>17</v>
      </c>
      <c r="C4" s="2" t="s">
        <v>20</v>
      </c>
      <c r="D4" s="3">
        <v>5.2850000000000001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>
        <f t="shared" si="0"/>
        <v>5.2850000000000001</v>
      </c>
    </row>
    <row r="5" spans="1:16" x14ac:dyDescent="0.3">
      <c r="A5" s="2" t="s">
        <v>67</v>
      </c>
      <c r="B5" s="2" t="s">
        <v>17</v>
      </c>
      <c r="C5" s="2" t="s">
        <v>21</v>
      </c>
      <c r="D5" s="3">
        <v>5.7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>
        <f t="shared" si="0"/>
        <v>5.7</v>
      </c>
    </row>
    <row r="6" spans="1:16" x14ac:dyDescent="0.3">
      <c r="A6" s="2" t="s">
        <v>67</v>
      </c>
      <c r="B6" s="2" t="s">
        <v>17</v>
      </c>
      <c r="C6" s="2" t="s">
        <v>22</v>
      </c>
      <c r="D6" s="3">
        <v>3.7953800000000002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>
        <f t="shared" si="0"/>
        <v>3.7953800000000002</v>
      </c>
    </row>
    <row r="7" spans="1:16" x14ac:dyDescent="0.3">
      <c r="A7" s="2" t="s">
        <v>67</v>
      </c>
      <c r="B7" s="2" t="s">
        <v>17</v>
      </c>
      <c r="C7" s="2" t="s">
        <v>23</v>
      </c>
      <c r="D7" s="3">
        <v>4.7649999999999997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>
        <f t="shared" si="0"/>
        <v>4.7649999999999997</v>
      </c>
    </row>
    <row r="8" spans="1:16" x14ac:dyDescent="0.3">
      <c r="A8" s="2" t="s">
        <v>67</v>
      </c>
      <c r="B8" s="2" t="s">
        <v>17</v>
      </c>
      <c r="C8" s="2" t="s">
        <v>24</v>
      </c>
      <c r="D8" s="3">
        <v>6.03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>
        <f t="shared" si="0"/>
        <v>6.03</v>
      </c>
    </row>
    <row r="9" spans="1:16" x14ac:dyDescent="0.3">
      <c r="A9" s="2" t="s">
        <v>67</v>
      </c>
      <c r="B9" s="2" t="s">
        <v>17</v>
      </c>
      <c r="C9" s="2" t="s">
        <v>25</v>
      </c>
      <c r="D9" s="3">
        <v>5.66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>
        <f t="shared" si="0"/>
        <v>5.66</v>
      </c>
    </row>
    <row r="10" spans="1:16" x14ac:dyDescent="0.3">
      <c r="A10" s="2" t="s">
        <v>67</v>
      </c>
      <c r="B10" s="2" t="s">
        <v>17</v>
      </c>
      <c r="C10" s="2" t="s">
        <v>26</v>
      </c>
      <c r="D10" s="3">
        <v>3.15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>
        <f t="shared" si="0"/>
        <v>3.15</v>
      </c>
    </row>
    <row r="11" spans="1:16" x14ac:dyDescent="0.3">
      <c r="A11" s="2" t="s">
        <v>67</v>
      </c>
      <c r="B11" s="2" t="s">
        <v>17</v>
      </c>
      <c r="C11" s="2" t="s">
        <v>27</v>
      </c>
      <c r="D11" s="3">
        <v>4.011018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>
        <f t="shared" si="0"/>
        <v>4.011018</v>
      </c>
    </row>
    <row r="12" spans="1:16" x14ac:dyDescent="0.3">
      <c r="A12" s="2" t="s">
        <v>67</v>
      </c>
      <c r="B12" s="2" t="s">
        <v>17</v>
      </c>
      <c r="C12" s="2" t="s">
        <v>28</v>
      </c>
      <c r="D12" s="3">
        <v>4.625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>
        <f t="shared" si="0"/>
        <v>4.625</v>
      </c>
    </row>
    <row r="13" spans="1:16" x14ac:dyDescent="0.3">
      <c r="A13" s="2" t="s">
        <v>67</v>
      </c>
      <c r="B13" s="2" t="s">
        <v>17</v>
      </c>
      <c r="C13" s="2" t="s">
        <v>29</v>
      </c>
      <c r="D13" s="3">
        <v>4.9850000000000003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>
        <f t="shared" si="0"/>
        <v>4.9850000000000003</v>
      </c>
    </row>
    <row r="14" spans="1:16" x14ac:dyDescent="0.3">
      <c r="A14" s="2" t="s">
        <v>67</v>
      </c>
      <c r="B14" s="2" t="s">
        <v>17</v>
      </c>
      <c r="C14" s="2" t="s">
        <v>30</v>
      </c>
      <c r="D14" s="3">
        <v>4.78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>
        <f t="shared" si="0"/>
        <v>4.78</v>
      </c>
    </row>
    <row r="15" spans="1:16" x14ac:dyDescent="0.3">
      <c r="A15" s="2" t="s">
        <v>67</v>
      </c>
      <c r="B15" s="2" t="s">
        <v>17</v>
      </c>
      <c r="C15" s="2" t="s">
        <v>31</v>
      </c>
      <c r="D15" s="3">
        <v>5.79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>
        <f t="shared" si="0"/>
        <v>5.79</v>
      </c>
    </row>
    <row r="16" spans="1:16" x14ac:dyDescent="0.3">
      <c r="A16" s="2" t="s">
        <v>67</v>
      </c>
      <c r="B16" s="2" t="s">
        <v>17</v>
      </c>
      <c r="C16" s="2" t="s">
        <v>32</v>
      </c>
      <c r="D16" s="3">
        <v>6.1014999999999997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>
        <f t="shared" si="0"/>
        <v>6.1014999999999997</v>
      </c>
    </row>
    <row r="17" spans="1:16" x14ac:dyDescent="0.3">
      <c r="A17" s="2" t="s">
        <v>67</v>
      </c>
      <c r="B17" s="2" t="s">
        <v>17</v>
      </c>
      <c r="C17" s="2" t="s">
        <v>33</v>
      </c>
      <c r="D17" s="3">
        <v>5.2050000000000001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>
        <f t="shared" si="0"/>
        <v>5.2050000000000001</v>
      </c>
    </row>
    <row r="18" spans="1:16" x14ac:dyDescent="0.3">
      <c r="A18" s="2" t="s">
        <v>67</v>
      </c>
      <c r="B18" s="2" t="s">
        <v>17</v>
      </c>
      <c r="C18" s="2" t="s">
        <v>34</v>
      </c>
      <c r="D18" s="3">
        <v>6.1853999999999996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>
        <f t="shared" si="0"/>
        <v>6.1853999999999996</v>
      </c>
    </row>
    <row r="19" spans="1:16" x14ac:dyDescent="0.3">
      <c r="A19" s="2" t="s">
        <v>67</v>
      </c>
      <c r="B19" s="2" t="s">
        <v>17</v>
      </c>
      <c r="C19" s="2" t="s">
        <v>35</v>
      </c>
      <c r="D19" s="3">
        <v>4.8936000000000002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>
        <f t="shared" si="0"/>
        <v>4.8936000000000002</v>
      </c>
    </row>
    <row r="20" spans="1:16" x14ac:dyDescent="0.3">
      <c r="A20" s="2" t="s">
        <v>67</v>
      </c>
      <c r="B20" s="2" t="s">
        <v>17</v>
      </c>
      <c r="C20" s="2" t="s">
        <v>36</v>
      </c>
      <c r="D20" s="3">
        <v>5.6886000000000001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>
        <f t="shared" si="0"/>
        <v>5.6886000000000001</v>
      </c>
    </row>
    <row r="21" spans="1:16" x14ac:dyDescent="0.3">
      <c r="A21" s="2" t="s">
        <v>67</v>
      </c>
      <c r="B21" s="2" t="s">
        <v>17</v>
      </c>
      <c r="C21" s="2" t="s">
        <v>37</v>
      </c>
      <c r="D21" s="3">
        <v>5.7365139999999997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>
        <f t="shared" si="0"/>
        <v>5.7365139999999997</v>
      </c>
    </row>
    <row r="22" spans="1:16" x14ac:dyDescent="0.3">
      <c r="A22" s="2" t="s">
        <v>67</v>
      </c>
      <c r="B22" s="2" t="s">
        <v>17</v>
      </c>
      <c r="C22" s="2" t="s">
        <v>38</v>
      </c>
      <c r="D22" s="3">
        <v>6.0061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>
        <f t="shared" si="0"/>
        <v>6.0061</v>
      </c>
    </row>
    <row r="23" spans="1:16" x14ac:dyDescent="0.3">
      <c r="A23" s="2" t="s">
        <v>67</v>
      </c>
      <c r="B23" s="2" t="s">
        <v>17</v>
      </c>
      <c r="C23" s="2" t="s">
        <v>39</v>
      </c>
      <c r="D23" s="3">
        <v>6.0338000000000003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>
        <f t="shared" si="0"/>
        <v>6.0338000000000003</v>
      </c>
    </row>
    <row r="24" spans="1:16" x14ac:dyDescent="0.3">
      <c r="A24" s="2" t="s">
        <v>67</v>
      </c>
      <c r="B24" s="2" t="s">
        <v>17</v>
      </c>
      <c r="C24" s="2" t="s">
        <v>40</v>
      </c>
      <c r="D24" s="3">
        <v>6.3643999999999998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>
        <f t="shared" si="0"/>
        <v>6.3643999999999998</v>
      </c>
    </row>
    <row r="25" spans="1:16" x14ac:dyDescent="0.3">
      <c r="A25" s="2" t="s">
        <v>67</v>
      </c>
      <c r="B25" s="2" t="s">
        <v>41</v>
      </c>
      <c r="C25" s="2" t="s">
        <v>18</v>
      </c>
      <c r="D25" s="3">
        <v>5.55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>
        <f t="shared" si="0"/>
        <v>5.55</v>
      </c>
    </row>
    <row r="26" spans="1:16" x14ac:dyDescent="0.3">
      <c r="A26" s="2" t="s">
        <v>67</v>
      </c>
      <c r="B26" s="2" t="s">
        <v>41</v>
      </c>
      <c r="C26" s="2" t="s">
        <v>19</v>
      </c>
      <c r="D26" s="3">
        <v>5.915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>
        <f t="shared" si="0"/>
        <v>5.915</v>
      </c>
    </row>
    <row r="27" spans="1:16" x14ac:dyDescent="0.3">
      <c r="A27" s="2" t="s">
        <v>67</v>
      </c>
      <c r="B27" s="2" t="s">
        <v>41</v>
      </c>
      <c r="C27" s="2" t="s">
        <v>20</v>
      </c>
      <c r="D27" s="3">
        <v>5.07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>
        <f t="shared" si="0"/>
        <v>5.07</v>
      </c>
    </row>
    <row r="28" spans="1:16" x14ac:dyDescent="0.3">
      <c r="A28" s="2" t="s">
        <v>67</v>
      </c>
      <c r="B28" s="2" t="s">
        <v>41</v>
      </c>
      <c r="C28" s="2" t="s">
        <v>21</v>
      </c>
      <c r="D28" s="3">
        <v>5.63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>
        <f t="shared" si="0"/>
        <v>5.63</v>
      </c>
    </row>
    <row r="29" spans="1:16" x14ac:dyDescent="0.3">
      <c r="A29" s="2" t="s">
        <v>67</v>
      </c>
      <c r="B29" s="2" t="s">
        <v>41</v>
      </c>
      <c r="C29" s="2" t="s">
        <v>22</v>
      </c>
      <c r="D29" s="3">
        <v>3.75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>
        <f t="shared" si="0"/>
        <v>3.75</v>
      </c>
    </row>
    <row r="30" spans="1:16" x14ac:dyDescent="0.3">
      <c r="A30" s="2" t="s">
        <v>67</v>
      </c>
      <c r="B30" s="2" t="s">
        <v>41</v>
      </c>
      <c r="C30" s="2" t="s">
        <v>23</v>
      </c>
      <c r="D30" s="3">
        <v>4.71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>
        <f t="shared" si="0"/>
        <v>4.71</v>
      </c>
    </row>
    <row r="31" spans="1:16" x14ac:dyDescent="0.3">
      <c r="A31" s="2" t="s">
        <v>67</v>
      </c>
      <c r="B31" s="2" t="s">
        <v>41</v>
      </c>
      <c r="C31" s="2" t="s">
        <v>24</v>
      </c>
      <c r="D31" s="3">
        <v>5.97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>
        <f t="shared" si="0"/>
        <v>5.97</v>
      </c>
    </row>
    <row r="32" spans="1:16" x14ac:dyDescent="0.3">
      <c r="A32" s="2" t="s">
        <v>67</v>
      </c>
      <c r="B32" s="2" t="s">
        <v>41</v>
      </c>
      <c r="C32" s="2" t="s">
        <v>25</v>
      </c>
      <c r="D32" s="3">
        <v>5.51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>
        <f t="shared" si="0"/>
        <v>5.51</v>
      </c>
    </row>
    <row r="33" spans="1:16" x14ac:dyDescent="0.3">
      <c r="A33" s="2" t="s">
        <v>67</v>
      </c>
      <c r="B33" s="2" t="s">
        <v>41</v>
      </c>
      <c r="C33" s="2" t="s">
        <v>26</v>
      </c>
      <c r="D33" s="3">
        <v>3.0750000000000002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>
        <f t="shared" si="0"/>
        <v>3.0750000000000002</v>
      </c>
    </row>
    <row r="34" spans="1:16" x14ac:dyDescent="0.3">
      <c r="A34" s="2" t="s">
        <v>67</v>
      </c>
      <c r="B34" s="2" t="s">
        <v>41</v>
      </c>
      <c r="C34" s="2" t="s">
        <v>27</v>
      </c>
      <c r="D34" s="3">
        <v>3.93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>
        <f t="shared" ref="P34:P65" si="1">D34</f>
        <v>3.93</v>
      </c>
    </row>
    <row r="35" spans="1:16" x14ac:dyDescent="0.3">
      <c r="A35" s="2" t="s">
        <v>67</v>
      </c>
      <c r="B35" s="2" t="s">
        <v>41</v>
      </c>
      <c r="C35" s="2" t="s">
        <v>28</v>
      </c>
      <c r="D35" s="3">
        <v>4.585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>
        <f t="shared" si="1"/>
        <v>4.585</v>
      </c>
    </row>
    <row r="36" spans="1:16" x14ac:dyDescent="0.3">
      <c r="A36" s="2" t="s">
        <v>67</v>
      </c>
      <c r="B36" s="2" t="s">
        <v>41</v>
      </c>
      <c r="C36" s="2" t="s">
        <v>29</v>
      </c>
      <c r="D36" s="3">
        <v>4.9550000000000001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>
        <f t="shared" si="1"/>
        <v>4.9550000000000001</v>
      </c>
    </row>
    <row r="37" spans="1:16" x14ac:dyDescent="0.3">
      <c r="A37" s="2" t="s">
        <v>67</v>
      </c>
      <c r="B37" s="2" t="s">
        <v>41</v>
      </c>
      <c r="C37" s="2" t="s">
        <v>30</v>
      </c>
      <c r="D37" s="3">
        <v>4.6900000000000004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>
        <f t="shared" si="1"/>
        <v>4.6900000000000004</v>
      </c>
    </row>
    <row r="38" spans="1:16" x14ac:dyDescent="0.3">
      <c r="A38" s="2" t="s">
        <v>67</v>
      </c>
      <c r="B38" s="2" t="s">
        <v>41</v>
      </c>
      <c r="C38" s="2" t="s">
        <v>31</v>
      </c>
      <c r="D38" s="3">
        <v>5.72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>
        <f t="shared" si="1"/>
        <v>5.72</v>
      </c>
    </row>
    <row r="39" spans="1:16" x14ac:dyDescent="0.3">
      <c r="A39" s="2" t="s">
        <v>67</v>
      </c>
      <c r="B39" s="2" t="s">
        <v>41</v>
      </c>
      <c r="C39" s="2" t="s">
        <v>32</v>
      </c>
      <c r="D39" s="3">
        <v>5.7649999999999997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>
        <f t="shared" si="1"/>
        <v>5.7649999999999997</v>
      </c>
    </row>
    <row r="40" spans="1:16" x14ac:dyDescent="0.3">
      <c r="A40" s="2" t="s">
        <v>67</v>
      </c>
      <c r="B40" s="2" t="s">
        <v>41</v>
      </c>
      <c r="C40" s="2" t="s">
        <v>33</v>
      </c>
      <c r="D40" s="3">
        <v>5.16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>
        <f t="shared" si="1"/>
        <v>5.16</v>
      </c>
    </row>
    <row r="41" spans="1:16" x14ac:dyDescent="0.3">
      <c r="A41" s="2" t="s">
        <v>67</v>
      </c>
      <c r="B41" s="2" t="s">
        <v>41</v>
      </c>
      <c r="C41" s="2" t="s">
        <v>34</v>
      </c>
      <c r="D41" s="3">
        <v>6.0679999999999996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>
        <f t="shared" si="1"/>
        <v>6.0679999999999996</v>
      </c>
    </row>
    <row r="42" spans="1:16" x14ac:dyDescent="0.3">
      <c r="A42" s="2" t="s">
        <v>67</v>
      </c>
      <c r="B42" s="2" t="s">
        <v>41</v>
      </c>
      <c r="C42" s="2" t="s">
        <v>35</v>
      </c>
      <c r="D42" s="3">
        <v>4.6992000000000003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>
        <f t="shared" si="1"/>
        <v>4.6992000000000003</v>
      </c>
    </row>
    <row r="43" spans="1:16" x14ac:dyDescent="0.3">
      <c r="A43" s="2" t="s">
        <v>67</v>
      </c>
      <c r="B43" s="2" t="s">
        <v>41</v>
      </c>
      <c r="C43" s="2" t="s">
        <v>36</v>
      </c>
      <c r="D43" s="3">
        <v>5.6711999999999998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>
        <f t="shared" si="1"/>
        <v>5.6711999999999998</v>
      </c>
    </row>
    <row r="44" spans="1:16" x14ac:dyDescent="0.3">
      <c r="A44" s="2" t="s">
        <v>67</v>
      </c>
      <c r="B44" s="2" t="s">
        <v>41</v>
      </c>
      <c r="C44" s="2" t="s">
        <v>37</v>
      </c>
      <c r="D44" s="3">
        <v>5.5124050000000002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>
        <f t="shared" si="1"/>
        <v>5.5124050000000002</v>
      </c>
    </row>
    <row r="45" spans="1:16" x14ac:dyDescent="0.3">
      <c r="A45" s="2" t="s">
        <v>67</v>
      </c>
      <c r="B45" s="2" t="s">
        <v>41</v>
      </c>
      <c r="C45" s="2" t="s">
        <v>38</v>
      </c>
      <c r="D45" s="3">
        <v>5.9292999999999996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>
        <f t="shared" si="1"/>
        <v>5.9292999999999996</v>
      </c>
    </row>
    <row r="46" spans="1:16" x14ac:dyDescent="0.3">
      <c r="A46" s="2" t="s">
        <v>67</v>
      </c>
      <c r="B46" s="2" t="s">
        <v>41</v>
      </c>
      <c r="C46" s="2" t="s">
        <v>39</v>
      </c>
      <c r="D46" s="3">
        <v>5.8932000000000002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>
        <f t="shared" si="1"/>
        <v>5.8932000000000002</v>
      </c>
    </row>
    <row r="47" spans="1:16" x14ac:dyDescent="0.3">
      <c r="A47" s="2" t="s">
        <v>67</v>
      </c>
      <c r="B47" s="2" t="s">
        <v>41</v>
      </c>
      <c r="C47" s="2" t="s">
        <v>40</v>
      </c>
      <c r="D47" s="3">
        <v>6.3388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>
        <f t="shared" si="1"/>
        <v>6.3388</v>
      </c>
    </row>
    <row r="48" spans="1:16" x14ac:dyDescent="0.3">
      <c r="A48" s="2" t="s">
        <v>67</v>
      </c>
      <c r="B48" s="2" t="s">
        <v>42</v>
      </c>
      <c r="C48" s="2" t="s">
        <v>18</v>
      </c>
      <c r="D48" s="5">
        <v>25.66696405945946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6">
        <f t="shared" si="1"/>
        <v>25.66696405945946</v>
      </c>
    </row>
    <row r="49" spans="1:16" x14ac:dyDescent="0.3">
      <c r="A49" s="2" t="s">
        <v>67</v>
      </c>
      <c r="B49" s="2" t="s">
        <v>42</v>
      </c>
      <c r="C49" s="2" t="s">
        <v>19</v>
      </c>
      <c r="D49" s="5">
        <v>26.162259834319521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6">
        <f t="shared" si="1"/>
        <v>26.162259834319521</v>
      </c>
    </row>
    <row r="50" spans="1:16" x14ac:dyDescent="0.3">
      <c r="A50" s="2" t="s">
        <v>67</v>
      </c>
      <c r="B50" s="2" t="s">
        <v>42</v>
      </c>
      <c r="C50" s="2" t="s">
        <v>20</v>
      </c>
      <c r="D50" s="5">
        <v>34.797081100591711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">
        <f t="shared" si="1"/>
        <v>34.797081100591711</v>
      </c>
    </row>
    <row r="51" spans="1:16" x14ac:dyDescent="0.3">
      <c r="A51" s="2" t="s">
        <v>67</v>
      </c>
      <c r="B51" s="2" t="s">
        <v>42</v>
      </c>
      <c r="C51" s="2" t="s">
        <v>21</v>
      </c>
      <c r="D51" s="5">
        <v>38.601116877442273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6">
        <f t="shared" si="1"/>
        <v>38.601116877442273</v>
      </c>
    </row>
    <row r="52" spans="1:16" x14ac:dyDescent="0.3">
      <c r="A52" s="2" t="s">
        <v>67</v>
      </c>
      <c r="B52" s="2" t="s">
        <v>42</v>
      </c>
      <c r="C52" s="2" t="s">
        <v>22</v>
      </c>
      <c r="D52" s="5">
        <v>32.787138384000002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6">
        <f t="shared" si="1"/>
        <v>32.787138384000002</v>
      </c>
    </row>
    <row r="53" spans="1:16" x14ac:dyDescent="0.3">
      <c r="A53" s="2" t="s">
        <v>67</v>
      </c>
      <c r="B53" s="2" t="s">
        <v>42</v>
      </c>
      <c r="C53" s="2" t="s">
        <v>23</v>
      </c>
      <c r="D53" s="5">
        <v>28.719375197452219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6">
        <f t="shared" si="1"/>
        <v>28.719375197452219</v>
      </c>
    </row>
    <row r="54" spans="1:16" x14ac:dyDescent="0.3">
      <c r="A54" s="2" t="s">
        <v>67</v>
      </c>
      <c r="B54" s="2" t="s">
        <v>42</v>
      </c>
      <c r="C54" s="2" t="s">
        <v>24</v>
      </c>
      <c r="D54" s="5">
        <v>33.969766065326631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6">
        <f t="shared" si="1"/>
        <v>33.969766065326631</v>
      </c>
    </row>
    <row r="55" spans="1:16" x14ac:dyDescent="0.3">
      <c r="A55" s="2" t="s">
        <v>67</v>
      </c>
      <c r="B55" s="2" t="s">
        <v>42</v>
      </c>
      <c r="C55" s="2" t="s">
        <v>25</v>
      </c>
      <c r="D55" s="5">
        <v>36.007492290381123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6">
        <f t="shared" si="1"/>
        <v>36.007492290381123</v>
      </c>
    </row>
    <row r="56" spans="1:16" x14ac:dyDescent="0.3">
      <c r="A56" s="2" t="s">
        <v>67</v>
      </c>
      <c r="B56" s="2" t="s">
        <v>42</v>
      </c>
      <c r="C56" s="2" t="s">
        <v>26</v>
      </c>
      <c r="D56" s="5">
        <v>36.142656712195119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6">
        <f t="shared" si="1"/>
        <v>36.142656712195119</v>
      </c>
    </row>
    <row r="57" spans="1:16" x14ac:dyDescent="0.3">
      <c r="A57" s="2" t="s">
        <v>67</v>
      </c>
      <c r="B57" s="2" t="s">
        <v>42</v>
      </c>
      <c r="C57" s="2" t="s">
        <v>27</v>
      </c>
      <c r="D57" s="5">
        <v>39.007224114503821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>
        <f t="shared" si="1"/>
        <v>39.007224114503821</v>
      </c>
    </row>
    <row r="58" spans="1:16" x14ac:dyDescent="0.3">
      <c r="A58" s="2" t="s">
        <v>67</v>
      </c>
      <c r="B58" s="2" t="s">
        <v>42</v>
      </c>
      <c r="C58" s="2" t="s">
        <v>28</v>
      </c>
      <c r="D58" s="5">
        <v>37.077077954198472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6">
        <f t="shared" si="1"/>
        <v>37.077077954198472</v>
      </c>
    </row>
    <row r="59" spans="1:16" x14ac:dyDescent="0.3">
      <c r="A59" s="2" t="s">
        <v>67</v>
      </c>
      <c r="B59" s="2" t="s">
        <v>42</v>
      </c>
      <c r="C59" s="2" t="s">
        <v>29</v>
      </c>
      <c r="D59" s="5">
        <v>48.233985196770931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6">
        <f t="shared" si="1"/>
        <v>48.233985196770931</v>
      </c>
    </row>
    <row r="60" spans="1:16" x14ac:dyDescent="0.3">
      <c r="A60" s="2" t="s">
        <v>67</v>
      </c>
      <c r="B60" s="2" t="s">
        <v>42</v>
      </c>
      <c r="C60" s="2" t="s">
        <v>30</v>
      </c>
      <c r="D60" s="5">
        <v>40.682091895522383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6">
        <f t="shared" si="1"/>
        <v>40.682091895522383</v>
      </c>
    </row>
    <row r="61" spans="1:16" x14ac:dyDescent="0.3">
      <c r="A61" s="2" t="s">
        <v>67</v>
      </c>
      <c r="B61" s="2" t="s">
        <v>42</v>
      </c>
      <c r="C61" s="2" t="s">
        <v>31</v>
      </c>
      <c r="D61" s="5">
        <v>34.615520312937058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6">
        <f t="shared" si="1"/>
        <v>34.615520312937058</v>
      </c>
    </row>
    <row r="62" spans="1:16" x14ac:dyDescent="0.3">
      <c r="A62" s="2" t="s">
        <v>67</v>
      </c>
      <c r="B62" s="2" t="s">
        <v>42</v>
      </c>
      <c r="C62" s="2" t="s">
        <v>32</v>
      </c>
      <c r="D62" s="5">
        <v>49.470468457935823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6">
        <f t="shared" si="1"/>
        <v>49.470468457935823</v>
      </c>
    </row>
    <row r="63" spans="1:16" x14ac:dyDescent="0.3">
      <c r="A63" s="2" t="s">
        <v>67</v>
      </c>
      <c r="B63" s="2" t="s">
        <v>42</v>
      </c>
      <c r="C63" s="2" t="s">
        <v>33</v>
      </c>
      <c r="D63" s="5">
        <v>35.335191500000001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>
        <f t="shared" si="1"/>
        <v>35.335191500000001</v>
      </c>
    </row>
    <row r="64" spans="1:16" x14ac:dyDescent="0.3">
      <c r="A64" s="2" t="s">
        <v>67</v>
      </c>
      <c r="B64" s="2" t="s">
        <v>42</v>
      </c>
      <c r="C64" s="2" t="s">
        <v>34</v>
      </c>
      <c r="D64" s="5">
        <v>35.028832524719839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6">
        <f t="shared" si="1"/>
        <v>35.028832524719839</v>
      </c>
    </row>
    <row r="65" spans="1:16" x14ac:dyDescent="0.3">
      <c r="A65" s="2" t="s">
        <v>67</v>
      </c>
      <c r="B65" s="2" t="s">
        <v>42</v>
      </c>
      <c r="C65" s="2" t="s">
        <v>35</v>
      </c>
      <c r="D65" s="5">
        <v>39.2286225102145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>
        <f t="shared" si="1"/>
        <v>39.2286225102145</v>
      </c>
    </row>
    <row r="66" spans="1:16" x14ac:dyDescent="0.3">
      <c r="A66" s="2" t="s">
        <v>67</v>
      </c>
      <c r="B66" s="2" t="s">
        <v>42</v>
      </c>
      <c r="C66" s="2" t="s">
        <v>36</v>
      </c>
      <c r="D66" s="5">
        <v>42.574799238256453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>
        <f t="shared" ref="P66:P93" si="2">D66</f>
        <v>42.574799238256453</v>
      </c>
    </row>
    <row r="67" spans="1:16" x14ac:dyDescent="0.3">
      <c r="A67" s="2" t="s">
        <v>67</v>
      </c>
      <c r="B67" s="2" t="s">
        <v>42</v>
      </c>
      <c r="C67" s="2" t="s">
        <v>37</v>
      </c>
      <c r="D67" s="5">
        <v>20.213549303797521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6">
        <f t="shared" si="2"/>
        <v>20.213549303797521</v>
      </c>
    </row>
    <row r="68" spans="1:16" x14ac:dyDescent="0.3">
      <c r="A68" s="2" t="s">
        <v>67</v>
      </c>
      <c r="B68" s="2" t="s">
        <v>42</v>
      </c>
      <c r="C68" s="2" t="s">
        <v>38</v>
      </c>
      <c r="D68" s="5">
        <v>35.882940731620927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6">
        <f t="shared" si="2"/>
        <v>35.882940731620927</v>
      </c>
    </row>
    <row r="69" spans="1:16" x14ac:dyDescent="0.3">
      <c r="A69" s="2" t="s">
        <v>67</v>
      </c>
      <c r="B69" s="2" t="s">
        <v>42</v>
      </c>
      <c r="C69" s="2" t="s">
        <v>39</v>
      </c>
      <c r="D69" s="5">
        <v>26.479131801058841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6">
        <f t="shared" si="2"/>
        <v>26.479131801058841</v>
      </c>
    </row>
    <row r="70" spans="1:16" x14ac:dyDescent="0.3">
      <c r="A70" s="2" t="s">
        <v>67</v>
      </c>
      <c r="B70" s="2" t="s">
        <v>42</v>
      </c>
      <c r="C70" s="2" t="s">
        <v>40</v>
      </c>
      <c r="D70" s="5">
        <v>36.984260287436101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>
        <f t="shared" si="2"/>
        <v>36.984260287436101</v>
      </c>
    </row>
    <row r="71" spans="1:16" x14ac:dyDescent="0.3">
      <c r="A71" s="2" t="s">
        <v>67</v>
      </c>
      <c r="B71" s="2" t="s">
        <v>43</v>
      </c>
      <c r="C71" s="2" t="s">
        <v>18</v>
      </c>
      <c r="D71" s="7">
        <v>3876.9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8">
        <f t="shared" si="2"/>
        <v>3876.9</v>
      </c>
    </row>
    <row r="72" spans="1:16" x14ac:dyDescent="0.3">
      <c r="A72" s="2" t="s">
        <v>67</v>
      </c>
      <c r="B72" s="2" t="s">
        <v>43</v>
      </c>
      <c r="C72" s="2" t="s">
        <v>19</v>
      </c>
      <c r="D72" s="7">
        <v>4211.6000000000004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8">
        <f t="shared" si="2"/>
        <v>4211.6000000000004</v>
      </c>
    </row>
    <row r="73" spans="1:16" x14ac:dyDescent="0.3">
      <c r="A73" s="2" t="s">
        <v>67</v>
      </c>
      <c r="B73" s="2" t="s">
        <v>43</v>
      </c>
      <c r="C73" s="2" t="s">
        <v>20</v>
      </c>
      <c r="D73" s="7">
        <v>4801.3999999999996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8">
        <f t="shared" si="2"/>
        <v>4801.3999999999996</v>
      </c>
    </row>
    <row r="74" spans="1:16" x14ac:dyDescent="0.3">
      <c r="A74" s="2" t="s">
        <v>67</v>
      </c>
      <c r="B74" s="2" t="s">
        <v>43</v>
      </c>
      <c r="C74" s="2" t="s">
        <v>21</v>
      </c>
      <c r="D74" s="7">
        <v>5914.6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8">
        <f t="shared" si="2"/>
        <v>5914.6</v>
      </c>
    </row>
    <row r="75" spans="1:16" x14ac:dyDescent="0.3">
      <c r="A75" s="2" t="s">
        <v>67</v>
      </c>
      <c r="B75" s="2" t="s">
        <v>43</v>
      </c>
      <c r="C75" s="2" t="s">
        <v>22</v>
      </c>
      <c r="D75" s="7">
        <v>3346.2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8">
        <f t="shared" si="2"/>
        <v>3346.2</v>
      </c>
    </row>
    <row r="76" spans="1:16" x14ac:dyDescent="0.3">
      <c r="A76" s="2" t="s">
        <v>67</v>
      </c>
      <c r="B76" s="2" t="s">
        <v>43</v>
      </c>
      <c r="C76" s="2" t="s">
        <v>23</v>
      </c>
      <c r="D76" s="7">
        <v>3681.4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8">
        <f t="shared" si="2"/>
        <v>3681.4</v>
      </c>
    </row>
    <row r="77" spans="1:16" x14ac:dyDescent="0.3">
      <c r="A77" s="2" t="s">
        <v>67</v>
      </c>
      <c r="B77" s="2" t="s">
        <v>43</v>
      </c>
      <c r="C77" s="2" t="s">
        <v>24</v>
      </c>
      <c r="D77" s="7">
        <v>5519.3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8">
        <f t="shared" si="2"/>
        <v>5519.3</v>
      </c>
    </row>
    <row r="78" spans="1:16" x14ac:dyDescent="0.3">
      <c r="A78" s="2" t="s">
        <v>67</v>
      </c>
      <c r="B78" s="2" t="s">
        <v>43</v>
      </c>
      <c r="C78" s="2" t="s">
        <v>25</v>
      </c>
      <c r="D78" s="7">
        <v>5399.6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8">
        <f t="shared" si="2"/>
        <v>5399.6</v>
      </c>
    </row>
    <row r="79" spans="1:16" x14ac:dyDescent="0.3">
      <c r="A79" s="2" t="s">
        <v>67</v>
      </c>
      <c r="B79" s="2" t="s">
        <v>43</v>
      </c>
      <c r="C79" s="2" t="s">
        <v>26</v>
      </c>
      <c r="D79" s="7">
        <v>3024.7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8">
        <f t="shared" si="2"/>
        <v>3024.7</v>
      </c>
    </row>
    <row r="80" spans="1:16" x14ac:dyDescent="0.3">
      <c r="A80" s="2" t="s">
        <v>67</v>
      </c>
      <c r="B80" s="2" t="s">
        <v>43</v>
      </c>
      <c r="C80" s="2" t="s">
        <v>27</v>
      </c>
      <c r="D80" s="7">
        <v>4172.1000000000004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8">
        <f t="shared" si="2"/>
        <v>4172.1000000000004</v>
      </c>
    </row>
    <row r="81" spans="1:16" x14ac:dyDescent="0.3">
      <c r="A81" s="2" t="s">
        <v>67</v>
      </c>
      <c r="B81" s="2" t="s">
        <v>43</v>
      </c>
      <c r="C81" s="2" t="s">
        <v>28</v>
      </c>
      <c r="D81" s="7">
        <v>4626.6000000000004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8">
        <f t="shared" si="2"/>
        <v>4626.6000000000004</v>
      </c>
    </row>
    <row r="82" spans="1:16" x14ac:dyDescent="0.3">
      <c r="A82" s="2" t="s">
        <v>67</v>
      </c>
      <c r="B82" s="2" t="s">
        <v>43</v>
      </c>
      <c r="C82" s="2" t="s">
        <v>29</v>
      </c>
      <c r="D82" s="7">
        <v>6504.5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8">
        <f t="shared" si="2"/>
        <v>6504.5</v>
      </c>
    </row>
    <row r="83" spans="1:16" x14ac:dyDescent="0.3">
      <c r="A83" s="2" t="s">
        <v>67</v>
      </c>
      <c r="B83" s="2" t="s">
        <v>43</v>
      </c>
      <c r="C83" s="2" t="s">
        <v>30</v>
      </c>
      <c r="D83" s="7">
        <v>5192.7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8">
        <f t="shared" si="2"/>
        <v>5192.7</v>
      </c>
    </row>
    <row r="84" spans="1:16" x14ac:dyDescent="0.3">
      <c r="A84" s="2" t="s">
        <v>67</v>
      </c>
      <c r="B84" s="2" t="s">
        <v>43</v>
      </c>
      <c r="C84" s="2" t="s">
        <v>31</v>
      </c>
      <c r="D84" s="7">
        <v>5388.7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8">
        <f t="shared" si="2"/>
        <v>5388.7</v>
      </c>
    </row>
    <row r="85" spans="1:16" x14ac:dyDescent="0.3">
      <c r="A85" s="2" t="s">
        <v>67</v>
      </c>
      <c r="B85" s="2" t="s">
        <v>43</v>
      </c>
      <c r="C85" s="2" t="s">
        <v>32</v>
      </c>
      <c r="D85" s="7">
        <v>7761.8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8">
        <f t="shared" si="2"/>
        <v>7761.8</v>
      </c>
    </row>
    <row r="86" spans="1:16" x14ac:dyDescent="0.3">
      <c r="A86" s="2" t="s">
        <v>67</v>
      </c>
      <c r="B86" s="2" t="s">
        <v>43</v>
      </c>
      <c r="C86" s="2" t="s">
        <v>33</v>
      </c>
      <c r="D86" s="7">
        <v>4962.2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8">
        <f t="shared" si="2"/>
        <v>4962.2</v>
      </c>
    </row>
    <row r="87" spans="1:16" x14ac:dyDescent="0.3">
      <c r="A87" s="2" t="s">
        <v>67</v>
      </c>
      <c r="B87" s="2" t="s">
        <v>43</v>
      </c>
      <c r="C87" s="2" t="s">
        <v>34</v>
      </c>
      <c r="D87" s="7">
        <v>5784.8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8">
        <f t="shared" si="2"/>
        <v>5784.8</v>
      </c>
    </row>
    <row r="88" spans="1:16" x14ac:dyDescent="0.3">
      <c r="A88" s="2" t="s">
        <v>67</v>
      </c>
      <c r="B88" s="2" t="s">
        <v>43</v>
      </c>
      <c r="C88" s="2" t="s">
        <v>35</v>
      </c>
      <c r="D88" s="7">
        <v>5017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8">
        <f t="shared" si="2"/>
        <v>5017</v>
      </c>
    </row>
    <row r="89" spans="1:16" x14ac:dyDescent="0.3">
      <c r="A89" s="2" t="s">
        <v>67</v>
      </c>
      <c r="B89" s="2" t="s">
        <v>43</v>
      </c>
      <c r="C89" s="2" t="s">
        <v>36</v>
      </c>
      <c r="D89" s="7">
        <v>6571.2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8">
        <f t="shared" si="2"/>
        <v>6571.2</v>
      </c>
    </row>
    <row r="90" spans="1:16" x14ac:dyDescent="0.3">
      <c r="A90" s="2" t="s">
        <v>67</v>
      </c>
      <c r="B90" s="2" t="s">
        <v>43</v>
      </c>
      <c r="C90" s="2" t="s">
        <v>37</v>
      </c>
      <c r="D90" s="7">
        <v>3032.5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8">
        <f t="shared" si="2"/>
        <v>3032.5</v>
      </c>
    </row>
    <row r="91" spans="1:16" x14ac:dyDescent="0.3">
      <c r="A91" s="2" t="s">
        <v>67</v>
      </c>
      <c r="B91" s="2" t="s">
        <v>43</v>
      </c>
      <c r="C91" s="2" t="s">
        <v>38</v>
      </c>
      <c r="D91" s="7">
        <v>5790.4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8">
        <f t="shared" si="2"/>
        <v>5790.4</v>
      </c>
    </row>
    <row r="92" spans="1:16" x14ac:dyDescent="0.3">
      <c r="A92" s="2" t="s">
        <v>67</v>
      </c>
      <c r="B92" s="2" t="s">
        <v>43</v>
      </c>
      <c r="C92" s="2" t="s">
        <v>39</v>
      </c>
      <c r="D92" s="7">
        <v>4246.8999999999996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8">
        <f t="shared" si="2"/>
        <v>4246.8999999999996</v>
      </c>
    </row>
    <row r="93" spans="1:16" x14ac:dyDescent="0.3">
      <c r="A93" s="2" t="s">
        <v>67</v>
      </c>
      <c r="B93" s="2" t="s">
        <v>43</v>
      </c>
      <c r="C93" s="2" t="s">
        <v>40</v>
      </c>
      <c r="D93" s="7">
        <v>6380.3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8">
        <f t="shared" si="2"/>
        <v>6380.3</v>
      </c>
    </row>
    <row r="94" spans="1:16" x14ac:dyDescent="0.3">
      <c r="A94" s="2" t="s">
        <v>67</v>
      </c>
      <c r="B94" s="2" t="s">
        <v>44</v>
      </c>
      <c r="C94" s="2" t="s">
        <v>18</v>
      </c>
      <c r="D94" s="7">
        <v>414.55200000000002</v>
      </c>
      <c r="E94" s="7">
        <v>297.09399999999999</v>
      </c>
      <c r="F94" s="7">
        <v>267.68799999999999</v>
      </c>
      <c r="G94" s="7">
        <v>167.28399999999999</v>
      </c>
      <c r="H94" s="7">
        <v>258.20800000000003</v>
      </c>
      <c r="I94" s="7">
        <v>181.27799999999999</v>
      </c>
      <c r="J94" s="7">
        <v>149.184</v>
      </c>
      <c r="K94" s="7">
        <v>87.453999999999994</v>
      </c>
      <c r="L94" s="7">
        <v>212.99600000000001</v>
      </c>
      <c r="M94" s="7">
        <v>353.50599999999997</v>
      </c>
      <c r="N94" s="7">
        <v>245.68600000000001</v>
      </c>
      <c r="O94" s="7">
        <v>350.084</v>
      </c>
      <c r="P94" s="8">
        <f t="shared" ref="P94:P125" si="3">SUM(D94:O94)</f>
        <v>2985.0140000000001</v>
      </c>
    </row>
    <row r="95" spans="1:16" x14ac:dyDescent="0.3">
      <c r="A95" s="2" t="s">
        <v>67</v>
      </c>
      <c r="B95" s="2" t="s">
        <v>44</v>
      </c>
      <c r="C95" s="2" t="s">
        <v>19</v>
      </c>
      <c r="D95" s="7">
        <v>411.18599999999998</v>
      </c>
      <c r="E95" s="7">
        <v>337.57400000000001</v>
      </c>
      <c r="F95" s="7">
        <v>369.48</v>
      </c>
      <c r="G95" s="7">
        <v>358.79199999999997</v>
      </c>
      <c r="H95" s="7">
        <v>234.65199999999999</v>
      </c>
      <c r="I95" s="7">
        <v>344.048</v>
      </c>
      <c r="J95" s="7">
        <v>144.822</v>
      </c>
      <c r="K95" s="7">
        <v>153.25800000000001</v>
      </c>
      <c r="L95" s="7">
        <v>129.94999999999999</v>
      </c>
      <c r="M95" s="7">
        <v>241.97200000000001</v>
      </c>
      <c r="N95" s="7">
        <v>219.92</v>
      </c>
      <c r="O95" s="7">
        <v>495.53399999999999</v>
      </c>
      <c r="P95" s="8">
        <f t="shared" si="3"/>
        <v>3441.1880000000001</v>
      </c>
    </row>
    <row r="96" spans="1:16" x14ac:dyDescent="0.3">
      <c r="A96" s="2" t="s">
        <v>67</v>
      </c>
      <c r="B96" s="2" t="s">
        <v>44</v>
      </c>
      <c r="C96" s="2" t="s">
        <v>20</v>
      </c>
      <c r="D96" s="7">
        <v>513.84</v>
      </c>
      <c r="E96" s="7">
        <v>364.61599999999999</v>
      </c>
      <c r="F96" s="7">
        <v>248.96</v>
      </c>
      <c r="G96" s="7">
        <v>255.61199999999999</v>
      </c>
      <c r="H96" s="7">
        <v>119.752</v>
      </c>
      <c r="I96" s="7">
        <v>156.41</v>
      </c>
      <c r="J96" s="7">
        <v>177.48599999999999</v>
      </c>
      <c r="K96" s="7">
        <v>164.35</v>
      </c>
      <c r="L96" s="7">
        <v>125.276</v>
      </c>
      <c r="M96" s="7">
        <v>458.464</v>
      </c>
      <c r="N96" s="7">
        <v>345.714</v>
      </c>
      <c r="O96" s="7">
        <v>256.42200000000003</v>
      </c>
      <c r="P96" s="8">
        <f t="shared" si="3"/>
        <v>3186.9019999999996</v>
      </c>
    </row>
    <row r="97" spans="1:16" x14ac:dyDescent="0.3">
      <c r="A97" s="2" t="s">
        <v>67</v>
      </c>
      <c r="B97" s="2" t="s">
        <v>44</v>
      </c>
      <c r="C97" s="2" t="s">
        <v>21</v>
      </c>
      <c r="D97" s="7">
        <v>381.28800000000001</v>
      </c>
      <c r="E97" s="7">
        <v>382.58600000000001</v>
      </c>
      <c r="F97" s="7">
        <v>359.74</v>
      </c>
      <c r="G97" s="7">
        <v>417.89400000000001</v>
      </c>
      <c r="H97" s="7">
        <v>245.44800000000001</v>
      </c>
      <c r="I97" s="7">
        <v>339.88200000000001</v>
      </c>
      <c r="J97" s="7">
        <v>209.81200000000001</v>
      </c>
      <c r="K97" s="7">
        <v>332.726</v>
      </c>
      <c r="L97" s="7">
        <v>527.65</v>
      </c>
      <c r="M97" s="7">
        <v>350.16</v>
      </c>
      <c r="N97" s="7">
        <v>398.69600000000003</v>
      </c>
      <c r="O97" s="7">
        <v>205.56399999999999</v>
      </c>
      <c r="P97" s="8">
        <f t="shared" si="3"/>
        <v>4151.4459999999999</v>
      </c>
    </row>
    <row r="98" spans="1:16" x14ac:dyDescent="0.3">
      <c r="A98" s="2" t="s">
        <v>67</v>
      </c>
      <c r="B98" s="2" t="s">
        <v>44</v>
      </c>
      <c r="C98" s="2" t="s">
        <v>22</v>
      </c>
      <c r="D98" s="7">
        <v>292.44200000000001</v>
      </c>
      <c r="E98" s="7">
        <v>375.26400000000001</v>
      </c>
      <c r="F98" s="7">
        <v>625.74</v>
      </c>
      <c r="G98" s="7">
        <v>474.87400000000002</v>
      </c>
      <c r="H98" s="7">
        <v>434.738</v>
      </c>
      <c r="I98" s="7">
        <v>295.18799999999999</v>
      </c>
      <c r="J98" s="7">
        <v>223.17400000000001</v>
      </c>
      <c r="K98" s="7">
        <v>196.30799999999999</v>
      </c>
      <c r="L98" s="7">
        <v>398.48200000000003</v>
      </c>
      <c r="M98" s="7">
        <v>428.04599999999999</v>
      </c>
      <c r="N98" s="7">
        <v>381.22399999999999</v>
      </c>
      <c r="O98" s="7">
        <v>332.096</v>
      </c>
      <c r="P98" s="8">
        <f t="shared" si="3"/>
        <v>4457.5759999999991</v>
      </c>
    </row>
    <row r="99" spans="1:16" x14ac:dyDescent="0.3">
      <c r="A99" s="2" t="s">
        <v>67</v>
      </c>
      <c r="B99" s="2" t="s">
        <v>44</v>
      </c>
      <c r="C99" s="2" t="s">
        <v>23</v>
      </c>
      <c r="D99" s="7">
        <v>378.452</v>
      </c>
      <c r="E99" s="7">
        <v>128.256</v>
      </c>
      <c r="F99" s="7">
        <v>340.84800000000001</v>
      </c>
      <c r="G99" s="7">
        <v>357.714</v>
      </c>
      <c r="H99" s="7">
        <v>355.89</v>
      </c>
      <c r="I99" s="7">
        <v>341.108</v>
      </c>
      <c r="J99" s="7">
        <v>248.31200000000001</v>
      </c>
      <c r="K99" s="7">
        <v>214.05799999999999</v>
      </c>
      <c r="L99" s="7">
        <v>248.672</v>
      </c>
      <c r="M99" s="7">
        <v>316.41399999999999</v>
      </c>
      <c r="N99" s="7">
        <v>129.09800000000001</v>
      </c>
      <c r="O99" s="7">
        <v>131.946</v>
      </c>
      <c r="P99" s="8">
        <f t="shared" si="3"/>
        <v>3190.768</v>
      </c>
    </row>
    <row r="100" spans="1:16" x14ac:dyDescent="0.3">
      <c r="A100" s="2" t="s">
        <v>67</v>
      </c>
      <c r="B100" s="2" t="s">
        <v>44</v>
      </c>
      <c r="C100" s="2" t="s">
        <v>24</v>
      </c>
      <c r="D100" s="7">
        <v>209.114</v>
      </c>
      <c r="E100" s="7">
        <v>65.39</v>
      </c>
      <c r="F100" s="7">
        <v>337.846</v>
      </c>
      <c r="G100" s="7">
        <v>470.54</v>
      </c>
      <c r="H100" s="7">
        <v>212.00399999999999</v>
      </c>
      <c r="I100" s="7">
        <v>260.83199999999999</v>
      </c>
      <c r="J100" s="7">
        <v>315.31</v>
      </c>
      <c r="K100" s="7">
        <v>209.994</v>
      </c>
      <c r="L100" s="7">
        <v>685.18799999999999</v>
      </c>
      <c r="M100" s="7">
        <v>379.36399999999998</v>
      </c>
      <c r="N100" s="7">
        <v>325.30799999999999</v>
      </c>
      <c r="O100" s="7">
        <v>211.256</v>
      </c>
      <c r="P100" s="8">
        <f t="shared" si="3"/>
        <v>3682.1460000000002</v>
      </c>
    </row>
    <row r="101" spans="1:16" x14ac:dyDescent="0.3">
      <c r="A101" s="2" t="s">
        <v>67</v>
      </c>
      <c r="B101" s="2" t="s">
        <v>44</v>
      </c>
      <c r="C101" s="2" t="s">
        <v>25</v>
      </c>
      <c r="D101" s="7">
        <v>163.14400000000001</v>
      </c>
      <c r="E101" s="7">
        <v>283.42399999999998</v>
      </c>
      <c r="F101" s="7">
        <v>322.85399999999998</v>
      </c>
      <c r="G101" s="7">
        <v>265.09800000000001</v>
      </c>
      <c r="H101" s="7">
        <v>398.71800000000002</v>
      </c>
      <c r="I101" s="7">
        <v>256.16199999999998</v>
      </c>
      <c r="J101" s="7">
        <v>111.932</v>
      </c>
      <c r="K101" s="7">
        <v>161.03200000000001</v>
      </c>
      <c r="L101" s="7">
        <v>307.29000000000002</v>
      </c>
      <c r="M101" s="7">
        <v>320.00799999999998</v>
      </c>
      <c r="N101" s="7">
        <v>163.52000000000001</v>
      </c>
      <c r="O101" s="7">
        <v>130.304</v>
      </c>
      <c r="P101" s="8">
        <f t="shared" si="3"/>
        <v>2883.4859999999999</v>
      </c>
    </row>
    <row r="102" spans="1:16" x14ac:dyDescent="0.3">
      <c r="A102" s="2" t="s">
        <v>67</v>
      </c>
      <c r="B102" s="2" t="s">
        <v>44</v>
      </c>
      <c r="C102" s="2" t="s">
        <v>26</v>
      </c>
      <c r="D102" s="7">
        <v>290.17599999999999</v>
      </c>
      <c r="E102" s="7">
        <v>361.55</v>
      </c>
      <c r="F102" s="7">
        <v>169.09200000000001</v>
      </c>
      <c r="G102" s="7">
        <v>345.41</v>
      </c>
      <c r="H102" s="7">
        <v>262.14800000000002</v>
      </c>
      <c r="I102" s="7">
        <v>210.46</v>
      </c>
      <c r="J102" s="7">
        <v>166.60599999999999</v>
      </c>
      <c r="K102" s="7">
        <v>151.36199999999999</v>
      </c>
      <c r="L102" s="7">
        <v>351.01600000000002</v>
      </c>
      <c r="M102" s="7">
        <v>213.78800000000001</v>
      </c>
      <c r="N102" s="7">
        <v>138.61600000000001</v>
      </c>
      <c r="O102" s="7">
        <v>317.64</v>
      </c>
      <c r="P102" s="8">
        <f t="shared" si="3"/>
        <v>2977.864</v>
      </c>
    </row>
    <row r="103" spans="1:16" x14ac:dyDescent="0.3">
      <c r="A103" s="2" t="s">
        <v>67</v>
      </c>
      <c r="B103" s="2" t="s">
        <v>44</v>
      </c>
      <c r="C103" s="2" t="s">
        <v>27</v>
      </c>
      <c r="D103" s="7">
        <v>180.52600000000001</v>
      </c>
      <c r="E103" s="7">
        <v>397.608</v>
      </c>
      <c r="F103" s="7">
        <v>178.8</v>
      </c>
      <c r="G103" s="7">
        <v>431.714</v>
      </c>
      <c r="H103" s="7">
        <v>252.33199999999999</v>
      </c>
      <c r="I103" s="7">
        <v>156.458</v>
      </c>
      <c r="J103" s="7">
        <v>257.12099999999998</v>
      </c>
      <c r="K103" s="7">
        <v>265.12900000000002</v>
      </c>
      <c r="L103" s="7">
        <v>432.69499999999999</v>
      </c>
      <c r="M103" s="7">
        <v>407.32299999999998</v>
      </c>
      <c r="N103" s="7">
        <v>203.983</v>
      </c>
      <c r="O103" s="7">
        <v>190.32499999999999</v>
      </c>
      <c r="P103" s="8">
        <f t="shared" si="3"/>
        <v>3354.0140000000001</v>
      </c>
    </row>
    <row r="104" spans="1:16" x14ac:dyDescent="0.3">
      <c r="A104" s="2" t="s">
        <v>67</v>
      </c>
      <c r="B104" s="2" t="s">
        <v>44</v>
      </c>
      <c r="C104" s="2" t="s">
        <v>28</v>
      </c>
      <c r="D104" s="7">
        <v>391.68400000000003</v>
      </c>
      <c r="E104" s="7">
        <v>255.012</v>
      </c>
      <c r="F104" s="7">
        <v>555.28099999999995</v>
      </c>
      <c r="G104" s="7">
        <v>453.70100000000002</v>
      </c>
      <c r="H104" s="7">
        <v>324.959</v>
      </c>
      <c r="I104" s="7">
        <v>407.94600000000003</v>
      </c>
      <c r="J104" s="7">
        <v>189.71700000000001</v>
      </c>
      <c r="K104" s="7">
        <v>351.41899999999998</v>
      </c>
      <c r="L104" s="7">
        <v>491.83699999999999</v>
      </c>
      <c r="M104" s="7">
        <v>473.37299999999999</v>
      </c>
      <c r="N104" s="7">
        <v>189.31399999999999</v>
      </c>
      <c r="O104" s="7">
        <v>230.71799999999999</v>
      </c>
      <c r="P104" s="8">
        <f t="shared" si="3"/>
        <v>4314.9610000000002</v>
      </c>
    </row>
    <row r="105" spans="1:16" x14ac:dyDescent="0.3">
      <c r="A105" s="2" t="s">
        <v>67</v>
      </c>
      <c r="B105" s="2" t="s">
        <v>44</v>
      </c>
      <c r="C105" s="2" t="s">
        <v>29</v>
      </c>
      <c r="D105" s="7">
        <v>393.827</v>
      </c>
      <c r="E105" s="7">
        <v>338.09800000000001</v>
      </c>
      <c r="F105" s="7">
        <v>383.67</v>
      </c>
      <c r="G105" s="7">
        <v>358.16800000000001</v>
      </c>
      <c r="H105" s="7">
        <v>447.79500000000002</v>
      </c>
      <c r="I105" s="7">
        <v>409.517</v>
      </c>
      <c r="J105" s="7">
        <v>311.298</v>
      </c>
      <c r="K105" s="7">
        <v>428.46499999999997</v>
      </c>
      <c r="L105" s="7">
        <v>387.447</v>
      </c>
      <c r="M105" s="7">
        <v>575.928</v>
      </c>
      <c r="N105" s="7">
        <v>335.92399999999998</v>
      </c>
      <c r="O105" s="7">
        <v>635.31899999999996</v>
      </c>
      <c r="P105" s="8">
        <f t="shared" si="3"/>
        <v>5005.4560000000001</v>
      </c>
    </row>
    <row r="106" spans="1:16" x14ac:dyDescent="0.3">
      <c r="A106" s="2" t="s">
        <v>67</v>
      </c>
      <c r="B106" s="2" t="s">
        <v>44</v>
      </c>
      <c r="C106" s="2" t="s">
        <v>30</v>
      </c>
      <c r="D106" s="7">
        <v>554.55399999999997</v>
      </c>
      <c r="E106" s="7">
        <v>346.12099999999998</v>
      </c>
      <c r="F106" s="7">
        <v>418.017</v>
      </c>
      <c r="G106" s="7">
        <v>649.28300000000002</v>
      </c>
      <c r="H106" s="7">
        <v>562.54100000000005</v>
      </c>
      <c r="I106" s="7">
        <v>451.56400000000002</v>
      </c>
      <c r="J106" s="7">
        <v>420.42200000000003</v>
      </c>
      <c r="K106" s="7">
        <v>532.02099999999996</v>
      </c>
      <c r="L106" s="7">
        <v>321.78699999999998</v>
      </c>
      <c r="M106" s="7">
        <v>344.37200000000001</v>
      </c>
      <c r="N106" s="7">
        <v>235.351</v>
      </c>
      <c r="O106" s="7">
        <v>244.47499999999999</v>
      </c>
      <c r="P106" s="8">
        <f t="shared" si="3"/>
        <v>5080.5080000000007</v>
      </c>
    </row>
    <row r="107" spans="1:16" x14ac:dyDescent="0.3">
      <c r="A107" s="2" t="s">
        <v>67</v>
      </c>
      <c r="B107" s="2" t="s">
        <v>44</v>
      </c>
      <c r="C107" s="2" t="s">
        <v>31</v>
      </c>
      <c r="D107" s="7">
        <v>145.482</v>
      </c>
      <c r="E107" s="7">
        <v>208.148</v>
      </c>
      <c r="F107" s="7">
        <v>431.786</v>
      </c>
      <c r="G107" s="7">
        <v>578.851</v>
      </c>
      <c r="H107" s="7">
        <v>612.68799999999999</v>
      </c>
      <c r="I107" s="7">
        <v>449.07299999999998</v>
      </c>
      <c r="J107" s="7">
        <v>540.64400000000001</v>
      </c>
      <c r="K107" s="7">
        <v>348.209</v>
      </c>
      <c r="L107" s="7">
        <v>336.673</v>
      </c>
      <c r="M107" s="7">
        <v>320</v>
      </c>
      <c r="N107" s="7">
        <v>123.411</v>
      </c>
      <c r="O107" s="7">
        <v>289.31799999999998</v>
      </c>
      <c r="P107" s="8">
        <f t="shared" si="3"/>
        <v>4384.2829999999994</v>
      </c>
    </row>
    <row r="108" spans="1:16" x14ac:dyDescent="0.3">
      <c r="A108" s="2" t="s">
        <v>67</v>
      </c>
      <c r="B108" s="2" t="s">
        <v>44</v>
      </c>
      <c r="C108" s="2" t="s">
        <v>32</v>
      </c>
      <c r="D108" s="7">
        <v>272.572</v>
      </c>
      <c r="E108" s="7">
        <v>185.392</v>
      </c>
      <c r="F108" s="7">
        <v>401.226</v>
      </c>
      <c r="G108" s="7">
        <v>416.78300000000002</v>
      </c>
      <c r="H108" s="7">
        <v>407.19</v>
      </c>
      <c r="I108" s="7">
        <v>377.53899999999999</v>
      </c>
      <c r="J108" s="7">
        <v>366.75099999999998</v>
      </c>
      <c r="K108" s="7">
        <v>271.58999999999997</v>
      </c>
      <c r="L108" s="7">
        <v>477.12599999999998</v>
      </c>
      <c r="M108" s="7">
        <v>483.334</v>
      </c>
      <c r="N108" s="7">
        <v>451.60399999999998</v>
      </c>
      <c r="O108" s="7">
        <v>230.72800000000001</v>
      </c>
      <c r="P108" s="8">
        <f t="shared" si="3"/>
        <v>4341.8350000000009</v>
      </c>
    </row>
    <row r="109" spans="1:16" x14ac:dyDescent="0.3">
      <c r="A109" s="2" t="s">
        <v>67</v>
      </c>
      <c r="B109" s="2" t="s">
        <v>44</v>
      </c>
      <c r="C109" s="2" t="s">
        <v>33</v>
      </c>
      <c r="D109" s="7">
        <v>474.70299999999997</v>
      </c>
      <c r="E109" s="7">
        <v>218.68100000000001</v>
      </c>
      <c r="F109" s="7">
        <v>380.95</v>
      </c>
      <c r="G109" s="7">
        <v>338.96300000000002</v>
      </c>
      <c r="H109" s="7">
        <v>292.48899999999998</v>
      </c>
      <c r="I109" s="7">
        <v>471.565</v>
      </c>
      <c r="J109" s="7">
        <v>316.60700000000003</v>
      </c>
      <c r="K109" s="7">
        <v>433.48700000000002</v>
      </c>
      <c r="L109" s="7">
        <v>372.267</v>
      </c>
      <c r="M109" s="7">
        <v>424.81700000000001</v>
      </c>
      <c r="N109" s="7">
        <v>161.04</v>
      </c>
      <c r="O109" s="7">
        <v>436.81400000000002</v>
      </c>
      <c r="P109" s="8">
        <f t="shared" si="3"/>
        <v>4322.3829999999998</v>
      </c>
    </row>
    <row r="110" spans="1:16" x14ac:dyDescent="0.3">
      <c r="A110" s="2" t="s">
        <v>67</v>
      </c>
      <c r="B110" s="2" t="s">
        <v>44</v>
      </c>
      <c r="C110" s="2" t="s">
        <v>34</v>
      </c>
      <c r="D110" s="7">
        <v>293.62599999999998</v>
      </c>
      <c r="E110" s="7">
        <v>306.72699999999998</v>
      </c>
      <c r="F110" s="7">
        <v>294.161</v>
      </c>
      <c r="G110" s="7">
        <v>222.75700000000001</v>
      </c>
      <c r="H110" s="7">
        <v>443.887</v>
      </c>
      <c r="I110" s="7">
        <v>229.41300000000001</v>
      </c>
      <c r="J110" s="7">
        <v>233.631</v>
      </c>
      <c r="K110" s="7">
        <v>534.29399999999998</v>
      </c>
      <c r="L110" s="7">
        <v>708.25800000000004</v>
      </c>
      <c r="M110" s="7">
        <v>406.71899999999999</v>
      </c>
      <c r="N110" s="7">
        <v>518.30399999999997</v>
      </c>
      <c r="O110" s="7">
        <v>321.53399999999999</v>
      </c>
      <c r="P110" s="8">
        <f t="shared" si="3"/>
        <v>4513.3109999999997</v>
      </c>
    </row>
    <row r="111" spans="1:16" x14ac:dyDescent="0.3">
      <c r="A111" s="2" t="s">
        <v>67</v>
      </c>
      <c r="B111" s="2" t="s">
        <v>44</v>
      </c>
      <c r="C111" s="2" t="s">
        <v>35</v>
      </c>
      <c r="D111" s="7">
        <v>348.19499999999999</v>
      </c>
      <c r="E111" s="7">
        <v>307.21699999999998</v>
      </c>
      <c r="F111" s="7">
        <v>368.17500000000001</v>
      </c>
      <c r="G111" s="7">
        <v>505.803</v>
      </c>
      <c r="H111" s="7">
        <v>383.27199999999999</v>
      </c>
      <c r="I111" s="7">
        <v>368.13099999999997</v>
      </c>
      <c r="J111" s="7">
        <v>327.68900000000002</v>
      </c>
      <c r="K111" s="7">
        <v>511.03300000000002</v>
      </c>
      <c r="L111" s="7">
        <v>579.36400000000003</v>
      </c>
      <c r="M111" s="7">
        <v>631.53200000000004</v>
      </c>
      <c r="N111" s="7">
        <v>380.81400000000002</v>
      </c>
      <c r="O111" s="7">
        <v>570.91099999999994</v>
      </c>
      <c r="P111" s="8">
        <f t="shared" si="3"/>
        <v>5282.1359999999995</v>
      </c>
    </row>
    <row r="112" spans="1:16" x14ac:dyDescent="0.3">
      <c r="A112" s="2" t="s">
        <v>67</v>
      </c>
      <c r="B112" s="2" t="s">
        <v>44</v>
      </c>
      <c r="C112" s="2" t="s">
        <v>36</v>
      </c>
      <c r="D112" s="7">
        <v>315.77600000000001</v>
      </c>
      <c r="E112" s="7">
        <v>190.77600000000001</v>
      </c>
      <c r="F112" s="7">
        <v>430.44900000000001</v>
      </c>
      <c r="G112" s="7">
        <v>790.60900000000004</v>
      </c>
      <c r="H112" s="7">
        <v>551.19799999999998</v>
      </c>
      <c r="I112" s="7">
        <v>463.94400000000002</v>
      </c>
      <c r="J112" s="7">
        <v>476.35</v>
      </c>
      <c r="K112" s="7">
        <v>686.90700000000004</v>
      </c>
      <c r="L112" s="7">
        <v>665.53600000000006</v>
      </c>
      <c r="M112" s="7">
        <v>579.53300000000002</v>
      </c>
      <c r="N112" s="7">
        <v>231.95500000000001</v>
      </c>
      <c r="O112" s="7">
        <v>369.07799999999997</v>
      </c>
      <c r="P112" s="8">
        <f t="shared" si="3"/>
        <v>5752.1110000000008</v>
      </c>
    </row>
    <row r="113" spans="1:16" x14ac:dyDescent="0.3">
      <c r="A113" s="2" t="s">
        <v>67</v>
      </c>
      <c r="B113" s="2" t="s">
        <v>44</v>
      </c>
      <c r="C113" s="2" t="s">
        <v>37</v>
      </c>
      <c r="D113" s="7">
        <v>404.714</v>
      </c>
      <c r="E113" s="7">
        <v>224.798</v>
      </c>
      <c r="F113" s="7">
        <v>263.80399999999997</v>
      </c>
      <c r="G113" s="7">
        <v>228.40199999999999</v>
      </c>
      <c r="H113" s="7">
        <v>99.891999999999996</v>
      </c>
      <c r="I113" s="7">
        <v>149.309</v>
      </c>
      <c r="J113" s="7">
        <v>147.04300000000001</v>
      </c>
      <c r="K113" s="7">
        <v>182.148</v>
      </c>
      <c r="L113" s="7">
        <v>243.91800000000001</v>
      </c>
      <c r="M113" s="7">
        <v>267.95999999999998</v>
      </c>
      <c r="N113" s="7">
        <v>192.16900000000001</v>
      </c>
      <c r="O113" s="7">
        <v>298.86599999999999</v>
      </c>
      <c r="P113" s="8">
        <f t="shared" si="3"/>
        <v>2703.0229999999997</v>
      </c>
    </row>
    <row r="114" spans="1:16" x14ac:dyDescent="0.3">
      <c r="A114" s="2" t="s">
        <v>67</v>
      </c>
      <c r="B114" s="2" t="s">
        <v>44</v>
      </c>
      <c r="C114" s="2" t="s">
        <v>38</v>
      </c>
      <c r="D114" s="7">
        <v>140.85400000000001</v>
      </c>
      <c r="E114" s="7">
        <v>229.215</v>
      </c>
      <c r="F114" s="7">
        <v>478.04</v>
      </c>
      <c r="G114" s="7">
        <v>736.34</v>
      </c>
      <c r="H114" s="7">
        <v>343.38499999999999</v>
      </c>
      <c r="I114" s="7">
        <v>801.84</v>
      </c>
      <c r="J114" s="7">
        <v>482.64699999999999</v>
      </c>
      <c r="K114" s="7">
        <v>433.80399999999997</v>
      </c>
      <c r="L114" s="7">
        <v>567.05899999999997</v>
      </c>
      <c r="M114" s="7">
        <v>285.77</v>
      </c>
      <c r="N114" s="7">
        <v>360.20800000000003</v>
      </c>
      <c r="O114" s="7">
        <v>183.89099999999999</v>
      </c>
      <c r="P114" s="8">
        <f t="shared" si="3"/>
        <v>5043.052999999999</v>
      </c>
    </row>
    <row r="115" spans="1:16" x14ac:dyDescent="0.3">
      <c r="A115" s="2" t="s">
        <v>67</v>
      </c>
      <c r="B115" s="2" t="s">
        <v>44</v>
      </c>
      <c r="C115" s="2" t="s">
        <v>39</v>
      </c>
      <c r="D115" s="7">
        <v>177.66499999999999</v>
      </c>
      <c r="E115" s="7">
        <v>163.69200000000001</v>
      </c>
      <c r="F115" s="7">
        <v>320.61200000000002</v>
      </c>
      <c r="G115" s="7">
        <v>349.86200000000002</v>
      </c>
      <c r="H115" s="7">
        <v>265.791</v>
      </c>
      <c r="I115" s="7">
        <v>385.95800000000003</v>
      </c>
      <c r="J115" s="7">
        <v>301.142</v>
      </c>
      <c r="K115" s="7">
        <v>417.62400000000002</v>
      </c>
      <c r="L115" s="7">
        <v>446.75700000000001</v>
      </c>
      <c r="M115" s="7">
        <v>296.23500000000001</v>
      </c>
      <c r="N115" s="7">
        <v>208.36799999999999</v>
      </c>
      <c r="O115" s="7">
        <v>190.964</v>
      </c>
      <c r="P115" s="8">
        <f t="shared" si="3"/>
        <v>3524.6700000000005</v>
      </c>
    </row>
    <row r="116" spans="1:16" x14ac:dyDescent="0.3">
      <c r="A116" s="2" t="s">
        <v>67</v>
      </c>
      <c r="B116" s="2" t="s">
        <v>44</v>
      </c>
      <c r="C116" s="2" t="s">
        <v>40</v>
      </c>
      <c r="D116" s="7">
        <v>240.17</v>
      </c>
      <c r="E116" s="7">
        <v>154.905</v>
      </c>
      <c r="F116" s="7">
        <v>533.24299999999994</v>
      </c>
      <c r="G116" s="7">
        <v>520.28800000000001</v>
      </c>
      <c r="H116" s="7">
        <v>782.35699999999997</v>
      </c>
      <c r="I116" s="7">
        <v>693.19499999999994</v>
      </c>
      <c r="J116" s="7">
        <v>292.16399999999999</v>
      </c>
      <c r="K116" s="7">
        <v>512.58199999999999</v>
      </c>
      <c r="L116" s="7">
        <v>739.00800000000004</v>
      </c>
      <c r="M116" s="7">
        <v>557.60300000000007</v>
      </c>
      <c r="N116" s="7">
        <v>321.892</v>
      </c>
      <c r="O116" s="7">
        <v>452.08699999999999</v>
      </c>
      <c r="P116" s="8">
        <f t="shared" si="3"/>
        <v>5799.4939999999988</v>
      </c>
    </row>
    <row r="117" spans="1:16" x14ac:dyDescent="0.3">
      <c r="A117" s="2" t="s">
        <v>67</v>
      </c>
      <c r="B117" s="2" t="s">
        <v>45</v>
      </c>
      <c r="C117" s="2" t="s">
        <v>18</v>
      </c>
      <c r="D117" s="7">
        <v>1.776</v>
      </c>
      <c r="E117" s="7">
        <v>0.72799999999999998</v>
      </c>
      <c r="F117" s="7">
        <v>0.81200000000000006</v>
      </c>
      <c r="G117" s="7">
        <v>0.55200000000000005</v>
      </c>
      <c r="H117" s="7">
        <v>0</v>
      </c>
      <c r="I117" s="7">
        <v>0.78400000000000003</v>
      </c>
      <c r="J117" s="7">
        <v>0.27</v>
      </c>
      <c r="K117" s="7">
        <v>0.32800000000000001</v>
      </c>
      <c r="L117" s="7">
        <v>3.2000000000000001E-2</v>
      </c>
      <c r="M117" s="7">
        <v>6.2E-2</v>
      </c>
      <c r="N117" s="7">
        <v>0.19800000000000001</v>
      </c>
      <c r="O117" s="7">
        <v>4.0000000000000001E-3</v>
      </c>
      <c r="P117" s="8">
        <f t="shared" si="3"/>
        <v>5.5460000000000012</v>
      </c>
    </row>
    <row r="118" spans="1:16" x14ac:dyDescent="0.3">
      <c r="A118" s="2" t="s">
        <v>67</v>
      </c>
      <c r="B118" s="2" t="s">
        <v>45</v>
      </c>
      <c r="C118" s="2" t="s">
        <v>19</v>
      </c>
      <c r="D118" s="7">
        <v>3.4000000000000002E-2</v>
      </c>
      <c r="E118" s="7">
        <v>0.104</v>
      </c>
      <c r="F118" s="7">
        <v>9.6000000000000002E-2</v>
      </c>
      <c r="G118" s="7">
        <v>4.0000000000000001E-3</v>
      </c>
      <c r="H118" s="7">
        <v>0.112</v>
      </c>
      <c r="I118" s="7">
        <v>1.2E-2</v>
      </c>
      <c r="J118" s="7">
        <v>0.21199999999999999</v>
      </c>
      <c r="K118" s="7">
        <v>0.09</v>
      </c>
      <c r="L118" s="7">
        <v>4.5999999999999999E-2</v>
      </c>
      <c r="M118" s="7">
        <v>0.20399999999999999</v>
      </c>
      <c r="N118" s="7">
        <v>0.16200000000000001</v>
      </c>
      <c r="O118" s="7">
        <v>0.26800000000000002</v>
      </c>
      <c r="P118" s="8">
        <f t="shared" si="3"/>
        <v>1.3440000000000001</v>
      </c>
    </row>
    <row r="119" spans="1:16" x14ac:dyDescent="0.3">
      <c r="A119" s="2" t="s">
        <v>67</v>
      </c>
      <c r="B119" s="2" t="s">
        <v>45</v>
      </c>
      <c r="C119" s="2" t="s">
        <v>20</v>
      </c>
      <c r="D119" s="7">
        <v>0.152</v>
      </c>
      <c r="E119" s="7">
        <v>6.0000000000000001E-3</v>
      </c>
      <c r="F119" s="7">
        <v>2E-3</v>
      </c>
      <c r="G119" s="7">
        <v>0</v>
      </c>
      <c r="H119" s="7">
        <v>0.114</v>
      </c>
      <c r="I119" s="7">
        <v>9.6000000000000002E-2</v>
      </c>
      <c r="J119" s="7">
        <v>0</v>
      </c>
      <c r="K119" s="7">
        <v>0.18</v>
      </c>
      <c r="L119" s="7">
        <v>1.4E-2</v>
      </c>
      <c r="M119" s="7">
        <v>0.124</v>
      </c>
      <c r="N119" s="7">
        <v>3.2000000000000001E-2</v>
      </c>
      <c r="O119" s="7">
        <v>0.108</v>
      </c>
      <c r="P119" s="8">
        <f t="shared" si="3"/>
        <v>0.82800000000000007</v>
      </c>
    </row>
    <row r="120" spans="1:16" x14ac:dyDescent="0.3">
      <c r="A120" s="2" t="s">
        <v>67</v>
      </c>
      <c r="B120" s="2" t="s">
        <v>45</v>
      </c>
      <c r="C120" s="2" t="s">
        <v>21</v>
      </c>
      <c r="D120" s="7">
        <v>0</v>
      </c>
      <c r="E120" s="7">
        <v>4.0000000000000001E-3</v>
      </c>
      <c r="F120" s="7">
        <v>9.6000000000000002E-2</v>
      </c>
      <c r="G120" s="7">
        <v>4.0000000000000001E-3</v>
      </c>
      <c r="H120" s="7">
        <v>0.02</v>
      </c>
      <c r="I120" s="7">
        <v>3.0979999999999999</v>
      </c>
      <c r="J120" s="7">
        <v>0.184</v>
      </c>
      <c r="K120" s="7">
        <v>0.11799999999999999</v>
      </c>
      <c r="L120" s="7">
        <v>9.1999999999999998E-2</v>
      </c>
      <c r="M120" s="7">
        <v>8.0000000000000002E-3</v>
      </c>
      <c r="N120" s="7">
        <v>4.0000000000000001E-3</v>
      </c>
      <c r="O120" s="7">
        <v>0</v>
      </c>
      <c r="P120" s="8">
        <f t="shared" si="3"/>
        <v>3.6280000000000001</v>
      </c>
    </row>
    <row r="121" spans="1:16" x14ac:dyDescent="0.3">
      <c r="A121" s="2" t="s">
        <v>67</v>
      </c>
      <c r="B121" s="2" t="s">
        <v>45</v>
      </c>
      <c r="C121" s="2" t="s">
        <v>22</v>
      </c>
      <c r="D121" s="7">
        <v>9.4E-2</v>
      </c>
      <c r="E121" s="7">
        <v>6.0000000000000001E-3</v>
      </c>
      <c r="F121" s="7">
        <v>1.4E-2</v>
      </c>
      <c r="G121" s="7">
        <v>9.4E-2</v>
      </c>
      <c r="H121" s="7">
        <v>9.4E-2</v>
      </c>
      <c r="I121" s="7">
        <v>0</v>
      </c>
      <c r="J121" s="7">
        <v>2E-3</v>
      </c>
      <c r="K121" s="7">
        <v>9.1999999999999998E-2</v>
      </c>
      <c r="L121" s="7">
        <v>0.186</v>
      </c>
      <c r="M121" s="7">
        <v>2E-3</v>
      </c>
      <c r="N121" s="7">
        <v>9.1999999999999998E-2</v>
      </c>
      <c r="O121" s="7">
        <v>0.192</v>
      </c>
      <c r="P121" s="8">
        <f t="shared" si="3"/>
        <v>0.8680000000000001</v>
      </c>
    </row>
    <row r="122" spans="1:16" x14ac:dyDescent="0.3">
      <c r="A122" s="2" t="s">
        <v>67</v>
      </c>
      <c r="B122" s="2" t="s">
        <v>45</v>
      </c>
      <c r="C122" s="2" t="s">
        <v>23</v>
      </c>
      <c r="D122" s="7">
        <v>0.19400000000000001</v>
      </c>
      <c r="E122" s="7">
        <v>0.61199999999999999</v>
      </c>
      <c r="F122" s="7">
        <v>0.104</v>
      </c>
      <c r="G122" s="7">
        <v>0.85</v>
      </c>
      <c r="H122" s="7">
        <v>4.2000000000000003E-2</v>
      </c>
      <c r="I122" s="7">
        <v>0</v>
      </c>
      <c r="J122" s="7">
        <v>0.314</v>
      </c>
      <c r="K122" s="7">
        <v>9.1999999999999998E-2</v>
      </c>
      <c r="L122" s="7">
        <v>0.57999999999999996</v>
      </c>
      <c r="M122" s="7">
        <v>3.4000000000000002E-2</v>
      </c>
      <c r="N122" s="7">
        <v>9.6000000000000002E-2</v>
      </c>
      <c r="O122" s="7">
        <v>8.0000000000000002E-3</v>
      </c>
      <c r="P122" s="8">
        <f t="shared" si="3"/>
        <v>2.9260000000000002</v>
      </c>
    </row>
    <row r="123" spans="1:16" x14ac:dyDescent="0.3">
      <c r="A123" s="2" t="s">
        <v>67</v>
      </c>
      <c r="B123" s="2" t="s">
        <v>45</v>
      </c>
      <c r="C123" s="2" t="s">
        <v>24</v>
      </c>
      <c r="D123" s="7">
        <v>0.19400000000000001</v>
      </c>
      <c r="E123" s="7">
        <v>0.49399999999999999</v>
      </c>
      <c r="F123" s="7">
        <v>0.19600000000000001</v>
      </c>
      <c r="G123" s="7">
        <v>0</v>
      </c>
      <c r="H123" s="7">
        <v>0.28199999999999997</v>
      </c>
      <c r="I123" s="7">
        <v>0.15</v>
      </c>
      <c r="J123" s="7">
        <v>0.39800000000000002</v>
      </c>
      <c r="K123" s="7">
        <v>0.36</v>
      </c>
      <c r="L123" s="7">
        <v>2E-3</v>
      </c>
      <c r="M123" s="7">
        <v>0.108</v>
      </c>
      <c r="N123" s="7">
        <v>6.0000000000000001E-3</v>
      </c>
      <c r="O123" s="7">
        <v>0.19</v>
      </c>
      <c r="P123" s="8">
        <f t="shared" si="3"/>
        <v>2.3799999999999994</v>
      </c>
    </row>
    <row r="124" spans="1:16" x14ac:dyDescent="0.3">
      <c r="A124" s="2" t="s">
        <v>67</v>
      </c>
      <c r="B124" s="2" t="s">
        <v>45</v>
      </c>
      <c r="C124" s="2" t="s">
        <v>25</v>
      </c>
      <c r="D124" s="7">
        <v>0.156</v>
      </c>
      <c r="E124" s="7">
        <v>0.68</v>
      </c>
      <c r="F124" s="7">
        <v>0.42399999999999999</v>
      </c>
      <c r="G124" s="7">
        <v>7.3999999999999996E-2</v>
      </c>
      <c r="H124" s="7">
        <v>3.4000000000000002E-2</v>
      </c>
      <c r="I124" s="7">
        <v>0</v>
      </c>
      <c r="J124" s="7">
        <v>6.0000000000000001E-3</v>
      </c>
      <c r="K124" s="7">
        <v>0.32800000000000001</v>
      </c>
      <c r="L124" s="7">
        <v>0.29799999999999999</v>
      </c>
      <c r="M124" s="7">
        <v>0.374</v>
      </c>
      <c r="N124" s="7">
        <v>6.8000000000000005E-2</v>
      </c>
      <c r="O124" s="7">
        <v>0</v>
      </c>
      <c r="P124" s="8">
        <f t="shared" si="3"/>
        <v>2.4420000000000002</v>
      </c>
    </row>
    <row r="125" spans="1:16" x14ac:dyDescent="0.3">
      <c r="A125" s="2" t="s">
        <v>67</v>
      </c>
      <c r="B125" s="2" t="s">
        <v>45</v>
      </c>
      <c r="C125" s="2" t="s">
        <v>26</v>
      </c>
      <c r="D125" s="7">
        <v>0.26</v>
      </c>
      <c r="E125" s="7">
        <v>0.75800000000000001</v>
      </c>
      <c r="F125" s="7">
        <v>7.3999999999999996E-2</v>
      </c>
      <c r="G125" s="7">
        <v>19.13</v>
      </c>
      <c r="H125" s="7">
        <v>2.2480000000000002</v>
      </c>
      <c r="I125" s="7">
        <v>10.678000000000001</v>
      </c>
      <c r="J125" s="7">
        <v>0.84599999999999997</v>
      </c>
      <c r="K125" s="7">
        <v>0.39</v>
      </c>
      <c r="L125" s="7">
        <v>0.55200000000000005</v>
      </c>
      <c r="M125" s="7">
        <v>0.38</v>
      </c>
      <c r="N125" s="7">
        <v>0.83599999999999997</v>
      </c>
      <c r="O125" s="7">
        <v>0.37</v>
      </c>
      <c r="P125" s="8">
        <f t="shared" si="3"/>
        <v>36.521999999999991</v>
      </c>
    </row>
    <row r="126" spans="1:16" x14ac:dyDescent="0.3">
      <c r="A126" s="2" t="s">
        <v>67</v>
      </c>
      <c r="B126" s="2" t="s">
        <v>45</v>
      </c>
      <c r="C126" s="2" t="s">
        <v>27</v>
      </c>
      <c r="D126" s="7">
        <v>5.3039999999999994</v>
      </c>
      <c r="E126" s="7">
        <v>2.2679999999999998</v>
      </c>
      <c r="F126" s="7">
        <v>3.774</v>
      </c>
      <c r="G126" s="7">
        <v>0.40400000000000003</v>
      </c>
      <c r="H126" s="7">
        <v>9.8000000000000004E-2</v>
      </c>
      <c r="I126" s="7">
        <v>0.74399999999999999</v>
      </c>
      <c r="J126" s="7">
        <v>0.73099999999999998</v>
      </c>
      <c r="K126" s="7">
        <v>0.52800000000000002</v>
      </c>
      <c r="L126" s="7">
        <v>0.82000000000000006</v>
      </c>
      <c r="M126" s="7">
        <v>1.1579999999999999</v>
      </c>
      <c r="N126" s="7">
        <v>0.49399999999999999</v>
      </c>
      <c r="O126" s="7">
        <v>1.0169999999999999</v>
      </c>
      <c r="P126" s="8">
        <f t="shared" ref="P126:P157" si="4">SUM(D126:O126)</f>
        <v>17.34</v>
      </c>
    </row>
    <row r="127" spans="1:16" x14ac:dyDescent="0.3">
      <c r="A127" s="2" t="s">
        <v>67</v>
      </c>
      <c r="B127" s="2" t="s">
        <v>45</v>
      </c>
      <c r="C127" s="2" t="s">
        <v>28</v>
      </c>
      <c r="D127" s="7">
        <v>2.8780000000000001</v>
      </c>
      <c r="E127" s="7">
        <v>18.745999999999999</v>
      </c>
      <c r="F127" s="7">
        <v>0.26800000000000002</v>
      </c>
      <c r="G127" s="7">
        <v>2.8690000000000002</v>
      </c>
      <c r="H127" s="7">
        <v>9.3580000000000005</v>
      </c>
      <c r="I127" s="7">
        <v>0.10299999999999999</v>
      </c>
      <c r="J127" s="7">
        <v>0.20200000000000001</v>
      </c>
      <c r="K127" s="7">
        <v>0.44600000000000001</v>
      </c>
      <c r="L127" s="7">
        <v>0.13100000000000001</v>
      </c>
      <c r="M127" s="7">
        <v>0.20300000000000001</v>
      </c>
      <c r="N127" s="7">
        <v>0.32900000000000001</v>
      </c>
      <c r="O127" s="7">
        <v>0.26300000000000001</v>
      </c>
      <c r="P127" s="8">
        <f t="shared" si="4"/>
        <v>35.795999999999999</v>
      </c>
    </row>
    <row r="128" spans="1:16" x14ac:dyDescent="0.3">
      <c r="A128" s="2" t="s">
        <v>67</v>
      </c>
      <c r="B128" s="2" t="s">
        <v>45</v>
      </c>
      <c r="C128" s="2" t="s">
        <v>29</v>
      </c>
      <c r="D128" s="7">
        <v>9.4E-2</v>
      </c>
      <c r="E128" s="7">
        <v>0</v>
      </c>
      <c r="F128" s="7">
        <v>0.19700000000000001</v>
      </c>
      <c r="G128" s="7">
        <v>0.38900000000000001</v>
      </c>
      <c r="H128" s="7">
        <v>0.123</v>
      </c>
      <c r="I128" s="7">
        <v>8.5000000000000006E-2</v>
      </c>
      <c r="J128" s="7">
        <v>2.23</v>
      </c>
      <c r="K128" s="7">
        <v>0.26300000000000001</v>
      </c>
      <c r="L128" s="7">
        <v>0.09</v>
      </c>
      <c r="M128" s="7">
        <v>0.55699999999999994</v>
      </c>
      <c r="N128" s="7">
        <v>0.29099999999999998</v>
      </c>
      <c r="O128" s="7">
        <v>0.78800000000000003</v>
      </c>
      <c r="P128" s="8">
        <f t="shared" si="4"/>
        <v>5.1070000000000002</v>
      </c>
    </row>
    <row r="129" spans="1:16" x14ac:dyDescent="0.3">
      <c r="A129" s="2" t="s">
        <v>67</v>
      </c>
      <c r="B129" s="2" t="s">
        <v>45</v>
      </c>
      <c r="C129" s="2" t="s">
        <v>30</v>
      </c>
      <c r="D129" s="7">
        <v>1.8620000000000001</v>
      </c>
      <c r="E129" s="7">
        <v>0.68699999999999994</v>
      </c>
      <c r="F129" s="7">
        <v>0.189</v>
      </c>
      <c r="G129" s="7">
        <v>1.262</v>
      </c>
      <c r="H129" s="7">
        <v>0.14099999999999999</v>
      </c>
      <c r="I129" s="7">
        <v>0.18099999999999999</v>
      </c>
      <c r="J129" s="7">
        <v>8.5999999999999993E-2</v>
      </c>
      <c r="K129" s="7">
        <v>0.86199999999999999</v>
      </c>
      <c r="L129" s="7">
        <v>0.2339999999999999</v>
      </c>
      <c r="M129" s="7">
        <v>0.39700000000000002</v>
      </c>
      <c r="N129" s="7">
        <v>0.90400000000000003</v>
      </c>
      <c r="O129" s="7">
        <v>0.9</v>
      </c>
      <c r="P129" s="8">
        <f t="shared" si="4"/>
        <v>7.705000000000001</v>
      </c>
    </row>
    <row r="130" spans="1:16" x14ac:dyDescent="0.3">
      <c r="A130" s="2" t="s">
        <v>67</v>
      </c>
      <c r="B130" s="2" t="s">
        <v>45</v>
      </c>
      <c r="C130" s="2" t="s">
        <v>31</v>
      </c>
      <c r="D130" s="7">
        <v>1.4359999999999999</v>
      </c>
      <c r="E130" s="7">
        <v>0.44</v>
      </c>
      <c r="F130" s="7">
        <v>0.375</v>
      </c>
      <c r="G130" s="7">
        <v>2.1560000000000001</v>
      </c>
      <c r="H130" s="7">
        <v>4.1280000000000001</v>
      </c>
      <c r="I130" s="7">
        <v>0.89500000000000002</v>
      </c>
      <c r="J130" s="7">
        <v>0.47299999999999998</v>
      </c>
      <c r="K130" s="7">
        <v>0.75900000000000001</v>
      </c>
      <c r="L130" s="7">
        <v>0.84</v>
      </c>
      <c r="M130" s="7">
        <v>0.65</v>
      </c>
      <c r="N130" s="7">
        <v>0.35199999999999998</v>
      </c>
      <c r="O130" s="7">
        <v>0.36299999999999999</v>
      </c>
      <c r="P130" s="8">
        <f t="shared" si="4"/>
        <v>12.867000000000001</v>
      </c>
    </row>
    <row r="131" spans="1:16" x14ac:dyDescent="0.3">
      <c r="A131" s="2" t="s">
        <v>67</v>
      </c>
      <c r="B131" s="2" t="s">
        <v>45</v>
      </c>
      <c r="C131" s="2" t="s">
        <v>32</v>
      </c>
      <c r="D131" s="7">
        <v>0.28999999999999998</v>
      </c>
      <c r="E131" s="7">
        <v>0.14199999999999999</v>
      </c>
      <c r="F131" s="7">
        <v>0.251</v>
      </c>
      <c r="G131" s="7">
        <v>0.48199999999999998</v>
      </c>
      <c r="H131" s="7">
        <v>0.29099999999999998</v>
      </c>
      <c r="I131" s="7">
        <v>1.044</v>
      </c>
      <c r="J131" s="7">
        <v>1.1499999999999999</v>
      </c>
      <c r="K131" s="7">
        <v>1.2989999999999999</v>
      </c>
      <c r="L131" s="7">
        <v>2.8380000000000001</v>
      </c>
      <c r="M131" s="7">
        <v>0.39800000000000002</v>
      </c>
      <c r="N131" s="7">
        <v>0.11700000000000001</v>
      </c>
      <c r="O131" s="7">
        <v>0.33799999999999991</v>
      </c>
      <c r="P131" s="8">
        <f t="shared" si="4"/>
        <v>8.64</v>
      </c>
    </row>
    <row r="132" spans="1:16" x14ac:dyDescent="0.3">
      <c r="A132" s="2" t="s">
        <v>67</v>
      </c>
      <c r="B132" s="2" t="s">
        <v>45</v>
      </c>
      <c r="C132" s="2" t="s">
        <v>33</v>
      </c>
      <c r="D132" s="7">
        <v>4.2999999999999997E-2</v>
      </c>
      <c r="E132" s="7">
        <v>0.35199999999999998</v>
      </c>
      <c r="F132" s="7">
        <v>0.502</v>
      </c>
      <c r="G132" s="7">
        <v>0.121</v>
      </c>
      <c r="H132" s="7">
        <v>0</v>
      </c>
      <c r="I132" s="7">
        <v>0.91300000000000003</v>
      </c>
      <c r="J132" s="7">
        <v>1.365</v>
      </c>
      <c r="K132" s="7">
        <v>1.871</v>
      </c>
      <c r="L132" s="7">
        <v>0.58800000000000008</v>
      </c>
      <c r="M132" s="7">
        <v>0.49299999999999999</v>
      </c>
      <c r="N132" s="7">
        <v>2.98</v>
      </c>
      <c r="O132" s="7">
        <v>0.94</v>
      </c>
      <c r="P132" s="8">
        <f t="shared" si="4"/>
        <v>10.167999999999999</v>
      </c>
    </row>
    <row r="133" spans="1:16" x14ac:dyDescent="0.3">
      <c r="A133" s="2" t="s">
        <v>67</v>
      </c>
      <c r="B133" s="2" t="s">
        <v>45</v>
      </c>
      <c r="C133" s="2" t="s">
        <v>34</v>
      </c>
      <c r="D133" s="7">
        <v>1.4079999999999999</v>
      </c>
      <c r="E133" s="7">
        <v>1.2849999999999999</v>
      </c>
      <c r="F133" s="7">
        <v>1.484</v>
      </c>
      <c r="G133" s="7">
        <v>1.829</v>
      </c>
      <c r="H133" s="7">
        <v>0.78900000000000003</v>
      </c>
      <c r="I133" s="7">
        <v>1.71</v>
      </c>
      <c r="J133" s="7">
        <v>1.3759999999999999</v>
      </c>
      <c r="K133" s="7">
        <v>1.038</v>
      </c>
      <c r="L133" s="7">
        <v>3.6280000000000001</v>
      </c>
      <c r="M133" s="7">
        <v>4.3570000000000002</v>
      </c>
      <c r="N133" s="7">
        <v>2.4569999999999999</v>
      </c>
      <c r="O133" s="7">
        <v>2.4590000000000001</v>
      </c>
      <c r="P133" s="8">
        <f t="shared" si="4"/>
        <v>23.82</v>
      </c>
    </row>
    <row r="134" spans="1:16" x14ac:dyDescent="0.3">
      <c r="A134" s="2" t="s">
        <v>67</v>
      </c>
      <c r="B134" s="2" t="s">
        <v>45</v>
      </c>
      <c r="C134" s="2" t="s">
        <v>35</v>
      </c>
      <c r="D134" s="7">
        <v>0.996</v>
      </c>
      <c r="E134" s="7">
        <v>5.6740000000000004</v>
      </c>
      <c r="F134" s="7">
        <v>19.471</v>
      </c>
      <c r="G134" s="7">
        <v>17.728999999999999</v>
      </c>
      <c r="H134" s="7">
        <v>11.315</v>
      </c>
      <c r="I134" s="7">
        <v>14.311</v>
      </c>
      <c r="J134" s="7">
        <v>9.0060000000000002</v>
      </c>
      <c r="K134" s="7">
        <v>6.3250000000000002</v>
      </c>
      <c r="L134" s="7">
        <v>4.8899999999999997</v>
      </c>
      <c r="M134" s="7">
        <v>3.0089999999999999</v>
      </c>
      <c r="N134" s="7">
        <v>2.036</v>
      </c>
      <c r="O134" s="7">
        <v>1.681</v>
      </c>
      <c r="P134" s="8">
        <f t="shared" si="4"/>
        <v>96.442999999999998</v>
      </c>
    </row>
    <row r="135" spans="1:16" x14ac:dyDescent="0.3">
      <c r="A135" s="2" t="s">
        <v>67</v>
      </c>
      <c r="B135" s="2" t="s">
        <v>45</v>
      </c>
      <c r="C135" s="2" t="s">
        <v>36</v>
      </c>
      <c r="D135" s="7">
        <v>3.2450000000000001</v>
      </c>
      <c r="E135" s="7">
        <v>3.427</v>
      </c>
      <c r="F135" s="7">
        <v>1.2809999999999999</v>
      </c>
      <c r="G135" s="7">
        <v>0.49299999999999999</v>
      </c>
      <c r="H135" s="7">
        <v>0.24399999999999999</v>
      </c>
      <c r="I135" s="7">
        <v>0.38700000000000001</v>
      </c>
      <c r="J135" s="7">
        <v>1.089</v>
      </c>
      <c r="K135" s="7">
        <v>0.627</v>
      </c>
      <c r="L135" s="7">
        <v>0.55100000000000005</v>
      </c>
      <c r="M135" s="7">
        <v>0.20599999999999999</v>
      </c>
      <c r="N135" s="7">
        <v>0.72099999999999997</v>
      </c>
      <c r="O135" s="7">
        <v>0.82299999999999995</v>
      </c>
      <c r="P135" s="8">
        <f t="shared" si="4"/>
        <v>13.094000000000001</v>
      </c>
    </row>
    <row r="136" spans="1:16" x14ac:dyDescent="0.3">
      <c r="A136" s="2" t="s">
        <v>67</v>
      </c>
      <c r="B136" s="2" t="s">
        <v>45</v>
      </c>
      <c r="C136" s="2" t="s">
        <v>37</v>
      </c>
      <c r="D136" s="7">
        <v>0.98399999999999999</v>
      </c>
      <c r="E136" s="7">
        <v>1.6060000000000001</v>
      </c>
      <c r="F136" s="7">
        <v>2.5139999999999998</v>
      </c>
      <c r="G136" s="7">
        <v>0.82299999999999995</v>
      </c>
      <c r="H136" s="7">
        <v>0.85499999999999998</v>
      </c>
      <c r="I136" s="7">
        <v>0.25900000000000001</v>
      </c>
      <c r="J136" s="7">
        <v>0.127</v>
      </c>
      <c r="K136" s="7">
        <v>0.20699999999999999</v>
      </c>
      <c r="L136" s="7">
        <v>0.184</v>
      </c>
      <c r="M136" s="7">
        <v>0.17499999999999999</v>
      </c>
      <c r="N136" s="7">
        <v>3.1E-2</v>
      </c>
      <c r="O136" s="7">
        <v>9.0999999999999998E-2</v>
      </c>
      <c r="P136" s="8">
        <f t="shared" si="4"/>
        <v>7.8559999999999999</v>
      </c>
    </row>
    <row r="137" spans="1:16" x14ac:dyDescent="0.3">
      <c r="A137" s="2" t="s">
        <v>67</v>
      </c>
      <c r="B137" s="2" t="s">
        <v>45</v>
      </c>
      <c r="C137" s="2" t="s">
        <v>38</v>
      </c>
      <c r="D137" s="7">
        <v>0.113</v>
      </c>
      <c r="E137" s="7">
        <v>0.219</v>
      </c>
      <c r="F137" s="7">
        <v>6.5000000000000002E-2</v>
      </c>
      <c r="G137" s="7">
        <v>4.5999999999999999E-2</v>
      </c>
      <c r="H137" s="7">
        <v>3.2000000000000001E-2</v>
      </c>
      <c r="I137" s="7">
        <v>0</v>
      </c>
      <c r="J137" s="7">
        <v>0.1</v>
      </c>
      <c r="K137" s="7">
        <v>1.4999999999999999E-2</v>
      </c>
      <c r="L137" s="7">
        <v>3.3000000000000002E-2</v>
      </c>
      <c r="M137" s="7">
        <v>0.621</v>
      </c>
      <c r="N137" s="7">
        <v>0.16500000000000001</v>
      </c>
      <c r="O137" s="7">
        <v>6.8000000000000005E-2</v>
      </c>
      <c r="P137" s="8">
        <f t="shared" si="4"/>
        <v>1.4770000000000001</v>
      </c>
    </row>
    <row r="138" spans="1:16" x14ac:dyDescent="0.3">
      <c r="A138" s="2" t="s">
        <v>67</v>
      </c>
      <c r="B138" s="2" t="s">
        <v>45</v>
      </c>
      <c r="C138" s="2" t="s">
        <v>39</v>
      </c>
      <c r="D138" s="7">
        <v>1.107</v>
      </c>
      <c r="E138" s="7">
        <v>0.53600000000000003</v>
      </c>
      <c r="F138" s="7">
        <v>0.63400000000000001</v>
      </c>
      <c r="G138" s="7">
        <v>0.28399999999999997</v>
      </c>
      <c r="H138" s="7">
        <v>0.11700000000000001</v>
      </c>
      <c r="I138" s="7">
        <v>0</v>
      </c>
      <c r="J138" s="7">
        <v>0</v>
      </c>
      <c r="K138" s="7">
        <v>0.23799999999999999</v>
      </c>
      <c r="L138" s="7">
        <v>0.26900000000000002</v>
      </c>
      <c r="M138" s="7">
        <v>8.8999999999999996E-2</v>
      </c>
      <c r="N138" s="7">
        <v>0.34799999999999998</v>
      </c>
      <c r="O138" s="7">
        <v>1.0680000000000001</v>
      </c>
      <c r="P138" s="8">
        <f t="shared" si="4"/>
        <v>4.6899999999999995</v>
      </c>
    </row>
    <row r="139" spans="1:16" x14ac:dyDescent="0.3">
      <c r="A139" s="2" t="s">
        <v>67</v>
      </c>
      <c r="B139" s="2" t="s">
        <v>45</v>
      </c>
      <c r="C139" s="2" t="s">
        <v>40</v>
      </c>
      <c r="D139" s="7">
        <v>0.38700000000000001</v>
      </c>
      <c r="E139" s="7">
        <v>1.2999999999999999E-2</v>
      </c>
      <c r="F139" s="7">
        <v>8.3000000000000004E-2</v>
      </c>
      <c r="G139" s="7">
        <v>0</v>
      </c>
      <c r="H139" s="7">
        <v>0</v>
      </c>
      <c r="I139" s="7">
        <v>0</v>
      </c>
      <c r="J139" s="7">
        <v>0.99299999999999999</v>
      </c>
      <c r="K139" s="7">
        <v>2.5000000000000001E-2</v>
      </c>
      <c r="L139" s="7">
        <v>7.0999999999999994E-2</v>
      </c>
      <c r="M139" s="7">
        <v>7.5999999999999998E-2</v>
      </c>
      <c r="N139" s="7">
        <v>1.1259999999999999</v>
      </c>
      <c r="O139" s="7">
        <v>2.3010000000000002</v>
      </c>
      <c r="P139" s="8">
        <f t="shared" si="4"/>
        <v>5.0750000000000002</v>
      </c>
    </row>
    <row r="140" spans="1:16" x14ac:dyDescent="0.3">
      <c r="A140" s="2" t="s">
        <v>67</v>
      </c>
      <c r="B140" s="2" t="s">
        <v>46</v>
      </c>
      <c r="C140" s="2" t="s">
        <v>18</v>
      </c>
      <c r="D140" s="7">
        <v>23.024999999999999</v>
      </c>
      <c r="E140" s="7">
        <v>23.024999999999999</v>
      </c>
      <c r="F140" s="7">
        <v>23.024999999999999</v>
      </c>
      <c r="G140" s="7">
        <v>23.024999999999999</v>
      </c>
      <c r="H140" s="7">
        <v>23.024999999999999</v>
      </c>
      <c r="I140" s="7">
        <v>23.024999999999999</v>
      </c>
      <c r="J140" s="7">
        <v>23.024999999999999</v>
      </c>
      <c r="K140" s="7">
        <v>23.024999999999999</v>
      </c>
      <c r="L140" s="7">
        <v>23.024999999999999</v>
      </c>
      <c r="M140" s="7">
        <v>23.024999999999999</v>
      </c>
      <c r="N140" s="7">
        <v>23.024999999999999</v>
      </c>
      <c r="O140" s="7">
        <v>23.024999999999999</v>
      </c>
      <c r="P140" s="8">
        <f t="shared" si="4"/>
        <v>276.3</v>
      </c>
    </row>
    <row r="141" spans="1:16" x14ac:dyDescent="0.3">
      <c r="A141" s="2" t="s">
        <v>67</v>
      </c>
      <c r="B141" s="2" t="s">
        <v>46</v>
      </c>
      <c r="C141" s="2" t="s">
        <v>19</v>
      </c>
      <c r="D141" s="7">
        <v>20.958333333333329</v>
      </c>
      <c r="E141" s="7">
        <v>20.958333333333329</v>
      </c>
      <c r="F141" s="7">
        <v>20.958333333333329</v>
      </c>
      <c r="G141" s="7">
        <v>20.958333333333329</v>
      </c>
      <c r="H141" s="7">
        <v>20.958333333333329</v>
      </c>
      <c r="I141" s="7">
        <v>20.958333333333329</v>
      </c>
      <c r="J141" s="7">
        <v>20.958333333333329</v>
      </c>
      <c r="K141" s="7">
        <v>20.958333333333329</v>
      </c>
      <c r="L141" s="7">
        <v>20.958333333333329</v>
      </c>
      <c r="M141" s="7">
        <v>20.958333333333329</v>
      </c>
      <c r="N141" s="7">
        <v>20.958333333333329</v>
      </c>
      <c r="O141" s="7">
        <v>20.958333333333329</v>
      </c>
      <c r="P141" s="8">
        <f t="shared" si="4"/>
        <v>251.49999999999989</v>
      </c>
    </row>
    <row r="142" spans="1:16" x14ac:dyDescent="0.3">
      <c r="A142" s="2" t="s">
        <v>67</v>
      </c>
      <c r="B142" s="2" t="s">
        <v>46</v>
      </c>
      <c r="C142" s="2" t="s">
        <v>20</v>
      </c>
      <c r="D142" s="7">
        <v>21.18333333333333</v>
      </c>
      <c r="E142" s="7">
        <v>21.18333333333333</v>
      </c>
      <c r="F142" s="7">
        <v>21.18333333333333</v>
      </c>
      <c r="G142" s="7">
        <v>21.18333333333333</v>
      </c>
      <c r="H142" s="7">
        <v>21.18333333333333</v>
      </c>
      <c r="I142" s="7">
        <v>21.18333333333333</v>
      </c>
      <c r="J142" s="7">
        <v>21.18333333333333</v>
      </c>
      <c r="K142" s="7">
        <v>21.18333333333333</v>
      </c>
      <c r="L142" s="7">
        <v>21.18333333333333</v>
      </c>
      <c r="M142" s="7">
        <v>21.18333333333333</v>
      </c>
      <c r="N142" s="7">
        <v>21.18333333333333</v>
      </c>
      <c r="O142" s="7">
        <v>21.18333333333333</v>
      </c>
      <c r="P142" s="8">
        <f t="shared" si="4"/>
        <v>254.20000000000002</v>
      </c>
    </row>
    <row r="143" spans="1:16" x14ac:dyDescent="0.3">
      <c r="A143" s="2" t="s">
        <v>67</v>
      </c>
      <c r="B143" s="2" t="s">
        <v>46</v>
      </c>
      <c r="C143" s="2" t="s">
        <v>21</v>
      </c>
      <c r="D143" s="7">
        <v>20.675000000000001</v>
      </c>
      <c r="E143" s="7">
        <v>20.675000000000001</v>
      </c>
      <c r="F143" s="7">
        <v>20.675000000000001</v>
      </c>
      <c r="G143" s="7">
        <v>20.675000000000001</v>
      </c>
      <c r="H143" s="7">
        <v>20.675000000000001</v>
      </c>
      <c r="I143" s="7">
        <v>20.675000000000001</v>
      </c>
      <c r="J143" s="7">
        <v>20.675000000000001</v>
      </c>
      <c r="K143" s="7">
        <v>20.675000000000001</v>
      </c>
      <c r="L143" s="7">
        <v>20.675000000000001</v>
      </c>
      <c r="M143" s="7">
        <v>20.675000000000001</v>
      </c>
      <c r="N143" s="7">
        <v>20.675000000000001</v>
      </c>
      <c r="O143" s="7">
        <v>20.675000000000001</v>
      </c>
      <c r="P143" s="8">
        <f t="shared" si="4"/>
        <v>248.10000000000005</v>
      </c>
    </row>
    <row r="144" spans="1:16" x14ac:dyDescent="0.3">
      <c r="A144" s="2" t="s">
        <v>67</v>
      </c>
      <c r="B144" s="2" t="s">
        <v>46</v>
      </c>
      <c r="C144" s="2" t="s">
        <v>22</v>
      </c>
      <c r="D144" s="7">
        <v>21.375</v>
      </c>
      <c r="E144" s="7">
        <v>21.375</v>
      </c>
      <c r="F144" s="7">
        <v>21.375</v>
      </c>
      <c r="G144" s="7">
        <v>21.375</v>
      </c>
      <c r="H144" s="7">
        <v>21.375</v>
      </c>
      <c r="I144" s="7">
        <v>21.375</v>
      </c>
      <c r="J144" s="7">
        <v>21.375</v>
      </c>
      <c r="K144" s="7">
        <v>21.375</v>
      </c>
      <c r="L144" s="7">
        <v>21.375</v>
      </c>
      <c r="M144" s="7">
        <v>21.375</v>
      </c>
      <c r="N144" s="7">
        <v>21.375</v>
      </c>
      <c r="O144" s="7">
        <v>21.375</v>
      </c>
      <c r="P144" s="8">
        <f t="shared" si="4"/>
        <v>256.5</v>
      </c>
    </row>
    <row r="145" spans="1:16" x14ac:dyDescent="0.3">
      <c r="A145" s="2" t="s">
        <v>67</v>
      </c>
      <c r="B145" s="2" t="s">
        <v>46</v>
      </c>
      <c r="C145" s="2" t="s">
        <v>23</v>
      </c>
      <c r="D145" s="7">
        <v>19.041666666666671</v>
      </c>
      <c r="E145" s="7">
        <v>19.041666666666671</v>
      </c>
      <c r="F145" s="7">
        <v>19.041666666666671</v>
      </c>
      <c r="G145" s="7">
        <v>19.041666666666671</v>
      </c>
      <c r="H145" s="7">
        <v>19.041666666666671</v>
      </c>
      <c r="I145" s="7">
        <v>19.041666666666671</v>
      </c>
      <c r="J145" s="7">
        <v>19.041666666666671</v>
      </c>
      <c r="K145" s="7">
        <v>19.041666666666671</v>
      </c>
      <c r="L145" s="7">
        <v>19.041666666666671</v>
      </c>
      <c r="M145" s="7">
        <v>19.041666666666671</v>
      </c>
      <c r="N145" s="7">
        <v>19.041666666666671</v>
      </c>
      <c r="O145" s="7">
        <v>19.041666666666671</v>
      </c>
      <c r="P145" s="8">
        <f t="shared" si="4"/>
        <v>228.50000000000011</v>
      </c>
    </row>
    <row r="146" spans="1:16" x14ac:dyDescent="0.3">
      <c r="A146" s="2" t="s">
        <v>67</v>
      </c>
      <c r="B146" s="2" t="s">
        <v>46</v>
      </c>
      <c r="C146" s="2" t="s">
        <v>24</v>
      </c>
      <c r="D146" s="7">
        <v>19.691666666666659</v>
      </c>
      <c r="E146" s="7">
        <v>19.691666666666659</v>
      </c>
      <c r="F146" s="7">
        <v>19.691666666666659</v>
      </c>
      <c r="G146" s="7">
        <v>19.691666666666659</v>
      </c>
      <c r="H146" s="7">
        <v>19.691666666666659</v>
      </c>
      <c r="I146" s="7">
        <v>19.691666666666659</v>
      </c>
      <c r="J146" s="7">
        <v>19.691666666666659</v>
      </c>
      <c r="K146" s="7">
        <v>19.691666666666659</v>
      </c>
      <c r="L146" s="7">
        <v>19.691666666666659</v>
      </c>
      <c r="M146" s="7">
        <v>19.691666666666659</v>
      </c>
      <c r="N146" s="7">
        <v>19.691666666666659</v>
      </c>
      <c r="O146" s="7">
        <v>19.691666666666659</v>
      </c>
      <c r="P146" s="8">
        <f t="shared" si="4"/>
        <v>236.29999999999993</v>
      </c>
    </row>
    <row r="147" spans="1:16" x14ac:dyDescent="0.3">
      <c r="A147" s="2" t="s">
        <v>67</v>
      </c>
      <c r="B147" s="2" t="s">
        <v>46</v>
      </c>
      <c r="C147" s="2" t="s">
        <v>25</v>
      </c>
      <c r="D147" s="7">
        <v>21.733333333333331</v>
      </c>
      <c r="E147" s="7">
        <v>21.733333333333331</v>
      </c>
      <c r="F147" s="7">
        <v>21.733333333333331</v>
      </c>
      <c r="G147" s="7">
        <v>21.733333333333331</v>
      </c>
      <c r="H147" s="7">
        <v>21.733333333333331</v>
      </c>
      <c r="I147" s="7">
        <v>21.733333333333331</v>
      </c>
      <c r="J147" s="7">
        <v>21.733333333333331</v>
      </c>
      <c r="K147" s="7">
        <v>21.733333333333331</v>
      </c>
      <c r="L147" s="7">
        <v>21.733333333333331</v>
      </c>
      <c r="M147" s="7">
        <v>21.733333333333331</v>
      </c>
      <c r="N147" s="7">
        <v>21.733333333333331</v>
      </c>
      <c r="O147" s="7">
        <v>21.733333333333331</v>
      </c>
      <c r="P147" s="8">
        <f t="shared" si="4"/>
        <v>260.7999999999999</v>
      </c>
    </row>
    <row r="148" spans="1:16" x14ac:dyDescent="0.3">
      <c r="A148" s="2" t="s">
        <v>67</v>
      </c>
      <c r="B148" s="2" t="s">
        <v>46</v>
      </c>
      <c r="C148" s="2" t="s">
        <v>26</v>
      </c>
      <c r="D148" s="7">
        <v>21.216666666666669</v>
      </c>
      <c r="E148" s="7">
        <v>21.216666666666669</v>
      </c>
      <c r="F148" s="7">
        <v>21.216666666666669</v>
      </c>
      <c r="G148" s="7">
        <v>21.216666666666669</v>
      </c>
      <c r="H148" s="7">
        <v>21.216666666666669</v>
      </c>
      <c r="I148" s="7">
        <v>21.216666666666669</v>
      </c>
      <c r="J148" s="7">
        <v>21.216666666666669</v>
      </c>
      <c r="K148" s="7">
        <v>21.216666666666669</v>
      </c>
      <c r="L148" s="7">
        <v>21.216666666666669</v>
      </c>
      <c r="M148" s="7">
        <v>21.216666666666669</v>
      </c>
      <c r="N148" s="7">
        <v>21.216666666666669</v>
      </c>
      <c r="O148" s="7">
        <v>21.216666666666669</v>
      </c>
      <c r="P148" s="8">
        <f t="shared" si="4"/>
        <v>254.60000000000002</v>
      </c>
    </row>
    <row r="149" spans="1:16" x14ac:dyDescent="0.3">
      <c r="A149" s="2" t="s">
        <v>67</v>
      </c>
      <c r="B149" s="2" t="s">
        <v>46</v>
      </c>
      <c r="C149" s="2" t="s">
        <v>27</v>
      </c>
      <c r="D149" s="7">
        <v>19.366666666666671</v>
      </c>
      <c r="E149" s="7">
        <v>19.366666666666671</v>
      </c>
      <c r="F149" s="7">
        <v>19.366666666666671</v>
      </c>
      <c r="G149" s="7">
        <v>19.366666666666671</v>
      </c>
      <c r="H149" s="7">
        <v>19.366666666666671</v>
      </c>
      <c r="I149" s="7">
        <v>19.366666666666671</v>
      </c>
      <c r="J149" s="7">
        <v>19.366666666666671</v>
      </c>
      <c r="K149" s="7">
        <v>19.366666666666671</v>
      </c>
      <c r="L149" s="7">
        <v>19.366666666666671</v>
      </c>
      <c r="M149" s="7">
        <v>19.366666666666671</v>
      </c>
      <c r="N149" s="7">
        <v>19.366666666666671</v>
      </c>
      <c r="O149" s="7">
        <v>19.366666666666671</v>
      </c>
      <c r="P149" s="8">
        <f t="shared" si="4"/>
        <v>232.40000000000006</v>
      </c>
    </row>
    <row r="150" spans="1:16" x14ac:dyDescent="0.3">
      <c r="A150" s="2" t="s">
        <v>67</v>
      </c>
      <c r="B150" s="2" t="s">
        <v>46</v>
      </c>
      <c r="C150" s="2" t="s">
        <v>28</v>
      </c>
      <c r="D150" s="7">
        <v>19.258333333333329</v>
      </c>
      <c r="E150" s="7">
        <v>19.258333333333329</v>
      </c>
      <c r="F150" s="7">
        <v>19.258333333333329</v>
      </c>
      <c r="G150" s="7">
        <v>19.258333333333329</v>
      </c>
      <c r="H150" s="7">
        <v>19.258333333333329</v>
      </c>
      <c r="I150" s="7">
        <v>19.258333333333329</v>
      </c>
      <c r="J150" s="7">
        <v>19.258333333333329</v>
      </c>
      <c r="K150" s="7">
        <v>19.258333333333329</v>
      </c>
      <c r="L150" s="7">
        <v>19.258333333333329</v>
      </c>
      <c r="M150" s="7">
        <v>19.258333333333329</v>
      </c>
      <c r="N150" s="7">
        <v>19.258333333333329</v>
      </c>
      <c r="O150" s="7">
        <v>19.258333333333329</v>
      </c>
      <c r="P150" s="8">
        <f t="shared" si="4"/>
        <v>231.09999999999994</v>
      </c>
    </row>
    <row r="151" spans="1:16" x14ac:dyDescent="0.3">
      <c r="A151" s="2" t="s">
        <v>67</v>
      </c>
      <c r="B151" s="2" t="s">
        <v>46</v>
      </c>
      <c r="C151" s="2" t="s">
        <v>29</v>
      </c>
      <c r="D151" s="7">
        <v>19.691666666666659</v>
      </c>
      <c r="E151" s="7">
        <v>19.691666666666659</v>
      </c>
      <c r="F151" s="7">
        <v>19.691666666666659</v>
      </c>
      <c r="G151" s="7">
        <v>19.691666666666659</v>
      </c>
      <c r="H151" s="7">
        <v>19.691666666666659</v>
      </c>
      <c r="I151" s="7">
        <v>19.691666666666659</v>
      </c>
      <c r="J151" s="7">
        <v>19.691666666666659</v>
      </c>
      <c r="K151" s="7">
        <v>19.691666666666659</v>
      </c>
      <c r="L151" s="7">
        <v>19.691666666666659</v>
      </c>
      <c r="M151" s="7">
        <v>19.691666666666659</v>
      </c>
      <c r="N151" s="7">
        <v>19.691666666666659</v>
      </c>
      <c r="O151" s="7">
        <v>19.691666666666659</v>
      </c>
      <c r="P151" s="8">
        <f t="shared" si="4"/>
        <v>236.29999999999993</v>
      </c>
    </row>
    <row r="152" spans="1:16" x14ac:dyDescent="0.3">
      <c r="A152" s="2" t="s">
        <v>67</v>
      </c>
      <c r="B152" s="2" t="s">
        <v>46</v>
      </c>
      <c r="C152" s="2" t="s">
        <v>30</v>
      </c>
      <c r="D152" s="7">
        <v>16.716666666666669</v>
      </c>
      <c r="E152" s="7">
        <v>16.716666666666669</v>
      </c>
      <c r="F152" s="7">
        <v>16.716666666666669</v>
      </c>
      <c r="G152" s="7">
        <v>16.716666666666669</v>
      </c>
      <c r="H152" s="7">
        <v>16.716666666666669</v>
      </c>
      <c r="I152" s="7">
        <v>16.716666666666669</v>
      </c>
      <c r="J152" s="7">
        <v>16.716666666666669</v>
      </c>
      <c r="K152" s="7">
        <v>16.716666666666669</v>
      </c>
      <c r="L152" s="7">
        <v>16.716666666666669</v>
      </c>
      <c r="M152" s="7">
        <v>16.716666666666669</v>
      </c>
      <c r="N152" s="7">
        <v>16.716666666666669</v>
      </c>
      <c r="O152" s="7">
        <v>16.716666666666669</v>
      </c>
      <c r="P152" s="8">
        <f t="shared" si="4"/>
        <v>200.60000000000002</v>
      </c>
    </row>
    <row r="153" spans="1:16" x14ac:dyDescent="0.3">
      <c r="A153" s="2" t="s">
        <v>67</v>
      </c>
      <c r="B153" s="2" t="s">
        <v>46</v>
      </c>
      <c r="C153" s="2" t="s">
        <v>31</v>
      </c>
      <c r="D153" s="7">
        <v>17.425000000000001</v>
      </c>
      <c r="E153" s="7">
        <v>17.425000000000001</v>
      </c>
      <c r="F153" s="7">
        <v>17.425000000000001</v>
      </c>
      <c r="G153" s="7">
        <v>17.425000000000001</v>
      </c>
      <c r="H153" s="7">
        <v>17.425000000000001</v>
      </c>
      <c r="I153" s="7">
        <v>17.425000000000001</v>
      </c>
      <c r="J153" s="7">
        <v>17.425000000000001</v>
      </c>
      <c r="K153" s="7">
        <v>17.425000000000001</v>
      </c>
      <c r="L153" s="7">
        <v>17.425000000000001</v>
      </c>
      <c r="M153" s="7">
        <v>17.425000000000001</v>
      </c>
      <c r="N153" s="7">
        <v>17.425000000000001</v>
      </c>
      <c r="O153" s="7">
        <v>17.425000000000001</v>
      </c>
      <c r="P153" s="8">
        <f t="shared" si="4"/>
        <v>209.10000000000005</v>
      </c>
    </row>
    <row r="154" spans="1:16" x14ac:dyDescent="0.3">
      <c r="A154" s="2" t="s">
        <v>67</v>
      </c>
      <c r="B154" s="2" t="s">
        <v>46</v>
      </c>
      <c r="C154" s="2" t="s">
        <v>32</v>
      </c>
      <c r="D154" s="7">
        <v>14.46666666666667</v>
      </c>
      <c r="E154" s="7">
        <v>14.46666666666667</v>
      </c>
      <c r="F154" s="7">
        <v>14.46666666666667</v>
      </c>
      <c r="G154" s="7">
        <v>14.46666666666667</v>
      </c>
      <c r="H154" s="7">
        <v>14.46666666666667</v>
      </c>
      <c r="I154" s="7">
        <v>14.46666666666667</v>
      </c>
      <c r="J154" s="7">
        <v>14.46666666666667</v>
      </c>
      <c r="K154" s="7">
        <v>14.46666666666667</v>
      </c>
      <c r="L154" s="7">
        <v>14.46666666666667</v>
      </c>
      <c r="M154" s="7">
        <v>14.46666666666667</v>
      </c>
      <c r="N154" s="7">
        <v>14.46666666666667</v>
      </c>
      <c r="O154" s="7">
        <v>14.46666666666667</v>
      </c>
      <c r="P154" s="8">
        <f t="shared" si="4"/>
        <v>173.60000000000005</v>
      </c>
    </row>
    <row r="155" spans="1:16" x14ac:dyDescent="0.3">
      <c r="A155" s="2" t="s">
        <v>67</v>
      </c>
      <c r="B155" s="2" t="s">
        <v>46</v>
      </c>
      <c r="C155" s="2" t="s">
        <v>33</v>
      </c>
      <c r="D155" s="7">
        <v>16.774999999999999</v>
      </c>
      <c r="E155" s="7">
        <v>16.774999999999999</v>
      </c>
      <c r="F155" s="7">
        <v>16.774999999999999</v>
      </c>
      <c r="G155" s="7">
        <v>16.774999999999999</v>
      </c>
      <c r="H155" s="7">
        <v>16.774999999999999</v>
      </c>
      <c r="I155" s="7">
        <v>16.774999999999999</v>
      </c>
      <c r="J155" s="7">
        <v>16.774999999999999</v>
      </c>
      <c r="K155" s="7">
        <v>16.774999999999999</v>
      </c>
      <c r="L155" s="7">
        <v>16.774999999999999</v>
      </c>
      <c r="M155" s="7">
        <v>16.774999999999999</v>
      </c>
      <c r="N155" s="7">
        <v>16.774999999999999</v>
      </c>
      <c r="O155" s="7">
        <v>16.774999999999999</v>
      </c>
      <c r="P155" s="8">
        <f t="shared" si="4"/>
        <v>201.30000000000004</v>
      </c>
    </row>
    <row r="156" spans="1:16" x14ac:dyDescent="0.3">
      <c r="A156" s="2" t="s">
        <v>67</v>
      </c>
      <c r="B156" s="2" t="s">
        <v>46</v>
      </c>
      <c r="C156" s="2" t="s">
        <v>34</v>
      </c>
      <c r="D156" s="7">
        <v>17.008333333333329</v>
      </c>
      <c r="E156" s="7">
        <v>17.008333333333329</v>
      </c>
      <c r="F156" s="7">
        <v>17.008333333333329</v>
      </c>
      <c r="G156" s="7">
        <v>17.008333333333329</v>
      </c>
      <c r="H156" s="7">
        <v>17.008333333333329</v>
      </c>
      <c r="I156" s="7">
        <v>17.008333333333329</v>
      </c>
      <c r="J156" s="7">
        <v>17.008333333333329</v>
      </c>
      <c r="K156" s="7">
        <v>17.008333333333329</v>
      </c>
      <c r="L156" s="7">
        <v>17.008333333333329</v>
      </c>
      <c r="M156" s="7">
        <v>17.008333333333329</v>
      </c>
      <c r="N156" s="7">
        <v>17.008333333333329</v>
      </c>
      <c r="O156" s="7">
        <v>17.008333333333329</v>
      </c>
      <c r="P156" s="8">
        <f t="shared" si="4"/>
        <v>204.09999999999994</v>
      </c>
    </row>
    <row r="157" spans="1:16" x14ac:dyDescent="0.3">
      <c r="A157" s="2" t="s">
        <v>67</v>
      </c>
      <c r="B157" s="2" t="s">
        <v>46</v>
      </c>
      <c r="C157" s="2" t="s">
        <v>35</v>
      </c>
      <c r="D157" s="7">
        <v>17.94166666666667</v>
      </c>
      <c r="E157" s="7">
        <v>17.94166666666667</v>
      </c>
      <c r="F157" s="7">
        <v>17.94166666666667</v>
      </c>
      <c r="G157" s="7">
        <v>17.94166666666667</v>
      </c>
      <c r="H157" s="7">
        <v>17.94166666666667</v>
      </c>
      <c r="I157" s="7">
        <v>17.94166666666667</v>
      </c>
      <c r="J157" s="7">
        <v>17.94166666666667</v>
      </c>
      <c r="K157" s="7">
        <v>17.94166666666667</v>
      </c>
      <c r="L157" s="7">
        <v>17.94166666666667</v>
      </c>
      <c r="M157" s="7">
        <v>17.94166666666667</v>
      </c>
      <c r="N157" s="7">
        <v>17.94166666666667</v>
      </c>
      <c r="O157" s="7">
        <v>17.94166666666667</v>
      </c>
      <c r="P157" s="8">
        <f t="shared" si="4"/>
        <v>215.29999999999998</v>
      </c>
    </row>
    <row r="158" spans="1:16" x14ac:dyDescent="0.3">
      <c r="A158" s="2" t="s">
        <v>67</v>
      </c>
      <c r="B158" s="2" t="s">
        <v>46</v>
      </c>
      <c r="C158" s="2" t="s">
        <v>36</v>
      </c>
      <c r="D158" s="7">
        <v>16.524999999999999</v>
      </c>
      <c r="E158" s="7">
        <v>16.524999999999999</v>
      </c>
      <c r="F158" s="7">
        <v>16.524999999999999</v>
      </c>
      <c r="G158" s="7">
        <v>16.524999999999999</v>
      </c>
      <c r="H158" s="7">
        <v>16.524999999999999</v>
      </c>
      <c r="I158" s="7">
        <v>16.524999999999999</v>
      </c>
      <c r="J158" s="7">
        <v>16.524999999999999</v>
      </c>
      <c r="K158" s="7">
        <v>16.524999999999999</v>
      </c>
      <c r="L158" s="7">
        <v>16.524999999999999</v>
      </c>
      <c r="M158" s="7">
        <v>16.524999999999999</v>
      </c>
      <c r="N158" s="7">
        <v>16.524999999999999</v>
      </c>
      <c r="O158" s="7">
        <v>16.524999999999999</v>
      </c>
      <c r="P158" s="8">
        <f t="shared" ref="P158:P189" si="5">SUM(D158:O158)</f>
        <v>198.30000000000004</v>
      </c>
    </row>
    <row r="159" spans="1:16" x14ac:dyDescent="0.3">
      <c r="A159" s="2" t="s">
        <v>67</v>
      </c>
      <c r="B159" s="2" t="s">
        <v>46</v>
      </c>
      <c r="C159" s="2" t="s">
        <v>37</v>
      </c>
      <c r="D159" s="7">
        <v>17.508333333333329</v>
      </c>
      <c r="E159" s="7">
        <v>17.508333333333329</v>
      </c>
      <c r="F159" s="7">
        <v>17.508333333333329</v>
      </c>
      <c r="G159" s="7">
        <v>17.508333333333329</v>
      </c>
      <c r="H159" s="7">
        <v>17.508333333333329</v>
      </c>
      <c r="I159" s="7">
        <v>17.508333333333329</v>
      </c>
      <c r="J159" s="7">
        <v>17.508333333333329</v>
      </c>
      <c r="K159" s="7">
        <v>17.508333333333329</v>
      </c>
      <c r="L159" s="7">
        <v>17.508333333333329</v>
      </c>
      <c r="M159" s="7">
        <v>17.508333333333329</v>
      </c>
      <c r="N159" s="7">
        <v>17.508333333333329</v>
      </c>
      <c r="O159" s="7">
        <v>17.508333333333329</v>
      </c>
      <c r="P159" s="8">
        <f t="shared" si="5"/>
        <v>210.09999999999994</v>
      </c>
    </row>
    <row r="160" spans="1:16" x14ac:dyDescent="0.3">
      <c r="A160" s="2" t="s">
        <v>67</v>
      </c>
      <c r="B160" s="2" t="s">
        <v>46</v>
      </c>
      <c r="C160" s="2" t="s">
        <v>38</v>
      </c>
      <c r="D160" s="7">
        <v>16.18333333333333</v>
      </c>
      <c r="E160" s="7">
        <v>16.18333333333333</v>
      </c>
      <c r="F160" s="7">
        <v>16.18333333333333</v>
      </c>
      <c r="G160" s="7">
        <v>16.18333333333333</v>
      </c>
      <c r="H160" s="7">
        <v>16.18333333333333</v>
      </c>
      <c r="I160" s="7">
        <v>16.18333333333333</v>
      </c>
      <c r="J160" s="7">
        <v>16.18333333333333</v>
      </c>
      <c r="K160" s="7">
        <v>16.18333333333333</v>
      </c>
      <c r="L160" s="7">
        <v>16.18333333333333</v>
      </c>
      <c r="M160" s="7">
        <v>16.18333333333333</v>
      </c>
      <c r="N160" s="7">
        <v>16.18333333333333</v>
      </c>
      <c r="O160" s="7">
        <v>16.18333333333333</v>
      </c>
      <c r="P160" s="8">
        <f t="shared" si="5"/>
        <v>194.20000000000002</v>
      </c>
    </row>
    <row r="161" spans="1:16" x14ac:dyDescent="0.3">
      <c r="A161" s="2" t="s">
        <v>67</v>
      </c>
      <c r="B161" s="2" t="s">
        <v>46</v>
      </c>
      <c r="C161" s="2" t="s">
        <v>39</v>
      </c>
      <c r="D161" s="7">
        <v>15.925000000000001</v>
      </c>
      <c r="E161" s="7">
        <v>15.925000000000001</v>
      </c>
      <c r="F161" s="7">
        <v>15.925000000000001</v>
      </c>
      <c r="G161" s="7">
        <v>15.925000000000001</v>
      </c>
      <c r="H161" s="7">
        <v>15.925000000000001</v>
      </c>
      <c r="I161" s="7">
        <v>15.925000000000001</v>
      </c>
      <c r="J161" s="7">
        <v>15.925000000000001</v>
      </c>
      <c r="K161" s="7">
        <v>15.925000000000001</v>
      </c>
      <c r="L161" s="7">
        <v>15.925000000000001</v>
      </c>
      <c r="M161" s="7">
        <v>15.925000000000001</v>
      </c>
      <c r="N161" s="7">
        <v>15.925000000000001</v>
      </c>
      <c r="O161" s="7">
        <v>15.925000000000001</v>
      </c>
      <c r="P161" s="8">
        <f t="shared" si="5"/>
        <v>191.10000000000002</v>
      </c>
    </row>
    <row r="162" spans="1:16" x14ac:dyDescent="0.3">
      <c r="A162" s="2" t="s">
        <v>67</v>
      </c>
      <c r="B162" s="2" t="s">
        <v>46</v>
      </c>
      <c r="C162" s="2" t="s">
        <v>40</v>
      </c>
      <c r="D162" s="7">
        <v>16.074999999999999</v>
      </c>
      <c r="E162" s="7">
        <v>16.074999999999999</v>
      </c>
      <c r="F162" s="7">
        <v>16.074999999999999</v>
      </c>
      <c r="G162" s="7">
        <v>16.074999999999999</v>
      </c>
      <c r="H162" s="7">
        <v>16.074999999999999</v>
      </c>
      <c r="I162" s="7">
        <v>16.074999999999999</v>
      </c>
      <c r="J162" s="7">
        <v>16.074999999999999</v>
      </c>
      <c r="K162" s="7">
        <v>16.074999999999999</v>
      </c>
      <c r="L162" s="7">
        <v>16.074999999999999</v>
      </c>
      <c r="M162" s="7">
        <v>16.074999999999999</v>
      </c>
      <c r="N162" s="7">
        <v>16.074999999999999</v>
      </c>
      <c r="O162" s="7">
        <v>16.074999999999999</v>
      </c>
      <c r="P162" s="8">
        <f t="shared" si="5"/>
        <v>192.89999999999995</v>
      </c>
    </row>
    <row r="163" spans="1:16" x14ac:dyDescent="0.3">
      <c r="A163" s="2" t="s">
        <v>67</v>
      </c>
      <c r="B163" s="2" t="s">
        <v>47</v>
      </c>
      <c r="C163" s="2" t="s">
        <v>18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8">
        <f t="shared" si="5"/>
        <v>0</v>
      </c>
    </row>
    <row r="164" spans="1:16" x14ac:dyDescent="0.3">
      <c r="A164" s="2" t="s">
        <v>67</v>
      </c>
      <c r="B164" s="2" t="s">
        <v>47</v>
      </c>
      <c r="C164" s="2" t="s">
        <v>19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8">
        <f t="shared" si="5"/>
        <v>0</v>
      </c>
    </row>
    <row r="165" spans="1:16" x14ac:dyDescent="0.3">
      <c r="A165" s="2" t="s">
        <v>67</v>
      </c>
      <c r="B165" s="2" t="s">
        <v>47</v>
      </c>
      <c r="C165" s="2" t="s">
        <v>20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8">
        <f t="shared" si="5"/>
        <v>0</v>
      </c>
    </row>
    <row r="166" spans="1:16" x14ac:dyDescent="0.3">
      <c r="A166" s="2" t="s">
        <v>67</v>
      </c>
      <c r="B166" s="2" t="s">
        <v>47</v>
      </c>
      <c r="C166" s="2" t="s">
        <v>21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8">
        <f t="shared" si="5"/>
        <v>0</v>
      </c>
    </row>
    <row r="167" spans="1:16" x14ac:dyDescent="0.3">
      <c r="A167" s="2" t="s">
        <v>67</v>
      </c>
      <c r="B167" s="2" t="s">
        <v>47</v>
      </c>
      <c r="C167" s="2" t="s">
        <v>22</v>
      </c>
      <c r="D167" s="7">
        <v>0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8">
        <f t="shared" si="5"/>
        <v>0</v>
      </c>
    </row>
    <row r="168" spans="1:16" x14ac:dyDescent="0.3">
      <c r="A168" s="2" t="s">
        <v>67</v>
      </c>
      <c r="B168" s="2" t="s">
        <v>47</v>
      </c>
      <c r="C168" s="2" t="s">
        <v>23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8">
        <f t="shared" si="5"/>
        <v>0</v>
      </c>
    </row>
    <row r="169" spans="1:16" x14ac:dyDescent="0.3">
      <c r="A169" s="2" t="s">
        <v>67</v>
      </c>
      <c r="B169" s="2" t="s">
        <v>47</v>
      </c>
      <c r="C169" s="2" t="s">
        <v>24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8">
        <f t="shared" si="5"/>
        <v>0</v>
      </c>
    </row>
    <row r="170" spans="1:16" x14ac:dyDescent="0.3">
      <c r="A170" s="2" t="s">
        <v>67</v>
      </c>
      <c r="B170" s="2" t="s">
        <v>47</v>
      </c>
      <c r="C170" s="2" t="s">
        <v>25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8">
        <f t="shared" si="5"/>
        <v>0</v>
      </c>
    </row>
    <row r="171" spans="1:16" x14ac:dyDescent="0.3">
      <c r="A171" s="2" t="s">
        <v>67</v>
      </c>
      <c r="B171" s="2" t="s">
        <v>47</v>
      </c>
      <c r="C171" s="2" t="s">
        <v>26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8">
        <f t="shared" si="5"/>
        <v>0</v>
      </c>
    </row>
    <row r="172" spans="1:16" x14ac:dyDescent="0.3">
      <c r="A172" s="2" t="s">
        <v>67</v>
      </c>
      <c r="B172" s="2" t="s">
        <v>47</v>
      </c>
      <c r="C172" s="2" t="s">
        <v>27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8">
        <f t="shared" si="5"/>
        <v>0</v>
      </c>
    </row>
    <row r="173" spans="1:16" x14ac:dyDescent="0.3">
      <c r="A173" s="2" t="s">
        <v>67</v>
      </c>
      <c r="B173" s="2" t="s">
        <v>47</v>
      </c>
      <c r="C173" s="2" t="s">
        <v>28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8">
        <f t="shared" si="5"/>
        <v>0</v>
      </c>
    </row>
    <row r="174" spans="1:16" x14ac:dyDescent="0.3">
      <c r="A174" s="2" t="s">
        <v>67</v>
      </c>
      <c r="B174" s="2" t="s">
        <v>47</v>
      </c>
      <c r="C174" s="2" t="s">
        <v>29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8">
        <f t="shared" si="5"/>
        <v>0</v>
      </c>
    </row>
    <row r="175" spans="1:16" x14ac:dyDescent="0.3">
      <c r="A175" s="2" t="s">
        <v>67</v>
      </c>
      <c r="B175" s="2" t="s">
        <v>47</v>
      </c>
      <c r="C175" s="2" t="s">
        <v>30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8">
        <f t="shared" si="5"/>
        <v>0</v>
      </c>
    </row>
    <row r="176" spans="1:16" x14ac:dyDescent="0.3">
      <c r="A176" s="2" t="s">
        <v>67</v>
      </c>
      <c r="B176" s="2" t="s">
        <v>47</v>
      </c>
      <c r="C176" s="2" t="s">
        <v>31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8">
        <f t="shared" si="5"/>
        <v>0</v>
      </c>
    </row>
    <row r="177" spans="1:16" x14ac:dyDescent="0.3">
      <c r="A177" s="2" t="s">
        <v>67</v>
      </c>
      <c r="B177" s="2" t="s">
        <v>47</v>
      </c>
      <c r="C177" s="2" t="s">
        <v>32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8">
        <f t="shared" si="5"/>
        <v>0</v>
      </c>
    </row>
    <row r="178" spans="1:16" x14ac:dyDescent="0.3">
      <c r="A178" s="2" t="s">
        <v>67</v>
      </c>
      <c r="B178" s="2" t="s">
        <v>47</v>
      </c>
      <c r="C178" s="2" t="s">
        <v>33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8">
        <f t="shared" si="5"/>
        <v>0</v>
      </c>
    </row>
    <row r="179" spans="1:16" x14ac:dyDescent="0.3">
      <c r="A179" s="2" t="s">
        <v>67</v>
      </c>
      <c r="B179" s="2" t="s">
        <v>47</v>
      </c>
      <c r="C179" s="2" t="s">
        <v>34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8">
        <f t="shared" si="5"/>
        <v>0</v>
      </c>
    </row>
    <row r="180" spans="1:16" x14ac:dyDescent="0.3">
      <c r="A180" s="2" t="s">
        <v>67</v>
      </c>
      <c r="B180" s="2" t="s">
        <v>47</v>
      </c>
      <c r="C180" s="2" t="s">
        <v>35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8">
        <f t="shared" si="5"/>
        <v>0</v>
      </c>
    </row>
    <row r="181" spans="1:16" x14ac:dyDescent="0.3">
      <c r="A181" s="2" t="s">
        <v>67</v>
      </c>
      <c r="B181" s="2" t="s">
        <v>47</v>
      </c>
      <c r="C181" s="2" t="s">
        <v>36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8">
        <f t="shared" si="5"/>
        <v>0</v>
      </c>
    </row>
    <row r="182" spans="1:16" x14ac:dyDescent="0.3">
      <c r="A182" s="2" t="s">
        <v>67</v>
      </c>
      <c r="B182" s="2" t="s">
        <v>47</v>
      </c>
      <c r="C182" s="2" t="s">
        <v>37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8">
        <f t="shared" si="5"/>
        <v>0</v>
      </c>
    </row>
    <row r="183" spans="1:16" x14ac:dyDescent="0.3">
      <c r="A183" s="2" t="s">
        <v>67</v>
      </c>
      <c r="B183" s="2" t="s">
        <v>47</v>
      </c>
      <c r="C183" s="2" t="s">
        <v>38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8">
        <f t="shared" si="5"/>
        <v>0</v>
      </c>
    </row>
    <row r="184" spans="1:16" x14ac:dyDescent="0.3">
      <c r="A184" s="2" t="s">
        <v>67</v>
      </c>
      <c r="B184" s="2" t="s">
        <v>47</v>
      </c>
      <c r="C184" s="2" t="s">
        <v>39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8">
        <f t="shared" si="5"/>
        <v>0</v>
      </c>
    </row>
    <row r="185" spans="1:16" x14ac:dyDescent="0.3">
      <c r="A185" s="2" t="s">
        <v>67</v>
      </c>
      <c r="B185" s="2" t="s">
        <v>47</v>
      </c>
      <c r="C185" s="2" t="s">
        <v>40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8">
        <f t="shared" si="5"/>
        <v>0</v>
      </c>
    </row>
    <row r="186" spans="1:16" x14ac:dyDescent="0.3">
      <c r="A186" s="2" t="s">
        <v>67</v>
      </c>
      <c r="B186" s="2" t="s">
        <v>48</v>
      </c>
      <c r="C186" s="2" t="s">
        <v>18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8">
        <f t="shared" si="5"/>
        <v>0</v>
      </c>
    </row>
    <row r="187" spans="1:16" x14ac:dyDescent="0.3">
      <c r="A187" s="2" t="s">
        <v>67</v>
      </c>
      <c r="B187" s="2" t="s">
        <v>48</v>
      </c>
      <c r="C187" s="2" t="s">
        <v>19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8">
        <f t="shared" si="5"/>
        <v>0</v>
      </c>
    </row>
    <row r="188" spans="1:16" x14ac:dyDescent="0.3">
      <c r="A188" s="2" t="s">
        <v>67</v>
      </c>
      <c r="B188" s="2" t="s">
        <v>48</v>
      </c>
      <c r="C188" s="2" t="s">
        <v>20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8">
        <f t="shared" si="5"/>
        <v>0</v>
      </c>
    </row>
    <row r="189" spans="1:16" x14ac:dyDescent="0.3">
      <c r="A189" s="2" t="s">
        <v>67</v>
      </c>
      <c r="B189" s="2" t="s">
        <v>48</v>
      </c>
      <c r="C189" s="2" t="s">
        <v>21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8">
        <f t="shared" si="5"/>
        <v>0</v>
      </c>
    </row>
    <row r="190" spans="1:16" x14ac:dyDescent="0.3">
      <c r="A190" s="2" t="s">
        <v>67</v>
      </c>
      <c r="B190" s="2" t="s">
        <v>48</v>
      </c>
      <c r="C190" s="2" t="s">
        <v>22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8">
        <f t="shared" ref="P190:P221" si="6">SUM(D190:O190)</f>
        <v>0</v>
      </c>
    </row>
    <row r="191" spans="1:16" x14ac:dyDescent="0.3">
      <c r="A191" s="2" t="s">
        <v>67</v>
      </c>
      <c r="B191" s="2" t="s">
        <v>48</v>
      </c>
      <c r="C191" s="2" t="s">
        <v>23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8">
        <f t="shared" si="6"/>
        <v>0</v>
      </c>
    </row>
    <row r="192" spans="1:16" x14ac:dyDescent="0.3">
      <c r="A192" s="2" t="s">
        <v>67</v>
      </c>
      <c r="B192" s="2" t="s">
        <v>48</v>
      </c>
      <c r="C192" s="2" t="s">
        <v>24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8">
        <f t="shared" si="6"/>
        <v>0</v>
      </c>
    </row>
    <row r="193" spans="1:16" x14ac:dyDescent="0.3">
      <c r="A193" s="2" t="s">
        <v>67</v>
      </c>
      <c r="B193" s="2" t="s">
        <v>48</v>
      </c>
      <c r="C193" s="2" t="s">
        <v>25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8">
        <f t="shared" si="6"/>
        <v>0</v>
      </c>
    </row>
    <row r="194" spans="1:16" x14ac:dyDescent="0.3">
      <c r="A194" s="2" t="s">
        <v>67</v>
      </c>
      <c r="B194" s="2" t="s">
        <v>48</v>
      </c>
      <c r="C194" s="2" t="s">
        <v>26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8">
        <f t="shared" si="6"/>
        <v>0</v>
      </c>
    </row>
    <row r="195" spans="1:16" x14ac:dyDescent="0.3">
      <c r="A195" s="2" t="s">
        <v>67</v>
      </c>
      <c r="B195" s="2" t="s">
        <v>48</v>
      </c>
      <c r="C195" s="2" t="s">
        <v>27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8">
        <f t="shared" si="6"/>
        <v>0</v>
      </c>
    </row>
    <row r="196" spans="1:16" x14ac:dyDescent="0.3">
      <c r="A196" s="2" t="s">
        <v>67</v>
      </c>
      <c r="B196" s="2" t="s">
        <v>48</v>
      </c>
      <c r="C196" s="2" t="s">
        <v>28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8">
        <f t="shared" si="6"/>
        <v>0</v>
      </c>
    </row>
    <row r="197" spans="1:16" x14ac:dyDescent="0.3">
      <c r="A197" s="2" t="s">
        <v>67</v>
      </c>
      <c r="B197" s="2" t="s">
        <v>48</v>
      </c>
      <c r="C197" s="2" t="s">
        <v>29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8">
        <f t="shared" si="6"/>
        <v>0</v>
      </c>
    </row>
    <row r="198" spans="1:16" x14ac:dyDescent="0.3">
      <c r="A198" s="2" t="s">
        <v>67</v>
      </c>
      <c r="B198" s="2" t="s">
        <v>48</v>
      </c>
      <c r="C198" s="2" t="s">
        <v>30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8">
        <f t="shared" si="6"/>
        <v>0</v>
      </c>
    </row>
    <row r="199" spans="1:16" x14ac:dyDescent="0.3">
      <c r="A199" s="2" t="s">
        <v>67</v>
      </c>
      <c r="B199" s="2" t="s">
        <v>48</v>
      </c>
      <c r="C199" s="2" t="s">
        <v>31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8">
        <f t="shared" si="6"/>
        <v>0</v>
      </c>
    </row>
    <row r="200" spans="1:16" x14ac:dyDescent="0.3">
      <c r="A200" s="2" t="s">
        <v>67</v>
      </c>
      <c r="B200" s="2" t="s">
        <v>48</v>
      </c>
      <c r="C200" s="2" t="s">
        <v>32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8">
        <f t="shared" si="6"/>
        <v>0</v>
      </c>
    </row>
    <row r="201" spans="1:16" x14ac:dyDescent="0.3">
      <c r="A201" s="2" t="s">
        <v>67</v>
      </c>
      <c r="B201" s="2" t="s">
        <v>48</v>
      </c>
      <c r="C201" s="2" t="s">
        <v>33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8">
        <f t="shared" si="6"/>
        <v>0</v>
      </c>
    </row>
    <row r="202" spans="1:16" x14ac:dyDescent="0.3">
      <c r="A202" s="2" t="s">
        <v>67</v>
      </c>
      <c r="B202" s="2" t="s">
        <v>48</v>
      </c>
      <c r="C202" s="2" t="s">
        <v>34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8">
        <f t="shared" si="6"/>
        <v>0</v>
      </c>
    </row>
    <row r="203" spans="1:16" x14ac:dyDescent="0.3">
      <c r="A203" s="2" t="s">
        <v>67</v>
      </c>
      <c r="B203" s="2" t="s">
        <v>48</v>
      </c>
      <c r="C203" s="2" t="s">
        <v>35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8">
        <f t="shared" si="6"/>
        <v>0</v>
      </c>
    </row>
    <row r="204" spans="1:16" x14ac:dyDescent="0.3">
      <c r="A204" s="2" t="s">
        <v>67</v>
      </c>
      <c r="B204" s="2" t="s">
        <v>48</v>
      </c>
      <c r="C204" s="2" t="s">
        <v>36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8">
        <f t="shared" si="6"/>
        <v>0</v>
      </c>
    </row>
    <row r="205" spans="1:16" x14ac:dyDescent="0.3">
      <c r="A205" s="2" t="s">
        <v>67</v>
      </c>
      <c r="B205" s="2" t="s">
        <v>48</v>
      </c>
      <c r="C205" s="2" t="s">
        <v>37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8">
        <f t="shared" si="6"/>
        <v>0</v>
      </c>
    </row>
    <row r="206" spans="1:16" x14ac:dyDescent="0.3">
      <c r="A206" s="2" t="s">
        <v>67</v>
      </c>
      <c r="B206" s="2" t="s">
        <v>48</v>
      </c>
      <c r="C206" s="2" t="s">
        <v>38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8">
        <f t="shared" si="6"/>
        <v>0</v>
      </c>
    </row>
    <row r="207" spans="1:16" x14ac:dyDescent="0.3">
      <c r="A207" s="2" t="s">
        <v>67</v>
      </c>
      <c r="B207" s="2" t="s">
        <v>48</v>
      </c>
      <c r="C207" s="2" t="s">
        <v>39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8">
        <f t="shared" si="6"/>
        <v>0</v>
      </c>
    </row>
    <row r="208" spans="1:16" x14ac:dyDescent="0.3">
      <c r="A208" s="2" t="s">
        <v>67</v>
      </c>
      <c r="B208" s="2" t="s">
        <v>48</v>
      </c>
      <c r="C208" s="2" t="s">
        <v>40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8">
        <f t="shared" si="6"/>
        <v>0</v>
      </c>
    </row>
    <row r="209" spans="1:16" x14ac:dyDescent="0.3">
      <c r="A209" s="2" t="s">
        <v>67</v>
      </c>
      <c r="B209" s="2" t="s">
        <v>49</v>
      </c>
      <c r="C209" s="2" t="s">
        <v>18</v>
      </c>
      <c r="D209" s="7">
        <f t="shared" ref="D209:O209" si="7">D140+D163</f>
        <v>23.024999999999999</v>
      </c>
      <c r="E209" s="7">
        <f t="shared" si="7"/>
        <v>23.024999999999999</v>
      </c>
      <c r="F209" s="7">
        <f t="shared" si="7"/>
        <v>23.024999999999999</v>
      </c>
      <c r="G209" s="7">
        <f t="shared" si="7"/>
        <v>23.024999999999999</v>
      </c>
      <c r="H209" s="7">
        <f t="shared" si="7"/>
        <v>23.024999999999999</v>
      </c>
      <c r="I209" s="7">
        <f t="shared" si="7"/>
        <v>23.024999999999999</v>
      </c>
      <c r="J209" s="7">
        <f t="shared" si="7"/>
        <v>23.024999999999999</v>
      </c>
      <c r="K209" s="7">
        <f t="shared" si="7"/>
        <v>23.024999999999999</v>
      </c>
      <c r="L209" s="7">
        <f t="shared" si="7"/>
        <v>23.024999999999999</v>
      </c>
      <c r="M209" s="7">
        <f t="shared" si="7"/>
        <v>23.024999999999999</v>
      </c>
      <c r="N209" s="7">
        <f t="shared" si="7"/>
        <v>23.024999999999999</v>
      </c>
      <c r="O209" s="7">
        <f t="shared" si="7"/>
        <v>23.024999999999999</v>
      </c>
      <c r="P209" s="8">
        <f t="shared" si="6"/>
        <v>276.3</v>
      </c>
    </row>
    <row r="210" spans="1:16" x14ac:dyDescent="0.3">
      <c r="A210" s="2" t="s">
        <v>67</v>
      </c>
      <c r="B210" s="2" t="s">
        <v>49</v>
      </c>
      <c r="C210" s="2" t="s">
        <v>19</v>
      </c>
      <c r="D210" s="7">
        <f t="shared" ref="D210:O210" si="8">D141+D164</f>
        <v>20.958333333333329</v>
      </c>
      <c r="E210" s="7">
        <f t="shared" si="8"/>
        <v>20.958333333333329</v>
      </c>
      <c r="F210" s="7">
        <f t="shared" si="8"/>
        <v>20.958333333333329</v>
      </c>
      <c r="G210" s="7">
        <f t="shared" si="8"/>
        <v>20.958333333333329</v>
      </c>
      <c r="H210" s="7">
        <f t="shared" si="8"/>
        <v>20.958333333333329</v>
      </c>
      <c r="I210" s="7">
        <f t="shared" si="8"/>
        <v>20.958333333333329</v>
      </c>
      <c r="J210" s="7">
        <f t="shared" si="8"/>
        <v>20.958333333333329</v>
      </c>
      <c r="K210" s="7">
        <f t="shared" si="8"/>
        <v>20.958333333333329</v>
      </c>
      <c r="L210" s="7">
        <f t="shared" si="8"/>
        <v>20.958333333333329</v>
      </c>
      <c r="M210" s="7">
        <f t="shared" si="8"/>
        <v>20.958333333333329</v>
      </c>
      <c r="N210" s="7">
        <f t="shared" si="8"/>
        <v>20.958333333333329</v>
      </c>
      <c r="O210" s="7">
        <f t="shared" si="8"/>
        <v>20.958333333333329</v>
      </c>
      <c r="P210" s="8">
        <f t="shared" si="6"/>
        <v>251.49999999999989</v>
      </c>
    </row>
    <row r="211" spans="1:16" x14ac:dyDescent="0.3">
      <c r="A211" s="2" t="s">
        <v>67</v>
      </c>
      <c r="B211" s="2" t="s">
        <v>49</v>
      </c>
      <c r="C211" s="2" t="s">
        <v>20</v>
      </c>
      <c r="D211" s="7">
        <f t="shared" ref="D211:O211" si="9">D142+D165</f>
        <v>21.18333333333333</v>
      </c>
      <c r="E211" s="7">
        <f t="shared" si="9"/>
        <v>21.18333333333333</v>
      </c>
      <c r="F211" s="7">
        <f t="shared" si="9"/>
        <v>21.18333333333333</v>
      </c>
      <c r="G211" s="7">
        <f t="shared" si="9"/>
        <v>21.18333333333333</v>
      </c>
      <c r="H211" s="7">
        <f t="shared" si="9"/>
        <v>21.18333333333333</v>
      </c>
      <c r="I211" s="7">
        <f t="shared" si="9"/>
        <v>21.18333333333333</v>
      </c>
      <c r="J211" s="7">
        <f t="shared" si="9"/>
        <v>21.18333333333333</v>
      </c>
      <c r="K211" s="7">
        <f t="shared" si="9"/>
        <v>21.18333333333333</v>
      </c>
      <c r="L211" s="7">
        <f t="shared" si="9"/>
        <v>21.18333333333333</v>
      </c>
      <c r="M211" s="7">
        <f t="shared" si="9"/>
        <v>21.18333333333333</v>
      </c>
      <c r="N211" s="7">
        <f t="shared" si="9"/>
        <v>21.18333333333333</v>
      </c>
      <c r="O211" s="7">
        <f t="shared" si="9"/>
        <v>21.18333333333333</v>
      </c>
      <c r="P211" s="8">
        <f t="shared" si="6"/>
        <v>254.20000000000002</v>
      </c>
    </row>
    <row r="212" spans="1:16" x14ac:dyDescent="0.3">
      <c r="A212" s="2" t="s">
        <v>67</v>
      </c>
      <c r="B212" s="2" t="s">
        <v>49</v>
      </c>
      <c r="C212" s="2" t="s">
        <v>21</v>
      </c>
      <c r="D212" s="7">
        <f t="shared" ref="D212:O212" si="10">D143+D166</f>
        <v>20.675000000000001</v>
      </c>
      <c r="E212" s="7">
        <f t="shared" si="10"/>
        <v>20.675000000000001</v>
      </c>
      <c r="F212" s="7">
        <f t="shared" si="10"/>
        <v>20.675000000000001</v>
      </c>
      <c r="G212" s="7">
        <f t="shared" si="10"/>
        <v>20.675000000000001</v>
      </c>
      <c r="H212" s="7">
        <f t="shared" si="10"/>
        <v>20.675000000000001</v>
      </c>
      <c r="I212" s="7">
        <f t="shared" si="10"/>
        <v>20.675000000000001</v>
      </c>
      <c r="J212" s="7">
        <f t="shared" si="10"/>
        <v>20.675000000000001</v>
      </c>
      <c r="K212" s="7">
        <f t="shared" si="10"/>
        <v>20.675000000000001</v>
      </c>
      <c r="L212" s="7">
        <f t="shared" si="10"/>
        <v>20.675000000000001</v>
      </c>
      <c r="M212" s="7">
        <f t="shared" si="10"/>
        <v>20.675000000000001</v>
      </c>
      <c r="N212" s="7">
        <f t="shared" si="10"/>
        <v>20.675000000000001</v>
      </c>
      <c r="O212" s="7">
        <f t="shared" si="10"/>
        <v>20.675000000000001</v>
      </c>
      <c r="P212" s="8">
        <f t="shared" si="6"/>
        <v>248.10000000000005</v>
      </c>
    </row>
    <row r="213" spans="1:16" x14ac:dyDescent="0.3">
      <c r="A213" s="2" t="s">
        <v>67</v>
      </c>
      <c r="B213" s="2" t="s">
        <v>49</v>
      </c>
      <c r="C213" s="2" t="s">
        <v>22</v>
      </c>
      <c r="D213" s="7">
        <f t="shared" ref="D213:O213" si="11">D144+D167</f>
        <v>21.375</v>
      </c>
      <c r="E213" s="7">
        <f t="shared" si="11"/>
        <v>21.375</v>
      </c>
      <c r="F213" s="7">
        <f t="shared" si="11"/>
        <v>21.375</v>
      </c>
      <c r="G213" s="7">
        <f t="shared" si="11"/>
        <v>21.375</v>
      </c>
      <c r="H213" s="7">
        <f t="shared" si="11"/>
        <v>21.375</v>
      </c>
      <c r="I213" s="7">
        <f t="shared" si="11"/>
        <v>21.375</v>
      </c>
      <c r="J213" s="7">
        <f t="shared" si="11"/>
        <v>21.375</v>
      </c>
      <c r="K213" s="7">
        <f t="shared" si="11"/>
        <v>21.375</v>
      </c>
      <c r="L213" s="7">
        <f t="shared" si="11"/>
        <v>21.375</v>
      </c>
      <c r="M213" s="7">
        <f t="shared" si="11"/>
        <v>21.375</v>
      </c>
      <c r="N213" s="7">
        <f t="shared" si="11"/>
        <v>21.375</v>
      </c>
      <c r="O213" s="7">
        <f t="shared" si="11"/>
        <v>21.375</v>
      </c>
      <c r="P213" s="8">
        <f t="shared" si="6"/>
        <v>256.5</v>
      </c>
    </row>
    <row r="214" spans="1:16" x14ac:dyDescent="0.3">
      <c r="A214" s="2" t="s">
        <v>67</v>
      </c>
      <c r="B214" s="2" t="s">
        <v>49</v>
      </c>
      <c r="C214" s="2" t="s">
        <v>23</v>
      </c>
      <c r="D214" s="7">
        <f t="shared" ref="D214:O214" si="12">D145+D168</f>
        <v>19.041666666666671</v>
      </c>
      <c r="E214" s="7">
        <f t="shared" si="12"/>
        <v>19.041666666666671</v>
      </c>
      <c r="F214" s="7">
        <f t="shared" si="12"/>
        <v>19.041666666666671</v>
      </c>
      <c r="G214" s="7">
        <f t="shared" si="12"/>
        <v>19.041666666666671</v>
      </c>
      <c r="H214" s="7">
        <f t="shared" si="12"/>
        <v>19.041666666666671</v>
      </c>
      <c r="I214" s="7">
        <f t="shared" si="12"/>
        <v>19.041666666666671</v>
      </c>
      <c r="J214" s="7">
        <f t="shared" si="12"/>
        <v>19.041666666666671</v>
      </c>
      <c r="K214" s="7">
        <f t="shared" si="12"/>
        <v>19.041666666666671</v>
      </c>
      <c r="L214" s="7">
        <f t="shared" si="12"/>
        <v>19.041666666666671</v>
      </c>
      <c r="M214" s="7">
        <f t="shared" si="12"/>
        <v>19.041666666666671</v>
      </c>
      <c r="N214" s="7">
        <f t="shared" si="12"/>
        <v>19.041666666666671</v>
      </c>
      <c r="O214" s="7">
        <f t="shared" si="12"/>
        <v>19.041666666666671</v>
      </c>
      <c r="P214" s="8">
        <f t="shared" si="6"/>
        <v>228.50000000000011</v>
      </c>
    </row>
    <row r="215" spans="1:16" x14ac:dyDescent="0.3">
      <c r="A215" s="2" t="s">
        <v>67</v>
      </c>
      <c r="B215" s="2" t="s">
        <v>49</v>
      </c>
      <c r="C215" s="2" t="s">
        <v>24</v>
      </c>
      <c r="D215" s="7">
        <f t="shared" ref="D215:O215" si="13">D146+D169</f>
        <v>19.691666666666659</v>
      </c>
      <c r="E215" s="7">
        <f t="shared" si="13"/>
        <v>19.691666666666659</v>
      </c>
      <c r="F215" s="7">
        <f t="shared" si="13"/>
        <v>19.691666666666659</v>
      </c>
      <c r="G215" s="7">
        <f t="shared" si="13"/>
        <v>19.691666666666659</v>
      </c>
      <c r="H215" s="7">
        <f t="shared" si="13"/>
        <v>19.691666666666659</v>
      </c>
      <c r="I215" s="7">
        <f t="shared" si="13"/>
        <v>19.691666666666659</v>
      </c>
      <c r="J215" s="7">
        <f t="shared" si="13"/>
        <v>19.691666666666659</v>
      </c>
      <c r="K215" s="7">
        <f t="shared" si="13"/>
        <v>19.691666666666659</v>
      </c>
      <c r="L215" s="7">
        <f t="shared" si="13"/>
        <v>19.691666666666659</v>
      </c>
      <c r="M215" s="7">
        <f t="shared" si="13"/>
        <v>19.691666666666659</v>
      </c>
      <c r="N215" s="7">
        <f t="shared" si="13"/>
        <v>19.691666666666659</v>
      </c>
      <c r="O215" s="7">
        <f t="shared" si="13"/>
        <v>19.691666666666659</v>
      </c>
      <c r="P215" s="8">
        <f t="shared" si="6"/>
        <v>236.29999999999993</v>
      </c>
    </row>
    <row r="216" spans="1:16" x14ac:dyDescent="0.3">
      <c r="A216" s="2" t="s">
        <v>67</v>
      </c>
      <c r="B216" s="2" t="s">
        <v>49</v>
      </c>
      <c r="C216" s="2" t="s">
        <v>25</v>
      </c>
      <c r="D216" s="7">
        <f t="shared" ref="D216:O216" si="14">D147+D170</f>
        <v>21.733333333333331</v>
      </c>
      <c r="E216" s="7">
        <f t="shared" si="14"/>
        <v>21.733333333333331</v>
      </c>
      <c r="F216" s="7">
        <f t="shared" si="14"/>
        <v>21.733333333333331</v>
      </c>
      <c r="G216" s="7">
        <f t="shared" si="14"/>
        <v>21.733333333333331</v>
      </c>
      <c r="H216" s="7">
        <f t="shared" si="14"/>
        <v>21.733333333333331</v>
      </c>
      <c r="I216" s="7">
        <f t="shared" si="14"/>
        <v>21.733333333333331</v>
      </c>
      <c r="J216" s="7">
        <f t="shared" si="14"/>
        <v>21.733333333333331</v>
      </c>
      <c r="K216" s="7">
        <f t="shared" si="14"/>
        <v>21.733333333333331</v>
      </c>
      <c r="L216" s="7">
        <f t="shared" si="14"/>
        <v>21.733333333333331</v>
      </c>
      <c r="M216" s="7">
        <f t="shared" si="14"/>
        <v>21.733333333333331</v>
      </c>
      <c r="N216" s="7">
        <f t="shared" si="14"/>
        <v>21.733333333333331</v>
      </c>
      <c r="O216" s="7">
        <f t="shared" si="14"/>
        <v>21.733333333333331</v>
      </c>
      <c r="P216" s="8">
        <f t="shared" si="6"/>
        <v>260.7999999999999</v>
      </c>
    </row>
    <row r="217" spans="1:16" x14ac:dyDescent="0.3">
      <c r="A217" s="2" t="s">
        <v>67</v>
      </c>
      <c r="B217" s="2" t="s">
        <v>49</v>
      </c>
      <c r="C217" s="2" t="s">
        <v>26</v>
      </c>
      <c r="D217" s="7">
        <f t="shared" ref="D217:O217" si="15">D148+D171</f>
        <v>21.216666666666669</v>
      </c>
      <c r="E217" s="7">
        <f t="shared" si="15"/>
        <v>21.216666666666669</v>
      </c>
      <c r="F217" s="7">
        <f t="shared" si="15"/>
        <v>21.216666666666669</v>
      </c>
      <c r="G217" s="7">
        <f t="shared" si="15"/>
        <v>21.216666666666669</v>
      </c>
      <c r="H217" s="7">
        <f t="shared" si="15"/>
        <v>21.216666666666669</v>
      </c>
      <c r="I217" s="7">
        <f t="shared" si="15"/>
        <v>21.216666666666669</v>
      </c>
      <c r="J217" s="7">
        <f t="shared" si="15"/>
        <v>21.216666666666669</v>
      </c>
      <c r="K217" s="7">
        <f t="shared" si="15"/>
        <v>21.216666666666669</v>
      </c>
      <c r="L217" s="7">
        <f t="shared" si="15"/>
        <v>21.216666666666669</v>
      </c>
      <c r="M217" s="7">
        <f t="shared" si="15"/>
        <v>21.216666666666669</v>
      </c>
      <c r="N217" s="7">
        <f t="shared" si="15"/>
        <v>21.216666666666669</v>
      </c>
      <c r="O217" s="7">
        <f t="shared" si="15"/>
        <v>21.216666666666669</v>
      </c>
      <c r="P217" s="8">
        <f t="shared" si="6"/>
        <v>254.60000000000002</v>
      </c>
    </row>
    <row r="218" spans="1:16" x14ac:dyDescent="0.3">
      <c r="A218" s="2" t="s">
        <v>67</v>
      </c>
      <c r="B218" s="2" t="s">
        <v>49</v>
      </c>
      <c r="C218" s="2" t="s">
        <v>27</v>
      </c>
      <c r="D218" s="7">
        <f t="shared" ref="D218:O218" si="16">D149+D172</f>
        <v>19.366666666666671</v>
      </c>
      <c r="E218" s="7">
        <f t="shared" si="16"/>
        <v>19.366666666666671</v>
      </c>
      <c r="F218" s="7">
        <f t="shared" si="16"/>
        <v>19.366666666666671</v>
      </c>
      <c r="G218" s="7">
        <f t="shared" si="16"/>
        <v>19.366666666666671</v>
      </c>
      <c r="H218" s="7">
        <f t="shared" si="16"/>
        <v>19.366666666666671</v>
      </c>
      <c r="I218" s="7">
        <f t="shared" si="16"/>
        <v>19.366666666666671</v>
      </c>
      <c r="J218" s="7">
        <f t="shared" si="16"/>
        <v>19.366666666666671</v>
      </c>
      <c r="K218" s="7">
        <f t="shared" si="16"/>
        <v>19.366666666666671</v>
      </c>
      <c r="L218" s="7">
        <f t="shared" si="16"/>
        <v>19.366666666666671</v>
      </c>
      <c r="M218" s="7">
        <f t="shared" si="16"/>
        <v>19.366666666666671</v>
      </c>
      <c r="N218" s="7">
        <f t="shared" si="16"/>
        <v>19.366666666666671</v>
      </c>
      <c r="O218" s="7">
        <f t="shared" si="16"/>
        <v>19.366666666666671</v>
      </c>
      <c r="P218" s="8">
        <f t="shared" si="6"/>
        <v>232.40000000000006</v>
      </c>
    </row>
    <row r="219" spans="1:16" x14ac:dyDescent="0.3">
      <c r="A219" s="2" t="s">
        <v>67</v>
      </c>
      <c r="B219" s="2" t="s">
        <v>49</v>
      </c>
      <c r="C219" s="2" t="s">
        <v>28</v>
      </c>
      <c r="D219" s="7">
        <f t="shared" ref="D219:O219" si="17">D150+D173</f>
        <v>19.258333333333329</v>
      </c>
      <c r="E219" s="7">
        <f t="shared" si="17"/>
        <v>19.258333333333329</v>
      </c>
      <c r="F219" s="7">
        <f t="shared" si="17"/>
        <v>19.258333333333329</v>
      </c>
      <c r="G219" s="7">
        <f t="shared" si="17"/>
        <v>19.258333333333329</v>
      </c>
      <c r="H219" s="7">
        <f t="shared" si="17"/>
        <v>19.258333333333329</v>
      </c>
      <c r="I219" s="7">
        <f t="shared" si="17"/>
        <v>19.258333333333329</v>
      </c>
      <c r="J219" s="7">
        <f t="shared" si="17"/>
        <v>19.258333333333329</v>
      </c>
      <c r="K219" s="7">
        <f t="shared" si="17"/>
        <v>19.258333333333329</v>
      </c>
      <c r="L219" s="7">
        <f t="shared" si="17"/>
        <v>19.258333333333329</v>
      </c>
      <c r="M219" s="7">
        <f t="shared" si="17"/>
        <v>19.258333333333329</v>
      </c>
      <c r="N219" s="7">
        <f t="shared" si="17"/>
        <v>19.258333333333329</v>
      </c>
      <c r="O219" s="7">
        <f t="shared" si="17"/>
        <v>19.258333333333329</v>
      </c>
      <c r="P219" s="8">
        <f t="shared" si="6"/>
        <v>231.09999999999994</v>
      </c>
    </row>
    <row r="220" spans="1:16" x14ac:dyDescent="0.3">
      <c r="A220" s="2" t="s">
        <v>67</v>
      </c>
      <c r="B220" s="2" t="s">
        <v>49</v>
      </c>
      <c r="C220" s="2" t="s">
        <v>29</v>
      </c>
      <c r="D220" s="7">
        <f t="shared" ref="D220:O220" si="18">D151+D174</f>
        <v>19.691666666666659</v>
      </c>
      <c r="E220" s="7">
        <f t="shared" si="18"/>
        <v>19.691666666666659</v>
      </c>
      <c r="F220" s="7">
        <f t="shared" si="18"/>
        <v>19.691666666666659</v>
      </c>
      <c r="G220" s="7">
        <f t="shared" si="18"/>
        <v>19.691666666666659</v>
      </c>
      <c r="H220" s="7">
        <f t="shared" si="18"/>
        <v>19.691666666666659</v>
      </c>
      <c r="I220" s="7">
        <f t="shared" si="18"/>
        <v>19.691666666666659</v>
      </c>
      <c r="J220" s="7">
        <f t="shared" si="18"/>
        <v>19.691666666666659</v>
      </c>
      <c r="K220" s="7">
        <f t="shared" si="18"/>
        <v>19.691666666666659</v>
      </c>
      <c r="L220" s="7">
        <f t="shared" si="18"/>
        <v>19.691666666666659</v>
      </c>
      <c r="M220" s="7">
        <f t="shared" si="18"/>
        <v>19.691666666666659</v>
      </c>
      <c r="N220" s="7">
        <f t="shared" si="18"/>
        <v>19.691666666666659</v>
      </c>
      <c r="O220" s="7">
        <f t="shared" si="18"/>
        <v>19.691666666666659</v>
      </c>
      <c r="P220" s="8">
        <f t="shared" si="6"/>
        <v>236.29999999999993</v>
      </c>
    </row>
    <row r="221" spans="1:16" x14ac:dyDescent="0.3">
      <c r="A221" s="2" t="s">
        <v>67</v>
      </c>
      <c r="B221" s="2" t="s">
        <v>49</v>
      </c>
      <c r="C221" s="2" t="s">
        <v>30</v>
      </c>
      <c r="D221" s="7">
        <f t="shared" ref="D221:O221" si="19">D152+D175</f>
        <v>16.716666666666669</v>
      </c>
      <c r="E221" s="7">
        <f t="shared" si="19"/>
        <v>16.716666666666669</v>
      </c>
      <c r="F221" s="7">
        <f t="shared" si="19"/>
        <v>16.716666666666669</v>
      </c>
      <c r="G221" s="7">
        <f t="shared" si="19"/>
        <v>16.716666666666669</v>
      </c>
      <c r="H221" s="7">
        <f t="shared" si="19"/>
        <v>16.716666666666669</v>
      </c>
      <c r="I221" s="7">
        <f t="shared" si="19"/>
        <v>16.716666666666669</v>
      </c>
      <c r="J221" s="7">
        <f t="shared" si="19"/>
        <v>16.716666666666669</v>
      </c>
      <c r="K221" s="7">
        <f t="shared" si="19"/>
        <v>16.716666666666669</v>
      </c>
      <c r="L221" s="7">
        <f t="shared" si="19"/>
        <v>16.716666666666669</v>
      </c>
      <c r="M221" s="7">
        <f t="shared" si="19"/>
        <v>16.716666666666669</v>
      </c>
      <c r="N221" s="7">
        <f t="shared" si="19"/>
        <v>16.716666666666669</v>
      </c>
      <c r="O221" s="7">
        <f t="shared" si="19"/>
        <v>16.716666666666669</v>
      </c>
      <c r="P221" s="8">
        <f t="shared" si="6"/>
        <v>200.60000000000002</v>
      </c>
    </row>
    <row r="222" spans="1:16" x14ac:dyDescent="0.3">
      <c r="A222" s="2" t="s">
        <v>67</v>
      </c>
      <c r="B222" s="2" t="s">
        <v>49</v>
      </c>
      <c r="C222" s="2" t="s">
        <v>31</v>
      </c>
      <c r="D222" s="7">
        <f t="shared" ref="D222:O222" si="20">D153+D176</f>
        <v>17.425000000000001</v>
      </c>
      <c r="E222" s="7">
        <f t="shared" si="20"/>
        <v>17.425000000000001</v>
      </c>
      <c r="F222" s="7">
        <f t="shared" si="20"/>
        <v>17.425000000000001</v>
      </c>
      <c r="G222" s="7">
        <f t="shared" si="20"/>
        <v>17.425000000000001</v>
      </c>
      <c r="H222" s="7">
        <f t="shared" si="20"/>
        <v>17.425000000000001</v>
      </c>
      <c r="I222" s="7">
        <f t="shared" si="20"/>
        <v>17.425000000000001</v>
      </c>
      <c r="J222" s="7">
        <f t="shared" si="20"/>
        <v>17.425000000000001</v>
      </c>
      <c r="K222" s="7">
        <f t="shared" si="20"/>
        <v>17.425000000000001</v>
      </c>
      <c r="L222" s="7">
        <f t="shared" si="20"/>
        <v>17.425000000000001</v>
      </c>
      <c r="M222" s="7">
        <f t="shared" si="20"/>
        <v>17.425000000000001</v>
      </c>
      <c r="N222" s="7">
        <f t="shared" si="20"/>
        <v>17.425000000000001</v>
      </c>
      <c r="O222" s="7">
        <f t="shared" si="20"/>
        <v>17.425000000000001</v>
      </c>
      <c r="P222" s="8">
        <f t="shared" ref="P222:P253" si="21">SUM(D222:O222)</f>
        <v>209.10000000000005</v>
      </c>
    </row>
    <row r="223" spans="1:16" x14ac:dyDescent="0.3">
      <c r="A223" s="2" t="s">
        <v>67</v>
      </c>
      <c r="B223" s="2" t="s">
        <v>49</v>
      </c>
      <c r="C223" s="2" t="s">
        <v>32</v>
      </c>
      <c r="D223" s="7">
        <f t="shared" ref="D223:O223" si="22">D154+D177</f>
        <v>14.46666666666667</v>
      </c>
      <c r="E223" s="7">
        <f t="shared" si="22"/>
        <v>14.46666666666667</v>
      </c>
      <c r="F223" s="7">
        <f t="shared" si="22"/>
        <v>14.46666666666667</v>
      </c>
      <c r="G223" s="7">
        <f t="shared" si="22"/>
        <v>14.46666666666667</v>
      </c>
      <c r="H223" s="7">
        <f t="shared" si="22"/>
        <v>14.46666666666667</v>
      </c>
      <c r="I223" s="7">
        <f t="shared" si="22"/>
        <v>14.46666666666667</v>
      </c>
      <c r="J223" s="7">
        <f t="shared" si="22"/>
        <v>14.46666666666667</v>
      </c>
      <c r="K223" s="7">
        <f t="shared" si="22"/>
        <v>14.46666666666667</v>
      </c>
      <c r="L223" s="7">
        <f t="shared" si="22"/>
        <v>14.46666666666667</v>
      </c>
      <c r="M223" s="7">
        <f t="shared" si="22"/>
        <v>14.46666666666667</v>
      </c>
      <c r="N223" s="7">
        <f t="shared" si="22"/>
        <v>14.46666666666667</v>
      </c>
      <c r="O223" s="7">
        <f t="shared" si="22"/>
        <v>14.46666666666667</v>
      </c>
      <c r="P223" s="8">
        <f t="shared" si="21"/>
        <v>173.60000000000005</v>
      </c>
    </row>
    <row r="224" spans="1:16" x14ac:dyDescent="0.3">
      <c r="A224" s="2" t="s">
        <v>67</v>
      </c>
      <c r="B224" s="2" t="s">
        <v>49</v>
      </c>
      <c r="C224" s="2" t="s">
        <v>33</v>
      </c>
      <c r="D224" s="7">
        <f t="shared" ref="D224:O224" si="23">D155+D178</f>
        <v>16.774999999999999</v>
      </c>
      <c r="E224" s="7">
        <f t="shared" si="23"/>
        <v>16.774999999999999</v>
      </c>
      <c r="F224" s="7">
        <f t="shared" si="23"/>
        <v>16.774999999999999</v>
      </c>
      <c r="G224" s="7">
        <f t="shared" si="23"/>
        <v>16.774999999999999</v>
      </c>
      <c r="H224" s="7">
        <f t="shared" si="23"/>
        <v>16.774999999999999</v>
      </c>
      <c r="I224" s="7">
        <f t="shared" si="23"/>
        <v>16.774999999999999</v>
      </c>
      <c r="J224" s="7">
        <f t="shared" si="23"/>
        <v>16.774999999999999</v>
      </c>
      <c r="K224" s="7">
        <f t="shared" si="23"/>
        <v>16.774999999999999</v>
      </c>
      <c r="L224" s="7">
        <f t="shared" si="23"/>
        <v>16.774999999999999</v>
      </c>
      <c r="M224" s="7">
        <f t="shared" si="23"/>
        <v>16.774999999999999</v>
      </c>
      <c r="N224" s="7">
        <f t="shared" si="23"/>
        <v>16.774999999999999</v>
      </c>
      <c r="O224" s="7">
        <f t="shared" si="23"/>
        <v>16.774999999999999</v>
      </c>
      <c r="P224" s="8">
        <f t="shared" si="21"/>
        <v>201.30000000000004</v>
      </c>
    </row>
    <row r="225" spans="1:16" x14ac:dyDescent="0.3">
      <c r="A225" s="2" t="s">
        <v>67</v>
      </c>
      <c r="B225" s="2" t="s">
        <v>49</v>
      </c>
      <c r="C225" s="2" t="s">
        <v>34</v>
      </c>
      <c r="D225" s="7">
        <f t="shared" ref="D225:O225" si="24">D156+D179</f>
        <v>17.008333333333329</v>
      </c>
      <c r="E225" s="7">
        <f t="shared" si="24"/>
        <v>17.008333333333329</v>
      </c>
      <c r="F225" s="7">
        <f t="shared" si="24"/>
        <v>17.008333333333329</v>
      </c>
      <c r="G225" s="7">
        <f t="shared" si="24"/>
        <v>17.008333333333329</v>
      </c>
      <c r="H225" s="7">
        <f t="shared" si="24"/>
        <v>17.008333333333329</v>
      </c>
      <c r="I225" s="7">
        <f t="shared" si="24"/>
        <v>17.008333333333329</v>
      </c>
      <c r="J225" s="7">
        <f t="shared" si="24"/>
        <v>17.008333333333329</v>
      </c>
      <c r="K225" s="7">
        <f t="shared" si="24"/>
        <v>17.008333333333329</v>
      </c>
      <c r="L225" s="7">
        <f t="shared" si="24"/>
        <v>17.008333333333329</v>
      </c>
      <c r="M225" s="7">
        <f t="shared" si="24"/>
        <v>17.008333333333329</v>
      </c>
      <c r="N225" s="7">
        <f t="shared" si="24"/>
        <v>17.008333333333329</v>
      </c>
      <c r="O225" s="7">
        <f t="shared" si="24"/>
        <v>17.008333333333329</v>
      </c>
      <c r="P225" s="8">
        <f t="shared" si="21"/>
        <v>204.09999999999994</v>
      </c>
    </row>
    <row r="226" spans="1:16" x14ac:dyDescent="0.3">
      <c r="A226" s="2" t="s">
        <v>67</v>
      </c>
      <c r="B226" s="2" t="s">
        <v>49</v>
      </c>
      <c r="C226" s="2" t="s">
        <v>35</v>
      </c>
      <c r="D226" s="7">
        <f t="shared" ref="D226:O226" si="25">D157+D180</f>
        <v>17.94166666666667</v>
      </c>
      <c r="E226" s="7">
        <f t="shared" si="25"/>
        <v>17.94166666666667</v>
      </c>
      <c r="F226" s="7">
        <f t="shared" si="25"/>
        <v>17.94166666666667</v>
      </c>
      <c r="G226" s="7">
        <f t="shared" si="25"/>
        <v>17.94166666666667</v>
      </c>
      <c r="H226" s="7">
        <f t="shared" si="25"/>
        <v>17.94166666666667</v>
      </c>
      <c r="I226" s="7">
        <f t="shared" si="25"/>
        <v>17.94166666666667</v>
      </c>
      <c r="J226" s="7">
        <f t="shared" si="25"/>
        <v>17.94166666666667</v>
      </c>
      <c r="K226" s="7">
        <f t="shared" si="25"/>
        <v>17.94166666666667</v>
      </c>
      <c r="L226" s="7">
        <f t="shared" si="25"/>
        <v>17.94166666666667</v>
      </c>
      <c r="M226" s="7">
        <f t="shared" si="25"/>
        <v>17.94166666666667</v>
      </c>
      <c r="N226" s="7">
        <f t="shared" si="25"/>
        <v>17.94166666666667</v>
      </c>
      <c r="O226" s="7">
        <f t="shared" si="25"/>
        <v>17.94166666666667</v>
      </c>
      <c r="P226" s="8">
        <f t="shared" si="21"/>
        <v>215.29999999999998</v>
      </c>
    </row>
    <row r="227" spans="1:16" x14ac:dyDescent="0.3">
      <c r="A227" s="2" t="s">
        <v>67</v>
      </c>
      <c r="B227" s="2" t="s">
        <v>49</v>
      </c>
      <c r="C227" s="2" t="s">
        <v>36</v>
      </c>
      <c r="D227" s="7">
        <f t="shared" ref="D227:O227" si="26">D158+D181</f>
        <v>16.524999999999999</v>
      </c>
      <c r="E227" s="7">
        <f t="shared" si="26"/>
        <v>16.524999999999999</v>
      </c>
      <c r="F227" s="7">
        <f t="shared" si="26"/>
        <v>16.524999999999999</v>
      </c>
      <c r="G227" s="7">
        <f t="shared" si="26"/>
        <v>16.524999999999999</v>
      </c>
      <c r="H227" s="7">
        <f t="shared" si="26"/>
        <v>16.524999999999999</v>
      </c>
      <c r="I227" s="7">
        <f t="shared" si="26"/>
        <v>16.524999999999999</v>
      </c>
      <c r="J227" s="7">
        <f t="shared" si="26"/>
        <v>16.524999999999999</v>
      </c>
      <c r="K227" s="7">
        <f t="shared" si="26"/>
        <v>16.524999999999999</v>
      </c>
      <c r="L227" s="7">
        <f t="shared" si="26"/>
        <v>16.524999999999999</v>
      </c>
      <c r="M227" s="7">
        <f t="shared" si="26"/>
        <v>16.524999999999999</v>
      </c>
      <c r="N227" s="7">
        <f t="shared" si="26"/>
        <v>16.524999999999999</v>
      </c>
      <c r="O227" s="7">
        <f t="shared" si="26"/>
        <v>16.524999999999999</v>
      </c>
      <c r="P227" s="8">
        <f t="shared" si="21"/>
        <v>198.30000000000004</v>
      </c>
    </row>
    <row r="228" spans="1:16" x14ac:dyDescent="0.3">
      <c r="A228" s="2" t="s">
        <v>67</v>
      </c>
      <c r="B228" s="2" t="s">
        <v>49</v>
      </c>
      <c r="C228" s="2" t="s">
        <v>37</v>
      </c>
      <c r="D228" s="7">
        <f t="shared" ref="D228:O228" si="27">D159+D182</f>
        <v>17.508333333333329</v>
      </c>
      <c r="E228" s="7">
        <f t="shared" si="27"/>
        <v>17.508333333333329</v>
      </c>
      <c r="F228" s="7">
        <f t="shared" si="27"/>
        <v>17.508333333333329</v>
      </c>
      <c r="G228" s="7">
        <f t="shared" si="27"/>
        <v>17.508333333333329</v>
      </c>
      <c r="H228" s="7">
        <f t="shared" si="27"/>
        <v>17.508333333333329</v>
      </c>
      <c r="I228" s="7">
        <f t="shared" si="27"/>
        <v>17.508333333333329</v>
      </c>
      <c r="J228" s="7">
        <f t="shared" si="27"/>
        <v>17.508333333333329</v>
      </c>
      <c r="K228" s="7">
        <f t="shared" si="27"/>
        <v>17.508333333333329</v>
      </c>
      <c r="L228" s="7">
        <f t="shared" si="27"/>
        <v>17.508333333333329</v>
      </c>
      <c r="M228" s="7">
        <f t="shared" si="27"/>
        <v>17.508333333333329</v>
      </c>
      <c r="N228" s="7">
        <f t="shared" si="27"/>
        <v>17.508333333333329</v>
      </c>
      <c r="O228" s="7">
        <f t="shared" si="27"/>
        <v>17.508333333333329</v>
      </c>
      <c r="P228" s="8">
        <f t="shared" si="21"/>
        <v>210.09999999999994</v>
      </c>
    </row>
    <row r="229" spans="1:16" x14ac:dyDescent="0.3">
      <c r="A229" s="2" t="s">
        <v>67</v>
      </c>
      <c r="B229" s="2" t="s">
        <v>49</v>
      </c>
      <c r="C229" s="2" t="s">
        <v>38</v>
      </c>
      <c r="D229" s="7">
        <f t="shared" ref="D229:O229" si="28">D160+D183</f>
        <v>16.18333333333333</v>
      </c>
      <c r="E229" s="7">
        <f t="shared" si="28"/>
        <v>16.18333333333333</v>
      </c>
      <c r="F229" s="7">
        <f t="shared" si="28"/>
        <v>16.18333333333333</v>
      </c>
      <c r="G229" s="7">
        <f t="shared" si="28"/>
        <v>16.18333333333333</v>
      </c>
      <c r="H229" s="7">
        <f t="shared" si="28"/>
        <v>16.18333333333333</v>
      </c>
      <c r="I229" s="7">
        <f t="shared" si="28"/>
        <v>16.18333333333333</v>
      </c>
      <c r="J229" s="7">
        <f t="shared" si="28"/>
        <v>16.18333333333333</v>
      </c>
      <c r="K229" s="7">
        <f t="shared" si="28"/>
        <v>16.18333333333333</v>
      </c>
      <c r="L229" s="7">
        <f t="shared" si="28"/>
        <v>16.18333333333333</v>
      </c>
      <c r="M229" s="7">
        <f t="shared" si="28"/>
        <v>16.18333333333333</v>
      </c>
      <c r="N229" s="7">
        <f t="shared" si="28"/>
        <v>16.18333333333333</v>
      </c>
      <c r="O229" s="7">
        <f t="shared" si="28"/>
        <v>16.18333333333333</v>
      </c>
      <c r="P229" s="8">
        <f t="shared" si="21"/>
        <v>194.20000000000002</v>
      </c>
    </row>
    <row r="230" spans="1:16" x14ac:dyDescent="0.3">
      <c r="A230" s="2" t="s">
        <v>67</v>
      </c>
      <c r="B230" s="2" t="s">
        <v>49</v>
      </c>
      <c r="C230" s="2" t="s">
        <v>39</v>
      </c>
      <c r="D230" s="7">
        <f t="shared" ref="D230:O230" si="29">D161+D184</f>
        <v>15.925000000000001</v>
      </c>
      <c r="E230" s="7">
        <f t="shared" si="29"/>
        <v>15.925000000000001</v>
      </c>
      <c r="F230" s="7">
        <f t="shared" si="29"/>
        <v>15.925000000000001</v>
      </c>
      <c r="G230" s="7">
        <f t="shared" si="29"/>
        <v>15.925000000000001</v>
      </c>
      <c r="H230" s="7">
        <f t="shared" si="29"/>
        <v>15.925000000000001</v>
      </c>
      <c r="I230" s="7">
        <f t="shared" si="29"/>
        <v>15.925000000000001</v>
      </c>
      <c r="J230" s="7">
        <f t="shared" si="29"/>
        <v>15.925000000000001</v>
      </c>
      <c r="K230" s="7">
        <f t="shared" si="29"/>
        <v>15.925000000000001</v>
      </c>
      <c r="L230" s="7">
        <f t="shared" si="29"/>
        <v>15.925000000000001</v>
      </c>
      <c r="M230" s="7">
        <f t="shared" si="29"/>
        <v>15.925000000000001</v>
      </c>
      <c r="N230" s="7">
        <f t="shared" si="29"/>
        <v>15.925000000000001</v>
      </c>
      <c r="O230" s="7">
        <f t="shared" si="29"/>
        <v>15.925000000000001</v>
      </c>
      <c r="P230" s="8">
        <f t="shared" si="21"/>
        <v>191.10000000000002</v>
      </c>
    </row>
    <row r="231" spans="1:16" x14ac:dyDescent="0.3">
      <c r="A231" s="2" t="s">
        <v>67</v>
      </c>
      <c r="B231" s="2" t="s">
        <v>49</v>
      </c>
      <c r="C231" s="2" t="s">
        <v>40</v>
      </c>
      <c r="D231" s="7">
        <f t="shared" ref="D231:O231" si="30">D162+D185</f>
        <v>16.074999999999999</v>
      </c>
      <c r="E231" s="7">
        <f t="shared" si="30"/>
        <v>16.074999999999999</v>
      </c>
      <c r="F231" s="7">
        <f t="shared" si="30"/>
        <v>16.074999999999999</v>
      </c>
      <c r="G231" s="7">
        <f t="shared" si="30"/>
        <v>16.074999999999999</v>
      </c>
      <c r="H231" s="7">
        <f t="shared" si="30"/>
        <v>16.074999999999999</v>
      </c>
      <c r="I231" s="7">
        <f t="shared" si="30"/>
        <v>16.074999999999999</v>
      </c>
      <c r="J231" s="7">
        <f t="shared" si="30"/>
        <v>16.074999999999999</v>
      </c>
      <c r="K231" s="7">
        <f t="shared" si="30"/>
        <v>16.074999999999999</v>
      </c>
      <c r="L231" s="7">
        <f t="shared" si="30"/>
        <v>16.074999999999999</v>
      </c>
      <c r="M231" s="7">
        <f t="shared" si="30"/>
        <v>16.074999999999999</v>
      </c>
      <c r="N231" s="7">
        <f t="shared" si="30"/>
        <v>16.074999999999999</v>
      </c>
      <c r="O231" s="7">
        <f t="shared" si="30"/>
        <v>16.074999999999999</v>
      </c>
      <c r="P231" s="8">
        <f t="shared" si="21"/>
        <v>192.89999999999995</v>
      </c>
    </row>
    <row r="232" spans="1:16" x14ac:dyDescent="0.3">
      <c r="A232" s="2" t="s">
        <v>67</v>
      </c>
      <c r="B232" s="2" t="s">
        <v>50</v>
      </c>
      <c r="C232" s="2" t="s">
        <v>18</v>
      </c>
      <c r="D232" s="7">
        <v>46.452666666666687</v>
      </c>
      <c r="E232" s="7">
        <v>46.452666666666687</v>
      </c>
      <c r="F232" s="7">
        <v>46.452666666666687</v>
      </c>
      <c r="G232" s="7">
        <v>46.452666666666687</v>
      </c>
      <c r="H232" s="7">
        <v>46.452666666666687</v>
      </c>
      <c r="I232" s="7">
        <v>46.452666666666687</v>
      </c>
      <c r="J232" s="7">
        <v>46.452666666666687</v>
      </c>
      <c r="K232" s="7">
        <v>46.452666666666687</v>
      </c>
      <c r="L232" s="7">
        <v>46.452666666666687</v>
      </c>
      <c r="M232" s="7">
        <v>46.452666666666687</v>
      </c>
      <c r="N232" s="7">
        <v>46.452666666666687</v>
      </c>
      <c r="O232" s="7">
        <v>46.452666666666687</v>
      </c>
      <c r="P232" s="8">
        <f t="shared" si="21"/>
        <v>557.43200000000024</v>
      </c>
    </row>
    <row r="233" spans="1:16" x14ac:dyDescent="0.3">
      <c r="A233" s="2" t="s">
        <v>67</v>
      </c>
      <c r="B233" s="2" t="s">
        <v>50</v>
      </c>
      <c r="C233" s="2" t="s">
        <v>19</v>
      </c>
      <c r="D233" s="7">
        <v>29.563000000000059</v>
      </c>
      <c r="E233" s="7">
        <v>29.563000000000059</v>
      </c>
      <c r="F233" s="7">
        <v>29.563000000000059</v>
      </c>
      <c r="G233" s="7">
        <v>29.563000000000059</v>
      </c>
      <c r="H233" s="7">
        <v>29.563000000000059</v>
      </c>
      <c r="I233" s="7">
        <v>29.563000000000059</v>
      </c>
      <c r="J233" s="7">
        <v>29.563000000000059</v>
      </c>
      <c r="K233" s="7">
        <v>29.563000000000059</v>
      </c>
      <c r="L233" s="7">
        <v>29.563000000000059</v>
      </c>
      <c r="M233" s="7">
        <v>29.563000000000059</v>
      </c>
      <c r="N233" s="7">
        <v>29.563000000000059</v>
      </c>
      <c r="O233" s="7">
        <v>29.563000000000059</v>
      </c>
      <c r="P233" s="8">
        <f t="shared" si="21"/>
        <v>354.7560000000006</v>
      </c>
    </row>
    <row r="234" spans="1:16" x14ac:dyDescent="0.3">
      <c r="A234" s="2" t="s">
        <v>67</v>
      </c>
      <c r="B234" s="2" t="s">
        <v>50</v>
      </c>
      <c r="C234" s="2" t="s">
        <v>20</v>
      </c>
      <c r="D234" s="7">
        <v>54.027166666666709</v>
      </c>
      <c r="E234" s="7">
        <v>54.027166666666709</v>
      </c>
      <c r="F234" s="7">
        <v>54.027166666666709</v>
      </c>
      <c r="G234" s="7">
        <v>54.027166666666709</v>
      </c>
      <c r="H234" s="7">
        <v>54.027166666666709</v>
      </c>
      <c r="I234" s="7">
        <v>54.027166666666709</v>
      </c>
      <c r="J234" s="7">
        <v>54.027166666666709</v>
      </c>
      <c r="K234" s="7">
        <v>54.027166666666709</v>
      </c>
      <c r="L234" s="7">
        <v>54.027166666666709</v>
      </c>
      <c r="M234" s="7">
        <v>54.027166666666709</v>
      </c>
      <c r="N234" s="7">
        <v>54.027166666666709</v>
      </c>
      <c r="O234" s="7">
        <v>54.027166666666709</v>
      </c>
      <c r="P234" s="8">
        <f t="shared" si="21"/>
        <v>648.32600000000048</v>
      </c>
    </row>
    <row r="235" spans="1:16" x14ac:dyDescent="0.3">
      <c r="A235" s="2" t="s">
        <v>67</v>
      </c>
      <c r="B235" s="2" t="s">
        <v>50</v>
      </c>
      <c r="C235" s="2" t="s">
        <v>21</v>
      </c>
      <c r="D235" s="7">
        <v>61.015166666666687</v>
      </c>
      <c r="E235" s="7">
        <v>61.015166666666687</v>
      </c>
      <c r="F235" s="7">
        <v>61.015166666666687</v>
      </c>
      <c r="G235" s="7">
        <v>61.015166666666687</v>
      </c>
      <c r="H235" s="7">
        <v>61.015166666666687</v>
      </c>
      <c r="I235" s="7">
        <v>61.015166666666687</v>
      </c>
      <c r="J235" s="7">
        <v>61.015166666666687</v>
      </c>
      <c r="K235" s="7">
        <v>61.015166666666687</v>
      </c>
      <c r="L235" s="7">
        <v>61.015166666666687</v>
      </c>
      <c r="M235" s="7">
        <v>61.015166666666687</v>
      </c>
      <c r="N235" s="7">
        <v>61.015166666666687</v>
      </c>
      <c r="O235" s="7">
        <v>61.015166666666687</v>
      </c>
      <c r="P235" s="8">
        <f t="shared" si="21"/>
        <v>732.18200000000024</v>
      </c>
    </row>
    <row r="236" spans="1:16" x14ac:dyDescent="0.3">
      <c r="A236" s="2" t="s">
        <v>67</v>
      </c>
      <c r="B236" s="2" t="s">
        <v>50</v>
      </c>
      <c r="C236" s="2" t="s">
        <v>22</v>
      </c>
      <c r="D236" s="7">
        <v>54.132666666666807</v>
      </c>
      <c r="E236" s="7">
        <v>54.132666666666807</v>
      </c>
      <c r="F236" s="7">
        <v>54.132666666666807</v>
      </c>
      <c r="G236" s="7">
        <v>54.132666666666807</v>
      </c>
      <c r="H236" s="7">
        <v>54.132666666666807</v>
      </c>
      <c r="I236" s="7">
        <v>54.132666666666807</v>
      </c>
      <c r="J236" s="7">
        <v>54.132666666666807</v>
      </c>
      <c r="K236" s="7">
        <v>54.132666666666807</v>
      </c>
      <c r="L236" s="7">
        <v>54.132666666666807</v>
      </c>
      <c r="M236" s="7">
        <v>54.132666666666807</v>
      </c>
      <c r="N236" s="7">
        <v>54.132666666666807</v>
      </c>
      <c r="O236" s="7">
        <v>54.132666666666807</v>
      </c>
      <c r="P236" s="8">
        <f t="shared" si="21"/>
        <v>649.59200000000169</v>
      </c>
    </row>
    <row r="237" spans="1:16" x14ac:dyDescent="0.3">
      <c r="A237" s="2" t="s">
        <v>67</v>
      </c>
      <c r="B237" s="2" t="s">
        <v>50</v>
      </c>
      <c r="C237" s="2" t="s">
        <v>23</v>
      </c>
      <c r="D237" s="7">
        <v>59.429833333333342</v>
      </c>
      <c r="E237" s="7">
        <v>59.429833333333342</v>
      </c>
      <c r="F237" s="7">
        <v>59.429833333333342</v>
      </c>
      <c r="G237" s="7">
        <v>59.429833333333342</v>
      </c>
      <c r="H237" s="7">
        <v>59.429833333333342</v>
      </c>
      <c r="I237" s="7">
        <v>59.429833333333342</v>
      </c>
      <c r="J237" s="7">
        <v>59.429833333333342</v>
      </c>
      <c r="K237" s="7">
        <v>59.429833333333342</v>
      </c>
      <c r="L237" s="7">
        <v>59.429833333333342</v>
      </c>
      <c r="M237" s="7">
        <v>59.429833333333342</v>
      </c>
      <c r="N237" s="7">
        <v>59.429833333333342</v>
      </c>
      <c r="O237" s="7">
        <v>59.429833333333342</v>
      </c>
      <c r="P237" s="8">
        <f t="shared" si="21"/>
        <v>713.15800000000024</v>
      </c>
    </row>
    <row r="238" spans="1:16" x14ac:dyDescent="0.3">
      <c r="A238" s="2" t="s">
        <v>67</v>
      </c>
      <c r="B238" s="2" t="s">
        <v>50</v>
      </c>
      <c r="C238" s="2" t="s">
        <v>24</v>
      </c>
      <c r="D238" s="7">
        <v>34.069500000000033</v>
      </c>
      <c r="E238" s="7">
        <v>34.069500000000033</v>
      </c>
      <c r="F238" s="7">
        <v>34.069500000000033</v>
      </c>
      <c r="G238" s="7">
        <v>34.069500000000033</v>
      </c>
      <c r="H238" s="7">
        <v>34.069500000000033</v>
      </c>
      <c r="I238" s="7">
        <v>34.069500000000033</v>
      </c>
      <c r="J238" s="7">
        <v>34.069500000000033</v>
      </c>
      <c r="K238" s="7">
        <v>34.069500000000033</v>
      </c>
      <c r="L238" s="7">
        <v>34.069500000000033</v>
      </c>
      <c r="M238" s="7">
        <v>34.069500000000033</v>
      </c>
      <c r="N238" s="7">
        <v>34.069500000000033</v>
      </c>
      <c r="O238" s="7">
        <v>34.069500000000033</v>
      </c>
      <c r="P238" s="8">
        <f t="shared" si="21"/>
        <v>408.83400000000051</v>
      </c>
    </row>
    <row r="239" spans="1:16" x14ac:dyDescent="0.3">
      <c r="A239" s="2" t="s">
        <v>67</v>
      </c>
      <c r="B239" s="2" t="s">
        <v>50</v>
      </c>
      <c r="C239" s="2" t="s">
        <v>25</v>
      </c>
      <c r="D239" s="7">
        <v>130.5796666666667</v>
      </c>
      <c r="E239" s="7">
        <v>130.5796666666667</v>
      </c>
      <c r="F239" s="7">
        <v>130.5796666666667</v>
      </c>
      <c r="G239" s="7">
        <v>130.5796666666667</v>
      </c>
      <c r="H239" s="7">
        <v>130.5796666666667</v>
      </c>
      <c r="I239" s="7">
        <v>130.5796666666667</v>
      </c>
      <c r="J239" s="7">
        <v>130.5796666666667</v>
      </c>
      <c r="K239" s="7">
        <v>130.5796666666667</v>
      </c>
      <c r="L239" s="7">
        <v>130.5796666666667</v>
      </c>
      <c r="M239" s="7">
        <v>130.5796666666667</v>
      </c>
      <c r="N239" s="7">
        <v>130.5796666666667</v>
      </c>
      <c r="O239" s="7">
        <v>130.5796666666667</v>
      </c>
      <c r="P239" s="8">
        <f t="shared" si="21"/>
        <v>1566.9560000000008</v>
      </c>
    </row>
    <row r="240" spans="1:16" x14ac:dyDescent="0.3">
      <c r="A240" s="2" t="s">
        <v>67</v>
      </c>
      <c r="B240" s="2" t="s">
        <v>50</v>
      </c>
      <c r="C240" s="2" t="s">
        <v>26</v>
      </c>
      <c r="D240" s="7">
        <v>79.721499999999992</v>
      </c>
      <c r="E240" s="7">
        <v>79.721499999999992</v>
      </c>
      <c r="F240" s="7">
        <v>79.721499999999992</v>
      </c>
      <c r="G240" s="7">
        <v>79.721499999999992</v>
      </c>
      <c r="H240" s="7">
        <v>79.721499999999992</v>
      </c>
      <c r="I240" s="7">
        <v>79.721499999999992</v>
      </c>
      <c r="J240" s="7">
        <v>79.721499999999992</v>
      </c>
      <c r="K240" s="7">
        <v>79.721499999999992</v>
      </c>
      <c r="L240" s="7">
        <v>79.721499999999992</v>
      </c>
      <c r="M240" s="7">
        <v>79.721499999999992</v>
      </c>
      <c r="N240" s="7">
        <v>79.721499999999992</v>
      </c>
      <c r="O240" s="7">
        <v>79.721499999999992</v>
      </c>
      <c r="P240" s="8">
        <f t="shared" si="21"/>
        <v>956.6579999999999</v>
      </c>
    </row>
    <row r="241" spans="1:16" x14ac:dyDescent="0.3">
      <c r="A241" s="2" t="s">
        <v>67</v>
      </c>
      <c r="B241" s="2" t="s">
        <v>50</v>
      </c>
      <c r="C241" s="2" t="s">
        <v>27</v>
      </c>
      <c r="D241" s="7">
        <v>56.910500000000042</v>
      </c>
      <c r="E241" s="7">
        <v>56.910500000000042</v>
      </c>
      <c r="F241" s="7">
        <v>56.910500000000042</v>
      </c>
      <c r="G241" s="7">
        <v>56.910500000000042</v>
      </c>
      <c r="H241" s="7">
        <v>56.910500000000042</v>
      </c>
      <c r="I241" s="7">
        <v>56.910500000000042</v>
      </c>
      <c r="J241" s="7">
        <v>56.910500000000042</v>
      </c>
      <c r="K241" s="7">
        <v>56.910500000000042</v>
      </c>
      <c r="L241" s="7">
        <v>56.910500000000042</v>
      </c>
      <c r="M241" s="7">
        <v>56.910500000000042</v>
      </c>
      <c r="N241" s="7">
        <v>56.910500000000042</v>
      </c>
      <c r="O241" s="7">
        <v>56.910500000000042</v>
      </c>
      <c r="P241" s="8">
        <f t="shared" si="21"/>
        <v>682.92600000000073</v>
      </c>
    </row>
    <row r="242" spans="1:16" x14ac:dyDescent="0.3">
      <c r="A242" s="2" t="s">
        <v>67</v>
      </c>
      <c r="B242" s="2" t="s">
        <v>50</v>
      </c>
      <c r="C242" s="2" t="s">
        <v>28</v>
      </c>
      <c r="D242" s="7">
        <v>39.627916666666771</v>
      </c>
      <c r="E242" s="7">
        <v>39.627916666666771</v>
      </c>
      <c r="F242" s="7">
        <v>39.627916666666771</v>
      </c>
      <c r="G242" s="7">
        <v>39.627916666666771</v>
      </c>
      <c r="H242" s="7">
        <v>39.627916666666771</v>
      </c>
      <c r="I242" s="7">
        <v>39.627916666666771</v>
      </c>
      <c r="J242" s="7">
        <v>39.627916666666771</v>
      </c>
      <c r="K242" s="7">
        <v>39.627916666666771</v>
      </c>
      <c r="L242" s="7">
        <v>39.627916666666771</v>
      </c>
      <c r="M242" s="7">
        <v>39.627916666666771</v>
      </c>
      <c r="N242" s="7">
        <v>39.627916666666771</v>
      </c>
      <c r="O242" s="7">
        <v>39.627916666666771</v>
      </c>
      <c r="P242" s="8">
        <f t="shared" si="21"/>
        <v>475.53500000000116</v>
      </c>
    </row>
    <row r="243" spans="1:16" x14ac:dyDescent="0.3">
      <c r="A243" s="2" t="s">
        <v>67</v>
      </c>
      <c r="B243" s="2" t="s">
        <v>50</v>
      </c>
      <c r="C243" s="2" t="s">
        <v>29</v>
      </c>
      <c r="D243" s="7">
        <v>54.654250000000012</v>
      </c>
      <c r="E243" s="7">
        <v>54.654250000000012</v>
      </c>
      <c r="F243" s="7">
        <v>54.654250000000012</v>
      </c>
      <c r="G243" s="7">
        <v>54.654250000000012</v>
      </c>
      <c r="H243" s="7">
        <v>54.654250000000012</v>
      </c>
      <c r="I243" s="7">
        <v>54.654250000000012</v>
      </c>
      <c r="J243" s="7">
        <v>54.654250000000012</v>
      </c>
      <c r="K243" s="7">
        <v>54.654250000000012</v>
      </c>
      <c r="L243" s="7">
        <v>54.654250000000012</v>
      </c>
      <c r="M243" s="7">
        <v>54.654250000000012</v>
      </c>
      <c r="N243" s="7">
        <v>54.654250000000012</v>
      </c>
      <c r="O243" s="7">
        <v>54.654250000000012</v>
      </c>
      <c r="P243" s="8">
        <f t="shared" si="21"/>
        <v>655.85100000000011</v>
      </c>
    </row>
    <row r="244" spans="1:16" x14ac:dyDescent="0.3">
      <c r="A244" s="2" t="s">
        <v>67</v>
      </c>
      <c r="B244" s="2" t="s">
        <v>50</v>
      </c>
      <c r="C244" s="2" t="s">
        <v>30</v>
      </c>
      <c r="D244" s="7">
        <v>56.841416666666603</v>
      </c>
      <c r="E244" s="7">
        <v>56.841416666666603</v>
      </c>
      <c r="F244" s="7">
        <v>56.841416666666603</v>
      </c>
      <c r="G244" s="7">
        <v>56.841416666666603</v>
      </c>
      <c r="H244" s="7">
        <v>56.841416666666603</v>
      </c>
      <c r="I244" s="7">
        <v>56.841416666666603</v>
      </c>
      <c r="J244" s="7">
        <v>56.841416666666603</v>
      </c>
      <c r="K244" s="7">
        <v>56.841416666666603</v>
      </c>
      <c r="L244" s="7">
        <v>56.841416666666603</v>
      </c>
      <c r="M244" s="7">
        <v>56.841416666666603</v>
      </c>
      <c r="N244" s="7">
        <v>56.841416666666603</v>
      </c>
      <c r="O244" s="7">
        <v>56.841416666666603</v>
      </c>
      <c r="P244" s="8">
        <f t="shared" si="21"/>
        <v>682.0969999999993</v>
      </c>
    </row>
    <row r="245" spans="1:16" x14ac:dyDescent="0.3">
      <c r="A245" s="2" t="s">
        <v>67</v>
      </c>
      <c r="B245" s="2" t="s">
        <v>50</v>
      </c>
      <c r="C245" s="2" t="s">
        <v>31</v>
      </c>
      <c r="D245" s="7">
        <v>56.998666666666722</v>
      </c>
      <c r="E245" s="7">
        <v>56.998666666666722</v>
      </c>
      <c r="F245" s="7">
        <v>56.998666666666722</v>
      </c>
      <c r="G245" s="7">
        <v>56.998666666666722</v>
      </c>
      <c r="H245" s="7">
        <v>56.998666666666722</v>
      </c>
      <c r="I245" s="7">
        <v>56.998666666666722</v>
      </c>
      <c r="J245" s="7">
        <v>56.998666666666722</v>
      </c>
      <c r="K245" s="7">
        <v>56.998666666666722</v>
      </c>
      <c r="L245" s="7">
        <v>56.998666666666722</v>
      </c>
      <c r="M245" s="7">
        <v>56.998666666666722</v>
      </c>
      <c r="N245" s="7">
        <v>56.998666666666722</v>
      </c>
      <c r="O245" s="7">
        <v>56.998666666666722</v>
      </c>
      <c r="P245" s="8">
        <f t="shared" si="21"/>
        <v>683.98400000000072</v>
      </c>
    </row>
    <row r="246" spans="1:16" x14ac:dyDescent="0.3">
      <c r="A246" s="2" t="s">
        <v>67</v>
      </c>
      <c r="B246" s="2" t="s">
        <v>50</v>
      </c>
      <c r="C246" s="2" t="s">
        <v>32</v>
      </c>
      <c r="D246" s="7">
        <v>210.60874999999999</v>
      </c>
      <c r="E246" s="7">
        <v>210.60874999999999</v>
      </c>
      <c r="F246" s="7">
        <v>210.60874999999999</v>
      </c>
      <c r="G246" s="7">
        <v>210.60874999999999</v>
      </c>
      <c r="H246" s="7">
        <v>210.60874999999999</v>
      </c>
      <c r="I246" s="7">
        <v>210.60874999999999</v>
      </c>
      <c r="J246" s="7">
        <v>210.60874999999999</v>
      </c>
      <c r="K246" s="7">
        <v>210.60874999999999</v>
      </c>
      <c r="L246" s="7">
        <v>210.60874999999999</v>
      </c>
      <c r="M246" s="7">
        <v>210.60874999999999</v>
      </c>
      <c r="N246" s="7">
        <v>210.60874999999999</v>
      </c>
      <c r="O246" s="7">
        <v>210.60874999999999</v>
      </c>
      <c r="P246" s="8">
        <f t="shared" si="21"/>
        <v>2527.3049999999989</v>
      </c>
    </row>
    <row r="247" spans="1:16" x14ac:dyDescent="0.3">
      <c r="A247" s="2" t="s">
        <v>67</v>
      </c>
      <c r="B247" s="2" t="s">
        <v>50</v>
      </c>
      <c r="C247" s="2" t="s">
        <v>33</v>
      </c>
      <c r="D247" s="7">
        <v>66.715416666666627</v>
      </c>
      <c r="E247" s="7">
        <v>66.715416666666627</v>
      </c>
      <c r="F247" s="7">
        <v>66.715416666666627</v>
      </c>
      <c r="G247" s="7">
        <v>66.715416666666627</v>
      </c>
      <c r="H247" s="7">
        <v>66.715416666666627</v>
      </c>
      <c r="I247" s="7">
        <v>66.715416666666627</v>
      </c>
      <c r="J247" s="7">
        <v>66.715416666666627</v>
      </c>
      <c r="K247" s="7">
        <v>66.715416666666627</v>
      </c>
      <c r="L247" s="7">
        <v>66.715416666666627</v>
      </c>
      <c r="M247" s="7">
        <v>66.715416666666627</v>
      </c>
      <c r="N247" s="7">
        <v>66.715416666666627</v>
      </c>
      <c r="O247" s="7">
        <v>66.715416666666627</v>
      </c>
      <c r="P247" s="8">
        <f t="shared" si="21"/>
        <v>800.5849999999997</v>
      </c>
    </row>
    <row r="248" spans="1:16" x14ac:dyDescent="0.3">
      <c r="A248" s="2" t="s">
        <v>67</v>
      </c>
      <c r="B248" s="2" t="s">
        <v>50</v>
      </c>
      <c r="C248" s="2" t="s">
        <v>34</v>
      </c>
      <c r="D248" s="7">
        <v>61.250750000000018</v>
      </c>
      <c r="E248" s="7">
        <v>61.250750000000018</v>
      </c>
      <c r="F248" s="7">
        <v>61.250750000000018</v>
      </c>
      <c r="G248" s="7">
        <v>61.250750000000018</v>
      </c>
      <c r="H248" s="7">
        <v>61.250750000000018</v>
      </c>
      <c r="I248" s="7">
        <v>61.250750000000018</v>
      </c>
      <c r="J248" s="7">
        <v>61.250750000000018</v>
      </c>
      <c r="K248" s="7">
        <v>61.250750000000018</v>
      </c>
      <c r="L248" s="7">
        <v>61.250750000000018</v>
      </c>
      <c r="M248" s="7">
        <v>61.250750000000018</v>
      </c>
      <c r="N248" s="7">
        <v>61.250750000000018</v>
      </c>
      <c r="O248" s="7">
        <v>61.250750000000018</v>
      </c>
      <c r="P248" s="8">
        <f t="shared" si="21"/>
        <v>735.00900000000036</v>
      </c>
    </row>
    <row r="249" spans="1:16" x14ac:dyDescent="0.3">
      <c r="A249" s="2" t="s">
        <v>67</v>
      </c>
      <c r="B249" s="2" t="s">
        <v>50</v>
      </c>
      <c r="C249" s="2" t="s">
        <v>35</v>
      </c>
      <c r="D249" s="7">
        <v>59.308916666666732</v>
      </c>
      <c r="E249" s="7">
        <v>59.308916666666732</v>
      </c>
      <c r="F249" s="7">
        <v>59.308916666666732</v>
      </c>
      <c r="G249" s="7">
        <v>59.308916666666732</v>
      </c>
      <c r="H249" s="7">
        <v>59.308916666666732</v>
      </c>
      <c r="I249" s="7">
        <v>59.308916666666732</v>
      </c>
      <c r="J249" s="7">
        <v>59.308916666666732</v>
      </c>
      <c r="K249" s="7">
        <v>59.308916666666732</v>
      </c>
      <c r="L249" s="7">
        <v>59.308916666666732</v>
      </c>
      <c r="M249" s="7">
        <v>59.308916666666732</v>
      </c>
      <c r="N249" s="7">
        <v>59.308916666666732</v>
      </c>
      <c r="O249" s="7">
        <v>59.308916666666732</v>
      </c>
      <c r="P249" s="8">
        <f t="shared" si="21"/>
        <v>711.70700000000079</v>
      </c>
    </row>
    <row r="250" spans="1:16" x14ac:dyDescent="0.3">
      <c r="A250" s="2" t="s">
        <v>67</v>
      </c>
      <c r="B250" s="2" t="s">
        <v>50</v>
      </c>
      <c r="C250" s="2" t="s">
        <v>36</v>
      </c>
      <c r="D250" s="7">
        <v>46.456916666666679</v>
      </c>
      <c r="E250" s="7">
        <v>46.456916666666679</v>
      </c>
      <c r="F250" s="7">
        <v>46.456916666666679</v>
      </c>
      <c r="G250" s="7">
        <v>46.456916666666679</v>
      </c>
      <c r="H250" s="7">
        <v>46.456916666666679</v>
      </c>
      <c r="I250" s="7">
        <v>46.456916666666679</v>
      </c>
      <c r="J250" s="7">
        <v>46.456916666666679</v>
      </c>
      <c r="K250" s="7">
        <v>46.456916666666679</v>
      </c>
      <c r="L250" s="7">
        <v>46.456916666666679</v>
      </c>
      <c r="M250" s="7">
        <v>46.456916666666679</v>
      </c>
      <c r="N250" s="7">
        <v>46.456916666666679</v>
      </c>
      <c r="O250" s="7">
        <v>46.456916666666679</v>
      </c>
      <c r="P250" s="8">
        <f t="shared" si="21"/>
        <v>557.48300000000029</v>
      </c>
    </row>
    <row r="251" spans="1:16" x14ac:dyDescent="0.3">
      <c r="A251" s="2" t="s">
        <v>67</v>
      </c>
      <c r="B251" s="2" t="s">
        <v>50</v>
      </c>
      <c r="C251" s="2" t="s">
        <v>37</v>
      </c>
      <c r="D251" s="7">
        <v>29.47775000000005</v>
      </c>
      <c r="E251" s="7">
        <v>29.47775000000005</v>
      </c>
      <c r="F251" s="7">
        <v>29.47775000000005</v>
      </c>
      <c r="G251" s="7">
        <v>29.47775000000005</v>
      </c>
      <c r="H251" s="7">
        <v>29.47775000000005</v>
      </c>
      <c r="I251" s="7">
        <v>29.47775000000005</v>
      </c>
      <c r="J251" s="7">
        <v>29.47775000000005</v>
      </c>
      <c r="K251" s="7">
        <v>29.47775000000005</v>
      </c>
      <c r="L251" s="7">
        <v>29.47775000000005</v>
      </c>
      <c r="M251" s="7">
        <v>29.47775000000005</v>
      </c>
      <c r="N251" s="7">
        <v>29.47775000000005</v>
      </c>
      <c r="O251" s="7">
        <v>29.47775000000005</v>
      </c>
      <c r="P251" s="8">
        <f t="shared" si="21"/>
        <v>353.73300000000063</v>
      </c>
    </row>
    <row r="252" spans="1:16" x14ac:dyDescent="0.3">
      <c r="A252" s="2" t="s">
        <v>67</v>
      </c>
      <c r="B252" s="2" t="s">
        <v>50</v>
      </c>
      <c r="C252" s="2" t="s">
        <v>38</v>
      </c>
      <c r="D252" s="7">
        <v>47.410333333333313</v>
      </c>
      <c r="E252" s="7">
        <v>47.410333333333313</v>
      </c>
      <c r="F252" s="7">
        <v>47.410333333333313</v>
      </c>
      <c r="G252" s="7">
        <v>47.410333333333313</v>
      </c>
      <c r="H252" s="7">
        <v>47.410333333333313</v>
      </c>
      <c r="I252" s="7">
        <v>47.410333333333313</v>
      </c>
      <c r="J252" s="7">
        <v>47.410333333333313</v>
      </c>
      <c r="K252" s="7">
        <v>47.410333333333313</v>
      </c>
      <c r="L252" s="7">
        <v>47.410333333333313</v>
      </c>
      <c r="M252" s="7">
        <v>47.410333333333313</v>
      </c>
      <c r="N252" s="7">
        <v>47.410333333333313</v>
      </c>
      <c r="O252" s="7">
        <v>47.410333333333313</v>
      </c>
      <c r="P252" s="8">
        <f t="shared" si="21"/>
        <v>568.92399999999975</v>
      </c>
    </row>
    <row r="253" spans="1:16" x14ac:dyDescent="0.3">
      <c r="A253" s="2" t="s">
        <v>67</v>
      </c>
      <c r="B253" s="2" t="s">
        <v>50</v>
      </c>
      <c r="C253" s="2" t="s">
        <v>39</v>
      </c>
      <c r="D253" s="7">
        <v>36.593333333333298</v>
      </c>
      <c r="E253" s="7">
        <v>36.593333333333298</v>
      </c>
      <c r="F253" s="7">
        <v>36.593333333333298</v>
      </c>
      <c r="G253" s="7">
        <v>36.593333333333298</v>
      </c>
      <c r="H253" s="7">
        <v>36.593333333333298</v>
      </c>
      <c r="I253" s="7">
        <v>36.593333333333298</v>
      </c>
      <c r="J253" s="7">
        <v>36.593333333333298</v>
      </c>
      <c r="K253" s="7">
        <v>36.593333333333298</v>
      </c>
      <c r="L253" s="7">
        <v>36.593333333333298</v>
      </c>
      <c r="M253" s="7">
        <v>36.593333333333298</v>
      </c>
      <c r="N253" s="7">
        <v>36.593333333333298</v>
      </c>
      <c r="O253" s="7">
        <v>36.593333333333298</v>
      </c>
      <c r="P253" s="8">
        <f t="shared" si="21"/>
        <v>439.11999999999961</v>
      </c>
    </row>
    <row r="254" spans="1:16" x14ac:dyDescent="0.3">
      <c r="A254" s="2" t="s">
        <v>67</v>
      </c>
      <c r="B254" s="2" t="s">
        <v>50</v>
      </c>
      <c r="C254" s="2" t="s">
        <v>40</v>
      </c>
      <c r="D254" s="7">
        <v>45.83174999999995</v>
      </c>
      <c r="E254" s="7">
        <v>45.83174999999995</v>
      </c>
      <c r="F254" s="7">
        <v>45.83174999999995</v>
      </c>
      <c r="G254" s="7">
        <v>45.83174999999995</v>
      </c>
      <c r="H254" s="7">
        <v>45.83174999999995</v>
      </c>
      <c r="I254" s="7">
        <v>45.83174999999995</v>
      </c>
      <c r="J254" s="7">
        <v>45.83174999999995</v>
      </c>
      <c r="K254" s="7">
        <v>45.83174999999995</v>
      </c>
      <c r="L254" s="7">
        <v>45.83174999999995</v>
      </c>
      <c r="M254" s="7">
        <v>45.83174999999995</v>
      </c>
      <c r="N254" s="7">
        <v>45.83174999999995</v>
      </c>
      <c r="O254" s="7">
        <v>45.83174999999995</v>
      </c>
      <c r="P254" s="8">
        <f t="shared" ref="P254" si="31">SUM(D254:O254)</f>
        <v>549.98099999999943</v>
      </c>
    </row>
    <row r="255" spans="1:16" x14ac:dyDescent="0.3">
      <c r="A255" s="2" t="s">
        <v>67</v>
      </c>
      <c r="B255" s="2" t="s">
        <v>51</v>
      </c>
      <c r="C255" s="2" t="s">
        <v>18</v>
      </c>
      <c r="D255" s="7">
        <f>1544.9+D71+D117-D94-D209-D232-D186</f>
        <v>4939.5463333333337</v>
      </c>
      <c r="E255" s="7">
        <f t="shared" ref="E255:O255" si="32">D255+E71+E117-E94-E209-E232-E186</f>
        <v>4573.702666666667</v>
      </c>
      <c r="F255" s="7">
        <f t="shared" si="32"/>
        <v>4237.3490000000002</v>
      </c>
      <c r="G255" s="7">
        <f t="shared" si="32"/>
        <v>4001.1393333333331</v>
      </c>
      <c r="H255" s="7">
        <f t="shared" si="32"/>
        <v>3673.4536666666663</v>
      </c>
      <c r="I255" s="7">
        <f t="shared" si="32"/>
        <v>3423.482</v>
      </c>
      <c r="J255" s="7">
        <f t="shared" si="32"/>
        <v>3205.0903333333331</v>
      </c>
      <c r="K255" s="7">
        <f t="shared" si="32"/>
        <v>3048.4866666666662</v>
      </c>
      <c r="L255" s="7">
        <f t="shared" si="32"/>
        <v>2766.0449999999996</v>
      </c>
      <c r="M255" s="7">
        <f t="shared" si="32"/>
        <v>2343.123333333333</v>
      </c>
      <c r="N255" s="7">
        <f t="shared" si="32"/>
        <v>2028.157666666666</v>
      </c>
      <c r="O255" s="7">
        <f t="shared" si="32"/>
        <v>1608.599999999999</v>
      </c>
      <c r="P255" s="8">
        <f t="shared" ref="P255:P277" si="33">O255</f>
        <v>1608.599999999999</v>
      </c>
    </row>
    <row r="256" spans="1:16" x14ac:dyDescent="0.3">
      <c r="A256" s="2" t="s">
        <v>67</v>
      </c>
      <c r="B256" s="2" t="s">
        <v>51</v>
      </c>
      <c r="C256" s="2" t="s">
        <v>19</v>
      </c>
      <c r="D256" s="7">
        <f t="shared" ref="D256:D277" si="34">O255+D72+D118-D95-D210-D233-D187</f>
        <v>5358.5266666666657</v>
      </c>
      <c r="E256" s="7">
        <f t="shared" ref="E256:O256" si="35">D256+E72+E118-E95-E210-E233-E187</f>
        <v>4970.5353333333333</v>
      </c>
      <c r="F256" s="7">
        <f t="shared" si="35"/>
        <v>4550.63</v>
      </c>
      <c r="G256" s="7">
        <f t="shared" si="35"/>
        <v>4141.3206666666665</v>
      </c>
      <c r="H256" s="7">
        <f t="shared" si="35"/>
        <v>3856.259333333333</v>
      </c>
      <c r="I256" s="7">
        <f t="shared" si="35"/>
        <v>3461.7019999999998</v>
      </c>
      <c r="J256" s="7">
        <f t="shared" si="35"/>
        <v>3266.5706666666661</v>
      </c>
      <c r="K256" s="7">
        <f t="shared" si="35"/>
        <v>3062.8813333333328</v>
      </c>
      <c r="L256" s="7">
        <f t="shared" si="35"/>
        <v>2882.4559999999992</v>
      </c>
      <c r="M256" s="7">
        <f t="shared" si="35"/>
        <v>2590.1666666666656</v>
      </c>
      <c r="N256" s="7">
        <f t="shared" si="35"/>
        <v>2319.8873333333318</v>
      </c>
      <c r="O256" s="7">
        <f t="shared" si="35"/>
        <v>1774.0999999999983</v>
      </c>
      <c r="P256" s="8">
        <f t="shared" si="33"/>
        <v>1774.0999999999983</v>
      </c>
    </row>
    <row r="257" spans="1:16" x14ac:dyDescent="0.3">
      <c r="A257" s="2" t="s">
        <v>67</v>
      </c>
      <c r="B257" s="2" t="s">
        <v>51</v>
      </c>
      <c r="C257" s="2" t="s">
        <v>20</v>
      </c>
      <c r="D257" s="7">
        <f t="shared" si="34"/>
        <v>5986.6014999999979</v>
      </c>
      <c r="E257" s="7">
        <f t="shared" ref="E257:O257" si="36">D257+E73+E119-E96-E211-E234-E188</f>
        <v>5546.7809999999981</v>
      </c>
      <c r="F257" s="7">
        <f t="shared" si="36"/>
        <v>5222.6124999999984</v>
      </c>
      <c r="G257" s="7">
        <f t="shared" si="36"/>
        <v>4891.7899999999981</v>
      </c>
      <c r="H257" s="7">
        <f t="shared" si="36"/>
        <v>4696.9414999999972</v>
      </c>
      <c r="I257" s="7">
        <f t="shared" si="36"/>
        <v>4465.4169999999967</v>
      </c>
      <c r="J257" s="7">
        <f t="shared" si="36"/>
        <v>4212.7204999999967</v>
      </c>
      <c r="K257" s="7">
        <f t="shared" si="36"/>
        <v>3973.339999999997</v>
      </c>
      <c r="L257" s="7">
        <f t="shared" si="36"/>
        <v>3772.8674999999971</v>
      </c>
      <c r="M257" s="7">
        <f t="shared" si="36"/>
        <v>3239.3169999999968</v>
      </c>
      <c r="N257" s="7">
        <f t="shared" si="36"/>
        <v>2818.4244999999969</v>
      </c>
      <c r="O257" s="7">
        <f t="shared" si="36"/>
        <v>2486.8999999999969</v>
      </c>
      <c r="P257" s="8">
        <f t="shared" si="33"/>
        <v>2486.8999999999969</v>
      </c>
    </row>
    <row r="258" spans="1:16" x14ac:dyDescent="0.3">
      <c r="A258" s="2" t="s">
        <v>67</v>
      </c>
      <c r="B258" s="2" t="s">
        <v>51</v>
      </c>
      <c r="C258" s="2" t="s">
        <v>21</v>
      </c>
      <c r="D258" s="7">
        <f t="shared" si="34"/>
        <v>7938.5218333333287</v>
      </c>
      <c r="E258" s="7">
        <f t="shared" ref="E258:O258" si="37">D258+E74+E120-E97-E212-E235-E189</f>
        <v>7474.2496666666611</v>
      </c>
      <c r="F258" s="7">
        <f t="shared" si="37"/>
        <v>7032.9154999999937</v>
      </c>
      <c r="G258" s="7">
        <f t="shared" si="37"/>
        <v>6533.3353333333262</v>
      </c>
      <c r="H258" s="7">
        <f t="shared" si="37"/>
        <v>6206.2171666666591</v>
      </c>
      <c r="I258" s="7">
        <f t="shared" si="37"/>
        <v>5787.7429999999922</v>
      </c>
      <c r="J258" s="7">
        <f t="shared" si="37"/>
        <v>5496.4248333333253</v>
      </c>
      <c r="K258" s="7">
        <f t="shared" si="37"/>
        <v>5082.1266666666588</v>
      </c>
      <c r="L258" s="7">
        <f t="shared" si="37"/>
        <v>4472.8784999999916</v>
      </c>
      <c r="M258" s="7">
        <f t="shared" si="37"/>
        <v>4041.0363333333248</v>
      </c>
      <c r="N258" s="7">
        <f t="shared" si="37"/>
        <v>3560.6541666666581</v>
      </c>
      <c r="O258" s="7">
        <f t="shared" si="37"/>
        <v>3273.3999999999915</v>
      </c>
      <c r="P258" s="8">
        <f t="shared" si="33"/>
        <v>3273.3999999999915</v>
      </c>
    </row>
    <row r="259" spans="1:16" x14ac:dyDescent="0.3">
      <c r="A259" s="2" t="s">
        <v>67</v>
      </c>
      <c r="B259" s="2" t="s">
        <v>51</v>
      </c>
      <c r="C259" s="2" t="s">
        <v>22</v>
      </c>
      <c r="D259" s="7">
        <f t="shared" si="34"/>
        <v>6251.7443333333249</v>
      </c>
      <c r="E259" s="7">
        <f t="shared" ref="E259:O259" si="38">D259+E75+E121-E98-E213-E236-E190</f>
        <v>5800.9786666666587</v>
      </c>
      <c r="F259" s="7">
        <f t="shared" si="38"/>
        <v>5099.7449999999926</v>
      </c>
      <c r="G259" s="7">
        <f t="shared" si="38"/>
        <v>4549.4573333333265</v>
      </c>
      <c r="H259" s="7">
        <f t="shared" si="38"/>
        <v>4039.3056666666594</v>
      </c>
      <c r="I259" s="7">
        <f t="shared" si="38"/>
        <v>3668.6099999999924</v>
      </c>
      <c r="J259" s="7">
        <f t="shared" si="38"/>
        <v>3369.9303333333255</v>
      </c>
      <c r="K259" s="7">
        <f t="shared" si="38"/>
        <v>3098.2066666666587</v>
      </c>
      <c r="L259" s="7">
        <f t="shared" si="38"/>
        <v>2624.4029999999921</v>
      </c>
      <c r="M259" s="7">
        <f t="shared" si="38"/>
        <v>2120.8513333333253</v>
      </c>
      <c r="N259" s="7">
        <f t="shared" si="38"/>
        <v>1664.2116666666586</v>
      </c>
      <c r="O259" s="7">
        <f t="shared" si="38"/>
        <v>1256.7999999999918</v>
      </c>
      <c r="P259" s="8">
        <f t="shared" si="33"/>
        <v>1256.7999999999918</v>
      </c>
    </row>
    <row r="260" spans="1:16" x14ac:dyDescent="0.3">
      <c r="A260" s="2" t="s">
        <v>67</v>
      </c>
      <c r="B260" s="2" t="s">
        <v>51</v>
      </c>
      <c r="C260" s="2" t="s">
        <v>23</v>
      </c>
      <c r="D260" s="7">
        <f t="shared" si="34"/>
        <v>4481.4704999999913</v>
      </c>
      <c r="E260" s="7">
        <f t="shared" ref="E260:O260" si="39">D260+E76+E122-E99-E214-E237-E191</f>
        <v>4275.3549999999905</v>
      </c>
      <c r="F260" s="7">
        <f t="shared" si="39"/>
        <v>3856.1394999999911</v>
      </c>
      <c r="G260" s="7">
        <f t="shared" si="39"/>
        <v>3420.8039999999914</v>
      </c>
      <c r="H260" s="7">
        <f t="shared" si="39"/>
        <v>2986.4844999999918</v>
      </c>
      <c r="I260" s="7">
        <f t="shared" si="39"/>
        <v>2566.904999999992</v>
      </c>
      <c r="J260" s="7">
        <f t="shared" si="39"/>
        <v>2240.4354999999923</v>
      </c>
      <c r="K260" s="7">
        <f t="shared" si="39"/>
        <v>1947.9979999999923</v>
      </c>
      <c r="L260" s="7">
        <f t="shared" si="39"/>
        <v>1621.4344999999921</v>
      </c>
      <c r="M260" s="7">
        <f t="shared" si="39"/>
        <v>1226.5829999999921</v>
      </c>
      <c r="N260" s="7">
        <f t="shared" si="39"/>
        <v>1019.1094999999921</v>
      </c>
      <c r="O260" s="7">
        <f t="shared" si="39"/>
        <v>808.69999999999209</v>
      </c>
      <c r="P260" s="8">
        <f t="shared" si="33"/>
        <v>808.69999999999209</v>
      </c>
    </row>
    <row r="261" spans="1:16" x14ac:dyDescent="0.3">
      <c r="A261" s="2" t="s">
        <v>67</v>
      </c>
      <c r="B261" s="2" t="s">
        <v>51</v>
      </c>
      <c r="C261" s="2" t="s">
        <v>24</v>
      </c>
      <c r="D261" s="7">
        <f t="shared" si="34"/>
        <v>6065.3188333333273</v>
      </c>
      <c r="E261" s="7">
        <f t="shared" ref="E261:O261" si="40">D261+E77+E123-E100-E215-E238-E192</f>
        <v>5946.6616666666605</v>
      </c>
      <c r="F261" s="7">
        <f t="shared" si="40"/>
        <v>5555.2504999999937</v>
      </c>
      <c r="G261" s="7">
        <f t="shared" si="40"/>
        <v>5030.9493333333276</v>
      </c>
      <c r="H261" s="7">
        <f t="shared" si="40"/>
        <v>4765.4661666666616</v>
      </c>
      <c r="I261" s="7">
        <f t="shared" si="40"/>
        <v>4451.0229999999947</v>
      </c>
      <c r="J261" s="7">
        <f t="shared" si="40"/>
        <v>4082.3498333333278</v>
      </c>
      <c r="K261" s="7">
        <f t="shared" si="40"/>
        <v>3818.9546666666611</v>
      </c>
      <c r="L261" s="7">
        <f t="shared" si="40"/>
        <v>3080.0074999999943</v>
      </c>
      <c r="M261" s="7">
        <f t="shared" si="40"/>
        <v>2646.9903333333277</v>
      </c>
      <c r="N261" s="7">
        <f t="shared" si="40"/>
        <v>2267.9271666666609</v>
      </c>
      <c r="O261" s="7">
        <f t="shared" si="40"/>
        <v>2003.0999999999945</v>
      </c>
      <c r="P261" s="8">
        <f t="shared" si="33"/>
        <v>2003.0999999999945</v>
      </c>
    </row>
    <row r="262" spans="1:16" x14ac:dyDescent="0.3">
      <c r="A262" s="2" t="s">
        <v>67</v>
      </c>
      <c r="B262" s="2" t="s">
        <v>51</v>
      </c>
      <c r="C262" s="2" t="s">
        <v>25</v>
      </c>
      <c r="D262" s="7">
        <f t="shared" si="34"/>
        <v>7087.3989999999949</v>
      </c>
      <c r="E262" s="7">
        <f t="shared" ref="E262:O262" si="41">D262+E78+E124-E101-E216-E239-E193</f>
        <v>6652.3419999999951</v>
      </c>
      <c r="F262" s="7">
        <f t="shared" si="41"/>
        <v>6177.5989999999947</v>
      </c>
      <c r="G262" s="7">
        <f t="shared" si="41"/>
        <v>5760.2619999999943</v>
      </c>
      <c r="H262" s="7">
        <f t="shared" si="41"/>
        <v>5209.264999999994</v>
      </c>
      <c r="I262" s="7">
        <f t="shared" si="41"/>
        <v>4800.7899999999936</v>
      </c>
      <c r="J262" s="7">
        <f t="shared" si="41"/>
        <v>4536.550999999994</v>
      </c>
      <c r="K262" s="7">
        <f t="shared" si="41"/>
        <v>4223.5339999999942</v>
      </c>
      <c r="L262" s="7">
        <f t="shared" si="41"/>
        <v>3764.2289999999944</v>
      </c>
      <c r="M262" s="7">
        <f t="shared" si="41"/>
        <v>3292.2819999999947</v>
      </c>
      <c r="N262" s="7">
        <f t="shared" si="41"/>
        <v>2976.5169999999953</v>
      </c>
      <c r="O262" s="7">
        <f t="shared" si="41"/>
        <v>2693.8999999999955</v>
      </c>
      <c r="P262" s="8">
        <f t="shared" si="33"/>
        <v>2693.8999999999955</v>
      </c>
    </row>
    <row r="263" spans="1:16" x14ac:dyDescent="0.3">
      <c r="A263" s="2" t="s">
        <v>67</v>
      </c>
      <c r="B263" s="2" t="s">
        <v>51</v>
      </c>
      <c r="C263" s="2" t="s">
        <v>26</v>
      </c>
      <c r="D263" s="7">
        <f t="shared" si="34"/>
        <v>5327.7458333333288</v>
      </c>
      <c r="E263" s="7">
        <f t="shared" ref="E263:O263" si="42">D263+E79+E125-E102-E217-E240-E194</f>
        <v>4866.0156666666626</v>
      </c>
      <c r="F263" s="7">
        <f t="shared" si="42"/>
        <v>4596.0594999999967</v>
      </c>
      <c r="G263" s="7">
        <f t="shared" si="42"/>
        <v>4168.841333333331</v>
      </c>
      <c r="H263" s="7">
        <f t="shared" si="42"/>
        <v>3808.0031666666637</v>
      </c>
      <c r="I263" s="7">
        <f t="shared" si="42"/>
        <v>3507.2829999999967</v>
      </c>
      <c r="J263" s="7">
        <f t="shared" si="42"/>
        <v>3240.5848333333297</v>
      </c>
      <c r="K263" s="7">
        <f t="shared" si="42"/>
        <v>2988.6746666666627</v>
      </c>
      <c r="L263" s="7">
        <f t="shared" si="42"/>
        <v>2537.2724999999959</v>
      </c>
      <c r="M263" s="7">
        <f t="shared" si="42"/>
        <v>2222.9263333333292</v>
      </c>
      <c r="N263" s="7">
        <f t="shared" si="42"/>
        <v>1984.2081666666622</v>
      </c>
      <c r="O263" s="7">
        <f t="shared" si="42"/>
        <v>1565.9999999999955</v>
      </c>
      <c r="P263" s="8">
        <f t="shared" si="33"/>
        <v>1565.9999999999955</v>
      </c>
    </row>
    <row r="264" spans="1:16" x14ac:dyDescent="0.3">
      <c r="A264" s="2" t="s">
        <v>67</v>
      </c>
      <c r="B264" s="2" t="s">
        <v>51</v>
      </c>
      <c r="C264" s="2" t="s">
        <v>27</v>
      </c>
      <c r="D264" s="7">
        <f t="shared" si="34"/>
        <v>5486.6008333333293</v>
      </c>
      <c r="E264" s="7">
        <f t="shared" ref="E264:O264" si="43">D264+E80+E126-E103-E218-E241-E195</f>
        <v>5014.9836666666624</v>
      </c>
      <c r="F264" s="7">
        <f t="shared" si="43"/>
        <v>4763.6804999999958</v>
      </c>
      <c r="G264" s="7">
        <f t="shared" si="43"/>
        <v>4256.0933333333296</v>
      </c>
      <c r="H264" s="7">
        <f t="shared" si="43"/>
        <v>3927.5821666666629</v>
      </c>
      <c r="I264" s="7">
        <f t="shared" si="43"/>
        <v>3695.5909999999963</v>
      </c>
      <c r="J264" s="7">
        <f t="shared" si="43"/>
        <v>3362.9238333333296</v>
      </c>
      <c r="K264" s="7">
        <f t="shared" si="43"/>
        <v>3022.0456666666628</v>
      </c>
      <c r="L264" s="7">
        <f t="shared" si="43"/>
        <v>2513.893499999996</v>
      </c>
      <c r="M264" s="7">
        <f t="shared" si="43"/>
        <v>2031.4513333333293</v>
      </c>
      <c r="N264" s="7">
        <f t="shared" si="43"/>
        <v>1751.6851666666628</v>
      </c>
      <c r="O264" s="7">
        <f t="shared" si="43"/>
        <v>1486.0999999999963</v>
      </c>
      <c r="P264" s="8">
        <f t="shared" si="33"/>
        <v>1486.0999999999963</v>
      </c>
    </row>
    <row r="265" spans="1:16" x14ac:dyDescent="0.3">
      <c r="A265" s="2" t="s">
        <v>67</v>
      </c>
      <c r="B265" s="2" t="s">
        <v>51</v>
      </c>
      <c r="C265" s="2" t="s">
        <v>28</v>
      </c>
      <c r="D265" s="7">
        <f t="shared" si="34"/>
        <v>5665.007749999997</v>
      </c>
      <c r="E265" s="7">
        <f t="shared" ref="E265:O265" si="44">D265+E81+E127-E104-E219-E242-E196</f>
        <v>5369.8554999999978</v>
      </c>
      <c r="F265" s="7">
        <f t="shared" si="44"/>
        <v>4755.9562499999984</v>
      </c>
      <c r="G265" s="7">
        <f t="shared" si="44"/>
        <v>4246.2379999999985</v>
      </c>
      <c r="H265" s="7">
        <f t="shared" si="44"/>
        <v>3871.7507499999988</v>
      </c>
      <c r="I265" s="7">
        <f t="shared" si="44"/>
        <v>3405.0214999999989</v>
      </c>
      <c r="J265" s="7">
        <f t="shared" si="44"/>
        <v>3156.620249999999</v>
      </c>
      <c r="K265" s="7">
        <f t="shared" si="44"/>
        <v>2746.7609999999991</v>
      </c>
      <c r="L265" s="7">
        <f t="shared" si="44"/>
        <v>2196.1687499999989</v>
      </c>
      <c r="M265" s="7">
        <f t="shared" si="44"/>
        <v>1664.1124999999986</v>
      </c>
      <c r="N265" s="7">
        <f t="shared" si="44"/>
        <v>1416.2412499999982</v>
      </c>
      <c r="O265" s="7">
        <f t="shared" si="44"/>
        <v>1126.8999999999978</v>
      </c>
      <c r="P265" s="8">
        <f t="shared" si="33"/>
        <v>1126.8999999999978</v>
      </c>
    </row>
    <row r="266" spans="1:16" x14ac:dyDescent="0.3">
      <c r="A266" s="2" t="s">
        <v>67</v>
      </c>
      <c r="B266" s="2" t="s">
        <v>51</v>
      </c>
      <c r="C266" s="2" t="s">
        <v>29</v>
      </c>
      <c r="D266" s="7">
        <f t="shared" si="34"/>
        <v>7163.3210833333314</v>
      </c>
      <c r="E266" s="7">
        <f t="shared" ref="E266:O266" si="45">D266+E82+E128-E105-E220-E243-E197</f>
        <v>6750.8771666666653</v>
      </c>
      <c r="F266" s="7">
        <f t="shared" si="45"/>
        <v>6293.0582499999991</v>
      </c>
      <c r="G266" s="7">
        <f t="shared" si="45"/>
        <v>5860.9333333333334</v>
      </c>
      <c r="H266" s="7">
        <f t="shared" si="45"/>
        <v>5338.9154166666667</v>
      </c>
      <c r="I266" s="7">
        <f t="shared" si="45"/>
        <v>4855.1375000000007</v>
      </c>
      <c r="J266" s="7">
        <f t="shared" si="45"/>
        <v>4471.7235833333343</v>
      </c>
      <c r="K266" s="7">
        <f t="shared" si="45"/>
        <v>3969.1756666666674</v>
      </c>
      <c r="L266" s="7">
        <f t="shared" si="45"/>
        <v>3507.4727500000008</v>
      </c>
      <c r="M266" s="7">
        <f t="shared" si="45"/>
        <v>2857.7558333333341</v>
      </c>
      <c r="N266" s="7">
        <f t="shared" si="45"/>
        <v>2447.7769166666676</v>
      </c>
      <c r="O266" s="7">
        <f t="shared" si="45"/>
        <v>1738.900000000001</v>
      </c>
      <c r="P266" s="8">
        <f t="shared" si="33"/>
        <v>1738.900000000001</v>
      </c>
    </row>
    <row r="267" spans="1:16" x14ac:dyDescent="0.3">
      <c r="A267" s="2" t="s">
        <v>67</v>
      </c>
      <c r="B267" s="2" t="s">
        <v>51</v>
      </c>
      <c r="C267" s="2" t="s">
        <v>30</v>
      </c>
      <c r="D267" s="7">
        <f t="shared" si="34"/>
        <v>6305.3499166666679</v>
      </c>
      <c r="E267" s="7">
        <f t="shared" ref="E267:O267" si="46">D267+E83+E129-E106-E221-E244-E198</f>
        <v>5886.3578333333353</v>
      </c>
      <c r="F267" s="7">
        <f t="shared" si="46"/>
        <v>5394.9717500000033</v>
      </c>
      <c r="G267" s="7">
        <f t="shared" si="46"/>
        <v>4673.3926666666703</v>
      </c>
      <c r="H267" s="7">
        <f t="shared" si="46"/>
        <v>4037.4345833333364</v>
      </c>
      <c r="I267" s="7">
        <f t="shared" si="46"/>
        <v>3512.4935000000032</v>
      </c>
      <c r="J267" s="7">
        <f t="shared" si="46"/>
        <v>3018.5994166666696</v>
      </c>
      <c r="K267" s="7">
        <f t="shared" si="46"/>
        <v>2413.8823333333366</v>
      </c>
      <c r="L267" s="7">
        <f t="shared" si="46"/>
        <v>2018.7712500000034</v>
      </c>
      <c r="M267" s="7">
        <f t="shared" si="46"/>
        <v>1601.2381666666699</v>
      </c>
      <c r="N267" s="7">
        <f t="shared" si="46"/>
        <v>1293.2330833333367</v>
      </c>
      <c r="O267" s="7">
        <f t="shared" si="46"/>
        <v>976.10000000000355</v>
      </c>
      <c r="P267" s="8">
        <f t="shared" si="33"/>
        <v>976.10000000000355</v>
      </c>
    </row>
    <row r="268" spans="1:16" x14ac:dyDescent="0.3">
      <c r="A268" s="2" t="s">
        <v>67</v>
      </c>
      <c r="B268" s="2" t="s">
        <v>51</v>
      </c>
      <c r="C268" s="2" t="s">
        <v>31</v>
      </c>
      <c r="D268" s="7">
        <f t="shared" si="34"/>
        <v>6146.3303333333361</v>
      </c>
      <c r="E268" s="7">
        <f t="shared" ref="E268:O268" si="47">D268+E84+E130-E107-E222-E245-E199</f>
        <v>5864.1986666666689</v>
      </c>
      <c r="F268" s="7">
        <f t="shared" si="47"/>
        <v>5358.3640000000023</v>
      </c>
      <c r="G268" s="7">
        <f t="shared" si="47"/>
        <v>4707.245333333336</v>
      </c>
      <c r="H268" s="7">
        <f t="shared" si="47"/>
        <v>4024.2616666666686</v>
      </c>
      <c r="I268" s="7">
        <f t="shared" si="47"/>
        <v>3501.6600000000017</v>
      </c>
      <c r="J268" s="7">
        <f t="shared" si="47"/>
        <v>2887.0653333333344</v>
      </c>
      <c r="K268" s="7">
        <f t="shared" si="47"/>
        <v>2465.1916666666675</v>
      </c>
      <c r="L268" s="7">
        <f t="shared" si="47"/>
        <v>2054.9350000000009</v>
      </c>
      <c r="M268" s="7">
        <f t="shared" si="47"/>
        <v>1661.1613333333344</v>
      </c>
      <c r="N268" s="7">
        <f t="shared" si="47"/>
        <v>1463.6786666666678</v>
      </c>
      <c r="O268" s="7">
        <f t="shared" si="47"/>
        <v>1100.3000000000013</v>
      </c>
      <c r="P268" s="8">
        <f t="shared" si="33"/>
        <v>1100.3000000000013</v>
      </c>
    </row>
    <row r="269" spans="1:16" x14ac:dyDescent="0.3">
      <c r="A269" s="2" t="s">
        <v>67</v>
      </c>
      <c r="B269" s="2" t="s">
        <v>51</v>
      </c>
      <c r="C269" s="2" t="s">
        <v>32</v>
      </c>
      <c r="D269" s="7">
        <f t="shared" si="34"/>
        <v>8364.7425833333364</v>
      </c>
      <c r="E269" s="7">
        <f t="shared" ref="E269:O269" si="48">D269+E85+E131-E108-E223-E246-E200</f>
        <v>7954.4171666666698</v>
      </c>
      <c r="F269" s="7">
        <f t="shared" si="48"/>
        <v>7328.3667500000038</v>
      </c>
      <c r="G269" s="7">
        <f t="shared" si="48"/>
        <v>6686.9903333333368</v>
      </c>
      <c r="H269" s="7">
        <f t="shared" si="48"/>
        <v>6055.0159166666708</v>
      </c>
      <c r="I269" s="7">
        <f t="shared" si="48"/>
        <v>5453.4455000000044</v>
      </c>
      <c r="J269" s="7">
        <f t="shared" si="48"/>
        <v>4862.7690833333372</v>
      </c>
      <c r="K269" s="7">
        <f t="shared" si="48"/>
        <v>4367.4026666666705</v>
      </c>
      <c r="L269" s="7">
        <f t="shared" si="48"/>
        <v>3668.0392500000034</v>
      </c>
      <c r="M269" s="7">
        <f t="shared" si="48"/>
        <v>2960.0278333333372</v>
      </c>
      <c r="N269" s="7">
        <f t="shared" si="48"/>
        <v>2283.465416666671</v>
      </c>
      <c r="O269" s="7">
        <f t="shared" si="48"/>
        <v>1828.0000000000045</v>
      </c>
      <c r="P269" s="8">
        <f t="shared" si="33"/>
        <v>1828.0000000000045</v>
      </c>
    </row>
    <row r="270" spans="1:16" x14ac:dyDescent="0.3">
      <c r="A270" s="2" t="s">
        <v>67</v>
      </c>
      <c r="B270" s="2" t="s">
        <v>51</v>
      </c>
      <c r="C270" s="2" t="s">
        <v>33</v>
      </c>
      <c r="D270" s="7">
        <f t="shared" si="34"/>
        <v>6232.049583333338</v>
      </c>
      <c r="E270" s="7">
        <f t="shared" ref="E270:O270" si="49">D270+E86+E132-E109-E224-E247-E201</f>
        <v>5930.2301666666717</v>
      </c>
      <c r="F270" s="7">
        <f t="shared" si="49"/>
        <v>5466.2917500000058</v>
      </c>
      <c r="G270" s="7">
        <f t="shared" si="49"/>
        <v>5043.9593333333396</v>
      </c>
      <c r="H270" s="7">
        <f t="shared" si="49"/>
        <v>4667.9799166666735</v>
      </c>
      <c r="I270" s="7">
        <f t="shared" si="49"/>
        <v>4113.8375000000069</v>
      </c>
      <c r="J270" s="7">
        <f t="shared" si="49"/>
        <v>3715.1050833333402</v>
      </c>
      <c r="K270" s="7">
        <f t="shared" si="49"/>
        <v>3199.9986666666737</v>
      </c>
      <c r="L270" s="7">
        <f t="shared" si="49"/>
        <v>2744.8292500000075</v>
      </c>
      <c r="M270" s="7">
        <f t="shared" si="49"/>
        <v>2237.0148333333409</v>
      </c>
      <c r="N270" s="7">
        <f t="shared" si="49"/>
        <v>1995.4644166666742</v>
      </c>
      <c r="O270" s="7">
        <f t="shared" si="49"/>
        <v>1476.1000000000074</v>
      </c>
      <c r="P270" s="8">
        <f t="shared" si="33"/>
        <v>1476.1000000000074</v>
      </c>
    </row>
    <row r="271" spans="1:16" x14ac:dyDescent="0.3">
      <c r="A271" s="2" t="s">
        <v>67</v>
      </c>
      <c r="B271" s="2" t="s">
        <v>51</v>
      </c>
      <c r="C271" s="2" t="s">
        <v>34</v>
      </c>
      <c r="D271" s="7">
        <f t="shared" si="34"/>
        <v>6890.4229166666746</v>
      </c>
      <c r="E271" s="7">
        <f t="shared" ref="E271:O271" si="50">D271+E87+E133-E110-E225-E248-E202</f>
        <v>6506.7218333333412</v>
      </c>
      <c r="F271" s="7">
        <f t="shared" si="50"/>
        <v>6135.7857500000082</v>
      </c>
      <c r="G271" s="7">
        <f t="shared" si="50"/>
        <v>5836.5986666666749</v>
      </c>
      <c r="H271" s="7">
        <f t="shared" si="50"/>
        <v>5315.2415833333416</v>
      </c>
      <c r="I271" s="7">
        <f t="shared" si="50"/>
        <v>5009.2795000000087</v>
      </c>
      <c r="J271" s="7">
        <f t="shared" si="50"/>
        <v>4698.7654166666753</v>
      </c>
      <c r="K271" s="7">
        <f t="shared" si="50"/>
        <v>4087.2503333333416</v>
      </c>
      <c r="L271" s="7">
        <f t="shared" si="50"/>
        <v>3304.3612500000081</v>
      </c>
      <c r="M271" s="7">
        <f t="shared" si="50"/>
        <v>2823.7401666666747</v>
      </c>
      <c r="N271" s="7">
        <f t="shared" si="50"/>
        <v>2229.6340833333411</v>
      </c>
      <c r="O271" s="7">
        <f t="shared" si="50"/>
        <v>1832.3000000000075</v>
      </c>
      <c r="P271" s="8">
        <f t="shared" si="33"/>
        <v>1832.3000000000075</v>
      </c>
    </row>
    <row r="272" spans="1:16" x14ac:dyDescent="0.3">
      <c r="A272" s="2" t="s">
        <v>67</v>
      </c>
      <c r="B272" s="2" t="s">
        <v>51</v>
      </c>
      <c r="C272" s="2" t="s">
        <v>35</v>
      </c>
      <c r="D272" s="7">
        <f t="shared" si="34"/>
        <v>6424.8504166666744</v>
      </c>
      <c r="E272" s="7">
        <f t="shared" ref="E272:O272" si="51">D272+E88+E134-E111-E226-E249-E203</f>
        <v>6046.0568333333413</v>
      </c>
      <c r="F272" s="7">
        <f t="shared" si="51"/>
        <v>5620.1022500000072</v>
      </c>
      <c r="G272" s="7">
        <f t="shared" si="51"/>
        <v>5054.7776666666741</v>
      </c>
      <c r="H272" s="7">
        <f t="shared" si="51"/>
        <v>4605.5700833333403</v>
      </c>
      <c r="I272" s="7">
        <f t="shared" si="51"/>
        <v>4174.4995000000063</v>
      </c>
      <c r="J272" s="7">
        <f t="shared" si="51"/>
        <v>3778.5659166666733</v>
      </c>
      <c r="K272" s="7">
        <f t="shared" si="51"/>
        <v>3196.6073333333397</v>
      </c>
      <c r="L272" s="7">
        <f t="shared" si="51"/>
        <v>2544.8827500000061</v>
      </c>
      <c r="M272" s="7">
        <f t="shared" si="51"/>
        <v>1839.1091666666725</v>
      </c>
      <c r="N272" s="7">
        <f t="shared" si="51"/>
        <v>1383.0805833333393</v>
      </c>
      <c r="O272" s="7">
        <f t="shared" si="51"/>
        <v>736.60000000000593</v>
      </c>
      <c r="P272" s="8">
        <f t="shared" si="33"/>
        <v>736.60000000000593</v>
      </c>
    </row>
    <row r="273" spans="1:16" x14ac:dyDescent="0.3">
      <c r="A273" s="2" t="s">
        <v>67</v>
      </c>
      <c r="B273" s="2" t="s">
        <v>51</v>
      </c>
      <c r="C273" s="2" t="s">
        <v>36</v>
      </c>
      <c r="D273" s="7">
        <f t="shared" si="34"/>
        <v>6932.2870833333391</v>
      </c>
      <c r="E273" s="7">
        <f t="shared" ref="E273:O273" si="52">D273+E89+E135-E112-E227-E250-E204</f>
        <v>6681.9561666666723</v>
      </c>
      <c r="F273" s="7">
        <f t="shared" si="52"/>
        <v>6189.806250000006</v>
      </c>
      <c r="G273" s="7">
        <f t="shared" si="52"/>
        <v>5336.7083333333394</v>
      </c>
      <c r="H273" s="7">
        <f t="shared" si="52"/>
        <v>4722.7724166666721</v>
      </c>
      <c r="I273" s="7">
        <f t="shared" si="52"/>
        <v>4196.2335000000048</v>
      </c>
      <c r="J273" s="7">
        <f t="shared" si="52"/>
        <v>3657.9905833333382</v>
      </c>
      <c r="K273" s="7">
        <f t="shared" si="52"/>
        <v>2908.7286666666714</v>
      </c>
      <c r="L273" s="7">
        <f t="shared" si="52"/>
        <v>2180.7617500000047</v>
      </c>
      <c r="M273" s="7">
        <f t="shared" si="52"/>
        <v>1538.452833333338</v>
      </c>
      <c r="N273" s="7">
        <f t="shared" si="52"/>
        <v>1244.2369166666713</v>
      </c>
      <c r="O273" s="7">
        <f t="shared" si="52"/>
        <v>813.00000000000477</v>
      </c>
      <c r="P273" s="8">
        <f t="shared" si="33"/>
        <v>813.00000000000477</v>
      </c>
    </row>
    <row r="274" spans="1:16" x14ac:dyDescent="0.3">
      <c r="A274" s="2" t="s">
        <v>67</v>
      </c>
      <c r="B274" s="2" t="s">
        <v>51</v>
      </c>
      <c r="C274" s="2" t="s">
        <v>37</v>
      </c>
      <c r="D274" s="7">
        <f t="shared" si="34"/>
        <v>3394.7839166666713</v>
      </c>
      <c r="E274" s="7">
        <f t="shared" ref="E274:O274" si="53">D274+E90+E136-E113-E228-E251-E205</f>
        <v>3124.6058333333385</v>
      </c>
      <c r="F274" s="7">
        <f t="shared" si="53"/>
        <v>2816.3297500000053</v>
      </c>
      <c r="G274" s="7">
        <f t="shared" si="53"/>
        <v>2541.7646666666719</v>
      </c>
      <c r="H274" s="7">
        <f t="shared" si="53"/>
        <v>2395.7415833333389</v>
      </c>
      <c r="I274" s="7">
        <f t="shared" si="53"/>
        <v>2199.7055000000055</v>
      </c>
      <c r="J274" s="7">
        <f t="shared" si="53"/>
        <v>2005.8034166666719</v>
      </c>
      <c r="K274" s="7">
        <f t="shared" si="53"/>
        <v>1776.8763333333386</v>
      </c>
      <c r="L274" s="7">
        <f t="shared" si="53"/>
        <v>1486.1562500000052</v>
      </c>
      <c r="M274" s="7">
        <f t="shared" si="53"/>
        <v>1171.3851666666717</v>
      </c>
      <c r="N274" s="7">
        <f t="shared" si="53"/>
        <v>932.26108333333832</v>
      </c>
      <c r="O274" s="7">
        <f t="shared" si="53"/>
        <v>586.500000000005</v>
      </c>
      <c r="P274" s="8">
        <f t="shared" si="33"/>
        <v>586.500000000005</v>
      </c>
    </row>
    <row r="275" spans="1:16" x14ac:dyDescent="0.3">
      <c r="A275" s="2" t="s">
        <v>67</v>
      </c>
      <c r="B275" s="2" t="s">
        <v>51</v>
      </c>
      <c r="C275" s="2" t="s">
        <v>38</v>
      </c>
      <c r="D275" s="7">
        <f t="shared" si="34"/>
        <v>6172.5653333333385</v>
      </c>
      <c r="E275" s="7">
        <f t="shared" ref="E275:O275" si="54">D275+E91+E137-E114-E229-E252-E206</f>
        <v>5879.9756666666717</v>
      </c>
      <c r="F275" s="7">
        <f t="shared" si="54"/>
        <v>5338.4070000000047</v>
      </c>
      <c r="G275" s="7">
        <f t="shared" si="54"/>
        <v>4538.5193333333382</v>
      </c>
      <c r="H275" s="7">
        <f t="shared" si="54"/>
        <v>4131.5726666666715</v>
      </c>
      <c r="I275" s="7">
        <f t="shared" si="54"/>
        <v>3266.1390000000047</v>
      </c>
      <c r="J275" s="7">
        <f t="shared" si="54"/>
        <v>2719.998333333338</v>
      </c>
      <c r="K275" s="7">
        <f t="shared" si="54"/>
        <v>2222.6156666666711</v>
      </c>
      <c r="L275" s="7">
        <f t="shared" si="54"/>
        <v>1591.9960000000044</v>
      </c>
      <c r="M275" s="7">
        <f t="shared" si="54"/>
        <v>1243.2533333333379</v>
      </c>
      <c r="N275" s="7">
        <f t="shared" si="54"/>
        <v>819.61666666667111</v>
      </c>
      <c r="O275" s="7">
        <f t="shared" si="54"/>
        <v>572.20000000000459</v>
      </c>
      <c r="P275" s="8">
        <f t="shared" si="33"/>
        <v>572.20000000000459</v>
      </c>
    </row>
    <row r="276" spans="1:16" x14ac:dyDescent="0.3">
      <c r="A276" s="2" t="s">
        <v>67</v>
      </c>
      <c r="B276" s="2" t="s">
        <v>51</v>
      </c>
      <c r="C276" s="2" t="s">
        <v>39</v>
      </c>
      <c r="D276" s="7">
        <f t="shared" si="34"/>
        <v>4590.0236666666706</v>
      </c>
      <c r="E276" s="7">
        <f t="shared" ref="E276:O276" si="55">D276+E92+E138-E115-E230-E253-E207</f>
        <v>4374.3493333333372</v>
      </c>
      <c r="F276" s="7">
        <f t="shared" si="55"/>
        <v>4001.8530000000037</v>
      </c>
      <c r="G276" s="7">
        <f t="shared" si="55"/>
        <v>3599.7566666666703</v>
      </c>
      <c r="H276" s="7">
        <f t="shared" si="55"/>
        <v>3281.5643333333369</v>
      </c>
      <c r="I276" s="7">
        <f t="shared" si="55"/>
        <v>2843.0880000000034</v>
      </c>
      <c r="J276" s="7">
        <f t="shared" si="55"/>
        <v>2489.4276666666701</v>
      </c>
      <c r="K276" s="7">
        <f t="shared" si="55"/>
        <v>2019.5233333333363</v>
      </c>
      <c r="L276" s="7">
        <f t="shared" si="55"/>
        <v>1520.517000000003</v>
      </c>
      <c r="M276" s="7">
        <f t="shared" si="55"/>
        <v>1171.8526666666696</v>
      </c>
      <c r="N276" s="7">
        <f t="shared" si="55"/>
        <v>911.31433333333644</v>
      </c>
      <c r="O276" s="7">
        <f t="shared" si="55"/>
        <v>668.90000000000327</v>
      </c>
      <c r="P276" s="8">
        <f t="shared" si="33"/>
        <v>668.90000000000327</v>
      </c>
    </row>
    <row r="277" spans="1:16" x14ac:dyDescent="0.3">
      <c r="A277" s="2" t="s">
        <v>67</v>
      </c>
      <c r="B277" s="2" t="s">
        <v>51</v>
      </c>
      <c r="C277" s="2" t="s">
        <v>40</v>
      </c>
      <c r="D277" s="7">
        <f t="shared" si="34"/>
        <v>6747.510250000003</v>
      </c>
      <c r="E277" s="7">
        <f t="shared" ref="E277:O277" si="56">D277+E93+E139-E116-E231-E254-E208</f>
        <v>6530.7115000000031</v>
      </c>
      <c r="F277" s="7">
        <f t="shared" si="56"/>
        <v>5935.6447500000031</v>
      </c>
      <c r="G277" s="7">
        <f t="shared" si="56"/>
        <v>5353.4500000000025</v>
      </c>
      <c r="H277" s="7">
        <f t="shared" si="56"/>
        <v>4509.1862500000025</v>
      </c>
      <c r="I277" s="7">
        <f t="shared" si="56"/>
        <v>3754.0845000000031</v>
      </c>
      <c r="J277" s="7">
        <f t="shared" si="56"/>
        <v>3401.0067500000036</v>
      </c>
      <c r="K277" s="7">
        <f t="shared" si="56"/>
        <v>2826.5430000000042</v>
      </c>
      <c r="L277" s="7">
        <f t="shared" si="56"/>
        <v>2025.6992500000044</v>
      </c>
      <c r="M277" s="7">
        <f t="shared" si="56"/>
        <v>1406.2655000000043</v>
      </c>
      <c r="N277" s="7">
        <f t="shared" si="56"/>
        <v>1023.5927500000042</v>
      </c>
      <c r="O277" s="7">
        <f t="shared" si="56"/>
        <v>511.9000000000043</v>
      </c>
      <c r="P277" s="8">
        <f t="shared" si="33"/>
        <v>511.9000000000043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2"/>
  <sheetViews>
    <sheetView workbookViewId="0">
      <pane xSplit="3" ySplit="2" topLeftCell="D3" activePane="bottomRight" state="frozen"/>
      <selection pane="topRight"/>
      <selection pane="bottomLeft"/>
      <selection pane="bottomRight" activeCell="A25" sqref="A25:XFD32"/>
    </sheetView>
  </sheetViews>
  <sheetFormatPr defaultRowHeight="14.4" x14ac:dyDescent="0.3"/>
  <cols>
    <col min="1" max="1" width="18" customWidth="1"/>
    <col min="2" max="2" width="22" customWidth="1"/>
    <col min="3" max="3" width="9" customWidth="1"/>
    <col min="4" max="26" width="10" customWidth="1"/>
  </cols>
  <sheetData>
    <row r="1" spans="1:26" ht="25.8" x14ac:dyDescent="0.5">
      <c r="A1" s="9" t="s">
        <v>68</v>
      </c>
    </row>
    <row r="2" spans="1:26" x14ac:dyDescent="0.3">
      <c r="A2" s="10" t="s">
        <v>0</v>
      </c>
      <c r="B2" s="10" t="s">
        <v>1</v>
      </c>
      <c r="C2" s="10" t="s">
        <v>53</v>
      </c>
      <c r="D2" s="10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10" t="s">
        <v>23</v>
      </c>
      <c r="J2" s="10" t="s">
        <v>24</v>
      </c>
      <c r="K2" s="10" t="s">
        <v>25</v>
      </c>
      <c r="L2" s="10" t="s">
        <v>26</v>
      </c>
      <c r="M2" s="10" t="s">
        <v>27</v>
      </c>
      <c r="N2" s="10" t="s">
        <v>28</v>
      </c>
      <c r="O2" s="10" t="s">
        <v>29</v>
      </c>
      <c r="P2" s="10" t="s">
        <v>30</v>
      </c>
      <c r="Q2" s="10" t="s">
        <v>31</v>
      </c>
      <c r="R2" s="10" t="s">
        <v>32</v>
      </c>
      <c r="S2" s="10" t="s">
        <v>33</v>
      </c>
      <c r="T2" s="10" t="s">
        <v>34</v>
      </c>
      <c r="U2" s="10" t="s">
        <v>35</v>
      </c>
      <c r="V2" s="10" t="s">
        <v>36</v>
      </c>
      <c r="W2" s="10" t="s">
        <v>37</v>
      </c>
      <c r="X2" s="10" t="s">
        <v>38</v>
      </c>
      <c r="Y2" s="10" t="s">
        <v>39</v>
      </c>
      <c r="Z2" s="10" t="s">
        <v>40</v>
      </c>
    </row>
    <row r="3" spans="1:26" x14ac:dyDescent="0.3">
      <c r="A3" s="11" t="s">
        <v>68</v>
      </c>
      <c r="B3" s="11" t="s">
        <v>17</v>
      </c>
      <c r="C3" s="12" t="s">
        <v>54</v>
      </c>
      <c r="D3" s="13">
        <f>SUMIFS(Durum_Mo!$P:$P,Durum_Mo!$B:$B,"Planted Area",Durum_Mo!$C:$C,RIGHT(D$2,5))</f>
        <v>6.125</v>
      </c>
      <c r="E3" s="13">
        <f>SUMIFS(Durum_Mo!$P:$P,Durum_Mo!$B:$B,"Planted Area",Durum_Mo!$C:$C,RIGHT(E$2,5))</f>
        <v>5.96</v>
      </c>
      <c r="F3" s="13">
        <f>SUMIFS(Durum_Mo!$P:$P,Durum_Mo!$B:$B,"Planted Area",Durum_Mo!$C:$C,RIGHT(F$2,5))</f>
        <v>5.2850000000000001</v>
      </c>
      <c r="G3" s="13">
        <f>SUMIFS(Durum_Mo!$P:$P,Durum_Mo!$B:$B,"Planted Area",Durum_Mo!$C:$C,RIGHT(G$2,5))</f>
        <v>5.7</v>
      </c>
      <c r="H3" s="13">
        <f>SUMIFS(Durum_Mo!$P:$P,Durum_Mo!$B:$B,"Planted Area",Durum_Mo!$C:$C,RIGHT(H$2,5))</f>
        <v>3.7953800000000002</v>
      </c>
      <c r="I3" s="13">
        <f>SUMIFS(Durum_Mo!$P:$P,Durum_Mo!$B:$B,"Planted Area",Durum_Mo!$C:$C,RIGHT(I$2,5))</f>
        <v>4.7649999999999997</v>
      </c>
      <c r="J3" s="13">
        <f>SUMIFS(Durum_Mo!$P:$P,Durum_Mo!$B:$B,"Planted Area",Durum_Mo!$C:$C,RIGHT(J$2,5))</f>
        <v>6.03</v>
      </c>
      <c r="K3" s="13">
        <f>SUMIFS(Durum_Mo!$P:$P,Durum_Mo!$B:$B,"Planted Area",Durum_Mo!$C:$C,RIGHT(K$2,5))</f>
        <v>5.66</v>
      </c>
      <c r="L3" s="13">
        <f>SUMIFS(Durum_Mo!$P:$P,Durum_Mo!$B:$B,"Planted Area",Durum_Mo!$C:$C,RIGHT(L$2,5))</f>
        <v>3.15</v>
      </c>
      <c r="M3" s="13">
        <f>SUMIFS(Durum_Mo!$P:$P,Durum_Mo!$B:$B,"Planted Area",Durum_Mo!$C:$C,RIGHT(M$2,5))</f>
        <v>4.011018</v>
      </c>
      <c r="N3" s="13">
        <f>SUMIFS(Durum_Mo!$P:$P,Durum_Mo!$B:$B,"Planted Area",Durum_Mo!$C:$C,RIGHT(N$2,5))</f>
        <v>4.625</v>
      </c>
      <c r="O3" s="13">
        <f>SUMIFS(Durum_Mo!$P:$P,Durum_Mo!$B:$B,"Planted Area",Durum_Mo!$C:$C,RIGHT(O$2,5))</f>
        <v>4.9850000000000003</v>
      </c>
      <c r="P3" s="13">
        <f>SUMIFS(Durum_Mo!$P:$P,Durum_Mo!$B:$B,"Planted Area",Durum_Mo!$C:$C,RIGHT(P$2,5))</f>
        <v>4.78</v>
      </c>
      <c r="Q3" s="13">
        <f>SUMIFS(Durum_Mo!$P:$P,Durum_Mo!$B:$B,"Planted Area",Durum_Mo!$C:$C,RIGHT(Q$2,5))</f>
        <v>5.79</v>
      </c>
      <c r="R3" s="13">
        <f>SUMIFS(Durum_Mo!$P:$P,Durum_Mo!$B:$B,"Planted Area",Durum_Mo!$C:$C,RIGHT(R$2,5))</f>
        <v>6.1014999999999997</v>
      </c>
      <c r="S3" s="13">
        <f>SUMIFS(Durum_Mo!$P:$P,Durum_Mo!$B:$B,"Planted Area",Durum_Mo!$C:$C,RIGHT(S$2,5))</f>
        <v>5.2050000000000001</v>
      </c>
      <c r="T3" s="13">
        <f>SUMIFS(Durum_Mo!$P:$P,Durum_Mo!$B:$B,"Planted Area",Durum_Mo!$C:$C,RIGHT(T$2,5))</f>
        <v>6.1853999999999996</v>
      </c>
      <c r="U3" s="13">
        <f>SUMIFS(Durum_Mo!$P:$P,Durum_Mo!$B:$B,"Planted Area",Durum_Mo!$C:$C,RIGHT(U$2,5))</f>
        <v>4.8936000000000002</v>
      </c>
      <c r="V3" s="13">
        <f>SUMIFS(Durum_Mo!$P:$P,Durum_Mo!$B:$B,"Planted Area",Durum_Mo!$C:$C,RIGHT(V$2,5))</f>
        <v>5.6886000000000001</v>
      </c>
      <c r="W3" s="13">
        <f>SUMIFS(Durum_Mo!$P:$P,Durum_Mo!$B:$B,"Planted Area",Durum_Mo!$C:$C,RIGHT(W$2,5))</f>
        <v>5.7365139999999997</v>
      </c>
      <c r="X3" s="13">
        <f>SUMIFS(Durum_Mo!$P:$P,Durum_Mo!$B:$B,"Planted Area",Durum_Mo!$C:$C,RIGHT(X$2,5))</f>
        <v>6.0061</v>
      </c>
      <c r="Y3" s="13">
        <f>SUMIFS(Durum_Mo!$P:$P,Durum_Mo!$B:$B,"Planted Area",Durum_Mo!$C:$C,RIGHT(Y$2,5))</f>
        <v>6.0338000000000003</v>
      </c>
      <c r="Z3" s="13">
        <f>SUMIFS(Durum_Mo!$P:$P,Durum_Mo!$B:$B,"Planted Area",Durum_Mo!$C:$C,RIGHT(Z$2,5))</f>
        <v>6.3643999999999998</v>
      </c>
    </row>
    <row r="4" spans="1:26" x14ac:dyDescent="0.3">
      <c r="A4" s="11" t="s">
        <v>68</v>
      </c>
      <c r="B4" s="11" t="s">
        <v>41</v>
      </c>
      <c r="C4" s="12" t="s">
        <v>54</v>
      </c>
      <c r="D4" s="13">
        <f>SUMIFS(Durum_Mo!$P:$P,Durum_Mo!$B:$B,"Harvested Area",Durum_Mo!$C:$C,RIGHT(D$2,5))</f>
        <v>5.55</v>
      </c>
      <c r="E4" s="13">
        <f>SUMIFS(Durum_Mo!$P:$P,Durum_Mo!$B:$B,"Harvested Area",Durum_Mo!$C:$C,RIGHT(E$2,5))</f>
        <v>5.915</v>
      </c>
      <c r="F4" s="13">
        <f>SUMIFS(Durum_Mo!$P:$P,Durum_Mo!$B:$B,"Harvested Area",Durum_Mo!$C:$C,RIGHT(F$2,5))</f>
        <v>5.07</v>
      </c>
      <c r="G4" s="13">
        <f>SUMIFS(Durum_Mo!$P:$P,Durum_Mo!$B:$B,"Harvested Area",Durum_Mo!$C:$C,RIGHT(G$2,5))</f>
        <v>5.63</v>
      </c>
      <c r="H4" s="13">
        <f>SUMIFS(Durum_Mo!$P:$P,Durum_Mo!$B:$B,"Harvested Area",Durum_Mo!$C:$C,RIGHT(H$2,5))</f>
        <v>3.75</v>
      </c>
      <c r="I4" s="13">
        <f>SUMIFS(Durum_Mo!$P:$P,Durum_Mo!$B:$B,"Harvested Area",Durum_Mo!$C:$C,RIGHT(I$2,5))</f>
        <v>4.71</v>
      </c>
      <c r="J4" s="13">
        <f>SUMIFS(Durum_Mo!$P:$P,Durum_Mo!$B:$B,"Harvested Area",Durum_Mo!$C:$C,RIGHT(J$2,5))</f>
        <v>5.97</v>
      </c>
      <c r="K4" s="13">
        <f>SUMIFS(Durum_Mo!$P:$P,Durum_Mo!$B:$B,"Harvested Area",Durum_Mo!$C:$C,RIGHT(K$2,5))</f>
        <v>5.51</v>
      </c>
      <c r="L4" s="13">
        <f>SUMIFS(Durum_Mo!$P:$P,Durum_Mo!$B:$B,"Harvested Area",Durum_Mo!$C:$C,RIGHT(L$2,5))</f>
        <v>3.0750000000000002</v>
      </c>
      <c r="M4" s="13">
        <f>SUMIFS(Durum_Mo!$P:$P,Durum_Mo!$B:$B,"Harvested Area",Durum_Mo!$C:$C,RIGHT(M$2,5))</f>
        <v>3.93</v>
      </c>
      <c r="N4" s="13">
        <f>SUMIFS(Durum_Mo!$P:$P,Durum_Mo!$B:$B,"Harvested Area",Durum_Mo!$C:$C,RIGHT(N$2,5))</f>
        <v>4.585</v>
      </c>
      <c r="O4" s="13">
        <f>SUMIFS(Durum_Mo!$P:$P,Durum_Mo!$B:$B,"Harvested Area",Durum_Mo!$C:$C,RIGHT(O$2,5))</f>
        <v>4.9550000000000001</v>
      </c>
      <c r="P4" s="13">
        <f>SUMIFS(Durum_Mo!$P:$P,Durum_Mo!$B:$B,"Harvested Area",Durum_Mo!$C:$C,RIGHT(P$2,5))</f>
        <v>4.6900000000000004</v>
      </c>
      <c r="Q4" s="13">
        <f>SUMIFS(Durum_Mo!$P:$P,Durum_Mo!$B:$B,"Harvested Area",Durum_Mo!$C:$C,RIGHT(Q$2,5))</f>
        <v>5.72</v>
      </c>
      <c r="R4" s="13">
        <f>SUMIFS(Durum_Mo!$P:$P,Durum_Mo!$B:$B,"Harvested Area",Durum_Mo!$C:$C,RIGHT(R$2,5))</f>
        <v>5.7649999999999997</v>
      </c>
      <c r="S4" s="13">
        <f>SUMIFS(Durum_Mo!$P:$P,Durum_Mo!$B:$B,"Harvested Area",Durum_Mo!$C:$C,RIGHT(S$2,5))</f>
        <v>5.16</v>
      </c>
      <c r="T4" s="13">
        <f>SUMIFS(Durum_Mo!$P:$P,Durum_Mo!$B:$B,"Harvested Area",Durum_Mo!$C:$C,RIGHT(T$2,5))</f>
        <v>6.0679999999999996</v>
      </c>
      <c r="U4" s="13">
        <f>SUMIFS(Durum_Mo!$P:$P,Durum_Mo!$B:$B,"Harvested Area",Durum_Mo!$C:$C,RIGHT(U$2,5))</f>
        <v>4.6992000000000003</v>
      </c>
      <c r="V4" s="13">
        <f>SUMIFS(Durum_Mo!$P:$P,Durum_Mo!$B:$B,"Harvested Area",Durum_Mo!$C:$C,RIGHT(V$2,5))</f>
        <v>5.6711999999999998</v>
      </c>
      <c r="W4" s="13">
        <f>SUMIFS(Durum_Mo!$P:$P,Durum_Mo!$B:$B,"Harvested Area",Durum_Mo!$C:$C,RIGHT(W$2,5))</f>
        <v>5.5124050000000002</v>
      </c>
      <c r="X4" s="13">
        <f>SUMIFS(Durum_Mo!$P:$P,Durum_Mo!$B:$B,"Harvested Area",Durum_Mo!$C:$C,RIGHT(X$2,5))</f>
        <v>5.9292999999999996</v>
      </c>
      <c r="Y4" s="13">
        <f>SUMIFS(Durum_Mo!$P:$P,Durum_Mo!$B:$B,"Harvested Area",Durum_Mo!$C:$C,RIGHT(Y$2,5))</f>
        <v>5.8932000000000002</v>
      </c>
      <c r="Z4" s="13">
        <f>SUMIFS(Durum_Mo!$P:$P,Durum_Mo!$B:$B,"Harvested Area",Durum_Mo!$C:$C,RIGHT(Z$2,5))</f>
        <v>6.3388</v>
      </c>
    </row>
    <row r="5" spans="1:26" x14ac:dyDescent="0.3">
      <c r="A5" s="11" t="s">
        <v>68</v>
      </c>
      <c r="B5" s="11" t="s">
        <v>55</v>
      </c>
      <c r="C5" s="12" t="s">
        <v>56</v>
      </c>
      <c r="D5" s="14">
        <f t="shared" ref="D5:Z5" si="0">IF(D3&lt;&gt;0,D4/D3,"")</f>
        <v>0.90612244897959182</v>
      </c>
      <c r="E5" s="14">
        <f t="shared" si="0"/>
        <v>0.9924496644295302</v>
      </c>
      <c r="F5" s="14">
        <f t="shared" si="0"/>
        <v>0.95931882686849579</v>
      </c>
      <c r="G5" s="14">
        <f t="shared" si="0"/>
        <v>0.987719298245614</v>
      </c>
      <c r="H5" s="14">
        <f t="shared" si="0"/>
        <v>0.98804335797733023</v>
      </c>
      <c r="I5" s="14">
        <f t="shared" si="0"/>
        <v>0.9884575026232949</v>
      </c>
      <c r="J5" s="14">
        <f t="shared" si="0"/>
        <v>0.99004975124378103</v>
      </c>
      <c r="K5" s="14">
        <f t="shared" si="0"/>
        <v>0.97349823321554763</v>
      </c>
      <c r="L5" s="14">
        <f t="shared" si="0"/>
        <v>0.97619047619047628</v>
      </c>
      <c r="M5" s="14">
        <f t="shared" si="0"/>
        <v>0.97980113776602351</v>
      </c>
      <c r="N5" s="14">
        <f t="shared" si="0"/>
        <v>0.99135135135135133</v>
      </c>
      <c r="O5" s="14">
        <f t="shared" si="0"/>
        <v>0.99398194583751254</v>
      </c>
      <c r="P5" s="14">
        <f t="shared" si="0"/>
        <v>0.98117154811715479</v>
      </c>
      <c r="Q5" s="14">
        <f t="shared" si="0"/>
        <v>0.98791018998272884</v>
      </c>
      <c r="R5" s="14">
        <f t="shared" si="0"/>
        <v>0.94484962714086695</v>
      </c>
      <c r="S5" s="14">
        <f t="shared" si="0"/>
        <v>0.99135446685878958</v>
      </c>
      <c r="T5" s="14">
        <f t="shared" si="0"/>
        <v>0.98101982086849682</v>
      </c>
      <c r="U5" s="14">
        <f t="shared" si="0"/>
        <v>0.96027464443354582</v>
      </c>
      <c r="V5" s="14">
        <f t="shared" si="0"/>
        <v>0.99694125092289843</v>
      </c>
      <c r="W5" s="14">
        <f t="shared" si="0"/>
        <v>0.96093289408864002</v>
      </c>
      <c r="X5" s="14">
        <f t="shared" si="0"/>
        <v>0.98721300011654811</v>
      </c>
      <c r="Y5" s="14">
        <f t="shared" si="0"/>
        <v>0.97669793496635615</v>
      </c>
      <c r="Z5" s="14">
        <f t="shared" si="0"/>
        <v>0.9959776255420778</v>
      </c>
    </row>
    <row r="6" spans="1:26" x14ac:dyDescent="0.3">
      <c r="A6" s="11" t="s">
        <v>68</v>
      </c>
      <c r="B6" s="11" t="s">
        <v>42</v>
      </c>
      <c r="C6" s="12" t="s">
        <v>57</v>
      </c>
      <c r="D6" s="15">
        <f>SUMIFS(Durum_Mo!$P:$P,Durum_Mo!$B:$B,"Yield",Durum_Mo!$C:$C,RIGHT(D$2,5))</f>
        <v>25.66696405945946</v>
      </c>
      <c r="E6" s="15">
        <f>SUMIFS(Durum_Mo!$P:$P,Durum_Mo!$B:$B,"Yield",Durum_Mo!$C:$C,RIGHT(E$2,5))</f>
        <v>26.162259834319521</v>
      </c>
      <c r="F6" s="15">
        <f>SUMIFS(Durum_Mo!$P:$P,Durum_Mo!$B:$B,"Yield",Durum_Mo!$C:$C,RIGHT(F$2,5))</f>
        <v>34.797081100591711</v>
      </c>
      <c r="G6" s="15">
        <f>SUMIFS(Durum_Mo!$P:$P,Durum_Mo!$B:$B,"Yield",Durum_Mo!$C:$C,RIGHT(G$2,5))</f>
        <v>38.601116877442273</v>
      </c>
      <c r="H6" s="15">
        <f>SUMIFS(Durum_Mo!$P:$P,Durum_Mo!$B:$B,"Yield",Durum_Mo!$C:$C,RIGHT(H$2,5))</f>
        <v>32.787138384000002</v>
      </c>
      <c r="I6" s="15">
        <f>SUMIFS(Durum_Mo!$P:$P,Durum_Mo!$B:$B,"Yield",Durum_Mo!$C:$C,RIGHT(I$2,5))</f>
        <v>28.719375197452219</v>
      </c>
      <c r="J6" s="15">
        <f>SUMIFS(Durum_Mo!$P:$P,Durum_Mo!$B:$B,"Yield",Durum_Mo!$C:$C,RIGHT(J$2,5))</f>
        <v>33.969766065326631</v>
      </c>
      <c r="K6" s="15">
        <f>SUMIFS(Durum_Mo!$P:$P,Durum_Mo!$B:$B,"Yield",Durum_Mo!$C:$C,RIGHT(K$2,5))</f>
        <v>36.007492290381123</v>
      </c>
      <c r="L6" s="15">
        <f>SUMIFS(Durum_Mo!$P:$P,Durum_Mo!$B:$B,"Yield",Durum_Mo!$C:$C,RIGHT(L$2,5))</f>
        <v>36.142656712195119</v>
      </c>
      <c r="M6" s="15">
        <f>SUMIFS(Durum_Mo!$P:$P,Durum_Mo!$B:$B,"Yield",Durum_Mo!$C:$C,RIGHT(M$2,5))</f>
        <v>39.007224114503821</v>
      </c>
      <c r="N6" s="15">
        <f>SUMIFS(Durum_Mo!$P:$P,Durum_Mo!$B:$B,"Yield",Durum_Mo!$C:$C,RIGHT(N$2,5))</f>
        <v>37.077077954198472</v>
      </c>
      <c r="O6" s="15">
        <f>SUMIFS(Durum_Mo!$P:$P,Durum_Mo!$B:$B,"Yield",Durum_Mo!$C:$C,RIGHT(O$2,5))</f>
        <v>48.233985196770931</v>
      </c>
      <c r="P6" s="15">
        <f>SUMIFS(Durum_Mo!$P:$P,Durum_Mo!$B:$B,"Yield",Durum_Mo!$C:$C,RIGHT(P$2,5))</f>
        <v>40.682091895522383</v>
      </c>
      <c r="Q6" s="15">
        <f>SUMIFS(Durum_Mo!$P:$P,Durum_Mo!$B:$B,"Yield",Durum_Mo!$C:$C,RIGHT(Q$2,5))</f>
        <v>34.615520312937058</v>
      </c>
      <c r="R6" s="15">
        <f>SUMIFS(Durum_Mo!$P:$P,Durum_Mo!$B:$B,"Yield",Durum_Mo!$C:$C,RIGHT(R$2,5))</f>
        <v>49.470468457935823</v>
      </c>
      <c r="S6" s="15">
        <f>SUMIFS(Durum_Mo!$P:$P,Durum_Mo!$B:$B,"Yield",Durum_Mo!$C:$C,RIGHT(S$2,5))</f>
        <v>35.335191500000001</v>
      </c>
      <c r="T6" s="15">
        <f>SUMIFS(Durum_Mo!$P:$P,Durum_Mo!$B:$B,"Yield",Durum_Mo!$C:$C,RIGHT(T$2,5))</f>
        <v>35.028832524719839</v>
      </c>
      <c r="U6" s="15">
        <f>SUMIFS(Durum_Mo!$P:$P,Durum_Mo!$B:$B,"Yield",Durum_Mo!$C:$C,RIGHT(U$2,5))</f>
        <v>39.2286225102145</v>
      </c>
      <c r="V6" s="15">
        <f>SUMIFS(Durum_Mo!$P:$P,Durum_Mo!$B:$B,"Yield",Durum_Mo!$C:$C,RIGHT(V$2,5))</f>
        <v>42.574799238256453</v>
      </c>
      <c r="W6" s="15">
        <f>SUMIFS(Durum_Mo!$P:$P,Durum_Mo!$B:$B,"Yield",Durum_Mo!$C:$C,RIGHT(W$2,5))</f>
        <v>20.213549303797521</v>
      </c>
      <c r="X6" s="15">
        <f>SUMIFS(Durum_Mo!$P:$P,Durum_Mo!$B:$B,"Yield",Durum_Mo!$C:$C,RIGHT(X$2,5))</f>
        <v>35.882940731620927</v>
      </c>
      <c r="Y6" s="15">
        <f>SUMIFS(Durum_Mo!$P:$P,Durum_Mo!$B:$B,"Yield",Durum_Mo!$C:$C,RIGHT(Y$2,5))</f>
        <v>26.479131801058841</v>
      </c>
      <c r="Z6" s="15">
        <f>SUMIFS(Durum_Mo!$P:$P,Durum_Mo!$B:$B,"Yield",Durum_Mo!$C:$C,RIGHT(Z$2,5))</f>
        <v>36.984260287436101</v>
      </c>
    </row>
    <row r="8" spans="1:26" x14ac:dyDescent="0.3">
      <c r="A8" s="11" t="s">
        <v>68</v>
      </c>
      <c r="B8" s="11" t="s">
        <v>58</v>
      </c>
      <c r="C8" s="12" t="s">
        <v>59</v>
      </c>
      <c r="D8" s="16">
        <f>SUMIFS(Durum_Mo!$D:$D,Durum_Mo!$B:$B,"STOCKS",Durum_Mo!$C:$C,RIGHT(D$2,5))-SUMIFS(Durum_Mo!$D:$D,Durum_Mo!$B:$B,"Production",Durum_Mo!$C:$C,RIGHT(D$2,5))-SUMIFS(Durum_Mo!$D:$D,Durum_Mo!$B:$B,"Imports",Durum_Mo!$C:$C,RIGHT(D$2,5))+SUMIFS(Durum_Mo!$D:$D,Durum_Mo!$B:$B,"Exports",Durum_Mo!$C:$C,RIGHT(D$2,5))+SUMIFS(Durum_Mo!$D:$D,Durum_Mo!$B:$B,"Food &amp; Processing",Durum_Mo!$C:$C,RIGHT(D$2,5))+SUMIFS(Durum_Mo!$D:$D,Durum_Mo!$B:$B,"FSR",Durum_Mo!$C:$C,RIGHT(D$2,5))+SUMIFS(Durum_Mo!$D:$D,Durum_Mo!$B:$B,"Seed",Durum_Mo!$C:$C,RIGHT(D$2,5))</f>
        <v>1544.9</v>
      </c>
      <c r="E8" s="16">
        <f t="shared" ref="E8:Z8" si="1">D19</f>
        <v>1608.6000000000004</v>
      </c>
      <c r="F8" s="16">
        <f t="shared" si="1"/>
        <v>1774.1000000000004</v>
      </c>
      <c r="G8" s="16">
        <f t="shared" si="1"/>
        <v>2486.8999999999996</v>
      </c>
      <c r="H8" s="16">
        <f t="shared" si="1"/>
        <v>3273.4000000000005</v>
      </c>
      <c r="I8" s="16">
        <f t="shared" si="1"/>
        <v>1256.8000000000002</v>
      </c>
      <c r="J8" s="16">
        <f t="shared" si="1"/>
        <v>808.69999999999982</v>
      </c>
      <c r="K8" s="16">
        <f t="shared" si="1"/>
        <v>2003.0999999999995</v>
      </c>
      <c r="L8" s="16">
        <f t="shared" si="1"/>
        <v>2693.8999999999996</v>
      </c>
      <c r="M8" s="16">
        <f t="shared" si="1"/>
        <v>1566</v>
      </c>
      <c r="N8" s="16">
        <f t="shared" si="1"/>
        <v>1486.0999999999995</v>
      </c>
      <c r="O8" s="16">
        <f t="shared" si="1"/>
        <v>1126.8999999999987</v>
      </c>
      <c r="P8" s="16">
        <f t="shared" si="1"/>
        <v>1738.8999999999987</v>
      </c>
      <c r="Q8" s="16">
        <f t="shared" si="1"/>
        <v>976.09999999999854</v>
      </c>
      <c r="R8" s="16">
        <f t="shared" si="1"/>
        <v>1100.2999999999984</v>
      </c>
      <c r="S8" s="16">
        <f t="shared" si="1"/>
        <v>1827.9999999999982</v>
      </c>
      <c r="T8" s="16">
        <f t="shared" si="1"/>
        <v>1476.0999999999976</v>
      </c>
      <c r="U8" s="16">
        <f t="shared" si="1"/>
        <v>1832.2999999999975</v>
      </c>
      <c r="V8" s="16">
        <f t="shared" si="1"/>
        <v>736.59999999999764</v>
      </c>
      <c r="W8" s="16">
        <f t="shared" si="1"/>
        <v>812.99999999999636</v>
      </c>
      <c r="X8" s="16">
        <f t="shared" si="1"/>
        <v>586.49999999999591</v>
      </c>
      <c r="Y8" s="16">
        <f t="shared" si="1"/>
        <v>572.19999999999709</v>
      </c>
      <c r="Z8" s="16">
        <f t="shared" si="1"/>
        <v>668.89999999999691</v>
      </c>
    </row>
    <row r="9" spans="1:26" x14ac:dyDescent="0.3">
      <c r="A9" s="11" t="s">
        <v>68</v>
      </c>
      <c r="B9" s="11" t="s">
        <v>45</v>
      </c>
      <c r="C9" s="12" t="s">
        <v>59</v>
      </c>
      <c r="D9" s="16">
        <f>SUMIFS(Durum_Mo!$P:$P,Durum_Mo!$B:$B,"Imports",Durum_Mo!$C:$C,RIGHT(D$2,5))</f>
        <v>5.5460000000000012</v>
      </c>
      <c r="E9" s="16">
        <f>SUMIFS(Durum_Mo!$P:$P,Durum_Mo!$B:$B,"Imports",Durum_Mo!$C:$C,RIGHT(E$2,5))</f>
        <v>1.3440000000000001</v>
      </c>
      <c r="F9" s="16">
        <f>SUMIFS(Durum_Mo!$P:$P,Durum_Mo!$B:$B,"Imports",Durum_Mo!$C:$C,RIGHT(F$2,5))</f>
        <v>0.82800000000000007</v>
      </c>
      <c r="G9" s="16">
        <f>SUMIFS(Durum_Mo!$P:$P,Durum_Mo!$B:$B,"Imports",Durum_Mo!$C:$C,RIGHT(G$2,5))</f>
        <v>3.6280000000000001</v>
      </c>
      <c r="H9" s="16">
        <f>SUMIFS(Durum_Mo!$P:$P,Durum_Mo!$B:$B,"Imports",Durum_Mo!$C:$C,RIGHT(H$2,5))</f>
        <v>0.8680000000000001</v>
      </c>
      <c r="I9" s="16">
        <f>SUMIFS(Durum_Mo!$P:$P,Durum_Mo!$B:$B,"Imports",Durum_Mo!$C:$C,RIGHT(I$2,5))</f>
        <v>2.9260000000000002</v>
      </c>
      <c r="J9" s="16">
        <f>SUMIFS(Durum_Mo!$P:$P,Durum_Mo!$B:$B,"Imports",Durum_Mo!$C:$C,RIGHT(J$2,5))</f>
        <v>2.3799999999999994</v>
      </c>
      <c r="K9" s="16">
        <f>SUMIFS(Durum_Mo!$P:$P,Durum_Mo!$B:$B,"Imports",Durum_Mo!$C:$C,RIGHT(K$2,5))</f>
        <v>2.4420000000000002</v>
      </c>
      <c r="L9" s="16">
        <f>SUMIFS(Durum_Mo!$P:$P,Durum_Mo!$B:$B,"Imports",Durum_Mo!$C:$C,RIGHT(L$2,5))</f>
        <v>36.521999999999991</v>
      </c>
      <c r="M9" s="16">
        <f>SUMIFS(Durum_Mo!$P:$P,Durum_Mo!$B:$B,"Imports",Durum_Mo!$C:$C,RIGHT(M$2,5))</f>
        <v>17.34</v>
      </c>
      <c r="N9" s="16">
        <f>SUMIFS(Durum_Mo!$P:$P,Durum_Mo!$B:$B,"Imports",Durum_Mo!$C:$C,RIGHT(N$2,5))</f>
        <v>35.795999999999999</v>
      </c>
      <c r="O9" s="16">
        <f>SUMIFS(Durum_Mo!$P:$P,Durum_Mo!$B:$B,"Imports",Durum_Mo!$C:$C,RIGHT(O$2,5))</f>
        <v>5.1070000000000002</v>
      </c>
      <c r="P9" s="16">
        <f>SUMIFS(Durum_Mo!$P:$P,Durum_Mo!$B:$B,"Imports",Durum_Mo!$C:$C,RIGHT(P$2,5))</f>
        <v>7.705000000000001</v>
      </c>
      <c r="Q9" s="16">
        <f>SUMIFS(Durum_Mo!$P:$P,Durum_Mo!$B:$B,"Imports",Durum_Mo!$C:$C,RIGHT(Q$2,5))</f>
        <v>12.867000000000001</v>
      </c>
      <c r="R9" s="16">
        <f>SUMIFS(Durum_Mo!$P:$P,Durum_Mo!$B:$B,"Imports",Durum_Mo!$C:$C,RIGHT(R$2,5))</f>
        <v>8.64</v>
      </c>
      <c r="S9" s="16">
        <f>SUMIFS(Durum_Mo!$P:$P,Durum_Mo!$B:$B,"Imports",Durum_Mo!$C:$C,RIGHT(S$2,5))</f>
        <v>10.167999999999999</v>
      </c>
      <c r="T9" s="16">
        <f>SUMIFS(Durum_Mo!$P:$P,Durum_Mo!$B:$B,"Imports",Durum_Mo!$C:$C,RIGHT(T$2,5))</f>
        <v>23.82</v>
      </c>
      <c r="U9" s="16">
        <f>SUMIFS(Durum_Mo!$P:$P,Durum_Mo!$B:$B,"Imports",Durum_Mo!$C:$C,RIGHT(U$2,5))</f>
        <v>96.442999999999998</v>
      </c>
      <c r="V9" s="16">
        <f>SUMIFS(Durum_Mo!$P:$P,Durum_Mo!$B:$B,"Imports",Durum_Mo!$C:$C,RIGHT(V$2,5))</f>
        <v>13.094000000000001</v>
      </c>
      <c r="W9" s="16">
        <f>SUMIFS(Durum_Mo!$P:$P,Durum_Mo!$B:$B,"Imports",Durum_Mo!$C:$C,RIGHT(W$2,5))</f>
        <v>7.8559999999999999</v>
      </c>
      <c r="X9" s="16">
        <f>SUMIFS(Durum_Mo!$P:$P,Durum_Mo!$B:$B,"Imports",Durum_Mo!$C:$C,RIGHT(X$2,5))</f>
        <v>1.4770000000000001</v>
      </c>
      <c r="Y9" s="16">
        <f>SUMIFS(Durum_Mo!$P:$P,Durum_Mo!$B:$B,"Imports",Durum_Mo!$C:$C,RIGHT(Y$2,5))</f>
        <v>4.6899999999999995</v>
      </c>
      <c r="Z9" s="16">
        <f>SUMIFS(Durum_Mo!$P:$P,Durum_Mo!$B:$B,"Imports",Durum_Mo!$C:$C,RIGHT(Z$2,5))</f>
        <v>5.0750000000000002</v>
      </c>
    </row>
    <row r="10" spans="1:26" x14ac:dyDescent="0.3">
      <c r="A10" s="11" t="s">
        <v>68</v>
      </c>
      <c r="B10" s="11" t="s">
        <v>43</v>
      </c>
      <c r="C10" s="12" t="s">
        <v>59</v>
      </c>
      <c r="D10" s="16">
        <f>SUMIFS(Durum_Mo!$P:$P,Durum_Mo!$B:$B,"Production",Durum_Mo!$C:$C,RIGHT(D$2,5))</f>
        <v>3876.9</v>
      </c>
      <c r="E10" s="16">
        <f>SUMIFS(Durum_Mo!$P:$P,Durum_Mo!$B:$B,"Production",Durum_Mo!$C:$C,RIGHT(E$2,5))</f>
        <v>4211.6000000000004</v>
      </c>
      <c r="F10" s="16">
        <f>SUMIFS(Durum_Mo!$P:$P,Durum_Mo!$B:$B,"Production",Durum_Mo!$C:$C,RIGHT(F$2,5))</f>
        <v>4801.3999999999996</v>
      </c>
      <c r="G10" s="16">
        <f>SUMIFS(Durum_Mo!$P:$P,Durum_Mo!$B:$B,"Production",Durum_Mo!$C:$C,RIGHT(G$2,5))</f>
        <v>5914.6</v>
      </c>
      <c r="H10" s="16">
        <f>SUMIFS(Durum_Mo!$P:$P,Durum_Mo!$B:$B,"Production",Durum_Mo!$C:$C,RIGHT(H$2,5))</f>
        <v>3346.2</v>
      </c>
      <c r="I10" s="16">
        <f>SUMIFS(Durum_Mo!$P:$P,Durum_Mo!$B:$B,"Production",Durum_Mo!$C:$C,RIGHT(I$2,5))</f>
        <v>3681.4</v>
      </c>
      <c r="J10" s="16">
        <f>SUMIFS(Durum_Mo!$P:$P,Durum_Mo!$B:$B,"Production",Durum_Mo!$C:$C,RIGHT(J$2,5))</f>
        <v>5519.3</v>
      </c>
      <c r="K10" s="16">
        <f>SUMIFS(Durum_Mo!$P:$P,Durum_Mo!$B:$B,"Production",Durum_Mo!$C:$C,RIGHT(K$2,5))</f>
        <v>5399.6</v>
      </c>
      <c r="L10" s="16">
        <f>SUMIFS(Durum_Mo!$P:$P,Durum_Mo!$B:$B,"Production",Durum_Mo!$C:$C,RIGHT(L$2,5))</f>
        <v>3024.7</v>
      </c>
      <c r="M10" s="16">
        <f>SUMIFS(Durum_Mo!$P:$P,Durum_Mo!$B:$B,"Production",Durum_Mo!$C:$C,RIGHT(M$2,5))</f>
        <v>4172.1000000000004</v>
      </c>
      <c r="N10" s="16">
        <f>SUMIFS(Durum_Mo!$P:$P,Durum_Mo!$B:$B,"Production",Durum_Mo!$C:$C,RIGHT(N$2,5))</f>
        <v>4626.6000000000004</v>
      </c>
      <c r="O10" s="16">
        <f>SUMIFS(Durum_Mo!$P:$P,Durum_Mo!$B:$B,"Production",Durum_Mo!$C:$C,RIGHT(O$2,5))</f>
        <v>6504.5</v>
      </c>
      <c r="P10" s="16">
        <f>SUMIFS(Durum_Mo!$P:$P,Durum_Mo!$B:$B,"Production",Durum_Mo!$C:$C,RIGHT(P$2,5))</f>
        <v>5192.7</v>
      </c>
      <c r="Q10" s="16">
        <f>SUMIFS(Durum_Mo!$P:$P,Durum_Mo!$B:$B,"Production",Durum_Mo!$C:$C,RIGHT(Q$2,5))</f>
        <v>5388.7</v>
      </c>
      <c r="R10" s="16">
        <f>SUMIFS(Durum_Mo!$P:$P,Durum_Mo!$B:$B,"Production",Durum_Mo!$C:$C,RIGHT(R$2,5))</f>
        <v>7761.8</v>
      </c>
      <c r="S10" s="16">
        <f>SUMIFS(Durum_Mo!$P:$P,Durum_Mo!$B:$B,"Production",Durum_Mo!$C:$C,RIGHT(S$2,5))</f>
        <v>4962.2</v>
      </c>
      <c r="T10" s="16">
        <f>SUMIFS(Durum_Mo!$P:$P,Durum_Mo!$B:$B,"Production",Durum_Mo!$C:$C,RIGHT(T$2,5))</f>
        <v>5784.8</v>
      </c>
      <c r="U10" s="16">
        <f>SUMIFS(Durum_Mo!$P:$P,Durum_Mo!$B:$B,"Production",Durum_Mo!$C:$C,RIGHT(U$2,5))</f>
        <v>5017</v>
      </c>
      <c r="V10" s="16">
        <f>SUMIFS(Durum_Mo!$P:$P,Durum_Mo!$B:$B,"Production",Durum_Mo!$C:$C,RIGHT(V$2,5))</f>
        <v>6571.2</v>
      </c>
      <c r="W10" s="16">
        <f>SUMIFS(Durum_Mo!$P:$P,Durum_Mo!$B:$B,"Production",Durum_Mo!$C:$C,RIGHT(W$2,5))</f>
        <v>3032.5</v>
      </c>
      <c r="X10" s="16">
        <f>SUMIFS(Durum_Mo!$P:$P,Durum_Mo!$B:$B,"Production",Durum_Mo!$C:$C,RIGHT(X$2,5))</f>
        <v>5790.4</v>
      </c>
      <c r="Y10" s="16">
        <f>SUMIFS(Durum_Mo!$P:$P,Durum_Mo!$B:$B,"Production",Durum_Mo!$C:$C,RIGHT(Y$2,5))</f>
        <v>4246.8999999999996</v>
      </c>
      <c r="Z10" s="16">
        <f>SUMIFS(Durum_Mo!$P:$P,Durum_Mo!$B:$B,"Production",Durum_Mo!$C:$C,RIGHT(Z$2,5))</f>
        <v>6380.3</v>
      </c>
    </row>
    <row r="11" spans="1:26" x14ac:dyDescent="0.3">
      <c r="A11" s="17" t="s">
        <v>68</v>
      </c>
      <c r="B11" s="17" t="s">
        <v>60</v>
      </c>
      <c r="C11" s="18" t="s">
        <v>59</v>
      </c>
      <c r="D11" s="19">
        <f t="shared" ref="D11:Z11" si="2">D8+D9+D10</f>
        <v>5427.3460000000005</v>
      </c>
      <c r="E11" s="19">
        <f t="shared" si="2"/>
        <v>5821.5440000000008</v>
      </c>
      <c r="F11" s="19">
        <f t="shared" si="2"/>
        <v>6576.3279999999995</v>
      </c>
      <c r="G11" s="19">
        <f t="shared" si="2"/>
        <v>8405.1280000000006</v>
      </c>
      <c r="H11" s="19">
        <f t="shared" si="2"/>
        <v>6620.4680000000008</v>
      </c>
      <c r="I11" s="19">
        <f t="shared" si="2"/>
        <v>4941.1260000000002</v>
      </c>
      <c r="J11" s="19">
        <f t="shared" si="2"/>
        <v>6330.38</v>
      </c>
      <c r="K11" s="19">
        <f t="shared" si="2"/>
        <v>7405.1419999999998</v>
      </c>
      <c r="L11" s="19">
        <f t="shared" si="2"/>
        <v>5755.1219999999994</v>
      </c>
      <c r="M11" s="19">
        <f t="shared" si="2"/>
        <v>5755.4400000000005</v>
      </c>
      <c r="N11" s="19">
        <f t="shared" si="2"/>
        <v>6148.4960000000001</v>
      </c>
      <c r="O11" s="19">
        <f t="shared" si="2"/>
        <v>7636.5069999999987</v>
      </c>
      <c r="P11" s="19">
        <f t="shared" si="2"/>
        <v>6939.3049999999985</v>
      </c>
      <c r="Q11" s="19">
        <f t="shared" si="2"/>
        <v>6377.6669999999986</v>
      </c>
      <c r="R11" s="19">
        <f t="shared" si="2"/>
        <v>8870.739999999998</v>
      </c>
      <c r="S11" s="19">
        <f t="shared" si="2"/>
        <v>6800.3679999999977</v>
      </c>
      <c r="T11" s="19">
        <f t="shared" si="2"/>
        <v>7284.7199999999975</v>
      </c>
      <c r="U11" s="19">
        <f t="shared" si="2"/>
        <v>6945.7429999999977</v>
      </c>
      <c r="V11" s="19">
        <f t="shared" si="2"/>
        <v>7320.8939999999975</v>
      </c>
      <c r="W11" s="19">
        <f t="shared" si="2"/>
        <v>3853.3559999999961</v>
      </c>
      <c r="X11" s="19">
        <f t="shared" si="2"/>
        <v>6378.3769999999959</v>
      </c>
      <c r="Y11" s="19">
        <f t="shared" si="2"/>
        <v>4823.7899999999972</v>
      </c>
      <c r="Z11" s="19">
        <f t="shared" si="2"/>
        <v>7054.2749999999969</v>
      </c>
    </row>
    <row r="13" spans="1:26" x14ac:dyDescent="0.3">
      <c r="A13" s="11" t="s">
        <v>68</v>
      </c>
      <c r="B13" s="11" t="s">
        <v>46</v>
      </c>
      <c r="C13" s="12" t="s">
        <v>59</v>
      </c>
      <c r="D13" s="16">
        <f>SUMIFS(Durum_Mo!$P:$P,Durum_Mo!$B:$B,"Food",Durum_Mo!$C:$C,RIGHT(D$2,5))</f>
        <v>276.3</v>
      </c>
      <c r="E13" s="16">
        <f>SUMIFS(Durum_Mo!$P:$P,Durum_Mo!$B:$B,"Food",Durum_Mo!$C:$C,RIGHT(E$2,5))</f>
        <v>251.49999999999989</v>
      </c>
      <c r="F13" s="16">
        <f>SUMIFS(Durum_Mo!$P:$P,Durum_Mo!$B:$B,"Food",Durum_Mo!$C:$C,RIGHT(F$2,5))</f>
        <v>254.20000000000002</v>
      </c>
      <c r="G13" s="16">
        <f>SUMIFS(Durum_Mo!$P:$P,Durum_Mo!$B:$B,"Food",Durum_Mo!$C:$C,RIGHT(G$2,5))</f>
        <v>248.10000000000005</v>
      </c>
      <c r="H13" s="16">
        <f>SUMIFS(Durum_Mo!$P:$P,Durum_Mo!$B:$B,"Food",Durum_Mo!$C:$C,RIGHT(H$2,5))</f>
        <v>256.5</v>
      </c>
      <c r="I13" s="16">
        <f>SUMIFS(Durum_Mo!$P:$P,Durum_Mo!$B:$B,"Food",Durum_Mo!$C:$C,RIGHT(I$2,5))</f>
        <v>228.50000000000011</v>
      </c>
      <c r="J13" s="16">
        <f>SUMIFS(Durum_Mo!$P:$P,Durum_Mo!$B:$B,"Food",Durum_Mo!$C:$C,RIGHT(J$2,5))</f>
        <v>236.29999999999993</v>
      </c>
      <c r="K13" s="16">
        <f>SUMIFS(Durum_Mo!$P:$P,Durum_Mo!$B:$B,"Food",Durum_Mo!$C:$C,RIGHT(K$2,5))</f>
        <v>260.7999999999999</v>
      </c>
      <c r="L13" s="16">
        <f>SUMIFS(Durum_Mo!$P:$P,Durum_Mo!$B:$B,"Food",Durum_Mo!$C:$C,RIGHT(L$2,5))</f>
        <v>254.60000000000002</v>
      </c>
      <c r="M13" s="16">
        <f>SUMIFS(Durum_Mo!$P:$P,Durum_Mo!$B:$B,"Food",Durum_Mo!$C:$C,RIGHT(M$2,5))</f>
        <v>232.40000000000006</v>
      </c>
      <c r="N13" s="16">
        <f>SUMIFS(Durum_Mo!$P:$P,Durum_Mo!$B:$B,"Food",Durum_Mo!$C:$C,RIGHT(N$2,5))</f>
        <v>231.09999999999994</v>
      </c>
      <c r="O13" s="16">
        <f>SUMIFS(Durum_Mo!$P:$P,Durum_Mo!$B:$B,"Food",Durum_Mo!$C:$C,RIGHT(O$2,5))</f>
        <v>236.29999999999993</v>
      </c>
      <c r="P13" s="16">
        <f>SUMIFS(Durum_Mo!$P:$P,Durum_Mo!$B:$B,"Food",Durum_Mo!$C:$C,RIGHT(P$2,5))</f>
        <v>200.60000000000002</v>
      </c>
      <c r="Q13" s="16">
        <f>SUMIFS(Durum_Mo!$P:$P,Durum_Mo!$B:$B,"Food",Durum_Mo!$C:$C,RIGHT(Q$2,5))</f>
        <v>209.10000000000005</v>
      </c>
      <c r="R13" s="16">
        <f>SUMIFS(Durum_Mo!$P:$P,Durum_Mo!$B:$B,"Food",Durum_Mo!$C:$C,RIGHT(R$2,5))</f>
        <v>173.60000000000005</v>
      </c>
      <c r="S13" s="16">
        <f>SUMIFS(Durum_Mo!$P:$P,Durum_Mo!$B:$B,"Food",Durum_Mo!$C:$C,RIGHT(S$2,5))</f>
        <v>201.30000000000004</v>
      </c>
      <c r="T13" s="16">
        <f>SUMIFS(Durum_Mo!$P:$P,Durum_Mo!$B:$B,"Food",Durum_Mo!$C:$C,RIGHT(T$2,5))</f>
        <v>204.09999999999994</v>
      </c>
      <c r="U13" s="16">
        <f>SUMIFS(Durum_Mo!$P:$P,Durum_Mo!$B:$B,"Food",Durum_Mo!$C:$C,RIGHT(U$2,5))</f>
        <v>215.29999999999998</v>
      </c>
      <c r="V13" s="16">
        <f>SUMIFS(Durum_Mo!$P:$P,Durum_Mo!$B:$B,"Food",Durum_Mo!$C:$C,RIGHT(V$2,5))</f>
        <v>198.30000000000004</v>
      </c>
      <c r="W13" s="16">
        <f>SUMIFS(Durum_Mo!$P:$P,Durum_Mo!$B:$B,"Food",Durum_Mo!$C:$C,RIGHT(W$2,5))</f>
        <v>210.09999999999994</v>
      </c>
      <c r="X13" s="16">
        <f>SUMIFS(Durum_Mo!$P:$P,Durum_Mo!$B:$B,"Food",Durum_Mo!$C:$C,RIGHT(X$2,5))</f>
        <v>194.20000000000002</v>
      </c>
      <c r="Y13" s="16">
        <f>SUMIFS(Durum_Mo!$P:$P,Durum_Mo!$B:$B,"Food",Durum_Mo!$C:$C,RIGHT(Y$2,5))</f>
        <v>191.10000000000002</v>
      </c>
      <c r="Z13" s="16">
        <f>SUMIFS(Durum_Mo!$P:$P,Durum_Mo!$B:$B,"Food",Durum_Mo!$C:$C,RIGHT(Z$2,5))</f>
        <v>192.89999999999995</v>
      </c>
    </row>
    <row r="14" spans="1:26" x14ac:dyDescent="0.3">
      <c r="A14" s="11" t="s">
        <v>68</v>
      </c>
      <c r="B14" s="11" t="s">
        <v>47</v>
      </c>
      <c r="C14" s="12" t="s">
        <v>59</v>
      </c>
      <c r="D14" s="16">
        <f>SUMIFS(Durum_Mo!$P:$P,Durum_Mo!$B:$B,"Industrial",Durum_Mo!$C:$C,RIGHT(D$2,5))</f>
        <v>0</v>
      </c>
      <c r="E14" s="16">
        <f>SUMIFS(Durum_Mo!$P:$P,Durum_Mo!$B:$B,"Industrial",Durum_Mo!$C:$C,RIGHT(E$2,5))</f>
        <v>0</v>
      </c>
      <c r="F14" s="16">
        <f>SUMIFS(Durum_Mo!$P:$P,Durum_Mo!$B:$B,"Industrial",Durum_Mo!$C:$C,RIGHT(F$2,5))</f>
        <v>0</v>
      </c>
      <c r="G14" s="16">
        <f>SUMIFS(Durum_Mo!$P:$P,Durum_Mo!$B:$B,"Industrial",Durum_Mo!$C:$C,RIGHT(G$2,5))</f>
        <v>0</v>
      </c>
      <c r="H14" s="16">
        <f>SUMIFS(Durum_Mo!$P:$P,Durum_Mo!$B:$B,"Industrial",Durum_Mo!$C:$C,RIGHT(H$2,5))</f>
        <v>0</v>
      </c>
      <c r="I14" s="16">
        <f>SUMIFS(Durum_Mo!$P:$P,Durum_Mo!$B:$B,"Industrial",Durum_Mo!$C:$C,RIGHT(I$2,5))</f>
        <v>0</v>
      </c>
      <c r="J14" s="16">
        <f>SUMIFS(Durum_Mo!$P:$P,Durum_Mo!$B:$B,"Industrial",Durum_Mo!$C:$C,RIGHT(J$2,5))</f>
        <v>0</v>
      </c>
      <c r="K14" s="16">
        <f>SUMIFS(Durum_Mo!$P:$P,Durum_Mo!$B:$B,"Industrial",Durum_Mo!$C:$C,RIGHT(K$2,5))</f>
        <v>0</v>
      </c>
      <c r="L14" s="16">
        <f>SUMIFS(Durum_Mo!$P:$P,Durum_Mo!$B:$B,"Industrial",Durum_Mo!$C:$C,RIGHT(L$2,5))</f>
        <v>0</v>
      </c>
      <c r="M14" s="16">
        <f>SUMIFS(Durum_Mo!$P:$P,Durum_Mo!$B:$B,"Industrial",Durum_Mo!$C:$C,RIGHT(M$2,5))</f>
        <v>0</v>
      </c>
      <c r="N14" s="16">
        <f>SUMIFS(Durum_Mo!$P:$P,Durum_Mo!$B:$B,"Industrial",Durum_Mo!$C:$C,RIGHT(N$2,5))</f>
        <v>0</v>
      </c>
      <c r="O14" s="16">
        <f>SUMIFS(Durum_Mo!$P:$P,Durum_Mo!$B:$B,"Industrial",Durum_Mo!$C:$C,RIGHT(O$2,5))</f>
        <v>0</v>
      </c>
      <c r="P14" s="16">
        <f>SUMIFS(Durum_Mo!$P:$P,Durum_Mo!$B:$B,"Industrial",Durum_Mo!$C:$C,RIGHT(P$2,5))</f>
        <v>0</v>
      </c>
      <c r="Q14" s="16">
        <f>SUMIFS(Durum_Mo!$P:$P,Durum_Mo!$B:$B,"Industrial",Durum_Mo!$C:$C,RIGHT(Q$2,5))</f>
        <v>0</v>
      </c>
      <c r="R14" s="16">
        <f>SUMIFS(Durum_Mo!$P:$P,Durum_Mo!$B:$B,"Industrial",Durum_Mo!$C:$C,RIGHT(R$2,5))</f>
        <v>0</v>
      </c>
      <c r="S14" s="16">
        <f>SUMIFS(Durum_Mo!$P:$P,Durum_Mo!$B:$B,"Industrial",Durum_Mo!$C:$C,RIGHT(S$2,5))</f>
        <v>0</v>
      </c>
      <c r="T14" s="16">
        <f>SUMIFS(Durum_Mo!$P:$P,Durum_Mo!$B:$B,"Industrial",Durum_Mo!$C:$C,RIGHT(T$2,5))</f>
        <v>0</v>
      </c>
      <c r="U14" s="16">
        <f>SUMIFS(Durum_Mo!$P:$P,Durum_Mo!$B:$B,"Industrial",Durum_Mo!$C:$C,RIGHT(U$2,5))</f>
        <v>0</v>
      </c>
      <c r="V14" s="16">
        <f>SUMIFS(Durum_Mo!$P:$P,Durum_Mo!$B:$B,"Industrial",Durum_Mo!$C:$C,RIGHT(V$2,5))</f>
        <v>0</v>
      </c>
      <c r="W14" s="16">
        <f>SUMIFS(Durum_Mo!$P:$P,Durum_Mo!$B:$B,"Industrial",Durum_Mo!$C:$C,RIGHT(W$2,5))</f>
        <v>0</v>
      </c>
      <c r="X14" s="16">
        <f>SUMIFS(Durum_Mo!$P:$P,Durum_Mo!$B:$B,"Industrial",Durum_Mo!$C:$C,RIGHT(X$2,5))</f>
        <v>0</v>
      </c>
      <c r="Y14" s="16">
        <f>SUMIFS(Durum_Mo!$P:$P,Durum_Mo!$B:$B,"Industrial",Durum_Mo!$C:$C,RIGHT(Y$2,5))</f>
        <v>0</v>
      </c>
      <c r="Z14" s="16">
        <f>SUMIFS(Durum_Mo!$P:$P,Durum_Mo!$B:$B,"Industrial",Durum_Mo!$C:$C,RIGHT(Z$2,5))</f>
        <v>0</v>
      </c>
    </row>
    <row r="15" spans="1:26" x14ac:dyDescent="0.3">
      <c r="A15" s="11" t="s">
        <v>68</v>
      </c>
      <c r="B15" s="11" t="s">
        <v>50</v>
      </c>
      <c r="C15" s="12" t="s">
        <v>59</v>
      </c>
      <c r="D15" s="16">
        <f>SUMIFS(Durum_Mo!$P:$P,Durum_Mo!$B:$B,"FSR",Durum_Mo!$C:$C,RIGHT(D$2,5))+SUMIFS(Durum_Mo!$P:$P,Durum_Mo!$B:$B,"Seed",Durum_Mo!$C:$C,RIGHT(D$2,5))</f>
        <v>557.43200000000024</v>
      </c>
      <c r="E15" s="16">
        <f>SUMIFS(Durum_Mo!$P:$P,Durum_Mo!$B:$B,"FSR",Durum_Mo!$C:$C,RIGHT(E$2,5))+SUMIFS(Durum_Mo!$P:$P,Durum_Mo!$B:$B,"Seed",Durum_Mo!$C:$C,RIGHT(E$2,5))</f>
        <v>354.7560000000006</v>
      </c>
      <c r="F15" s="16">
        <f>SUMIFS(Durum_Mo!$P:$P,Durum_Mo!$B:$B,"FSR",Durum_Mo!$C:$C,RIGHT(F$2,5))+SUMIFS(Durum_Mo!$P:$P,Durum_Mo!$B:$B,"Seed",Durum_Mo!$C:$C,RIGHT(F$2,5))</f>
        <v>648.32600000000048</v>
      </c>
      <c r="G15" s="16">
        <f>SUMIFS(Durum_Mo!$P:$P,Durum_Mo!$B:$B,"FSR",Durum_Mo!$C:$C,RIGHT(G$2,5))+SUMIFS(Durum_Mo!$P:$P,Durum_Mo!$B:$B,"Seed",Durum_Mo!$C:$C,RIGHT(G$2,5))</f>
        <v>732.18200000000024</v>
      </c>
      <c r="H15" s="16">
        <f>SUMIFS(Durum_Mo!$P:$P,Durum_Mo!$B:$B,"FSR",Durum_Mo!$C:$C,RIGHT(H$2,5))+SUMIFS(Durum_Mo!$P:$P,Durum_Mo!$B:$B,"Seed",Durum_Mo!$C:$C,RIGHT(H$2,5))</f>
        <v>649.59200000000169</v>
      </c>
      <c r="I15" s="16">
        <f>SUMIFS(Durum_Mo!$P:$P,Durum_Mo!$B:$B,"FSR",Durum_Mo!$C:$C,RIGHT(I$2,5))+SUMIFS(Durum_Mo!$P:$P,Durum_Mo!$B:$B,"Seed",Durum_Mo!$C:$C,RIGHT(I$2,5))</f>
        <v>713.15800000000024</v>
      </c>
      <c r="J15" s="16">
        <f>SUMIFS(Durum_Mo!$P:$P,Durum_Mo!$B:$B,"FSR",Durum_Mo!$C:$C,RIGHT(J$2,5))+SUMIFS(Durum_Mo!$P:$P,Durum_Mo!$B:$B,"Seed",Durum_Mo!$C:$C,RIGHT(J$2,5))</f>
        <v>408.83400000000051</v>
      </c>
      <c r="K15" s="16">
        <f>SUMIFS(Durum_Mo!$P:$P,Durum_Mo!$B:$B,"FSR",Durum_Mo!$C:$C,RIGHT(K$2,5))+SUMIFS(Durum_Mo!$P:$P,Durum_Mo!$B:$B,"Seed",Durum_Mo!$C:$C,RIGHT(K$2,5))</f>
        <v>1566.9560000000008</v>
      </c>
      <c r="L15" s="16">
        <f>SUMIFS(Durum_Mo!$P:$P,Durum_Mo!$B:$B,"FSR",Durum_Mo!$C:$C,RIGHT(L$2,5))+SUMIFS(Durum_Mo!$P:$P,Durum_Mo!$B:$B,"Seed",Durum_Mo!$C:$C,RIGHT(L$2,5))</f>
        <v>956.6579999999999</v>
      </c>
      <c r="M15" s="16">
        <f>SUMIFS(Durum_Mo!$P:$P,Durum_Mo!$B:$B,"FSR",Durum_Mo!$C:$C,RIGHT(M$2,5))+SUMIFS(Durum_Mo!$P:$P,Durum_Mo!$B:$B,"Seed",Durum_Mo!$C:$C,RIGHT(M$2,5))</f>
        <v>682.92600000000073</v>
      </c>
      <c r="N15" s="16">
        <f>SUMIFS(Durum_Mo!$P:$P,Durum_Mo!$B:$B,"FSR",Durum_Mo!$C:$C,RIGHT(N$2,5))+SUMIFS(Durum_Mo!$P:$P,Durum_Mo!$B:$B,"Seed",Durum_Mo!$C:$C,RIGHT(N$2,5))</f>
        <v>475.53500000000116</v>
      </c>
      <c r="O15" s="16">
        <f>SUMIFS(Durum_Mo!$P:$P,Durum_Mo!$B:$B,"FSR",Durum_Mo!$C:$C,RIGHT(O$2,5))+SUMIFS(Durum_Mo!$P:$P,Durum_Mo!$B:$B,"Seed",Durum_Mo!$C:$C,RIGHT(O$2,5))</f>
        <v>655.85100000000011</v>
      </c>
      <c r="P15" s="16">
        <f>SUMIFS(Durum_Mo!$P:$P,Durum_Mo!$B:$B,"FSR",Durum_Mo!$C:$C,RIGHT(P$2,5))+SUMIFS(Durum_Mo!$P:$P,Durum_Mo!$B:$B,"Seed",Durum_Mo!$C:$C,RIGHT(P$2,5))</f>
        <v>682.0969999999993</v>
      </c>
      <c r="Q15" s="16">
        <f>SUMIFS(Durum_Mo!$P:$P,Durum_Mo!$B:$B,"FSR",Durum_Mo!$C:$C,RIGHT(Q$2,5))+SUMIFS(Durum_Mo!$P:$P,Durum_Mo!$B:$B,"Seed",Durum_Mo!$C:$C,RIGHT(Q$2,5))</f>
        <v>683.98400000000072</v>
      </c>
      <c r="R15" s="16">
        <f>SUMIFS(Durum_Mo!$P:$P,Durum_Mo!$B:$B,"FSR",Durum_Mo!$C:$C,RIGHT(R$2,5))+SUMIFS(Durum_Mo!$P:$P,Durum_Mo!$B:$B,"Seed",Durum_Mo!$C:$C,RIGHT(R$2,5))</f>
        <v>2527.3049999999989</v>
      </c>
      <c r="S15" s="16">
        <f>SUMIFS(Durum_Mo!$P:$P,Durum_Mo!$B:$B,"FSR",Durum_Mo!$C:$C,RIGHT(S$2,5))+SUMIFS(Durum_Mo!$P:$P,Durum_Mo!$B:$B,"Seed",Durum_Mo!$C:$C,RIGHT(S$2,5))</f>
        <v>800.5849999999997</v>
      </c>
      <c r="T15" s="16">
        <f>SUMIFS(Durum_Mo!$P:$P,Durum_Mo!$B:$B,"FSR",Durum_Mo!$C:$C,RIGHT(T$2,5))+SUMIFS(Durum_Mo!$P:$P,Durum_Mo!$B:$B,"Seed",Durum_Mo!$C:$C,RIGHT(T$2,5))</f>
        <v>735.00900000000036</v>
      </c>
      <c r="U15" s="16">
        <f>SUMIFS(Durum_Mo!$P:$P,Durum_Mo!$B:$B,"FSR",Durum_Mo!$C:$C,RIGHT(U$2,5))+SUMIFS(Durum_Mo!$P:$P,Durum_Mo!$B:$B,"Seed",Durum_Mo!$C:$C,RIGHT(U$2,5))</f>
        <v>711.70700000000079</v>
      </c>
      <c r="V15" s="16">
        <f>SUMIFS(Durum_Mo!$P:$P,Durum_Mo!$B:$B,"FSR",Durum_Mo!$C:$C,RIGHT(V$2,5))+SUMIFS(Durum_Mo!$P:$P,Durum_Mo!$B:$B,"Seed",Durum_Mo!$C:$C,RIGHT(V$2,5))</f>
        <v>557.48300000000029</v>
      </c>
      <c r="W15" s="16">
        <f>SUMIFS(Durum_Mo!$P:$P,Durum_Mo!$B:$B,"FSR",Durum_Mo!$C:$C,RIGHT(W$2,5))+SUMIFS(Durum_Mo!$P:$P,Durum_Mo!$B:$B,"Seed",Durum_Mo!$C:$C,RIGHT(W$2,5))</f>
        <v>353.73300000000063</v>
      </c>
      <c r="X15" s="16">
        <f>SUMIFS(Durum_Mo!$P:$P,Durum_Mo!$B:$B,"FSR",Durum_Mo!$C:$C,RIGHT(X$2,5))+SUMIFS(Durum_Mo!$P:$P,Durum_Mo!$B:$B,"Seed",Durum_Mo!$C:$C,RIGHT(X$2,5))</f>
        <v>568.92399999999975</v>
      </c>
      <c r="Y15" s="16">
        <f>SUMIFS(Durum_Mo!$P:$P,Durum_Mo!$B:$B,"FSR",Durum_Mo!$C:$C,RIGHT(Y$2,5))+SUMIFS(Durum_Mo!$P:$P,Durum_Mo!$B:$B,"Seed",Durum_Mo!$C:$C,RIGHT(Y$2,5))</f>
        <v>439.11999999999961</v>
      </c>
      <c r="Z15" s="16">
        <f>SUMIFS(Durum_Mo!$P:$P,Durum_Mo!$B:$B,"FSR",Durum_Mo!$C:$C,RIGHT(Z$2,5))+SUMIFS(Durum_Mo!$P:$P,Durum_Mo!$B:$B,"Seed",Durum_Mo!$C:$C,RIGHT(Z$2,5))</f>
        <v>549.98099999999943</v>
      </c>
    </row>
    <row r="16" spans="1:26" x14ac:dyDescent="0.3">
      <c r="A16" s="11" t="s">
        <v>68</v>
      </c>
      <c r="B16" s="11" t="s">
        <v>44</v>
      </c>
      <c r="C16" s="12" t="s">
        <v>59</v>
      </c>
      <c r="D16" s="16">
        <f>SUMIFS(Durum_Mo!$P:$P,Durum_Mo!$B:$B,"Exports",Durum_Mo!$C:$C,RIGHT(D$2,5))</f>
        <v>2985.0140000000001</v>
      </c>
      <c r="E16" s="16">
        <f>SUMIFS(Durum_Mo!$P:$P,Durum_Mo!$B:$B,"Exports",Durum_Mo!$C:$C,RIGHT(E$2,5))</f>
        <v>3441.1880000000001</v>
      </c>
      <c r="F16" s="16">
        <f>SUMIFS(Durum_Mo!$P:$P,Durum_Mo!$B:$B,"Exports",Durum_Mo!$C:$C,RIGHT(F$2,5))</f>
        <v>3186.9019999999996</v>
      </c>
      <c r="G16" s="16">
        <f>SUMIFS(Durum_Mo!$P:$P,Durum_Mo!$B:$B,"Exports",Durum_Mo!$C:$C,RIGHT(G$2,5))</f>
        <v>4151.4459999999999</v>
      </c>
      <c r="H16" s="16">
        <f>SUMIFS(Durum_Mo!$P:$P,Durum_Mo!$B:$B,"Exports",Durum_Mo!$C:$C,RIGHT(H$2,5))</f>
        <v>4457.5759999999991</v>
      </c>
      <c r="I16" s="16">
        <f>SUMIFS(Durum_Mo!$P:$P,Durum_Mo!$B:$B,"Exports",Durum_Mo!$C:$C,RIGHT(I$2,5))</f>
        <v>3190.768</v>
      </c>
      <c r="J16" s="16">
        <f>SUMIFS(Durum_Mo!$P:$P,Durum_Mo!$B:$B,"Exports",Durum_Mo!$C:$C,RIGHT(J$2,5))</f>
        <v>3682.1460000000002</v>
      </c>
      <c r="K16" s="16">
        <f>SUMIFS(Durum_Mo!$P:$P,Durum_Mo!$B:$B,"Exports",Durum_Mo!$C:$C,RIGHT(K$2,5))</f>
        <v>2883.4859999999999</v>
      </c>
      <c r="L16" s="16">
        <f>SUMIFS(Durum_Mo!$P:$P,Durum_Mo!$B:$B,"Exports",Durum_Mo!$C:$C,RIGHT(L$2,5))</f>
        <v>2977.864</v>
      </c>
      <c r="M16" s="16">
        <f>SUMIFS(Durum_Mo!$P:$P,Durum_Mo!$B:$B,"Exports",Durum_Mo!$C:$C,RIGHT(M$2,5))</f>
        <v>3354.0140000000001</v>
      </c>
      <c r="N16" s="16">
        <f>SUMIFS(Durum_Mo!$P:$P,Durum_Mo!$B:$B,"Exports",Durum_Mo!$C:$C,RIGHT(N$2,5))</f>
        <v>4314.9610000000002</v>
      </c>
      <c r="O16" s="16">
        <f>SUMIFS(Durum_Mo!$P:$P,Durum_Mo!$B:$B,"Exports",Durum_Mo!$C:$C,RIGHT(O$2,5))</f>
        <v>5005.4560000000001</v>
      </c>
      <c r="P16" s="16">
        <f>SUMIFS(Durum_Mo!$P:$P,Durum_Mo!$B:$B,"Exports",Durum_Mo!$C:$C,RIGHT(P$2,5))</f>
        <v>5080.5080000000007</v>
      </c>
      <c r="Q16" s="16">
        <f>SUMIFS(Durum_Mo!$P:$P,Durum_Mo!$B:$B,"Exports",Durum_Mo!$C:$C,RIGHT(Q$2,5))</f>
        <v>4384.2829999999994</v>
      </c>
      <c r="R16" s="16">
        <f>SUMIFS(Durum_Mo!$P:$P,Durum_Mo!$B:$B,"Exports",Durum_Mo!$C:$C,RIGHT(R$2,5))</f>
        <v>4341.8350000000009</v>
      </c>
      <c r="S16" s="16">
        <f>SUMIFS(Durum_Mo!$P:$P,Durum_Mo!$B:$B,"Exports",Durum_Mo!$C:$C,RIGHT(S$2,5))</f>
        <v>4322.3829999999998</v>
      </c>
      <c r="T16" s="16">
        <f>SUMIFS(Durum_Mo!$P:$P,Durum_Mo!$B:$B,"Exports",Durum_Mo!$C:$C,RIGHT(T$2,5))</f>
        <v>4513.3109999999997</v>
      </c>
      <c r="U16" s="16">
        <f>SUMIFS(Durum_Mo!$P:$P,Durum_Mo!$B:$B,"Exports",Durum_Mo!$C:$C,RIGHT(U$2,5))</f>
        <v>5282.1359999999995</v>
      </c>
      <c r="V16" s="16">
        <f>SUMIFS(Durum_Mo!$P:$P,Durum_Mo!$B:$B,"Exports",Durum_Mo!$C:$C,RIGHT(V$2,5))</f>
        <v>5752.1110000000008</v>
      </c>
      <c r="W16" s="16">
        <f>SUMIFS(Durum_Mo!$P:$P,Durum_Mo!$B:$B,"Exports",Durum_Mo!$C:$C,RIGHT(W$2,5))</f>
        <v>2703.0229999999997</v>
      </c>
      <c r="X16" s="16">
        <f>SUMIFS(Durum_Mo!$P:$P,Durum_Mo!$B:$B,"Exports",Durum_Mo!$C:$C,RIGHT(X$2,5))</f>
        <v>5043.052999999999</v>
      </c>
      <c r="Y16" s="16">
        <f>SUMIFS(Durum_Mo!$P:$P,Durum_Mo!$B:$B,"Exports",Durum_Mo!$C:$C,RIGHT(Y$2,5))</f>
        <v>3524.6700000000005</v>
      </c>
      <c r="Z16" s="16">
        <f>SUMIFS(Durum_Mo!$P:$P,Durum_Mo!$B:$B,"Exports",Durum_Mo!$C:$C,RIGHT(Z$2,5))</f>
        <v>5799.4939999999988</v>
      </c>
    </row>
    <row r="17" spans="1:26" x14ac:dyDescent="0.3">
      <c r="A17" s="17" t="s">
        <v>68</v>
      </c>
      <c r="B17" s="17" t="s">
        <v>61</v>
      </c>
      <c r="C17" s="18" t="s">
        <v>59</v>
      </c>
      <c r="D17" s="19">
        <f t="shared" ref="D17:Z17" si="3">D13+D14+D15+D16</f>
        <v>3818.7460000000001</v>
      </c>
      <c r="E17" s="19">
        <f t="shared" si="3"/>
        <v>4047.4440000000004</v>
      </c>
      <c r="F17" s="19">
        <f t="shared" si="3"/>
        <v>4089.4279999999999</v>
      </c>
      <c r="G17" s="19">
        <f t="shared" si="3"/>
        <v>5131.7280000000001</v>
      </c>
      <c r="H17" s="19">
        <f t="shared" si="3"/>
        <v>5363.6680000000006</v>
      </c>
      <c r="I17" s="19">
        <f t="shared" si="3"/>
        <v>4132.4260000000004</v>
      </c>
      <c r="J17" s="19">
        <f t="shared" si="3"/>
        <v>4327.2800000000007</v>
      </c>
      <c r="K17" s="19">
        <f t="shared" si="3"/>
        <v>4711.2420000000002</v>
      </c>
      <c r="L17" s="19">
        <f t="shared" si="3"/>
        <v>4189.1219999999994</v>
      </c>
      <c r="M17" s="19">
        <f t="shared" si="3"/>
        <v>4269.3400000000011</v>
      </c>
      <c r="N17" s="19">
        <f t="shared" si="3"/>
        <v>5021.5960000000014</v>
      </c>
      <c r="O17" s="19">
        <f t="shared" si="3"/>
        <v>5897.607</v>
      </c>
      <c r="P17" s="19">
        <f t="shared" si="3"/>
        <v>5963.2049999999999</v>
      </c>
      <c r="Q17" s="19">
        <f t="shared" si="3"/>
        <v>5277.3670000000002</v>
      </c>
      <c r="R17" s="19">
        <f t="shared" si="3"/>
        <v>7042.74</v>
      </c>
      <c r="S17" s="19">
        <f t="shared" si="3"/>
        <v>5324.268</v>
      </c>
      <c r="T17" s="19">
        <f t="shared" si="3"/>
        <v>5452.42</v>
      </c>
      <c r="U17" s="19">
        <f t="shared" si="3"/>
        <v>6209.143</v>
      </c>
      <c r="V17" s="19">
        <f t="shared" si="3"/>
        <v>6507.8940000000011</v>
      </c>
      <c r="W17" s="19">
        <f t="shared" si="3"/>
        <v>3266.8560000000002</v>
      </c>
      <c r="X17" s="19">
        <f t="shared" si="3"/>
        <v>5806.1769999999988</v>
      </c>
      <c r="Y17" s="19">
        <f t="shared" si="3"/>
        <v>4154.8900000000003</v>
      </c>
      <c r="Z17" s="19">
        <f t="shared" si="3"/>
        <v>6542.3749999999982</v>
      </c>
    </row>
    <row r="19" spans="1:26" x14ac:dyDescent="0.3">
      <c r="A19" s="20" t="s">
        <v>68</v>
      </c>
      <c r="B19" s="20" t="s">
        <v>62</v>
      </c>
      <c r="C19" s="21" t="s">
        <v>59</v>
      </c>
      <c r="D19" s="22">
        <f t="shared" ref="D19:Z19" si="4">D11-D17</f>
        <v>1608.6000000000004</v>
      </c>
      <c r="E19" s="22">
        <f t="shared" si="4"/>
        <v>1774.1000000000004</v>
      </c>
      <c r="F19" s="22">
        <f t="shared" si="4"/>
        <v>2486.8999999999996</v>
      </c>
      <c r="G19" s="22">
        <f t="shared" si="4"/>
        <v>3273.4000000000005</v>
      </c>
      <c r="H19" s="22">
        <f t="shared" si="4"/>
        <v>1256.8000000000002</v>
      </c>
      <c r="I19" s="22">
        <f t="shared" si="4"/>
        <v>808.69999999999982</v>
      </c>
      <c r="J19" s="22">
        <f t="shared" si="4"/>
        <v>2003.0999999999995</v>
      </c>
      <c r="K19" s="22">
        <f t="shared" si="4"/>
        <v>2693.8999999999996</v>
      </c>
      <c r="L19" s="22">
        <f t="shared" si="4"/>
        <v>1566</v>
      </c>
      <c r="M19" s="22">
        <f t="shared" si="4"/>
        <v>1486.0999999999995</v>
      </c>
      <c r="N19" s="22">
        <f t="shared" si="4"/>
        <v>1126.8999999999987</v>
      </c>
      <c r="O19" s="22">
        <f t="shared" si="4"/>
        <v>1738.8999999999987</v>
      </c>
      <c r="P19" s="22">
        <f t="shared" si="4"/>
        <v>976.09999999999854</v>
      </c>
      <c r="Q19" s="22">
        <f t="shared" si="4"/>
        <v>1100.2999999999984</v>
      </c>
      <c r="R19" s="22">
        <f t="shared" si="4"/>
        <v>1827.9999999999982</v>
      </c>
      <c r="S19" s="22">
        <f t="shared" si="4"/>
        <v>1476.0999999999976</v>
      </c>
      <c r="T19" s="22">
        <f t="shared" si="4"/>
        <v>1832.2999999999975</v>
      </c>
      <c r="U19" s="22">
        <f t="shared" si="4"/>
        <v>736.59999999999764</v>
      </c>
      <c r="V19" s="22">
        <f t="shared" si="4"/>
        <v>812.99999999999636</v>
      </c>
      <c r="W19" s="22">
        <f t="shared" si="4"/>
        <v>586.49999999999591</v>
      </c>
      <c r="X19" s="22">
        <f t="shared" si="4"/>
        <v>572.19999999999709</v>
      </c>
      <c r="Y19" s="22">
        <f t="shared" si="4"/>
        <v>668.89999999999691</v>
      </c>
      <c r="Z19" s="22">
        <f t="shared" si="4"/>
        <v>511.89999999999873</v>
      </c>
    </row>
    <row r="20" spans="1:26" x14ac:dyDescent="0.3">
      <c r="A20" s="11" t="s">
        <v>68</v>
      </c>
      <c r="B20" s="11" t="s">
        <v>63</v>
      </c>
      <c r="C20" s="12" t="s">
        <v>56</v>
      </c>
      <c r="D20" s="14">
        <f t="shared" ref="D20:Z20" si="5">IF(D17&lt;&gt;0,D19/D17,"")</f>
        <v>0.4212377571066524</v>
      </c>
      <c r="E20" s="14">
        <f t="shared" si="5"/>
        <v>0.43832601513448988</v>
      </c>
      <c r="F20" s="14">
        <f t="shared" si="5"/>
        <v>0.60812905863607325</v>
      </c>
      <c r="G20" s="14">
        <f t="shared" si="5"/>
        <v>0.63787480552359765</v>
      </c>
      <c r="H20" s="14">
        <f t="shared" si="5"/>
        <v>0.23431726199309877</v>
      </c>
      <c r="I20" s="14">
        <f t="shared" si="5"/>
        <v>0.19569618427529004</v>
      </c>
      <c r="J20" s="14">
        <f t="shared" si="5"/>
        <v>0.46290048252019728</v>
      </c>
      <c r="K20" s="14">
        <f t="shared" si="5"/>
        <v>0.57180250982649572</v>
      </c>
      <c r="L20" s="14">
        <f t="shared" si="5"/>
        <v>0.37382535051497673</v>
      </c>
      <c r="M20" s="14">
        <f t="shared" si="5"/>
        <v>0.34808658949626853</v>
      </c>
      <c r="N20" s="14">
        <f t="shared" si="5"/>
        <v>0.22441072519573427</v>
      </c>
      <c r="O20" s="14">
        <f t="shared" si="5"/>
        <v>0.29484840207223012</v>
      </c>
      <c r="P20" s="14">
        <f t="shared" si="5"/>
        <v>0.16368714474850329</v>
      </c>
      <c r="Q20" s="14">
        <f t="shared" si="5"/>
        <v>0.20849412216357102</v>
      </c>
      <c r="R20" s="14">
        <f t="shared" si="5"/>
        <v>0.2595580697285429</v>
      </c>
      <c r="S20" s="14">
        <f t="shared" si="5"/>
        <v>0.27723998867074268</v>
      </c>
      <c r="T20" s="14">
        <f t="shared" si="5"/>
        <v>0.33605261516904372</v>
      </c>
      <c r="U20" s="14">
        <f t="shared" si="5"/>
        <v>0.11863150840623217</v>
      </c>
      <c r="V20" s="14">
        <f t="shared" si="5"/>
        <v>0.1249252062187854</v>
      </c>
      <c r="W20" s="14">
        <f t="shared" si="5"/>
        <v>0.17953041089046956</v>
      </c>
      <c r="X20" s="14">
        <f t="shared" si="5"/>
        <v>9.8550216433291163E-2</v>
      </c>
      <c r="Y20" s="14">
        <f t="shared" si="5"/>
        <v>0.16099102503315296</v>
      </c>
      <c r="Z20" s="14">
        <f t="shared" si="5"/>
        <v>7.8243757045415294E-2</v>
      </c>
    </row>
    <row r="21" spans="1:26" x14ac:dyDescent="0.3">
      <c r="A21" s="11" t="s">
        <v>68</v>
      </c>
      <c r="B21" s="11" t="s">
        <v>64</v>
      </c>
      <c r="C21" s="12" t="s">
        <v>65</v>
      </c>
      <c r="D21" s="16">
        <f t="shared" ref="D21:Z21" si="6">IF(D17&lt;&gt;0,D19/D17*365,"")</f>
        <v>153.75178134392812</v>
      </c>
      <c r="E21" s="16">
        <f t="shared" si="6"/>
        <v>159.98899552408881</v>
      </c>
      <c r="F21" s="16">
        <f t="shared" si="6"/>
        <v>221.96710640216673</v>
      </c>
      <c r="G21" s="16">
        <f t="shared" si="6"/>
        <v>232.82430401611313</v>
      </c>
      <c r="H21" s="16">
        <f t="shared" si="6"/>
        <v>85.525800627481047</v>
      </c>
      <c r="I21" s="16">
        <f t="shared" si="6"/>
        <v>71.429107260480862</v>
      </c>
      <c r="J21" s="16">
        <f t="shared" si="6"/>
        <v>168.958676119872</v>
      </c>
      <c r="K21" s="16">
        <f t="shared" si="6"/>
        <v>208.70791608667093</v>
      </c>
      <c r="L21" s="16">
        <f t="shared" si="6"/>
        <v>136.44625293796651</v>
      </c>
      <c r="M21" s="16">
        <f t="shared" si="6"/>
        <v>127.05160516613802</v>
      </c>
      <c r="N21" s="16">
        <f t="shared" si="6"/>
        <v>81.90991469644301</v>
      </c>
      <c r="O21" s="16">
        <f t="shared" si="6"/>
        <v>107.619666756364</v>
      </c>
      <c r="P21" s="16">
        <f t="shared" si="6"/>
        <v>59.745807833203699</v>
      </c>
      <c r="Q21" s="16">
        <f t="shared" si="6"/>
        <v>76.100354589703429</v>
      </c>
      <c r="R21" s="16">
        <f t="shared" si="6"/>
        <v>94.738695450918158</v>
      </c>
      <c r="S21" s="16">
        <f t="shared" si="6"/>
        <v>101.19259586482107</v>
      </c>
      <c r="T21" s="16">
        <f t="shared" si="6"/>
        <v>122.65920453670095</v>
      </c>
      <c r="U21" s="16">
        <f t="shared" si="6"/>
        <v>43.300500568274742</v>
      </c>
      <c r="V21" s="16">
        <f t="shared" si="6"/>
        <v>45.597700269856674</v>
      </c>
      <c r="W21" s="16">
        <f t="shared" si="6"/>
        <v>65.528599975021393</v>
      </c>
      <c r="X21" s="16">
        <f t="shared" si="6"/>
        <v>35.970828998151276</v>
      </c>
      <c r="Y21" s="16">
        <f t="shared" si="6"/>
        <v>58.761724137100835</v>
      </c>
      <c r="Z21" s="16">
        <f t="shared" si="6"/>
        <v>28.558971321576582</v>
      </c>
    </row>
    <row r="22" spans="1:26" x14ac:dyDescent="0.3">
      <c r="A22" s="20" t="s">
        <v>68</v>
      </c>
      <c r="B22" s="20" t="s">
        <v>66</v>
      </c>
      <c r="C22" s="21" t="s">
        <v>59</v>
      </c>
      <c r="D22" s="22">
        <f>D19-SUMIFS(Durum_Mo!$P:$P,Durum_Mo!$B:$B,"STOCKS",Durum_Mo!$C:$C,RIGHT(D$2,5))</f>
        <v>0</v>
      </c>
      <c r="E22" s="22">
        <f>E19-SUMIFS(Durum_Mo!$P:$P,Durum_Mo!$B:$B,"STOCKS",Durum_Mo!$C:$C,RIGHT(E$2,5))</f>
        <v>2.0463630789890885E-12</v>
      </c>
      <c r="F22" s="22">
        <f>F19-SUMIFS(Durum_Mo!$P:$P,Durum_Mo!$B:$B,"STOCKS",Durum_Mo!$C:$C,RIGHT(F$2,5))</f>
        <v>0</v>
      </c>
      <c r="G22" s="22">
        <f>G19-SUMIFS(Durum_Mo!$P:$P,Durum_Mo!$B:$B,"STOCKS",Durum_Mo!$C:$C,RIGHT(G$2,5))</f>
        <v>9.0949470177292824E-12</v>
      </c>
      <c r="H22" s="22">
        <f>H19-SUMIFS(Durum_Mo!$P:$P,Durum_Mo!$B:$B,"STOCKS",Durum_Mo!$C:$C,RIGHT(H$2,5))</f>
        <v>8.4128259913995862E-12</v>
      </c>
      <c r="I22" s="22">
        <f>I19-SUMIFS(Durum_Mo!$P:$P,Durum_Mo!$B:$B,"STOCKS",Durum_Mo!$C:$C,RIGHT(I$2,5))</f>
        <v>7.73070496506989E-12</v>
      </c>
      <c r="J22" s="22">
        <f>J19-SUMIFS(Durum_Mo!$P:$P,Durum_Mo!$B:$B,"STOCKS",Durum_Mo!$C:$C,RIGHT(J$2,5))</f>
        <v>5.0022208597511053E-12</v>
      </c>
      <c r="K22" s="22">
        <f>K19-SUMIFS(Durum_Mo!$P:$P,Durum_Mo!$B:$B,"STOCKS",Durum_Mo!$C:$C,RIGHT(K$2,5))</f>
        <v>4.0927261579781771E-12</v>
      </c>
      <c r="L22" s="22">
        <f>L19-SUMIFS(Durum_Mo!$P:$P,Durum_Mo!$B:$B,"STOCKS",Durum_Mo!$C:$C,RIGHT(L$2,5))</f>
        <v>4.5474735088646412E-12</v>
      </c>
      <c r="M22" s="22">
        <f>M19-SUMIFS(Durum_Mo!$P:$P,Durum_Mo!$B:$B,"STOCKS",Durum_Mo!$C:$C,RIGHT(M$2,5))</f>
        <v>3.1832314562052488E-12</v>
      </c>
      <c r="N22" s="22">
        <f>N19-SUMIFS(Durum_Mo!$P:$P,Durum_Mo!$B:$B,"STOCKS",Durum_Mo!$C:$C,RIGHT(N$2,5))</f>
        <v>0</v>
      </c>
      <c r="O22" s="22">
        <f>O19-SUMIFS(Durum_Mo!$P:$P,Durum_Mo!$B:$B,"STOCKS",Durum_Mo!$C:$C,RIGHT(O$2,5))</f>
        <v>-2.2737367544323206E-12</v>
      </c>
      <c r="P22" s="22">
        <f>P19-SUMIFS(Durum_Mo!$P:$P,Durum_Mo!$B:$B,"STOCKS",Durum_Mo!$C:$C,RIGHT(P$2,5))</f>
        <v>-5.0022208597511053E-12</v>
      </c>
      <c r="Q22" s="22">
        <f>Q19-SUMIFS(Durum_Mo!$P:$P,Durum_Mo!$B:$B,"STOCKS",Durum_Mo!$C:$C,RIGHT(Q$2,5))</f>
        <v>-2.9558577807620168E-12</v>
      </c>
      <c r="R22" s="22">
        <f>R19-SUMIFS(Durum_Mo!$P:$P,Durum_Mo!$B:$B,"STOCKS",Durum_Mo!$C:$C,RIGHT(R$2,5))</f>
        <v>-6.3664629124104977E-12</v>
      </c>
      <c r="S22" s="22">
        <f>S19-SUMIFS(Durum_Mo!$P:$P,Durum_Mo!$B:$B,"STOCKS",Durum_Mo!$C:$C,RIGHT(S$2,5))</f>
        <v>-9.7770680440589786E-12</v>
      </c>
      <c r="T22" s="22">
        <f>T19-SUMIFS(Durum_Mo!$P:$P,Durum_Mo!$B:$B,"STOCKS",Durum_Mo!$C:$C,RIGHT(T$2,5))</f>
        <v>-1.0004441719502211E-11</v>
      </c>
      <c r="U22" s="22">
        <f>U19-SUMIFS(Durum_Mo!$P:$P,Durum_Mo!$B:$B,"STOCKS",Durum_Mo!$C:$C,RIGHT(U$2,5))</f>
        <v>-8.2991391536779702E-12</v>
      </c>
      <c r="V22" s="22">
        <f>V19-SUMIFS(Durum_Mo!$P:$P,Durum_Mo!$B:$B,"STOCKS",Durum_Mo!$C:$C,RIGHT(V$2,5))</f>
        <v>-8.4128259913995862E-12</v>
      </c>
      <c r="W22" s="22">
        <f>W19-SUMIFS(Durum_Mo!$P:$P,Durum_Mo!$B:$B,"STOCKS",Durum_Mo!$C:$C,RIGHT(W$2,5))</f>
        <v>-9.0949470177292824E-12</v>
      </c>
      <c r="X22" s="22">
        <f>X19-SUMIFS(Durum_Mo!$P:$P,Durum_Mo!$B:$B,"STOCKS",Durum_Mo!$C:$C,RIGHT(X$2,5))</f>
        <v>-7.503331289626658E-12</v>
      </c>
      <c r="Y22" s="22">
        <f>Y19-SUMIFS(Durum_Mo!$P:$P,Durum_Mo!$B:$B,"STOCKS",Durum_Mo!$C:$C,RIGHT(Y$2,5))</f>
        <v>-6.3664629124104977E-12</v>
      </c>
      <c r="Z22" s="22">
        <f>Z19-SUMIFS(Durum_Mo!$P:$P,Durum_Mo!$B:$B,"STOCKS",Durum_Mo!$C:$C,RIGHT(Z$2,5))</f>
        <v>-5.5706550483591855E-12</v>
      </c>
    </row>
    <row r="25" spans="1:26" s="25" customFormat="1" ht="13.8" x14ac:dyDescent="0.3">
      <c r="A25" s="25" t="str">
        <f>A22</f>
        <v>Durum</v>
      </c>
      <c r="B25" s="25" t="s">
        <v>81</v>
      </c>
      <c r="D25" s="40" cm="1">
        <f t="array" ref="D25">SUM(D13:D14/D$10)</f>
        <v>7.1268281358817617E-2</v>
      </c>
      <c r="E25" s="40" cm="1">
        <f t="array" ref="E25">SUM(E13:E14/E$10)</f>
        <v>5.9716022414284323E-2</v>
      </c>
      <c r="F25" s="40" cm="1">
        <f t="array" ref="F25">SUM(F13:F14/F$10)</f>
        <v>5.2942891656600169E-2</v>
      </c>
      <c r="G25" s="40" cm="1">
        <f t="array" ref="G25">SUM(G13:G14/G$10)</f>
        <v>4.1947046292226023E-2</v>
      </c>
      <c r="H25" s="40" cm="1">
        <f t="array" ref="H25">SUM(H13:H14/H$10)</f>
        <v>7.6654115115653579E-2</v>
      </c>
      <c r="I25" s="40" cm="1">
        <f t="array" ref="I25">SUM(I13:I14/I$10)</f>
        <v>6.2068778182213319E-2</v>
      </c>
      <c r="J25" s="40" cm="1">
        <f t="array" ref="J25">SUM(J13:J14/J$10)</f>
        <v>4.2813400250031691E-2</v>
      </c>
      <c r="K25" s="40" cm="1">
        <f t="array" ref="K25">SUM(K13:K14/K$10)</f>
        <v>4.8299874064745514E-2</v>
      </c>
      <c r="L25" s="40" cm="1">
        <f t="array" ref="L25">SUM(L13:L14/L$10)</f>
        <v>8.4173637054914555E-2</v>
      </c>
      <c r="M25" s="40" cm="1">
        <f t="array" ref="M25">SUM(M13:M14/M$10)</f>
        <v>5.5703362814889391E-2</v>
      </c>
      <c r="N25" s="40" cm="1">
        <f t="array" ref="N25">SUM(N13:N14/N$10)</f>
        <v>4.9950287468119123E-2</v>
      </c>
      <c r="O25" s="40" cm="1">
        <f t="array" ref="O25">SUM(O13:O14/O$10)</f>
        <v>3.6328695518487192E-2</v>
      </c>
      <c r="P25" s="40" cm="1">
        <f t="array" ref="P25">SUM(P13:P14/P$10)</f>
        <v>3.8631155275675476E-2</v>
      </c>
      <c r="Q25" s="40" cm="1">
        <f t="array" ref="Q25">SUM(Q13:Q14/Q$10)</f>
        <v>3.8803421975615648E-2</v>
      </c>
      <c r="R25" s="40" cm="1">
        <f t="array" ref="R25">SUM(R13:R14/R$10)</f>
        <v>2.2365946043443538E-2</v>
      </c>
      <c r="S25" s="40" cm="1">
        <f t="array" ref="S25">SUM(S13:S14/S$10)</f>
        <v>4.0566684132038219E-2</v>
      </c>
      <c r="T25" s="40" cm="1">
        <f t="array" ref="T25">SUM(T13:T14/T$10)</f>
        <v>3.5282118655787571E-2</v>
      </c>
      <c r="U25" s="40" cm="1">
        <f t="array" ref="U25">SUM(U13:U14/U$10)</f>
        <v>4.2914092086904519E-2</v>
      </c>
      <c r="V25" s="40" cm="1">
        <f t="array" ref="V25">SUM(V13:V14/V$10)</f>
        <v>3.0177136596055521E-2</v>
      </c>
      <c r="W25" s="40" cm="1">
        <f t="array" ref="W25">SUM(W13:W14/W$10)</f>
        <v>6.9282769991755963E-2</v>
      </c>
      <c r="X25" s="40" cm="1">
        <f t="array" ref="X25">SUM(X13:X14/X$10)</f>
        <v>3.3538270240397905E-2</v>
      </c>
      <c r="Y25" s="40" cm="1">
        <f t="array" ref="Y25">SUM(Y13:Y14/Y$10)</f>
        <v>4.4997527608373174E-2</v>
      </c>
      <c r="Z25" s="40" cm="1">
        <f t="array" ref="Z25">SUM(Z13:Z14/Z$10)</f>
        <v>3.0233688071093827E-2</v>
      </c>
    </row>
    <row r="26" spans="1:26" s="25" customFormat="1" ht="13.8" x14ac:dyDescent="0.3">
      <c r="A26" s="25" t="str">
        <f>A25</f>
        <v>Durum</v>
      </c>
      <c r="B26" s="25" t="s">
        <v>82</v>
      </c>
      <c r="D26" s="40">
        <f t="shared" ref="D26:Z27" si="7">D15/D$10</f>
        <v>0.14378291934277393</v>
      </c>
      <c r="E26" s="40">
        <f t="shared" si="7"/>
        <v>8.4233070567005547E-2</v>
      </c>
      <c r="F26" s="40">
        <f t="shared" si="7"/>
        <v>0.13502853334444131</v>
      </c>
      <c r="G26" s="40">
        <f t="shared" si="7"/>
        <v>0.1237923105535455</v>
      </c>
      <c r="H26" s="40">
        <f t="shared" si="7"/>
        <v>0.19412826489749618</v>
      </c>
      <c r="I26" s="40">
        <f t="shared" si="7"/>
        <v>0.19371923724669968</v>
      </c>
      <c r="J26" s="40">
        <f t="shared" si="7"/>
        <v>7.4073523816426082E-2</v>
      </c>
      <c r="K26" s="40">
        <f t="shared" si="7"/>
        <v>0.29019853322468342</v>
      </c>
      <c r="L26" s="40">
        <f t="shared" si="7"/>
        <v>0.31628194531689091</v>
      </c>
      <c r="M26" s="40">
        <f t="shared" si="7"/>
        <v>0.16368878981807738</v>
      </c>
      <c r="N26" s="40">
        <f t="shared" si="7"/>
        <v>0.10278282107811376</v>
      </c>
      <c r="O26" s="40">
        <f t="shared" si="7"/>
        <v>0.10083034822046277</v>
      </c>
      <c r="P26" s="40">
        <f t="shared" si="7"/>
        <v>0.13135690488570481</v>
      </c>
      <c r="Q26" s="40">
        <f t="shared" si="7"/>
        <v>0.12692931504815647</v>
      </c>
      <c r="R26" s="40">
        <f t="shared" si="7"/>
        <v>0.32560810636707965</v>
      </c>
      <c r="S26" s="40">
        <f t="shared" si="7"/>
        <v>0.16133670549353105</v>
      </c>
      <c r="T26" s="40">
        <f t="shared" si="7"/>
        <v>0.12705867099986176</v>
      </c>
      <c r="U26" s="40">
        <f t="shared" si="7"/>
        <v>0.14185907913095491</v>
      </c>
      <c r="V26" s="40">
        <f t="shared" si="7"/>
        <v>8.4837320428536686E-2</v>
      </c>
      <c r="W26" s="40">
        <f t="shared" si="7"/>
        <v>0.11664732069249814</v>
      </c>
      <c r="X26" s="40">
        <f t="shared" si="7"/>
        <v>9.825297043382146E-2</v>
      </c>
      <c r="Y26" s="40">
        <f t="shared" si="7"/>
        <v>0.10339777249287707</v>
      </c>
      <c r="Z26" s="40">
        <f t="shared" si="7"/>
        <v>8.6199865210099744E-2</v>
      </c>
    </row>
    <row r="27" spans="1:26" s="25" customFormat="1" ht="13.8" x14ac:dyDescent="0.3">
      <c r="A27" s="25" t="str">
        <f>A26</f>
        <v>Durum</v>
      </c>
      <c r="B27" s="25" t="s">
        <v>83</v>
      </c>
      <c r="D27" s="40">
        <f t="shared" si="7"/>
        <v>0.76994867032938685</v>
      </c>
      <c r="E27" s="40">
        <f t="shared" si="7"/>
        <v>0.81707379618197351</v>
      </c>
      <c r="F27" s="40">
        <f t="shared" si="7"/>
        <v>0.66374432457199983</v>
      </c>
      <c r="G27" s="40">
        <f t="shared" si="7"/>
        <v>0.7018980150813241</v>
      </c>
      <c r="H27" s="40">
        <f t="shared" si="7"/>
        <v>1.3321307752076981</v>
      </c>
      <c r="I27" s="40">
        <f t="shared" si="7"/>
        <v>0.86672678872168196</v>
      </c>
      <c r="J27" s="40">
        <f t="shared" si="7"/>
        <v>0.66714003587411452</v>
      </c>
      <c r="K27" s="40">
        <f t="shared" si="7"/>
        <v>0.53401844581080071</v>
      </c>
      <c r="L27" s="40">
        <f t="shared" si="7"/>
        <v>0.98451548913941889</v>
      </c>
      <c r="M27" s="40">
        <f t="shared" si="7"/>
        <v>0.80391505476858172</v>
      </c>
      <c r="N27" s="40">
        <f t="shared" si="7"/>
        <v>0.93264189685730337</v>
      </c>
      <c r="O27" s="40">
        <f t="shared" si="7"/>
        <v>0.76953739718656322</v>
      </c>
      <c r="P27" s="40">
        <f t="shared" si="7"/>
        <v>0.97839428428370612</v>
      </c>
      <c r="Q27" s="40">
        <f t="shared" si="7"/>
        <v>0.8136068068365282</v>
      </c>
      <c r="R27" s="40">
        <f t="shared" si="7"/>
        <v>0.55938506531990018</v>
      </c>
      <c r="S27" s="40">
        <f t="shared" si="7"/>
        <v>0.87106182741525939</v>
      </c>
      <c r="T27" s="40">
        <f t="shared" si="7"/>
        <v>0.78020173558290684</v>
      </c>
      <c r="U27" s="40">
        <f t="shared" si="7"/>
        <v>1.0528475184373129</v>
      </c>
      <c r="V27" s="40">
        <f t="shared" si="7"/>
        <v>0.87535168614560521</v>
      </c>
      <c r="W27" s="40">
        <f t="shared" si="7"/>
        <v>0.89135136026380868</v>
      </c>
      <c r="X27" s="40">
        <f t="shared" si="7"/>
        <v>0.87093344155844143</v>
      </c>
      <c r="Y27" s="40">
        <f t="shared" si="7"/>
        <v>0.8299394852716101</v>
      </c>
      <c r="Z27" s="40">
        <f>Z16/Z$10</f>
        <v>0.90896885726376486</v>
      </c>
    </row>
    <row r="28" spans="1:26" s="25" customFormat="1" ht="13.8" x14ac:dyDescent="0.3"/>
    <row r="29" spans="1:26" s="25" customFormat="1" ht="13.8" x14ac:dyDescent="0.3">
      <c r="D29" s="39" t="e">
        <f t="shared" ref="D29:Y32" si="8">(D13-C13)/C13</f>
        <v>#VALUE!</v>
      </c>
      <c r="E29" s="39">
        <f t="shared" si="8"/>
        <v>-8.9757509952950135E-2</v>
      </c>
      <c r="F29" s="39">
        <f t="shared" si="8"/>
        <v>1.0735586481113845E-2</v>
      </c>
      <c r="G29" s="39">
        <f t="shared" si="8"/>
        <v>-2.3996852871754386E-2</v>
      </c>
      <c r="H29" s="39">
        <f t="shared" si="8"/>
        <v>3.3857315598548758E-2</v>
      </c>
      <c r="I29" s="39">
        <f t="shared" si="8"/>
        <v>-0.10916179337231924</v>
      </c>
      <c r="J29" s="39">
        <f t="shared" si="8"/>
        <v>3.4135667396060429E-2</v>
      </c>
      <c r="K29" s="39">
        <f t="shared" si="8"/>
        <v>0.10368176047397368</v>
      </c>
      <c r="L29" s="39">
        <f t="shared" si="8"/>
        <v>-2.3773006134968855E-2</v>
      </c>
      <c r="M29" s="39">
        <f t="shared" si="8"/>
        <v>-8.719560094265498E-2</v>
      </c>
      <c r="N29" s="39">
        <f t="shared" si="8"/>
        <v>-5.5938037865754077E-3</v>
      </c>
      <c r="O29" s="39">
        <f t="shared" si="8"/>
        <v>2.2501081782777974E-2</v>
      </c>
      <c r="P29" s="39">
        <f t="shared" si="8"/>
        <v>-0.15107913669064713</v>
      </c>
      <c r="Q29" s="39">
        <f t="shared" si="8"/>
        <v>4.237288135593234E-2</v>
      </c>
      <c r="R29" s="39">
        <f t="shared" si="8"/>
        <v>-0.16977522716403631</v>
      </c>
      <c r="S29" s="39">
        <f t="shared" si="8"/>
        <v>0.1595622119815667</v>
      </c>
      <c r="T29" s="39">
        <f t="shared" si="8"/>
        <v>1.3909587680078972E-2</v>
      </c>
      <c r="U29" s="39">
        <f t="shared" si="8"/>
        <v>5.4875061244488238E-2</v>
      </c>
      <c r="V29" s="39">
        <f t="shared" si="8"/>
        <v>-7.8959591267997883E-2</v>
      </c>
      <c r="W29" s="39">
        <f t="shared" si="8"/>
        <v>5.9505799293998463E-2</v>
      </c>
      <c r="X29" s="39">
        <f t="shared" si="8"/>
        <v>-7.56782484531172E-2</v>
      </c>
      <c r="Y29" s="39">
        <f t="shared" si="8"/>
        <v>-1.5962924819773398E-2</v>
      </c>
      <c r="Z29" s="39">
        <f>(Z13-Y13)/Y13</f>
        <v>9.4191522762947458E-3</v>
      </c>
    </row>
    <row r="30" spans="1:26" s="25" customFormat="1" ht="13.8" x14ac:dyDescent="0.3">
      <c r="D30" s="39" t="e">
        <f t="shared" si="8"/>
        <v>#VALUE!</v>
      </c>
      <c r="E30" s="39" t="e">
        <f t="shared" si="8"/>
        <v>#DIV/0!</v>
      </c>
      <c r="F30" s="39" t="e">
        <f t="shared" si="8"/>
        <v>#DIV/0!</v>
      </c>
      <c r="G30" s="39" t="e">
        <f t="shared" si="8"/>
        <v>#DIV/0!</v>
      </c>
      <c r="H30" s="39" t="e">
        <f t="shared" si="8"/>
        <v>#DIV/0!</v>
      </c>
      <c r="I30" s="39" t="e">
        <f t="shared" si="8"/>
        <v>#DIV/0!</v>
      </c>
      <c r="J30" s="39" t="e">
        <f t="shared" si="8"/>
        <v>#DIV/0!</v>
      </c>
      <c r="K30" s="39" t="e">
        <f t="shared" si="8"/>
        <v>#DIV/0!</v>
      </c>
      <c r="L30" s="39" t="e">
        <f t="shared" si="8"/>
        <v>#DIV/0!</v>
      </c>
      <c r="M30" s="39" t="e">
        <f t="shared" si="8"/>
        <v>#DIV/0!</v>
      </c>
      <c r="N30" s="39" t="e">
        <f t="shared" si="8"/>
        <v>#DIV/0!</v>
      </c>
      <c r="O30" s="39" t="e">
        <f t="shared" si="8"/>
        <v>#DIV/0!</v>
      </c>
      <c r="P30" s="39" t="e">
        <f t="shared" si="8"/>
        <v>#DIV/0!</v>
      </c>
      <c r="Q30" s="39" t="e">
        <f t="shared" si="8"/>
        <v>#DIV/0!</v>
      </c>
      <c r="R30" s="39" t="e">
        <f t="shared" si="8"/>
        <v>#DIV/0!</v>
      </c>
      <c r="S30" s="39" t="e">
        <f t="shared" si="8"/>
        <v>#DIV/0!</v>
      </c>
      <c r="T30" s="39" t="e">
        <f t="shared" si="8"/>
        <v>#DIV/0!</v>
      </c>
      <c r="U30" s="39" t="e">
        <f t="shared" si="8"/>
        <v>#DIV/0!</v>
      </c>
      <c r="V30" s="39" t="e">
        <f t="shared" si="8"/>
        <v>#DIV/0!</v>
      </c>
      <c r="W30" s="39" t="e">
        <f t="shared" si="8"/>
        <v>#DIV/0!</v>
      </c>
      <c r="X30" s="39" t="e">
        <f t="shared" si="8"/>
        <v>#DIV/0!</v>
      </c>
      <c r="Y30" s="39" t="e">
        <f t="shared" si="8"/>
        <v>#DIV/0!</v>
      </c>
      <c r="Z30" s="39" t="e">
        <f t="shared" ref="Z30:Z32" si="9">(Z14-Y14)/Y14</f>
        <v>#DIV/0!</v>
      </c>
    </row>
    <row r="31" spans="1:26" s="25" customFormat="1" ht="13.8" x14ac:dyDescent="0.3">
      <c r="D31" s="39" t="e">
        <f t="shared" si="8"/>
        <v>#VALUE!</v>
      </c>
      <c r="E31" s="39">
        <f t="shared" si="8"/>
        <v>-0.36358874266278141</v>
      </c>
      <c r="F31" s="39">
        <f t="shared" si="8"/>
        <v>0.82752652527370751</v>
      </c>
      <c r="G31" s="39">
        <f t="shared" si="8"/>
        <v>0.12934233703414594</v>
      </c>
      <c r="H31" s="39">
        <f t="shared" si="8"/>
        <v>-0.11279982299482715</v>
      </c>
      <c r="I31" s="39">
        <f t="shared" si="8"/>
        <v>9.7855269153558522E-2</v>
      </c>
      <c r="J31" s="39">
        <f t="shared" si="8"/>
        <v>-0.42672731708821837</v>
      </c>
      <c r="K31" s="39">
        <f t="shared" si="8"/>
        <v>2.8327438520279595</v>
      </c>
      <c r="L31" s="39">
        <f t="shared" si="8"/>
        <v>-0.3894799853984417</v>
      </c>
      <c r="M31" s="39">
        <f t="shared" si="8"/>
        <v>-0.28613360260406456</v>
      </c>
      <c r="N31" s="39">
        <f t="shared" si="8"/>
        <v>-0.30368004732577081</v>
      </c>
      <c r="O31" s="39">
        <f t="shared" si="8"/>
        <v>0.37918554890806883</v>
      </c>
      <c r="P31" s="39">
        <f t="shared" si="8"/>
        <v>4.0018235849299887E-2</v>
      </c>
      <c r="Q31" s="39">
        <f t="shared" si="8"/>
        <v>2.7664686987355514E-3</v>
      </c>
      <c r="R31" s="39">
        <f t="shared" si="8"/>
        <v>2.6949767830826397</v>
      </c>
      <c r="S31" s="39">
        <f t="shared" si="8"/>
        <v>-0.6832258077279949</v>
      </c>
      <c r="T31" s="39">
        <f t="shared" si="8"/>
        <v>-8.1910103237007148E-2</v>
      </c>
      <c r="U31" s="39">
        <f t="shared" si="8"/>
        <v>-3.1703013160382466E-2</v>
      </c>
      <c r="V31" s="39">
        <f t="shared" si="8"/>
        <v>-0.21669591559447965</v>
      </c>
      <c r="W31" s="39">
        <f t="shared" si="8"/>
        <v>-0.36548199676043852</v>
      </c>
      <c r="X31" s="39">
        <f t="shared" si="8"/>
        <v>0.6083430157774331</v>
      </c>
      <c r="Y31" s="39">
        <f t="shared" si="8"/>
        <v>-0.2281570121844046</v>
      </c>
      <c r="Z31" s="39">
        <f t="shared" si="9"/>
        <v>0.25246174166514829</v>
      </c>
    </row>
    <row r="32" spans="1:26" s="25" customFormat="1" ht="13.8" x14ac:dyDescent="0.3">
      <c r="D32" s="39" t="e">
        <f t="shared" si="8"/>
        <v>#VALUE!</v>
      </c>
      <c r="E32" s="39">
        <f t="shared" si="8"/>
        <v>0.15282139380250812</v>
      </c>
      <c r="F32" s="39">
        <f t="shared" si="8"/>
        <v>-7.3894829343819787E-2</v>
      </c>
      <c r="G32" s="39">
        <f t="shared" si="8"/>
        <v>0.30265882038418518</v>
      </c>
      <c r="H32" s="39">
        <f t="shared" si="8"/>
        <v>7.3740571357546067E-2</v>
      </c>
      <c r="I32" s="39">
        <f t="shared" si="8"/>
        <v>-0.28419212594468368</v>
      </c>
      <c r="J32" s="39">
        <f t="shared" si="8"/>
        <v>0.15399991475406552</v>
      </c>
      <c r="K32" s="39">
        <f t="shared" si="8"/>
        <v>-0.2169006878054266</v>
      </c>
      <c r="L32" s="39">
        <f t="shared" si="8"/>
        <v>3.2730521320374073E-2</v>
      </c>
      <c r="M32" s="39">
        <f t="shared" si="8"/>
        <v>0.12631537236086002</v>
      </c>
      <c r="N32" s="39">
        <f t="shared" si="8"/>
        <v>0.28650655602510905</v>
      </c>
      <c r="O32" s="39">
        <f t="shared" si="8"/>
        <v>0.1600234625527322</v>
      </c>
      <c r="P32" s="39">
        <f t="shared" si="8"/>
        <v>1.4994038505183261E-2</v>
      </c>
      <c r="Q32" s="39">
        <f t="shared" si="8"/>
        <v>-0.13703846150818011</v>
      </c>
      <c r="R32" s="39">
        <f t="shared" si="8"/>
        <v>-9.6818567597024424E-3</v>
      </c>
      <c r="S32" s="39">
        <f t="shared" si="8"/>
        <v>-4.4801333998185401E-3</v>
      </c>
      <c r="T32" s="39">
        <f t="shared" si="8"/>
        <v>4.4171930159821536E-2</v>
      </c>
      <c r="U32" s="39">
        <f t="shared" si="8"/>
        <v>0.17034611618831494</v>
      </c>
      <c r="V32" s="39">
        <f t="shared" si="8"/>
        <v>8.8974422468486483E-2</v>
      </c>
      <c r="W32" s="39">
        <f t="shared" si="8"/>
        <v>-0.53008156483767455</v>
      </c>
      <c r="X32" s="39">
        <f t="shared" si="8"/>
        <v>0.86570850488508588</v>
      </c>
      <c r="Y32" s="39">
        <f t="shared" si="8"/>
        <v>-0.30108408537447429</v>
      </c>
      <c r="Z32" s="39">
        <f t="shared" si="9"/>
        <v>0.64540056232214593</v>
      </c>
    </row>
  </sheetData>
  <conditionalFormatting sqref="D22:Z22">
    <cfRule type="cellIs" dxfId="14" priority="3" operator="between">
      <formula>-0.0009</formula>
      <formula>0.0009</formula>
    </cfRule>
  </conditionalFormatting>
  <conditionalFormatting sqref="D25:Z25">
    <cfRule type="colorScale" priority="2">
      <colorScale>
        <cfvo type="min"/>
        <cfvo type="max"/>
        <color rgb="FFFCFCFF"/>
        <color rgb="FF63BE7B"/>
      </colorScale>
    </cfRule>
  </conditionalFormatting>
  <conditionalFormatting sqref="D27:Z27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7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20" customWidth="1"/>
    <col min="3" max="16" width="7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69</v>
      </c>
      <c r="B2" s="2" t="s">
        <v>17</v>
      </c>
      <c r="C2" s="2" t="s">
        <v>18</v>
      </c>
      <c r="D2" s="3">
        <v>9.5798000000000005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>
        <f t="shared" ref="P2:P33" si="0">D2</f>
        <v>9.5798000000000005</v>
      </c>
    </row>
    <row r="3" spans="1:16" x14ac:dyDescent="0.3">
      <c r="A3" s="2" t="s">
        <v>69</v>
      </c>
      <c r="B3" s="2" t="s">
        <v>17</v>
      </c>
      <c r="C3" s="2" t="s">
        <v>19</v>
      </c>
      <c r="D3" s="3">
        <v>11.702199999999999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>
        <f t="shared" si="0"/>
        <v>11.702199999999999</v>
      </c>
    </row>
    <row r="4" spans="1:16" x14ac:dyDescent="0.3">
      <c r="A4" s="2" t="s">
        <v>69</v>
      </c>
      <c r="B4" s="2" t="s">
        <v>17</v>
      </c>
      <c r="C4" s="2" t="s">
        <v>20</v>
      </c>
      <c r="D4" s="3">
        <v>12.894600000000001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>
        <f t="shared" si="0"/>
        <v>12.894600000000001</v>
      </c>
    </row>
    <row r="5" spans="1:16" x14ac:dyDescent="0.3">
      <c r="A5" s="2" t="s">
        <v>69</v>
      </c>
      <c r="B5" s="2" t="s">
        <v>17</v>
      </c>
      <c r="C5" s="2" t="s">
        <v>21</v>
      </c>
      <c r="D5" s="3">
        <v>13.269600000000001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>
        <f t="shared" si="0"/>
        <v>13.269600000000001</v>
      </c>
    </row>
    <row r="6" spans="1:16" x14ac:dyDescent="0.3">
      <c r="A6" s="2" t="s">
        <v>69</v>
      </c>
      <c r="B6" s="2" t="s">
        <v>17</v>
      </c>
      <c r="C6" s="2" t="s">
        <v>22</v>
      </c>
      <c r="D6" s="3">
        <v>13.055339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>
        <f t="shared" si="0"/>
        <v>13.055339</v>
      </c>
    </row>
    <row r="7" spans="1:16" x14ac:dyDescent="0.3">
      <c r="A7" s="2" t="s">
        <v>69</v>
      </c>
      <c r="B7" s="2" t="s">
        <v>17</v>
      </c>
      <c r="C7" s="2" t="s">
        <v>23</v>
      </c>
      <c r="D7" s="3">
        <v>15.771000000000001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>
        <f t="shared" si="0"/>
        <v>15.771000000000001</v>
      </c>
    </row>
    <row r="8" spans="1:16" x14ac:dyDescent="0.3">
      <c r="A8" s="2" t="s">
        <v>69</v>
      </c>
      <c r="B8" s="2" t="s">
        <v>17</v>
      </c>
      <c r="C8" s="2" t="s">
        <v>24</v>
      </c>
      <c r="D8" s="3">
        <v>16.1632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>
        <f t="shared" si="0"/>
        <v>16.1632</v>
      </c>
    </row>
    <row r="9" spans="1:16" x14ac:dyDescent="0.3">
      <c r="A9" s="2" t="s">
        <v>69</v>
      </c>
      <c r="B9" s="2" t="s">
        <v>17</v>
      </c>
      <c r="C9" s="2" t="s">
        <v>25</v>
      </c>
      <c r="D9" s="3">
        <v>16.529699999999998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>
        <f t="shared" si="0"/>
        <v>16.529699999999998</v>
      </c>
    </row>
    <row r="10" spans="1:16" x14ac:dyDescent="0.3">
      <c r="A10" s="2" t="s">
        <v>69</v>
      </c>
      <c r="B10" s="2" t="s">
        <v>17</v>
      </c>
      <c r="C10" s="2" t="s">
        <v>26</v>
      </c>
      <c r="D10" s="3">
        <v>17.585899999999999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>
        <f t="shared" si="0"/>
        <v>17.585899999999999</v>
      </c>
    </row>
    <row r="11" spans="1:16" x14ac:dyDescent="0.3">
      <c r="A11" s="2" t="s">
        <v>69</v>
      </c>
      <c r="B11" s="2" t="s">
        <v>17</v>
      </c>
      <c r="C11" s="2" t="s">
        <v>27</v>
      </c>
      <c r="D11" s="3">
        <v>18.98968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>
        <f t="shared" si="0"/>
        <v>18.98968</v>
      </c>
    </row>
    <row r="12" spans="1:16" x14ac:dyDescent="0.3">
      <c r="A12" s="2" t="s">
        <v>69</v>
      </c>
      <c r="B12" s="2" t="s">
        <v>17</v>
      </c>
      <c r="C12" s="2" t="s">
        <v>28</v>
      </c>
      <c r="D12" s="3">
        <v>22.175999999999998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>
        <f t="shared" si="0"/>
        <v>22.175999999999998</v>
      </c>
    </row>
    <row r="13" spans="1:16" x14ac:dyDescent="0.3">
      <c r="A13" s="2" t="s">
        <v>69</v>
      </c>
      <c r="B13" s="2" t="s">
        <v>17</v>
      </c>
      <c r="C13" s="2" t="s">
        <v>29</v>
      </c>
      <c r="D13" s="3">
        <v>20.445799999999998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>
        <f t="shared" si="0"/>
        <v>20.445799999999998</v>
      </c>
    </row>
    <row r="14" spans="1:16" x14ac:dyDescent="0.3">
      <c r="A14" s="2" t="s">
        <v>69</v>
      </c>
      <c r="B14" s="2" t="s">
        <v>17</v>
      </c>
      <c r="C14" s="2" t="s">
        <v>30</v>
      </c>
      <c r="D14" s="3">
        <v>20.8996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>
        <f t="shared" si="0"/>
        <v>20.8996</v>
      </c>
    </row>
    <row r="15" spans="1:16" x14ac:dyDescent="0.3">
      <c r="A15" s="2" t="s">
        <v>69</v>
      </c>
      <c r="B15" s="2" t="s">
        <v>17</v>
      </c>
      <c r="C15" s="2" t="s">
        <v>31</v>
      </c>
      <c r="D15" s="3">
        <v>20.784700000000001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>
        <f t="shared" si="0"/>
        <v>20.784700000000001</v>
      </c>
    </row>
    <row r="16" spans="1:16" x14ac:dyDescent="0.3">
      <c r="A16" s="2" t="s">
        <v>69</v>
      </c>
      <c r="B16" s="2" t="s">
        <v>17</v>
      </c>
      <c r="C16" s="2" t="s">
        <v>32</v>
      </c>
      <c r="D16" s="3">
        <v>20.784044000000002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>
        <f t="shared" si="0"/>
        <v>20.784044000000002</v>
      </c>
    </row>
    <row r="17" spans="1:16" x14ac:dyDescent="0.3">
      <c r="A17" s="2" t="s">
        <v>69</v>
      </c>
      <c r="B17" s="2" t="s">
        <v>17</v>
      </c>
      <c r="C17" s="2" t="s">
        <v>33</v>
      </c>
      <c r="D17" s="3">
        <v>23.014099999999999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>
        <f t="shared" si="0"/>
        <v>23.014099999999999</v>
      </c>
    </row>
    <row r="18" spans="1:16" x14ac:dyDescent="0.3">
      <c r="A18" s="2" t="s">
        <v>69</v>
      </c>
      <c r="B18" s="2" t="s">
        <v>17</v>
      </c>
      <c r="C18" s="2" t="s">
        <v>34</v>
      </c>
      <c r="D18" s="3">
        <v>22.813199999999998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>
        <f t="shared" si="0"/>
        <v>22.813199999999998</v>
      </c>
    </row>
    <row r="19" spans="1:16" x14ac:dyDescent="0.3">
      <c r="A19" s="2" t="s">
        <v>69</v>
      </c>
      <c r="B19" s="2" t="s">
        <v>17</v>
      </c>
      <c r="C19" s="2" t="s">
        <v>35</v>
      </c>
      <c r="D19" s="3">
        <v>21.180900000000001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>
        <f t="shared" si="0"/>
        <v>21.180900000000001</v>
      </c>
    </row>
    <row r="20" spans="1:16" x14ac:dyDescent="0.3">
      <c r="A20" s="2" t="s">
        <v>69</v>
      </c>
      <c r="B20" s="2" t="s">
        <v>17</v>
      </c>
      <c r="C20" s="2" t="s">
        <v>36</v>
      </c>
      <c r="D20" s="3">
        <v>20.782599999999999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>
        <f t="shared" si="0"/>
        <v>20.782599999999999</v>
      </c>
    </row>
    <row r="21" spans="1:16" x14ac:dyDescent="0.3">
      <c r="A21" s="2" t="s">
        <v>69</v>
      </c>
      <c r="B21" s="2" t="s">
        <v>17</v>
      </c>
      <c r="C21" s="2" t="s">
        <v>37</v>
      </c>
      <c r="D21" s="3">
        <v>22.270249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>
        <f t="shared" si="0"/>
        <v>22.270249</v>
      </c>
    </row>
    <row r="22" spans="1:16" x14ac:dyDescent="0.3">
      <c r="A22" s="2" t="s">
        <v>69</v>
      </c>
      <c r="B22" s="2" t="s">
        <v>17</v>
      </c>
      <c r="C22" s="2" t="s">
        <v>38</v>
      </c>
      <c r="D22" s="3">
        <v>21.395700000000001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>
        <f t="shared" si="0"/>
        <v>21.395700000000001</v>
      </c>
    </row>
    <row r="23" spans="1:16" x14ac:dyDescent="0.3">
      <c r="A23" s="2" t="s">
        <v>69</v>
      </c>
      <c r="B23" s="2" t="s">
        <v>17</v>
      </c>
      <c r="C23" s="2" t="s">
        <v>39</v>
      </c>
      <c r="D23" s="3">
        <v>22.0867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>
        <f t="shared" si="0"/>
        <v>22.0867</v>
      </c>
    </row>
    <row r="24" spans="1:16" x14ac:dyDescent="0.3">
      <c r="A24" s="2" t="s">
        <v>69</v>
      </c>
      <c r="B24" s="2" t="s">
        <v>17</v>
      </c>
      <c r="C24" s="2" t="s">
        <v>40</v>
      </c>
      <c r="D24" s="3">
        <v>22.0108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>
        <f t="shared" si="0"/>
        <v>22.0108</v>
      </c>
    </row>
    <row r="25" spans="1:16" x14ac:dyDescent="0.3">
      <c r="A25" s="2" t="s">
        <v>69</v>
      </c>
      <c r="B25" s="2" t="s">
        <v>41</v>
      </c>
      <c r="C25" s="2" t="s">
        <v>18</v>
      </c>
      <c r="D25" s="3">
        <v>8.9648000000000003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>
        <f t="shared" si="0"/>
        <v>8.9648000000000003</v>
      </c>
    </row>
    <row r="26" spans="1:16" x14ac:dyDescent="0.3">
      <c r="A26" s="2" t="s">
        <v>69</v>
      </c>
      <c r="B26" s="2" t="s">
        <v>41</v>
      </c>
      <c r="C26" s="2" t="s">
        <v>19</v>
      </c>
      <c r="D26" s="3">
        <v>11.587199999999999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>
        <f t="shared" si="0"/>
        <v>11.587199999999999</v>
      </c>
    </row>
    <row r="27" spans="1:16" x14ac:dyDescent="0.3">
      <c r="A27" s="2" t="s">
        <v>69</v>
      </c>
      <c r="B27" s="2" t="s">
        <v>41</v>
      </c>
      <c r="C27" s="2" t="s">
        <v>20</v>
      </c>
      <c r="D27" s="3">
        <v>12.0266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>
        <f t="shared" si="0"/>
        <v>12.0266</v>
      </c>
    </row>
    <row r="28" spans="1:16" x14ac:dyDescent="0.3">
      <c r="A28" s="2" t="s">
        <v>69</v>
      </c>
      <c r="B28" s="2" t="s">
        <v>41</v>
      </c>
      <c r="C28" s="2" t="s">
        <v>21</v>
      </c>
      <c r="D28" s="3">
        <v>12.788600000000001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>
        <f t="shared" si="0"/>
        <v>12.788600000000001</v>
      </c>
    </row>
    <row r="29" spans="1:16" x14ac:dyDescent="0.3">
      <c r="A29" s="2" t="s">
        <v>69</v>
      </c>
      <c r="B29" s="2" t="s">
        <v>41</v>
      </c>
      <c r="C29" s="2" t="s">
        <v>22</v>
      </c>
      <c r="D29" s="3">
        <v>12.9438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>
        <f t="shared" si="0"/>
        <v>12.9438</v>
      </c>
    </row>
    <row r="30" spans="1:16" x14ac:dyDescent="0.3">
      <c r="A30" s="2" t="s">
        <v>69</v>
      </c>
      <c r="B30" s="2" t="s">
        <v>41</v>
      </c>
      <c r="C30" s="2" t="s">
        <v>23</v>
      </c>
      <c r="D30" s="3">
        <v>15.648999999999999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>
        <f t="shared" si="0"/>
        <v>15.648999999999999</v>
      </c>
    </row>
    <row r="31" spans="1:16" x14ac:dyDescent="0.3">
      <c r="A31" s="2" t="s">
        <v>69</v>
      </c>
      <c r="B31" s="2" t="s">
        <v>41</v>
      </c>
      <c r="C31" s="2" t="s">
        <v>24</v>
      </c>
      <c r="D31" s="3">
        <v>16.052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>
        <f t="shared" si="0"/>
        <v>16.052</v>
      </c>
    </row>
    <row r="32" spans="1:16" x14ac:dyDescent="0.3">
      <c r="A32" s="2" t="s">
        <v>69</v>
      </c>
      <c r="B32" s="2" t="s">
        <v>41</v>
      </c>
      <c r="C32" s="2" t="s">
        <v>25</v>
      </c>
      <c r="D32" s="3">
        <v>16.101700000000001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>
        <f t="shared" si="0"/>
        <v>16.101700000000001</v>
      </c>
    </row>
    <row r="33" spans="1:16" x14ac:dyDescent="0.3">
      <c r="A33" s="2" t="s">
        <v>69</v>
      </c>
      <c r="B33" s="2" t="s">
        <v>41</v>
      </c>
      <c r="C33" s="2" t="s">
        <v>26</v>
      </c>
      <c r="D33" s="3">
        <v>16.945900000000002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>
        <f t="shared" si="0"/>
        <v>16.945900000000002</v>
      </c>
    </row>
    <row r="34" spans="1:16" x14ac:dyDescent="0.3">
      <c r="A34" s="2" t="s">
        <v>69</v>
      </c>
      <c r="B34" s="2" t="s">
        <v>41</v>
      </c>
      <c r="C34" s="2" t="s">
        <v>27</v>
      </c>
      <c r="D34" s="3">
        <v>18.753799999999998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>
        <f t="shared" ref="P34:P65" si="1">D34</f>
        <v>18.753799999999998</v>
      </c>
    </row>
    <row r="35" spans="1:16" x14ac:dyDescent="0.3">
      <c r="A35" s="2" t="s">
        <v>69</v>
      </c>
      <c r="B35" s="2" t="s">
        <v>41</v>
      </c>
      <c r="C35" s="2" t="s">
        <v>28</v>
      </c>
      <c r="D35" s="3">
        <v>21.893799999999999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>
        <f t="shared" si="1"/>
        <v>21.893799999999999</v>
      </c>
    </row>
    <row r="36" spans="1:16" x14ac:dyDescent="0.3">
      <c r="A36" s="2" t="s">
        <v>69</v>
      </c>
      <c r="B36" s="2" t="s">
        <v>41</v>
      </c>
      <c r="C36" s="2" t="s">
        <v>29</v>
      </c>
      <c r="D36" s="3">
        <v>20.345099999999999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>
        <f t="shared" si="1"/>
        <v>20.345099999999999</v>
      </c>
    </row>
    <row r="37" spans="1:16" x14ac:dyDescent="0.3">
      <c r="A37" s="2" t="s">
        <v>69</v>
      </c>
      <c r="B37" s="2" t="s">
        <v>41</v>
      </c>
      <c r="C37" s="2" t="s">
        <v>30</v>
      </c>
      <c r="D37" s="3">
        <v>20.738099999999999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>
        <f t="shared" si="1"/>
        <v>20.738099999999999</v>
      </c>
    </row>
    <row r="38" spans="1:16" x14ac:dyDescent="0.3">
      <c r="A38" s="2" t="s">
        <v>69</v>
      </c>
      <c r="B38" s="2" t="s">
        <v>41</v>
      </c>
      <c r="C38" s="2" t="s">
        <v>31</v>
      </c>
      <c r="D38" s="3">
        <v>20.668900000000001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>
        <f t="shared" si="1"/>
        <v>20.668900000000001</v>
      </c>
    </row>
    <row r="39" spans="1:16" x14ac:dyDescent="0.3">
      <c r="A39" s="2" t="s">
        <v>69</v>
      </c>
      <c r="B39" s="2" t="s">
        <v>41</v>
      </c>
      <c r="C39" s="2" t="s">
        <v>32</v>
      </c>
      <c r="D39" s="3">
        <v>20.4192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>
        <f t="shared" si="1"/>
        <v>20.4192</v>
      </c>
    </row>
    <row r="40" spans="1:16" x14ac:dyDescent="0.3">
      <c r="A40" s="2" t="s">
        <v>69</v>
      </c>
      <c r="B40" s="2" t="s">
        <v>41</v>
      </c>
      <c r="C40" s="2" t="s">
        <v>33</v>
      </c>
      <c r="D40" s="3">
        <v>22.914300000000001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>
        <f t="shared" si="1"/>
        <v>22.914300000000001</v>
      </c>
    </row>
    <row r="41" spans="1:16" x14ac:dyDescent="0.3">
      <c r="A41" s="2" t="s">
        <v>69</v>
      </c>
      <c r="B41" s="2" t="s">
        <v>41</v>
      </c>
      <c r="C41" s="2" t="s">
        <v>34</v>
      </c>
      <c r="D41" s="3">
        <v>22.5352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>
        <f t="shared" si="1"/>
        <v>22.5352</v>
      </c>
    </row>
    <row r="42" spans="1:16" x14ac:dyDescent="0.3">
      <c r="A42" s="2" t="s">
        <v>69</v>
      </c>
      <c r="B42" s="2" t="s">
        <v>41</v>
      </c>
      <c r="C42" s="2" t="s">
        <v>35</v>
      </c>
      <c r="D42" s="3">
        <v>20.9328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>
        <f t="shared" si="1"/>
        <v>20.9328</v>
      </c>
    </row>
    <row r="43" spans="1:16" x14ac:dyDescent="0.3">
      <c r="A43" s="2" t="s">
        <v>69</v>
      </c>
      <c r="B43" s="2" t="s">
        <v>41</v>
      </c>
      <c r="C43" s="2" t="s">
        <v>36</v>
      </c>
      <c r="D43" s="3">
        <v>20.572399999999998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>
        <f t="shared" si="1"/>
        <v>20.572399999999998</v>
      </c>
    </row>
    <row r="44" spans="1:16" x14ac:dyDescent="0.3">
      <c r="A44" s="2" t="s">
        <v>69</v>
      </c>
      <c r="B44" s="2" t="s">
        <v>41</v>
      </c>
      <c r="C44" s="2" t="s">
        <v>37</v>
      </c>
      <c r="D44" s="3">
        <v>22.10622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>
        <f t="shared" si="1"/>
        <v>22.10622</v>
      </c>
    </row>
    <row r="45" spans="1:16" x14ac:dyDescent="0.3">
      <c r="A45" s="2" t="s">
        <v>69</v>
      </c>
      <c r="B45" s="2" t="s">
        <v>41</v>
      </c>
      <c r="C45" s="2" t="s">
        <v>38</v>
      </c>
      <c r="D45" s="3">
        <v>21.241800000000001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>
        <f t="shared" si="1"/>
        <v>21.241800000000001</v>
      </c>
    </row>
    <row r="46" spans="1:16" x14ac:dyDescent="0.3">
      <c r="A46" s="2" t="s">
        <v>69</v>
      </c>
      <c r="B46" s="2" t="s">
        <v>41</v>
      </c>
      <c r="C46" s="2" t="s">
        <v>39</v>
      </c>
      <c r="D46" s="3">
        <v>21.885200000000001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>
        <f t="shared" si="1"/>
        <v>21.885200000000001</v>
      </c>
    </row>
    <row r="47" spans="1:16" x14ac:dyDescent="0.3">
      <c r="A47" s="2" t="s">
        <v>69</v>
      </c>
      <c r="B47" s="2" t="s">
        <v>41</v>
      </c>
      <c r="C47" s="2" t="s">
        <v>40</v>
      </c>
      <c r="D47" s="3">
        <v>21.858599999999999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>
        <f t="shared" si="1"/>
        <v>21.858599999999999</v>
      </c>
    </row>
    <row r="48" spans="1:16" x14ac:dyDescent="0.3">
      <c r="A48" s="2" t="s">
        <v>69</v>
      </c>
      <c r="B48" s="2" t="s">
        <v>42</v>
      </c>
      <c r="C48" s="2" t="s">
        <v>18</v>
      </c>
      <c r="D48" s="5">
        <v>22.233641157638761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6">
        <f t="shared" si="1"/>
        <v>22.233641157638761</v>
      </c>
    </row>
    <row r="49" spans="1:16" x14ac:dyDescent="0.3">
      <c r="A49" s="2" t="s">
        <v>69</v>
      </c>
      <c r="B49" s="2" t="s">
        <v>42</v>
      </c>
      <c r="C49" s="2" t="s">
        <v>19</v>
      </c>
      <c r="D49" s="5">
        <v>25.766288318144159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6">
        <f t="shared" si="1"/>
        <v>25.766288318144159</v>
      </c>
    </row>
    <row r="50" spans="1:16" x14ac:dyDescent="0.3">
      <c r="A50" s="2" t="s">
        <v>69</v>
      </c>
      <c r="B50" s="2" t="s">
        <v>42</v>
      </c>
      <c r="C50" s="2" t="s">
        <v>20</v>
      </c>
      <c r="D50" s="5">
        <v>28.133321803335939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">
        <f t="shared" si="1"/>
        <v>28.133321803335939</v>
      </c>
    </row>
    <row r="51" spans="1:16" x14ac:dyDescent="0.3">
      <c r="A51" s="2" t="s">
        <v>69</v>
      </c>
      <c r="B51" s="2" t="s">
        <v>42</v>
      </c>
      <c r="C51" s="2" t="s">
        <v>21</v>
      </c>
      <c r="D51" s="5">
        <v>32.69649572666281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6">
        <f t="shared" si="1"/>
        <v>32.69649572666281</v>
      </c>
    </row>
    <row r="52" spans="1:16" x14ac:dyDescent="0.3">
      <c r="A52" s="2" t="s">
        <v>69</v>
      </c>
      <c r="B52" s="2" t="s">
        <v>42</v>
      </c>
      <c r="C52" s="2" t="s">
        <v>22</v>
      </c>
      <c r="D52" s="5">
        <v>30.659136246697258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6">
        <f t="shared" si="1"/>
        <v>30.659136246697258</v>
      </c>
    </row>
    <row r="53" spans="1:16" x14ac:dyDescent="0.3">
      <c r="A53" s="2" t="s">
        <v>69</v>
      </c>
      <c r="B53" s="2" t="s">
        <v>42</v>
      </c>
      <c r="C53" s="2" t="s">
        <v>23</v>
      </c>
      <c r="D53" s="5">
        <v>27.080160185954369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6">
        <f t="shared" si="1"/>
        <v>27.080160185954369</v>
      </c>
    </row>
    <row r="54" spans="1:16" x14ac:dyDescent="0.3">
      <c r="A54" s="2" t="s">
        <v>69</v>
      </c>
      <c r="B54" s="2" t="s">
        <v>42</v>
      </c>
      <c r="C54" s="2" t="s">
        <v>24</v>
      </c>
      <c r="D54" s="5">
        <v>34.733693823199602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6">
        <f t="shared" si="1"/>
        <v>34.733693823199602</v>
      </c>
    </row>
    <row r="55" spans="1:16" x14ac:dyDescent="0.3">
      <c r="A55" s="2" t="s">
        <v>69</v>
      </c>
      <c r="B55" s="2" t="s">
        <v>42</v>
      </c>
      <c r="C55" s="2" t="s">
        <v>25</v>
      </c>
      <c r="D55" s="5">
        <v>35.319840405050392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6">
        <f t="shared" si="1"/>
        <v>35.319840405050392</v>
      </c>
    </row>
    <row r="56" spans="1:16" x14ac:dyDescent="0.3">
      <c r="A56" s="2" t="s">
        <v>69</v>
      </c>
      <c r="B56" s="2" t="s">
        <v>42</v>
      </c>
      <c r="C56" s="2" t="s">
        <v>26</v>
      </c>
      <c r="D56" s="5">
        <v>33.275384930868228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6">
        <f t="shared" si="1"/>
        <v>33.275384930868228</v>
      </c>
    </row>
    <row r="57" spans="1:16" x14ac:dyDescent="0.3">
      <c r="A57" s="2" t="s">
        <v>69</v>
      </c>
      <c r="B57" s="2" t="s">
        <v>42</v>
      </c>
      <c r="C57" s="2" t="s">
        <v>27</v>
      </c>
      <c r="D57" s="5">
        <v>34.345447282684042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>
        <f t="shared" si="1"/>
        <v>34.345447282684042</v>
      </c>
    </row>
    <row r="58" spans="1:16" x14ac:dyDescent="0.3">
      <c r="A58" s="2" t="s">
        <v>69</v>
      </c>
      <c r="B58" s="2" t="s">
        <v>42</v>
      </c>
      <c r="C58" s="2" t="s">
        <v>28</v>
      </c>
      <c r="D58" s="5">
        <v>27.93013712786269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6">
        <f t="shared" si="1"/>
        <v>27.93013712786269</v>
      </c>
    </row>
    <row r="59" spans="1:16" x14ac:dyDescent="0.3">
      <c r="A59" s="2" t="s">
        <v>69</v>
      </c>
      <c r="B59" s="2" t="s">
        <v>42</v>
      </c>
      <c r="C59" s="2" t="s">
        <v>29</v>
      </c>
      <c r="D59" s="5">
        <v>40.20427363345474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6">
        <f t="shared" si="1"/>
        <v>40.20427363345474</v>
      </c>
    </row>
    <row r="60" spans="1:16" x14ac:dyDescent="0.3">
      <c r="A60" s="2" t="s">
        <v>69</v>
      </c>
      <c r="B60" s="2" t="s">
        <v>42</v>
      </c>
      <c r="C60" s="2" t="s">
        <v>30</v>
      </c>
      <c r="D60" s="5">
        <v>34.890483421817812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6">
        <f t="shared" si="1"/>
        <v>34.890483421817812</v>
      </c>
    </row>
    <row r="61" spans="1:16" x14ac:dyDescent="0.3">
      <c r="A61" s="2" t="s">
        <v>69</v>
      </c>
      <c r="B61" s="2" t="s">
        <v>42</v>
      </c>
      <c r="C61" s="2" t="s">
        <v>31</v>
      </c>
      <c r="D61" s="5">
        <v>39.202174583553067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6">
        <f t="shared" si="1"/>
        <v>39.202174583553067</v>
      </c>
    </row>
    <row r="62" spans="1:16" x14ac:dyDescent="0.3">
      <c r="A62" s="2" t="s">
        <v>69</v>
      </c>
      <c r="B62" s="2" t="s">
        <v>42</v>
      </c>
      <c r="C62" s="2" t="s">
        <v>32</v>
      </c>
      <c r="D62" s="5">
        <v>42.321820933239309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6">
        <f t="shared" si="1"/>
        <v>42.321820933239309</v>
      </c>
    </row>
    <row r="63" spans="1:16" x14ac:dyDescent="0.3">
      <c r="A63" s="2" t="s">
        <v>69</v>
      </c>
      <c r="B63" s="2" t="s">
        <v>42</v>
      </c>
      <c r="C63" s="2" t="s">
        <v>33</v>
      </c>
      <c r="D63" s="5">
        <v>41.290428869745099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>
        <f t="shared" si="1"/>
        <v>41.290428869745099</v>
      </c>
    </row>
    <row r="64" spans="1:16" x14ac:dyDescent="0.3">
      <c r="A64" s="2" t="s">
        <v>69</v>
      </c>
      <c r="B64" s="2" t="s">
        <v>42</v>
      </c>
      <c r="C64" s="2" t="s">
        <v>34</v>
      </c>
      <c r="D64" s="5">
        <v>40.547717515265013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6">
        <f t="shared" si="1"/>
        <v>40.547717515265013</v>
      </c>
    </row>
    <row r="65" spans="1:16" x14ac:dyDescent="0.3">
      <c r="A65" s="2" t="s">
        <v>69</v>
      </c>
      <c r="B65" s="2" t="s">
        <v>42</v>
      </c>
      <c r="C65" s="2" t="s">
        <v>35</v>
      </c>
      <c r="D65" s="5">
        <v>41.942935859034627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>
        <f t="shared" si="1"/>
        <v>41.942935859034627</v>
      </c>
    </row>
    <row r="66" spans="1:16" x14ac:dyDescent="0.3">
      <c r="A66" s="2" t="s">
        <v>69</v>
      </c>
      <c r="B66" s="2" t="s">
        <v>42</v>
      </c>
      <c r="C66" s="2" t="s">
        <v>36</v>
      </c>
      <c r="D66" s="5">
        <v>41.761249769108133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>
        <f t="shared" ref="P66:P93" si="2">D66</f>
        <v>41.761249769108133</v>
      </c>
    </row>
    <row r="67" spans="1:16" x14ac:dyDescent="0.3">
      <c r="A67" s="2" t="s">
        <v>69</v>
      </c>
      <c r="B67" s="2" t="s">
        <v>42</v>
      </c>
      <c r="C67" s="2" t="s">
        <v>37</v>
      </c>
      <c r="D67" s="5">
        <v>28.419294105912279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6">
        <f t="shared" si="2"/>
        <v>28.419294105912279</v>
      </c>
    </row>
    <row r="68" spans="1:16" x14ac:dyDescent="0.3">
      <c r="A68" s="2" t="s">
        <v>69</v>
      </c>
      <c r="B68" s="2" t="s">
        <v>42</v>
      </c>
      <c r="C68" s="2" t="s">
        <v>38</v>
      </c>
      <c r="D68" s="5">
        <v>39.127324732367313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6">
        <f t="shared" si="2"/>
        <v>39.127324732367313</v>
      </c>
    </row>
    <row r="69" spans="1:16" x14ac:dyDescent="0.3">
      <c r="A69" s="2" t="s">
        <v>69</v>
      </c>
      <c r="B69" s="2" t="s">
        <v>42</v>
      </c>
      <c r="C69" s="2" t="s">
        <v>39</v>
      </c>
      <c r="D69" s="5">
        <v>39.213659596439612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6">
        <f t="shared" si="2"/>
        <v>39.213659596439612</v>
      </c>
    </row>
    <row r="70" spans="1:16" x14ac:dyDescent="0.3">
      <c r="A70" s="2" t="s">
        <v>69</v>
      </c>
      <c r="B70" s="2" t="s">
        <v>42</v>
      </c>
      <c r="C70" s="2" t="s">
        <v>40</v>
      </c>
      <c r="D70" s="5">
        <v>38.809331510252257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>
        <f t="shared" si="2"/>
        <v>38.809331510252257</v>
      </c>
    </row>
    <row r="71" spans="1:16" x14ac:dyDescent="0.3">
      <c r="A71" s="2" t="s">
        <v>69</v>
      </c>
      <c r="B71" s="2" t="s">
        <v>43</v>
      </c>
      <c r="C71" s="2" t="s">
        <v>18</v>
      </c>
      <c r="D71" s="7">
        <v>4520.5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8">
        <f t="shared" si="2"/>
        <v>4520.5</v>
      </c>
    </row>
    <row r="72" spans="1:16" x14ac:dyDescent="0.3">
      <c r="A72" s="2" t="s">
        <v>69</v>
      </c>
      <c r="B72" s="2" t="s">
        <v>43</v>
      </c>
      <c r="C72" s="2" t="s">
        <v>19</v>
      </c>
      <c r="D72" s="7">
        <v>6771.2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8">
        <f t="shared" si="2"/>
        <v>6771.2</v>
      </c>
    </row>
    <row r="73" spans="1:16" x14ac:dyDescent="0.3">
      <c r="A73" s="2" t="s">
        <v>69</v>
      </c>
      <c r="B73" s="2" t="s">
        <v>43</v>
      </c>
      <c r="C73" s="2" t="s">
        <v>20</v>
      </c>
      <c r="D73" s="7">
        <v>7673.6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8">
        <f t="shared" si="2"/>
        <v>7673.6</v>
      </c>
    </row>
    <row r="74" spans="1:16" x14ac:dyDescent="0.3">
      <c r="A74" s="2" t="s">
        <v>69</v>
      </c>
      <c r="B74" s="2" t="s">
        <v>43</v>
      </c>
      <c r="C74" s="2" t="s">
        <v>21</v>
      </c>
      <c r="D74" s="7">
        <v>9483.2999999999993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8">
        <f t="shared" si="2"/>
        <v>9483.2999999999993</v>
      </c>
    </row>
    <row r="75" spans="1:16" x14ac:dyDescent="0.3">
      <c r="A75" s="2" t="s">
        <v>69</v>
      </c>
      <c r="B75" s="2" t="s">
        <v>43</v>
      </c>
      <c r="C75" s="2" t="s">
        <v>22</v>
      </c>
      <c r="D75" s="7">
        <v>9000.2999999999993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8">
        <f t="shared" si="2"/>
        <v>9000.2999999999993</v>
      </c>
    </row>
    <row r="76" spans="1:16" x14ac:dyDescent="0.3">
      <c r="A76" s="2" t="s">
        <v>69</v>
      </c>
      <c r="B76" s="2" t="s">
        <v>43</v>
      </c>
      <c r="C76" s="2" t="s">
        <v>23</v>
      </c>
      <c r="D76" s="7">
        <v>9611.1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8">
        <f t="shared" si="2"/>
        <v>9611.1</v>
      </c>
    </row>
    <row r="77" spans="1:16" x14ac:dyDescent="0.3">
      <c r="A77" s="2" t="s">
        <v>69</v>
      </c>
      <c r="B77" s="2" t="s">
        <v>43</v>
      </c>
      <c r="C77" s="2" t="s">
        <v>24</v>
      </c>
      <c r="D77" s="7">
        <v>12644.9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8">
        <f t="shared" si="2"/>
        <v>12644.9</v>
      </c>
    </row>
    <row r="78" spans="1:16" x14ac:dyDescent="0.3">
      <c r="A78" s="2" t="s">
        <v>69</v>
      </c>
      <c r="B78" s="2" t="s">
        <v>43</v>
      </c>
      <c r="C78" s="2" t="s">
        <v>25</v>
      </c>
      <c r="D78" s="7">
        <v>12898.1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8">
        <f t="shared" si="2"/>
        <v>12898.1</v>
      </c>
    </row>
    <row r="79" spans="1:16" x14ac:dyDescent="0.3">
      <c r="A79" s="2" t="s">
        <v>69</v>
      </c>
      <c r="B79" s="2" t="s">
        <v>43</v>
      </c>
      <c r="C79" s="2" t="s">
        <v>26</v>
      </c>
      <c r="D79" s="7">
        <v>12788.6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8">
        <f t="shared" si="2"/>
        <v>12788.6</v>
      </c>
    </row>
    <row r="80" spans="1:16" x14ac:dyDescent="0.3">
      <c r="A80" s="2" t="s">
        <v>69</v>
      </c>
      <c r="B80" s="2" t="s">
        <v>43</v>
      </c>
      <c r="C80" s="2" t="s">
        <v>27</v>
      </c>
      <c r="D80" s="7">
        <v>14608.1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8">
        <f t="shared" si="2"/>
        <v>14608.1</v>
      </c>
    </row>
    <row r="81" spans="1:16" x14ac:dyDescent="0.3">
      <c r="A81" s="2" t="s">
        <v>69</v>
      </c>
      <c r="B81" s="2" t="s">
        <v>43</v>
      </c>
      <c r="C81" s="2" t="s">
        <v>28</v>
      </c>
      <c r="D81" s="7">
        <v>13868.5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8">
        <f t="shared" si="2"/>
        <v>13868.5</v>
      </c>
    </row>
    <row r="82" spans="1:16" x14ac:dyDescent="0.3">
      <c r="A82" s="2" t="s">
        <v>69</v>
      </c>
      <c r="B82" s="2" t="s">
        <v>43</v>
      </c>
      <c r="C82" s="2" t="s">
        <v>29</v>
      </c>
      <c r="D82" s="7">
        <v>18551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8">
        <f t="shared" si="2"/>
        <v>18551</v>
      </c>
    </row>
    <row r="83" spans="1:16" x14ac:dyDescent="0.3">
      <c r="A83" s="2" t="s">
        <v>69</v>
      </c>
      <c r="B83" s="2" t="s">
        <v>43</v>
      </c>
      <c r="C83" s="2" t="s">
        <v>30</v>
      </c>
      <c r="D83" s="7">
        <v>16410.099999999999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8">
        <f t="shared" si="2"/>
        <v>16410.099999999999</v>
      </c>
    </row>
    <row r="84" spans="1:16" x14ac:dyDescent="0.3">
      <c r="A84" s="2" t="s">
        <v>69</v>
      </c>
      <c r="B84" s="2" t="s">
        <v>43</v>
      </c>
      <c r="C84" s="2" t="s">
        <v>31</v>
      </c>
      <c r="D84" s="7">
        <v>18376.5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8">
        <f t="shared" si="2"/>
        <v>18376.5</v>
      </c>
    </row>
    <row r="85" spans="1:16" x14ac:dyDescent="0.3">
      <c r="A85" s="2" t="s">
        <v>69</v>
      </c>
      <c r="B85" s="2" t="s">
        <v>43</v>
      </c>
      <c r="C85" s="2" t="s">
        <v>32</v>
      </c>
      <c r="D85" s="7">
        <v>19599.2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8">
        <f t="shared" si="2"/>
        <v>19599.2</v>
      </c>
    </row>
    <row r="86" spans="1:16" x14ac:dyDescent="0.3">
      <c r="A86" s="2" t="s">
        <v>69</v>
      </c>
      <c r="B86" s="2" t="s">
        <v>43</v>
      </c>
      <c r="C86" s="2" t="s">
        <v>33</v>
      </c>
      <c r="D86" s="7">
        <v>21458.1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8">
        <f t="shared" si="2"/>
        <v>21458.1</v>
      </c>
    </row>
    <row r="87" spans="1:16" x14ac:dyDescent="0.3">
      <c r="A87" s="2" t="s">
        <v>69</v>
      </c>
      <c r="B87" s="2" t="s">
        <v>43</v>
      </c>
      <c r="C87" s="2" t="s">
        <v>34</v>
      </c>
      <c r="D87" s="7">
        <v>20723.5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8">
        <f t="shared" si="2"/>
        <v>20723.5</v>
      </c>
    </row>
    <row r="88" spans="1:16" x14ac:dyDescent="0.3">
      <c r="A88" s="2" t="s">
        <v>69</v>
      </c>
      <c r="B88" s="2" t="s">
        <v>43</v>
      </c>
      <c r="C88" s="2" t="s">
        <v>35</v>
      </c>
      <c r="D88" s="7">
        <v>19912.3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8">
        <f t="shared" si="2"/>
        <v>19912.3</v>
      </c>
    </row>
    <row r="89" spans="1:16" x14ac:dyDescent="0.3">
      <c r="A89" s="2" t="s">
        <v>69</v>
      </c>
      <c r="B89" s="2" t="s">
        <v>43</v>
      </c>
      <c r="C89" s="2" t="s">
        <v>36</v>
      </c>
      <c r="D89" s="7">
        <v>19484.7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8">
        <f t="shared" si="2"/>
        <v>19484.7</v>
      </c>
    </row>
    <row r="90" spans="1:16" x14ac:dyDescent="0.3">
      <c r="A90" s="2" t="s">
        <v>69</v>
      </c>
      <c r="B90" s="2" t="s">
        <v>43</v>
      </c>
      <c r="C90" s="2" t="s">
        <v>37</v>
      </c>
      <c r="D90" s="7">
        <v>14248.3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8">
        <f t="shared" si="2"/>
        <v>14248.3</v>
      </c>
    </row>
    <row r="91" spans="1:16" x14ac:dyDescent="0.3">
      <c r="A91" s="2" t="s">
        <v>69</v>
      </c>
      <c r="B91" s="2" t="s">
        <v>43</v>
      </c>
      <c r="C91" s="2" t="s">
        <v>38</v>
      </c>
      <c r="D91" s="7">
        <v>18849.8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8">
        <f t="shared" si="2"/>
        <v>18849.8</v>
      </c>
    </row>
    <row r="92" spans="1:16" x14ac:dyDescent="0.3">
      <c r="A92" s="2" t="s">
        <v>69</v>
      </c>
      <c r="B92" s="2" t="s">
        <v>43</v>
      </c>
      <c r="C92" s="2" t="s">
        <v>39</v>
      </c>
      <c r="D92" s="7">
        <v>19463.599999999999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8">
        <f t="shared" si="2"/>
        <v>19463.599999999999</v>
      </c>
    </row>
    <row r="93" spans="1:16" x14ac:dyDescent="0.3">
      <c r="A93" s="2" t="s">
        <v>69</v>
      </c>
      <c r="B93" s="2" t="s">
        <v>43</v>
      </c>
      <c r="C93" s="2" t="s">
        <v>40</v>
      </c>
      <c r="D93" s="7">
        <v>19239.5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8">
        <f t="shared" si="2"/>
        <v>19239.5</v>
      </c>
    </row>
    <row r="94" spans="1:16" x14ac:dyDescent="0.3">
      <c r="A94" s="2" t="s">
        <v>69</v>
      </c>
      <c r="B94" s="2" t="s">
        <v>44</v>
      </c>
      <c r="C94" s="2" t="s">
        <v>18</v>
      </c>
      <c r="D94" s="7">
        <v>110.128</v>
      </c>
      <c r="E94" s="7">
        <v>76.544999999999987</v>
      </c>
      <c r="F94" s="7">
        <v>302.92099999999999</v>
      </c>
      <c r="G94" s="7">
        <v>271.65300000000002</v>
      </c>
      <c r="H94" s="7">
        <v>250.428</v>
      </c>
      <c r="I94" s="7">
        <v>121.786</v>
      </c>
      <c r="J94" s="7">
        <v>172.517</v>
      </c>
      <c r="K94" s="7">
        <v>246.011</v>
      </c>
      <c r="L94" s="7">
        <v>178.53899999999999</v>
      </c>
      <c r="M94" s="7">
        <v>223.58099999999999</v>
      </c>
      <c r="N94" s="7">
        <v>242.75299999999999</v>
      </c>
      <c r="O94" s="7">
        <v>224.64099999999999</v>
      </c>
      <c r="P94" s="8">
        <f t="shared" ref="P94:P125" si="3">SUM(D94:O94)</f>
        <v>2421.5030000000002</v>
      </c>
    </row>
    <row r="95" spans="1:16" x14ac:dyDescent="0.3">
      <c r="A95" s="2" t="s">
        <v>69</v>
      </c>
      <c r="B95" s="2" t="s">
        <v>44</v>
      </c>
      <c r="C95" s="2" t="s">
        <v>19</v>
      </c>
      <c r="D95" s="7">
        <v>211.52799999999999</v>
      </c>
      <c r="E95" s="7">
        <v>298.39100000000002</v>
      </c>
      <c r="F95" s="7">
        <v>515.68899999999996</v>
      </c>
      <c r="G95" s="7">
        <v>492.86399999999998</v>
      </c>
      <c r="H95" s="7">
        <v>315.16699999999997</v>
      </c>
      <c r="I95" s="7">
        <v>237.93799999999999</v>
      </c>
      <c r="J95" s="7">
        <v>244.57400000000001</v>
      </c>
      <c r="K95" s="7">
        <v>341.28100000000001</v>
      </c>
      <c r="L95" s="7">
        <v>238.947</v>
      </c>
      <c r="M95" s="7">
        <v>279.38799999999998</v>
      </c>
      <c r="N95" s="7">
        <v>295.363</v>
      </c>
      <c r="O95" s="7">
        <v>291.41300000000001</v>
      </c>
      <c r="P95" s="8">
        <f t="shared" si="3"/>
        <v>3762.5429999999997</v>
      </c>
    </row>
    <row r="96" spans="1:16" x14ac:dyDescent="0.3">
      <c r="A96" s="2" t="s">
        <v>69</v>
      </c>
      <c r="B96" s="2" t="s">
        <v>44</v>
      </c>
      <c r="C96" s="2" t="s">
        <v>20</v>
      </c>
      <c r="D96" s="7">
        <v>184.774</v>
      </c>
      <c r="E96" s="7">
        <v>101.71</v>
      </c>
      <c r="F96" s="7">
        <v>595.66700000000003</v>
      </c>
      <c r="G96" s="7">
        <v>460.28300000000002</v>
      </c>
      <c r="H96" s="7">
        <v>316.03699999999998</v>
      </c>
      <c r="I96" s="7">
        <v>215.27500000000001</v>
      </c>
      <c r="J96" s="7">
        <v>224.96299999999999</v>
      </c>
      <c r="K96" s="7">
        <v>313.01299999999998</v>
      </c>
      <c r="L96" s="7">
        <v>287.774</v>
      </c>
      <c r="M96" s="7">
        <v>201.374</v>
      </c>
      <c r="N96" s="7">
        <v>379.36</v>
      </c>
      <c r="O96" s="7">
        <v>212.518</v>
      </c>
      <c r="P96" s="8">
        <f t="shared" si="3"/>
        <v>3492.748</v>
      </c>
    </row>
    <row r="97" spans="1:16" x14ac:dyDescent="0.3">
      <c r="A97" s="2" t="s">
        <v>69</v>
      </c>
      <c r="B97" s="2" t="s">
        <v>44</v>
      </c>
      <c r="C97" s="2" t="s">
        <v>21</v>
      </c>
      <c r="D97" s="7">
        <v>312.173</v>
      </c>
      <c r="E97" s="7">
        <v>242.81200000000001</v>
      </c>
      <c r="F97" s="7">
        <v>587.03099999999995</v>
      </c>
      <c r="G97" s="7">
        <v>451.32799999999997</v>
      </c>
      <c r="H97" s="7">
        <v>573.59100000000001</v>
      </c>
      <c r="I97" s="7">
        <v>354.79599999999999</v>
      </c>
      <c r="J97" s="7">
        <v>441.02800000000002</v>
      </c>
      <c r="K97" s="7">
        <v>610.96299999999997</v>
      </c>
      <c r="L97" s="7">
        <v>453.89699999999999</v>
      </c>
      <c r="M97" s="7">
        <v>552.74599999999998</v>
      </c>
      <c r="N97" s="7">
        <v>306.77</v>
      </c>
      <c r="O97" s="7">
        <v>523.47199999999998</v>
      </c>
      <c r="P97" s="8">
        <f t="shared" si="3"/>
        <v>5410.607</v>
      </c>
    </row>
    <row r="98" spans="1:16" x14ac:dyDescent="0.3">
      <c r="A98" s="2" t="s">
        <v>69</v>
      </c>
      <c r="B98" s="2" t="s">
        <v>44</v>
      </c>
      <c r="C98" s="2" t="s">
        <v>22</v>
      </c>
      <c r="D98" s="7">
        <v>424.32600000000002</v>
      </c>
      <c r="E98" s="7">
        <v>565.64599999999996</v>
      </c>
      <c r="F98" s="7">
        <v>534.33600000000001</v>
      </c>
      <c r="G98" s="7">
        <v>435.17099999999999</v>
      </c>
      <c r="H98" s="7">
        <v>348.661</v>
      </c>
      <c r="I98" s="7">
        <v>528.27300000000002</v>
      </c>
      <c r="J98" s="7">
        <v>362.07799999999997</v>
      </c>
      <c r="K98" s="7">
        <v>498.142</v>
      </c>
      <c r="L98" s="7">
        <v>378.435</v>
      </c>
      <c r="M98" s="7">
        <v>522.48400000000004</v>
      </c>
      <c r="N98" s="7">
        <v>394.49200000000002</v>
      </c>
      <c r="O98" s="7">
        <v>468.08600000000001</v>
      </c>
      <c r="P98" s="8">
        <f t="shared" si="3"/>
        <v>5460.13</v>
      </c>
    </row>
    <row r="99" spans="1:16" x14ac:dyDescent="0.3">
      <c r="A99" s="2" t="s">
        <v>69</v>
      </c>
      <c r="B99" s="2" t="s">
        <v>44</v>
      </c>
      <c r="C99" s="2" t="s">
        <v>23</v>
      </c>
      <c r="D99" s="7">
        <v>454.13400000000001</v>
      </c>
      <c r="E99" s="7">
        <v>501.447</v>
      </c>
      <c r="F99" s="7">
        <v>446.03500000000003</v>
      </c>
      <c r="G99" s="7">
        <v>413.339</v>
      </c>
      <c r="H99" s="7">
        <v>434.68</v>
      </c>
      <c r="I99" s="7">
        <v>565.79499999999996</v>
      </c>
      <c r="J99" s="7">
        <v>582.54700000000003</v>
      </c>
      <c r="K99" s="7">
        <v>657.93399999999997</v>
      </c>
      <c r="L99" s="7">
        <v>461.69799999999998</v>
      </c>
      <c r="M99" s="7">
        <v>452.53699999999998</v>
      </c>
      <c r="N99" s="7">
        <v>474.13299999999998</v>
      </c>
      <c r="O99" s="7">
        <v>363.88600000000002</v>
      </c>
      <c r="P99" s="8">
        <f t="shared" si="3"/>
        <v>5808.1650000000009</v>
      </c>
    </row>
    <row r="100" spans="1:16" x14ac:dyDescent="0.3">
      <c r="A100" s="2" t="s">
        <v>69</v>
      </c>
      <c r="B100" s="2" t="s">
        <v>44</v>
      </c>
      <c r="C100" s="2" t="s">
        <v>24</v>
      </c>
      <c r="D100" s="7">
        <v>470.34500000000003</v>
      </c>
      <c r="E100" s="7">
        <v>593.40499999999997</v>
      </c>
      <c r="F100" s="7">
        <v>716.44999999999993</v>
      </c>
      <c r="G100" s="7">
        <v>722.78</v>
      </c>
      <c r="H100" s="7">
        <v>606.51300000000003</v>
      </c>
      <c r="I100" s="7">
        <v>505.08699999999999</v>
      </c>
      <c r="J100" s="7">
        <v>628.35</v>
      </c>
      <c r="K100" s="7">
        <v>682.41899999999998</v>
      </c>
      <c r="L100" s="7">
        <v>886.93</v>
      </c>
      <c r="M100" s="7">
        <v>667.51499999999999</v>
      </c>
      <c r="N100" s="7">
        <v>857.08799999999997</v>
      </c>
      <c r="O100" s="7">
        <v>561.024</v>
      </c>
      <c r="P100" s="8">
        <f t="shared" si="3"/>
        <v>7897.9059999999999</v>
      </c>
    </row>
    <row r="101" spans="1:16" x14ac:dyDescent="0.3">
      <c r="A101" s="2" t="s">
        <v>69</v>
      </c>
      <c r="B101" s="2" t="s">
        <v>44</v>
      </c>
      <c r="C101" s="2" t="s">
        <v>25</v>
      </c>
      <c r="D101" s="7">
        <v>442.48700000000002</v>
      </c>
      <c r="E101" s="7">
        <v>422.53699999999998</v>
      </c>
      <c r="F101" s="7">
        <v>813.726</v>
      </c>
      <c r="G101" s="7">
        <v>770.447</v>
      </c>
      <c r="H101" s="7">
        <v>441.517</v>
      </c>
      <c r="I101" s="7">
        <v>500.82900000000001</v>
      </c>
      <c r="J101" s="7">
        <v>567.93600000000004</v>
      </c>
      <c r="K101" s="7">
        <v>848.43499999999995</v>
      </c>
      <c r="L101" s="7">
        <v>549.16700000000003</v>
      </c>
      <c r="M101" s="7">
        <v>639.69500000000005</v>
      </c>
      <c r="N101" s="7">
        <v>586.52499999999998</v>
      </c>
      <c r="O101" s="7">
        <v>588.48900000000003</v>
      </c>
      <c r="P101" s="8">
        <f t="shared" si="3"/>
        <v>7171.7900000000009</v>
      </c>
    </row>
    <row r="102" spans="1:16" x14ac:dyDescent="0.3">
      <c r="A102" s="2" t="s">
        <v>69</v>
      </c>
      <c r="B102" s="2" t="s">
        <v>44</v>
      </c>
      <c r="C102" s="2" t="s">
        <v>26</v>
      </c>
      <c r="D102" s="7">
        <v>508.36399999999998</v>
      </c>
      <c r="E102" s="7">
        <v>499.58699999999999</v>
      </c>
      <c r="F102" s="7">
        <v>783.05399999999997</v>
      </c>
      <c r="G102" s="7">
        <v>787.26700000000005</v>
      </c>
      <c r="H102" s="7">
        <v>611.29600000000005</v>
      </c>
      <c r="I102" s="7">
        <v>611.35800000000006</v>
      </c>
      <c r="J102" s="7">
        <v>687.32600000000002</v>
      </c>
      <c r="K102" s="7">
        <v>484.74599999999998</v>
      </c>
      <c r="L102" s="7">
        <v>496.22899999999998</v>
      </c>
      <c r="M102" s="7">
        <v>626.79099999999994</v>
      </c>
      <c r="N102" s="7">
        <v>425.43799999999999</v>
      </c>
      <c r="O102" s="7">
        <v>685.077</v>
      </c>
      <c r="P102" s="8">
        <f t="shared" si="3"/>
        <v>7206.5330000000013</v>
      </c>
    </row>
    <row r="103" spans="1:16" x14ac:dyDescent="0.3">
      <c r="A103" s="2" t="s">
        <v>69</v>
      </c>
      <c r="B103" s="2" t="s">
        <v>44</v>
      </c>
      <c r="C103" s="2" t="s">
        <v>27</v>
      </c>
      <c r="D103" s="7">
        <v>349.61</v>
      </c>
      <c r="E103" s="7">
        <v>746.49900000000002</v>
      </c>
      <c r="F103" s="7">
        <v>1024.729</v>
      </c>
      <c r="G103" s="7">
        <v>893.6049999999999</v>
      </c>
      <c r="H103" s="7">
        <v>857.23699999999997</v>
      </c>
      <c r="I103" s="7">
        <v>1038.2090000000001</v>
      </c>
      <c r="J103" s="7">
        <v>800.53899999999999</v>
      </c>
      <c r="K103" s="7">
        <v>777.24800000000005</v>
      </c>
      <c r="L103" s="7">
        <v>596.18500000000006</v>
      </c>
      <c r="M103" s="7">
        <v>668.65899999999999</v>
      </c>
      <c r="N103" s="7">
        <v>495.46899999999999</v>
      </c>
      <c r="O103" s="7">
        <v>447.19600000000003</v>
      </c>
      <c r="P103" s="8">
        <f t="shared" si="3"/>
        <v>8695.1849999999995</v>
      </c>
    </row>
    <row r="104" spans="1:16" x14ac:dyDescent="0.3">
      <c r="A104" s="2" t="s">
        <v>69</v>
      </c>
      <c r="B104" s="2" t="s">
        <v>44</v>
      </c>
      <c r="C104" s="2" t="s">
        <v>28</v>
      </c>
      <c r="D104" s="7">
        <v>368.87599999999998</v>
      </c>
      <c r="E104" s="7">
        <v>712.64400000000001</v>
      </c>
      <c r="F104" s="7">
        <v>1014.1130000000001</v>
      </c>
      <c r="G104" s="7">
        <v>646.14</v>
      </c>
      <c r="H104" s="7">
        <v>774.07800000000009</v>
      </c>
      <c r="I104" s="7">
        <v>598.10900000000004</v>
      </c>
      <c r="J104" s="7">
        <v>571.29499999999996</v>
      </c>
      <c r="K104" s="7">
        <v>694.25199999999995</v>
      </c>
      <c r="L104" s="7">
        <v>526.69499999999994</v>
      </c>
      <c r="M104" s="7">
        <v>590.04199999999992</v>
      </c>
      <c r="N104" s="7">
        <v>248.34299999999999</v>
      </c>
      <c r="O104" s="7">
        <v>365.233</v>
      </c>
      <c r="P104" s="8">
        <f t="shared" si="3"/>
        <v>7109.8199999999988</v>
      </c>
    </row>
    <row r="105" spans="1:16" x14ac:dyDescent="0.3">
      <c r="A105" s="2" t="s">
        <v>69</v>
      </c>
      <c r="B105" s="2" t="s">
        <v>44</v>
      </c>
      <c r="C105" s="2" t="s">
        <v>29</v>
      </c>
      <c r="D105" s="7">
        <v>264.63799999999998</v>
      </c>
      <c r="E105" s="7">
        <v>504.34300000000002</v>
      </c>
      <c r="F105" s="7">
        <v>1090.7449999999999</v>
      </c>
      <c r="G105" s="7">
        <v>834.04100000000005</v>
      </c>
      <c r="H105" s="7">
        <v>680.255</v>
      </c>
      <c r="I105" s="7">
        <v>651.87099999999998</v>
      </c>
      <c r="J105" s="7">
        <v>564.09</v>
      </c>
      <c r="K105" s="7">
        <v>925.14300000000003</v>
      </c>
      <c r="L105" s="7">
        <v>975.471</v>
      </c>
      <c r="M105" s="7">
        <v>960.72500000000002</v>
      </c>
      <c r="N105" s="7">
        <v>1004.8819999999999</v>
      </c>
      <c r="O105" s="7">
        <v>718.34299999999996</v>
      </c>
      <c r="P105" s="8">
        <f t="shared" si="3"/>
        <v>9174.5470000000005</v>
      </c>
    </row>
    <row r="106" spans="1:16" x14ac:dyDescent="0.3">
      <c r="A106" s="2" t="s">
        <v>69</v>
      </c>
      <c r="B106" s="2" t="s">
        <v>44</v>
      </c>
      <c r="C106" s="2" t="s">
        <v>30</v>
      </c>
      <c r="D106" s="7">
        <v>847.17200000000003</v>
      </c>
      <c r="E106" s="7">
        <v>760.51999999999987</v>
      </c>
      <c r="F106" s="7">
        <v>878.22900000000004</v>
      </c>
      <c r="G106" s="7">
        <v>804.53899999999999</v>
      </c>
      <c r="H106" s="7">
        <v>679.82899999999995</v>
      </c>
      <c r="I106" s="7">
        <v>589.29</v>
      </c>
      <c r="J106" s="7">
        <v>532.23300000000006</v>
      </c>
      <c r="K106" s="7">
        <v>763.91599999999994</v>
      </c>
      <c r="L106" s="7">
        <v>913.05899999999997</v>
      </c>
      <c r="M106" s="7">
        <v>848.64199999999994</v>
      </c>
      <c r="N106" s="7">
        <v>710.13700000000006</v>
      </c>
      <c r="O106" s="7">
        <v>888.12900000000002</v>
      </c>
      <c r="P106" s="8">
        <f t="shared" si="3"/>
        <v>9215.6950000000015</v>
      </c>
    </row>
    <row r="107" spans="1:16" x14ac:dyDescent="0.3">
      <c r="A107" s="2" t="s">
        <v>69</v>
      </c>
      <c r="B107" s="2" t="s">
        <v>44</v>
      </c>
      <c r="C107" s="2" t="s">
        <v>31</v>
      </c>
      <c r="D107" s="7">
        <v>650.23700000000008</v>
      </c>
      <c r="E107" s="7">
        <v>889.59399999999994</v>
      </c>
      <c r="F107" s="7">
        <v>903.07799999999997</v>
      </c>
      <c r="G107" s="7">
        <v>792.46100000000001</v>
      </c>
      <c r="H107" s="7">
        <v>730.15</v>
      </c>
      <c r="I107" s="7">
        <v>790.90899999999999</v>
      </c>
      <c r="J107" s="7">
        <v>754.20299999999997</v>
      </c>
      <c r="K107" s="7">
        <v>1088.404</v>
      </c>
      <c r="L107" s="7">
        <v>1071.6849999999999</v>
      </c>
      <c r="M107" s="7">
        <v>931.27700000000004</v>
      </c>
      <c r="N107" s="7">
        <v>848.89</v>
      </c>
      <c r="O107" s="7">
        <v>831.56399999999996</v>
      </c>
      <c r="P107" s="8">
        <f t="shared" si="3"/>
        <v>10282.451999999999</v>
      </c>
    </row>
    <row r="108" spans="1:16" x14ac:dyDescent="0.3">
      <c r="A108" s="2" t="s">
        <v>69</v>
      </c>
      <c r="B108" s="2" t="s">
        <v>44</v>
      </c>
      <c r="C108" s="2" t="s">
        <v>32</v>
      </c>
      <c r="D108" s="7">
        <v>642.68299999999999</v>
      </c>
      <c r="E108" s="7">
        <v>761.35599999999999</v>
      </c>
      <c r="F108" s="7">
        <v>765.55700000000002</v>
      </c>
      <c r="G108" s="7">
        <v>1077.473</v>
      </c>
      <c r="H108" s="7">
        <v>1047.5</v>
      </c>
      <c r="I108" s="7">
        <v>1422.7919999999999</v>
      </c>
      <c r="J108" s="7">
        <v>735.875</v>
      </c>
      <c r="K108" s="7">
        <v>1066.316</v>
      </c>
      <c r="L108" s="7">
        <v>972.56600000000003</v>
      </c>
      <c r="M108" s="7">
        <v>1026.114</v>
      </c>
      <c r="N108" s="7">
        <v>842.75799999999992</v>
      </c>
      <c r="O108" s="7">
        <v>660.68700000000001</v>
      </c>
      <c r="P108" s="8">
        <f t="shared" si="3"/>
        <v>11021.676999999998</v>
      </c>
    </row>
    <row r="109" spans="1:16" x14ac:dyDescent="0.3">
      <c r="A109" s="2" t="s">
        <v>69</v>
      </c>
      <c r="B109" s="2" t="s">
        <v>44</v>
      </c>
      <c r="C109" s="2" t="s">
        <v>33</v>
      </c>
      <c r="D109" s="7">
        <v>688.96900000000005</v>
      </c>
      <c r="E109" s="7">
        <v>861.79</v>
      </c>
      <c r="F109" s="7">
        <v>1296.8699999999999</v>
      </c>
      <c r="G109" s="7">
        <v>889.33199999999999</v>
      </c>
      <c r="H109" s="7">
        <v>1176.1020000000001</v>
      </c>
      <c r="I109" s="7">
        <v>1141.3</v>
      </c>
      <c r="J109" s="7">
        <v>558.79399999999998</v>
      </c>
      <c r="K109" s="7">
        <v>842.73300000000006</v>
      </c>
      <c r="L109" s="7">
        <v>926.31500000000005</v>
      </c>
      <c r="M109" s="7">
        <v>818.06299999999999</v>
      </c>
      <c r="N109" s="7">
        <v>1024.72</v>
      </c>
      <c r="O109" s="7">
        <v>623.37699999999995</v>
      </c>
      <c r="P109" s="8">
        <f t="shared" si="3"/>
        <v>10848.365</v>
      </c>
    </row>
    <row r="110" spans="1:16" x14ac:dyDescent="0.3">
      <c r="A110" s="2" t="s">
        <v>69</v>
      </c>
      <c r="B110" s="2" t="s">
        <v>44</v>
      </c>
      <c r="C110" s="2" t="s">
        <v>34</v>
      </c>
      <c r="D110" s="7">
        <v>584.04999999999995</v>
      </c>
      <c r="E110" s="7">
        <v>583.30399999999997</v>
      </c>
      <c r="F110" s="7">
        <v>1432.453</v>
      </c>
      <c r="G110" s="7">
        <v>832.23699999999997</v>
      </c>
      <c r="H110" s="7">
        <v>943.31399999999996</v>
      </c>
      <c r="I110" s="7">
        <v>772.27499999999998</v>
      </c>
      <c r="J110" s="7">
        <v>533.13499999999999</v>
      </c>
      <c r="K110" s="7">
        <v>705.49599999999998</v>
      </c>
      <c r="L110" s="7">
        <v>540.322</v>
      </c>
      <c r="M110" s="7">
        <v>865.49799999999993</v>
      </c>
      <c r="N110" s="7">
        <v>747.79399999999998</v>
      </c>
      <c r="O110" s="7">
        <v>662.62400000000002</v>
      </c>
      <c r="P110" s="8">
        <f t="shared" si="3"/>
        <v>9202.5020000000004</v>
      </c>
    </row>
    <row r="111" spans="1:16" x14ac:dyDescent="0.3">
      <c r="A111" s="2" t="s">
        <v>69</v>
      </c>
      <c r="B111" s="2" t="s">
        <v>44</v>
      </c>
      <c r="C111" s="2" t="s">
        <v>35</v>
      </c>
      <c r="D111" s="7">
        <v>686.23099999999999</v>
      </c>
      <c r="E111" s="7">
        <v>400.93599999999998</v>
      </c>
      <c r="F111" s="7">
        <v>685.32899999999995</v>
      </c>
      <c r="G111" s="7">
        <v>914.17</v>
      </c>
      <c r="H111" s="7">
        <v>736.73</v>
      </c>
      <c r="I111" s="7">
        <v>837.69099999999992</v>
      </c>
      <c r="J111" s="7">
        <v>783.96400000000006</v>
      </c>
      <c r="K111" s="7">
        <v>1210.3530000000001</v>
      </c>
      <c r="L111" s="7">
        <v>1083.0139999999999</v>
      </c>
      <c r="M111" s="7">
        <v>889.78599999999994</v>
      </c>
      <c r="N111" s="7">
        <v>822.59699999999998</v>
      </c>
      <c r="O111" s="7">
        <v>990.34100000000001</v>
      </c>
      <c r="P111" s="8">
        <f t="shared" si="3"/>
        <v>10041.142</v>
      </c>
    </row>
    <row r="112" spans="1:16" x14ac:dyDescent="0.3">
      <c r="A112" s="2" t="s">
        <v>69</v>
      </c>
      <c r="B112" s="2" t="s">
        <v>44</v>
      </c>
      <c r="C112" s="2" t="s">
        <v>36</v>
      </c>
      <c r="D112" s="7">
        <v>835.452</v>
      </c>
      <c r="E112" s="7">
        <v>966.68</v>
      </c>
      <c r="F112" s="7">
        <v>1130.1659999999999</v>
      </c>
      <c r="G112" s="7">
        <v>1251.183</v>
      </c>
      <c r="H112" s="7">
        <v>979.803</v>
      </c>
      <c r="I112" s="7">
        <v>967.98699999999997</v>
      </c>
      <c r="J112" s="7">
        <v>839.91399999999999</v>
      </c>
      <c r="K112" s="7">
        <v>958.64800000000002</v>
      </c>
      <c r="L112" s="7">
        <v>628.22799999999995</v>
      </c>
      <c r="M112" s="7">
        <v>724.20899999999995</v>
      </c>
      <c r="N112" s="7">
        <v>680.53499999999997</v>
      </c>
      <c r="O112" s="7">
        <v>522.63199999999995</v>
      </c>
      <c r="P112" s="8">
        <f t="shared" si="3"/>
        <v>10485.437</v>
      </c>
    </row>
    <row r="113" spans="1:16" x14ac:dyDescent="0.3">
      <c r="A113" s="2" t="s">
        <v>69</v>
      </c>
      <c r="B113" s="2" t="s">
        <v>44</v>
      </c>
      <c r="C113" s="2" t="s">
        <v>37</v>
      </c>
      <c r="D113" s="7">
        <v>243.14699999999999</v>
      </c>
      <c r="E113" s="7">
        <v>270.76</v>
      </c>
      <c r="F113" s="7">
        <v>1023.502</v>
      </c>
      <c r="G113" s="7">
        <v>811.80399999999997</v>
      </c>
      <c r="H113" s="7">
        <v>580.61900000000003</v>
      </c>
      <c r="I113" s="7">
        <v>492.05200000000002</v>
      </c>
      <c r="J113" s="7">
        <v>299.35599999999999</v>
      </c>
      <c r="K113" s="7">
        <v>315.01499999999999</v>
      </c>
      <c r="L113" s="7">
        <v>252.54400000000001</v>
      </c>
      <c r="M113" s="7">
        <v>350.01799999999997</v>
      </c>
      <c r="N113" s="7">
        <v>294.95299999999997</v>
      </c>
      <c r="O113" s="7">
        <v>311.78899999999999</v>
      </c>
      <c r="P113" s="8">
        <f t="shared" si="3"/>
        <v>5245.5590000000002</v>
      </c>
    </row>
    <row r="114" spans="1:16" x14ac:dyDescent="0.3">
      <c r="A114" s="2" t="s">
        <v>69</v>
      </c>
      <c r="B114" s="2" t="s">
        <v>44</v>
      </c>
      <c r="C114" s="2" t="s">
        <v>38</v>
      </c>
      <c r="D114" s="7">
        <v>111.41200000000001</v>
      </c>
      <c r="E114" s="7">
        <v>230.667</v>
      </c>
      <c r="F114" s="7">
        <v>1162.202</v>
      </c>
      <c r="G114" s="7">
        <v>1133.9749999999999</v>
      </c>
      <c r="H114" s="7">
        <v>710.69100000000003</v>
      </c>
      <c r="I114" s="7">
        <v>752.89399999999989</v>
      </c>
      <c r="J114" s="7">
        <v>773.82100000000003</v>
      </c>
      <c r="K114" s="7">
        <v>928.41</v>
      </c>
      <c r="L114" s="7">
        <v>681.07599999999991</v>
      </c>
      <c r="M114" s="7">
        <v>560.84900000000005</v>
      </c>
      <c r="N114" s="7">
        <v>295.541</v>
      </c>
      <c r="O114" s="7">
        <v>609.14499999999998</v>
      </c>
      <c r="P114" s="8">
        <f t="shared" si="3"/>
        <v>7950.6830000000009</v>
      </c>
    </row>
    <row r="115" spans="1:16" x14ac:dyDescent="0.3">
      <c r="A115" s="2" t="s">
        <v>69</v>
      </c>
      <c r="B115" s="2" t="s">
        <v>44</v>
      </c>
      <c r="C115" s="2" t="s">
        <v>39</v>
      </c>
      <c r="D115" s="7">
        <v>415.76100000000002</v>
      </c>
      <c r="E115" s="7">
        <v>255.5</v>
      </c>
      <c r="F115" s="7">
        <v>895.21199999999999</v>
      </c>
      <c r="G115" s="7">
        <v>505.07900000000001</v>
      </c>
      <c r="H115" s="7">
        <v>414.75</v>
      </c>
      <c r="I115" s="7">
        <v>496.85</v>
      </c>
      <c r="J115" s="7">
        <v>368.017</v>
      </c>
      <c r="K115" s="7">
        <v>616.06500000000005</v>
      </c>
      <c r="L115" s="7">
        <v>524.25699999999995</v>
      </c>
      <c r="M115" s="7">
        <v>925.03099999999995</v>
      </c>
      <c r="N115" s="7">
        <v>815.99599999999998</v>
      </c>
      <c r="O115" s="7">
        <v>579.05899999999997</v>
      </c>
      <c r="P115" s="8">
        <f t="shared" si="3"/>
        <v>6811.5770000000002</v>
      </c>
    </row>
    <row r="116" spans="1:16" x14ac:dyDescent="0.3">
      <c r="A116" s="2" t="s">
        <v>69</v>
      </c>
      <c r="B116" s="2" t="s">
        <v>44</v>
      </c>
      <c r="C116" s="2" t="s">
        <v>40</v>
      </c>
      <c r="D116" s="7">
        <v>978.96299999999997</v>
      </c>
      <c r="E116" s="7">
        <v>708.81600000000003</v>
      </c>
      <c r="F116" s="7">
        <v>1195.8699999999999</v>
      </c>
      <c r="G116" s="7">
        <v>867.95600000000002</v>
      </c>
      <c r="H116" s="7">
        <v>656.15700000000004</v>
      </c>
      <c r="I116" s="7">
        <v>873.74199999999996</v>
      </c>
      <c r="J116" s="7">
        <v>652.03800000000001</v>
      </c>
      <c r="K116" s="7">
        <v>838.56299999999999</v>
      </c>
      <c r="L116" s="7">
        <v>917.45100000000002</v>
      </c>
      <c r="M116" s="7">
        <v>637.02599999999995</v>
      </c>
      <c r="N116" s="7">
        <v>651.26099999999997</v>
      </c>
      <c r="O116" s="7">
        <v>408.815</v>
      </c>
      <c r="P116" s="8">
        <f t="shared" si="3"/>
        <v>9386.6580000000013</v>
      </c>
    </row>
    <row r="117" spans="1:16" x14ac:dyDescent="0.3">
      <c r="A117" s="2" t="s">
        <v>69</v>
      </c>
      <c r="B117" s="2" t="s">
        <v>45</v>
      </c>
      <c r="C117" s="2" t="s">
        <v>18</v>
      </c>
      <c r="D117" s="7">
        <v>12.638</v>
      </c>
      <c r="E117" s="7">
        <v>31.984000000000002</v>
      </c>
      <c r="F117" s="7">
        <v>33.512</v>
      </c>
      <c r="G117" s="7">
        <v>22.018999999999998</v>
      </c>
      <c r="H117" s="7">
        <v>27.902000000000001</v>
      </c>
      <c r="I117" s="7">
        <v>23.524000000000001</v>
      </c>
      <c r="J117" s="7">
        <v>16.884</v>
      </c>
      <c r="K117" s="7">
        <v>9.94</v>
      </c>
      <c r="L117" s="7">
        <v>19.135999999999999</v>
      </c>
      <c r="M117" s="7">
        <v>15.256</v>
      </c>
      <c r="N117" s="7">
        <v>9.4710000000000001</v>
      </c>
      <c r="O117" s="7">
        <v>17.335999999999999</v>
      </c>
      <c r="P117" s="8">
        <f t="shared" si="3"/>
        <v>239.60200000000003</v>
      </c>
    </row>
    <row r="118" spans="1:16" x14ac:dyDescent="0.3">
      <c r="A118" s="2" t="s">
        <v>69</v>
      </c>
      <c r="B118" s="2" t="s">
        <v>45</v>
      </c>
      <c r="C118" s="2" t="s">
        <v>19</v>
      </c>
      <c r="D118" s="7">
        <v>18.827999999999999</v>
      </c>
      <c r="E118" s="7">
        <v>36.593000000000004</v>
      </c>
      <c r="F118" s="7">
        <v>24.013000000000002</v>
      </c>
      <c r="G118" s="7">
        <v>28.411000000000001</v>
      </c>
      <c r="H118" s="7">
        <v>31.635000000000002</v>
      </c>
      <c r="I118" s="7">
        <v>28.523</v>
      </c>
      <c r="J118" s="7">
        <v>21.65</v>
      </c>
      <c r="K118" s="7">
        <v>19.265999999999998</v>
      </c>
      <c r="L118" s="7">
        <v>14.657999999999999</v>
      </c>
      <c r="M118" s="7">
        <v>5.3840000000000003</v>
      </c>
      <c r="N118" s="7">
        <v>6.6130000000000004</v>
      </c>
      <c r="O118" s="7">
        <v>7.0579999999999998</v>
      </c>
      <c r="P118" s="8">
        <f t="shared" si="3"/>
        <v>242.63200000000001</v>
      </c>
    </row>
    <row r="119" spans="1:16" x14ac:dyDescent="0.3">
      <c r="A119" s="2" t="s">
        <v>69</v>
      </c>
      <c r="B119" s="2" t="s">
        <v>45</v>
      </c>
      <c r="C119" s="2" t="s">
        <v>20</v>
      </c>
      <c r="D119" s="7">
        <v>8.822000000000001</v>
      </c>
      <c r="E119" s="7">
        <v>32.176000000000002</v>
      </c>
      <c r="F119" s="7">
        <v>13.885999999999999</v>
      </c>
      <c r="G119" s="7">
        <v>7.8980000000000006</v>
      </c>
      <c r="H119" s="7">
        <v>8.7070000000000007</v>
      </c>
      <c r="I119" s="7">
        <v>3.4279999999999999</v>
      </c>
      <c r="J119" s="7">
        <v>3.63</v>
      </c>
      <c r="K119" s="7">
        <v>6.94</v>
      </c>
      <c r="L119" s="7">
        <v>5.7670000000000003</v>
      </c>
      <c r="M119" s="7">
        <v>7.3849999999999998</v>
      </c>
      <c r="N119" s="7">
        <v>4.5640000000000001</v>
      </c>
      <c r="O119" s="7">
        <v>4.3800000000000008</v>
      </c>
      <c r="P119" s="8">
        <f t="shared" si="3"/>
        <v>107.583</v>
      </c>
    </row>
    <row r="120" spans="1:16" x14ac:dyDescent="0.3">
      <c r="A120" s="2" t="s">
        <v>69</v>
      </c>
      <c r="B120" s="2" t="s">
        <v>45</v>
      </c>
      <c r="C120" s="2" t="s">
        <v>21</v>
      </c>
      <c r="D120" s="7">
        <v>8.9939999999999998</v>
      </c>
      <c r="E120" s="7">
        <v>26.460999999999999</v>
      </c>
      <c r="F120" s="7">
        <v>12.913</v>
      </c>
      <c r="G120" s="7">
        <v>9.5410000000000004</v>
      </c>
      <c r="H120" s="7">
        <v>8.3360000000000003</v>
      </c>
      <c r="I120" s="7">
        <v>11.507999999999999</v>
      </c>
      <c r="J120" s="7">
        <v>10.632</v>
      </c>
      <c r="K120" s="7">
        <v>13.18</v>
      </c>
      <c r="L120" s="7">
        <v>5.3040000000000003</v>
      </c>
      <c r="M120" s="7">
        <v>5.7709999999999999</v>
      </c>
      <c r="N120" s="7">
        <v>12.254</v>
      </c>
      <c r="O120" s="7">
        <v>14.641999999999999</v>
      </c>
      <c r="P120" s="8">
        <f t="shared" si="3"/>
        <v>139.536</v>
      </c>
    </row>
    <row r="121" spans="1:16" x14ac:dyDescent="0.3">
      <c r="A121" s="2" t="s">
        <v>69</v>
      </c>
      <c r="B121" s="2" t="s">
        <v>45</v>
      </c>
      <c r="C121" s="2" t="s">
        <v>22</v>
      </c>
      <c r="D121" s="7">
        <v>17.405000000000001</v>
      </c>
      <c r="E121" s="7">
        <v>22.033000000000001</v>
      </c>
      <c r="F121" s="7">
        <v>13.101000000000001</v>
      </c>
      <c r="G121" s="7">
        <v>17.268000000000001</v>
      </c>
      <c r="H121" s="7">
        <v>19.696000000000002</v>
      </c>
      <c r="I121" s="7">
        <v>24.285</v>
      </c>
      <c r="J121" s="7">
        <v>13.13</v>
      </c>
      <c r="K121" s="7">
        <v>19.571000000000002</v>
      </c>
      <c r="L121" s="7">
        <v>11.016</v>
      </c>
      <c r="M121" s="7">
        <v>16.395</v>
      </c>
      <c r="N121" s="7">
        <v>12.272</v>
      </c>
      <c r="O121" s="7">
        <v>16.838999999999999</v>
      </c>
      <c r="P121" s="8">
        <f t="shared" si="3"/>
        <v>203.011</v>
      </c>
    </row>
    <row r="122" spans="1:16" x14ac:dyDescent="0.3">
      <c r="A122" s="2" t="s">
        <v>69</v>
      </c>
      <c r="B122" s="2" t="s">
        <v>45</v>
      </c>
      <c r="C122" s="2" t="s">
        <v>23</v>
      </c>
      <c r="D122" s="7">
        <v>14.909000000000001</v>
      </c>
      <c r="E122" s="7">
        <v>20.396000000000001</v>
      </c>
      <c r="F122" s="7">
        <v>16.803999999999998</v>
      </c>
      <c r="G122" s="7">
        <v>14.87</v>
      </c>
      <c r="H122" s="7">
        <v>21.56</v>
      </c>
      <c r="I122" s="7">
        <v>18.239999999999998</v>
      </c>
      <c r="J122" s="7">
        <v>12.955</v>
      </c>
      <c r="K122" s="7">
        <v>17.387</v>
      </c>
      <c r="L122" s="7">
        <v>15.407999999999999</v>
      </c>
      <c r="M122" s="7">
        <v>6.4080000000000004</v>
      </c>
      <c r="N122" s="7">
        <v>11.311</v>
      </c>
      <c r="O122" s="7">
        <v>8.5670000000000002</v>
      </c>
      <c r="P122" s="8">
        <f t="shared" si="3"/>
        <v>178.81499999999997</v>
      </c>
    </row>
    <row r="123" spans="1:16" x14ac:dyDescent="0.3">
      <c r="A123" s="2" t="s">
        <v>69</v>
      </c>
      <c r="B123" s="2" t="s">
        <v>45</v>
      </c>
      <c r="C123" s="2" t="s">
        <v>24</v>
      </c>
      <c r="D123" s="7">
        <v>3.4119999999999999</v>
      </c>
      <c r="E123" s="7">
        <v>14.747</v>
      </c>
      <c r="F123" s="7">
        <v>16.832000000000001</v>
      </c>
      <c r="G123" s="7">
        <v>7.8430000000000009</v>
      </c>
      <c r="H123" s="7">
        <v>5.7160000000000002</v>
      </c>
      <c r="I123" s="7">
        <v>4.74</v>
      </c>
      <c r="J123" s="7">
        <v>6.9600000000000009</v>
      </c>
      <c r="K123" s="7">
        <v>10.558999999999999</v>
      </c>
      <c r="L123" s="7">
        <v>11.33</v>
      </c>
      <c r="M123" s="7">
        <v>4.8</v>
      </c>
      <c r="N123" s="7">
        <v>15.827999999999999</v>
      </c>
      <c r="O123" s="7">
        <v>17.756</v>
      </c>
      <c r="P123" s="8">
        <f t="shared" si="3"/>
        <v>120.52300000000001</v>
      </c>
    </row>
    <row r="124" spans="1:16" x14ac:dyDescent="0.3">
      <c r="A124" s="2" t="s">
        <v>69</v>
      </c>
      <c r="B124" s="2" t="s">
        <v>45</v>
      </c>
      <c r="C124" s="2" t="s">
        <v>25</v>
      </c>
      <c r="D124" s="7">
        <v>22.771999999999998</v>
      </c>
      <c r="E124" s="7">
        <v>18.396000000000001</v>
      </c>
      <c r="F124" s="7">
        <v>10.833</v>
      </c>
      <c r="G124" s="7">
        <v>10.752000000000001</v>
      </c>
      <c r="H124" s="7">
        <v>7.0179999999999998</v>
      </c>
      <c r="I124" s="7">
        <v>7.758</v>
      </c>
      <c r="J124" s="7">
        <v>9.4450000000000003</v>
      </c>
      <c r="K124" s="7">
        <v>6.1179999999999994</v>
      </c>
      <c r="L124" s="7">
        <v>10.083</v>
      </c>
      <c r="M124" s="7">
        <v>4.7720000000000002</v>
      </c>
      <c r="N124" s="7">
        <v>9.2949999999999999</v>
      </c>
      <c r="O124" s="7">
        <v>10.612</v>
      </c>
      <c r="P124" s="8">
        <f t="shared" si="3"/>
        <v>127.85399999999998</v>
      </c>
    </row>
    <row r="125" spans="1:16" x14ac:dyDescent="0.3">
      <c r="A125" s="2" t="s">
        <v>69</v>
      </c>
      <c r="B125" s="2" t="s">
        <v>45</v>
      </c>
      <c r="C125" s="2" t="s">
        <v>26</v>
      </c>
      <c r="D125" s="7">
        <v>16.116</v>
      </c>
      <c r="E125" s="7">
        <v>48.173999999999999</v>
      </c>
      <c r="F125" s="7">
        <v>35.677</v>
      </c>
      <c r="G125" s="7">
        <v>13.54</v>
      </c>
      <c r="H125" s="7">
        <v>14.680999999999999</v>
      </c>
      <c r="I125" s="7">
        <v>15.73</v>
      </c>
      <c r="J125" s="7">
        <v>13.461</v>
      </c>
      <c r="K125" s="7">
        <v>21.792999999999999</v>
      </c>
      <c r="L125" s="7">
        <v>10.569000000000001</v>
      </c>
      <c r="M125" s="7">
        <v>10.358000000000001</v>
      </c>
      <c r="N125" s="7">
        <v>12.337999999999999</v>
      </c>
      <c r="O125" s="7">
        <v>11.217000000000001</v>
      </c>
      <c r="P125" s="8">
        <f t="shared" si="3"/>
        <v>223.654</v>
      </c>
    </row>
    <row r="126" spans="1:16" x14ac:dyDescent="0.3">
      <c r="A126" s="2" t="s">
        <v>69</v>
      </c>
      <c r="B126" s="2" t="s">
        <v>45</v>
      </c>
      <c r="C126" s="2" t="s">
        <v>27</v>
      </c>
      <c r="D126" s="7">
        <v>13.968</v>
      </c>
      <c r="E126" s="7">
        <v>15.58</v>
      </c>
      <c r="F126" s="7">
        <v>8.6829999999999998</v>
      </c>
      <c r="G126" s="7">
        <v>6.6040000000000001</v>
      </c>
      <c r="H126" s="7">
        <v>6.0370000000000008</v>
      </c>
      <c r="I126" s="7">
        <v>9.0299999999999994</v>
      </c>
      <c r="J126" s="7">
        <v>6.4010000000000007</v>
      </c>
      <c r="K126" s="7">
        <v>7.6549999999999994</v>
      </c>
      <c r="L126" s="7">
        <v>6.9180000000000001</v>
      </c>
      <c r="M126" s="7">
        <v>3.1240000000000001</v>
      </c>
      <c r="N126" s="7">
        <v>1.5920000000000001</v>
      </c>
      <c r="O126" s="7">
        <v>10.978999999999999</v>
      </c>
      <c r="P126" s="8">
        <f t="shared" ref="P126:P157" si="4">SUM(D126:O126)</f>
        <v>96.570999999999998</v>
      </c>
    </row>
    <row r="127" spans="1:16" x14ac:dyDescent="0.3">
      <c r="A127" s="2" t="s">
        <v>69</v>
      </c>
      <c r="B127" s="2" t="s">
        <v>45</v>
      </c>
      <c r="C127" s="2" t="s">
        <v>28</v>
      </c>
      <c r="D127" s="7">
        <v>9.6750000000000007</v>
      </c>
      <c r="E127" s="7">
        <v>34.433999999999997</v>
      </c>
      <c r="F127" s="7">
        <v>7.8370000000000006</v>
      </c>
      <c r="G127" s="7">
        <v>24.463000000000001</v>
      </c>
      <c r="H127" s="7">
        <v>5.0860000000000003</v>
      </c>
      <c r="I127" s="7">
        <v>4.5030000000000001</v>
      </c>
      <c r="J127" s="7">
        <v>5.399</v>
      </c>
      <c r="K127" s="7">
        <v>8.2409999999999997</v>
      </c>
      <c r="L127" s="7">
        <v>5.4390000000000001</v>
      </c>
      <c r="M127" s="7">
        <v>4.8109999999999999</v>
      </c>
      <c r="N127" s="7">
        <v>6.1130000000000004</v>
      </c>
      <c r="O127" s="7">
        <v>11.606999999999999</v>
      </c>
      <c r="P127" s="8">
        <f t="shared" si="4"/>
        <v>127.608</v>
      </c>
    </row>
    <row r="128" spans="1:16" x14ac:dyDescent="0.3">
      <c r="A128" s="2" t="s">
        <v>69</v>
      </c>
      <c r="B128" s="2" t="s">
        <v>45</v>
      </c>
      <c r="C128" s="2" t="s">
        <v>29</v>
      </c>
      <c r="D128" s="7">
        <v>10.637</v>
      </c>
      <c r="E128" s="7">
        <v>5.8010000000000002</v>
      </c>
      <c r="F128" s="7">
        <v>3.972</v>
      </c>
      <c r="G128" s="7">
        <v>4.109</v>
      </c>
      <c r="H128" s="7">
        <v>4.6730000000000009</v>
      </c>
      <c r="I128" s="7">
        <v>4.2869999999999999</v>
      </c>
      <c r="J128" s="7">
        <v>5.601</v>
      </c>
      <c r="K128" s="7">
        <v>6.48</v>
      </c>
      <c r="L128" s="7">
        <v>7.21</v>
      </c>
      <c r="M128" s="7">
        <v>3.734</v>
      </c>
      <c r="N128" s="7">
        <v>4.5260000000000007</v>
      </c>
      <c r="O128" s="7">
        <v>5.0519999999999996</v>
      </c>
      <c r="P128" s="8">
        <f t="shared" si="4"/>
        <v>66.082000000000008</v>
      </c>
    </row>
    <row r="129" spans="1:16" x14ac:dyDescent="0.3">
      <c r="A129" s="2" t="s">
        <v>69</v>
      </c>
      <c r="B129" s="2" t="s">
        <v>45</v>
      </c>
      <c r="C129" s="2" t="s">
        <v>30</v>
      </c>
      <c r="D129" s="7">
        <v>1.3120000000000001</v>
      </c>
      <c r="E129" s="7">
        <v>7.8490000000000002</v>
      </c>
      <c r="F129" s="7">
        <v>8.8390000000000004</v>
      </c>
      <c r="G129" s="7">
        <v>8.7720000000000002</v>
      </c>
      <c r="H129" s="7">
        <v>10.148999999999999</v>
      </c>
      <c r="I129" s="7">
        <v>7.8719999999999999</v>
      </c>
      <c r="J129" s="7">
        <v>4.24</v>
      </c>
      <c r="K129" s="7">
        <v>3.375</v>
      </c>
      <c r="L129" s="7">
        <v>4.8259999999999996</v>
      </c>
      <c r="M129" s="7">
        <v>3.9180000000000001</v>
      </c>
      <c r="N129" s="7">
        <v>4.6029999999999998</v>
      </c>
      <c r="O129" s="7">
        <v>10.833</v>
      </c>
      <c r="P129" s="8">
        <f t="shared" si="4"/>
        <v>76.587999999999994</v>
      </c>
    </row>
    <row r="130" spans="1:16" x14ac:dyDescent="0.3">
      <c r="A130" s="2" t="s">
        <v>69</v>
      </c>
      <c r="B130" s="2" t="s">
        <v>45</v>
      </c>
      <c r="C130" s="2" t="s">
        <v>31</v>
      </c>
      <c r="D130" s="7">
        <v>6.8000000000000007</v>
      </c>
      <c r="E130" s="7">
        <v>20.648</v>
      </c>
      <c r="F130" s="7">
        <v>8.6609999999999996</v>
      </c>
      <c r="G130" s="7">
        <v>3.5979999999999999</v>
      </c>
      <c r="H130" s="7">
        <v>12.483000000000001</v>
      </c>
      <c r="I130" s="7">
        <v>3.9319999999999999</v>
      </c>
      <c r="J130" s="7">
        <v>5.49</v>
      </c>
      <c r="K130" s="7">
        <v>12.057</v>
      </c>
      <c r="L130" s="7">
        <v>9.9960000000000004</v>
      </c>
      <c r="M130" s="7">
        <v>9.3149999999999995</v>
      </c>
      <c r="N130" s="7">
        <v>3.69</v>
      </c>
      <c r="O130" s="7">
        <v>8.3110000000000017</v>
      </c>
      <c r="P130" s="8">
        <f t="shared" si="4"/>
        <v>104.98099999999999</v>
      </c>
    </row>
    <row r="131" spans="1:16" x14ac:dyDescent="0.3">
      <c r="A131" s="2" t="s">
        <v>69</v>
      </c>
      <c r="B131" s="2" t="s">
        <v>45</v>
      </c>
      <c r="C131" s="2" t="s">
        <v>32</v>
      </c>
      <c r="D131" s="7">
        <v>3.3620000000000001</v>
      </c>
      <c r="E131" s="7">
        <v>7.617</v>
      </c>
      <c r="F131" s="7">
        <v>12.031000000000001</v>
      </c>
      <c r="G131" s="7">
        <v>5.5230000000000006</v>
      </c>
      <c r="H131" s="7">
        <v>6.8079999999999998</v>
      </c>
      <c r="I131" s="7">
        <v>4.3410000000000002</v>
      </c>
      <c r="J131" s="7">
        <v>9.6080000000000005</v>
      </c>
      <c r="K131" s="7">
        <v>8.847999999999999</v>
      </c>
      <c r="L131" s="7">
        <v>7.17</v>
      </c>
      <c r="M131" s="7">
        <v>11.896000000000001</v>
      </c>
      <c r="N131" s="7">
        <v>7.9560000000000004</v>
      </c>
      <c r="O131" s="7">
        <v>9.3689999999999998</v>
      </c>
      <c r="P131" s="8">
        <f t="shared" si="4"/>
        <v>94.528999999999996</v>
      </c>
    </row>
    <row r="132" spans="1:16" x14ac:dyDescent="0.3">
      <c r="A132" s="2" t="s">
        <v>69</v>
      </c>
      <c r="B132" s="2" t="s">
        <v>45</v>
      </c>
      <c r="C132" s="2" t="s">
        <v>33</v>
      </c>
      <c r="D132" s="7">
        <v>6.3690000000000007</v>
      </c>
      <c r="E132" s="7">
        <v>9.9510000000000005</v>
      </c>
      <c r="F132" s="7">
        <v>11.677</v>
      </c>
      <c r="G132" s="7">
        <v>5.12</v>
      </c>
      <c r="H132" s="7">
        <v>7.0439999999999996</v>
      </c>
      <c r="I132" s="7">
        <v>9.1430000000000007</v>
      </c>
      <c r="J132" s="7">
        <v>6.883</v>
      </c>
      <c r="K132" s="7">
        <v>6.3140000000000001</v>
      </c>
      <c r="L132" s="7">
        <v>7.3230000000000004</v>
      </c>
      <c r="M132" s="7">
        <v>9.8640000000000008</v>
      </c>
      <c r="N132" s="7">
        <v>12.89</v>
      </c>
      <c r="O132" s="7">
        <v>15.455</v>
      </c>
      <c r="P132" s="8">
        <f t="shared" si="4"/>
        <v>108.033</v>
      </c>
    </row>
    <row r="133" spans="1:16" x14ac:dyDescent="0.3">
      <c r="A133" s="2" t="s">
        <v>69</v>
      </c>
      <c r="B133" s="2" t="s">
        <v>45</v>
      </c>
      <c r="C133" s="2" t="s">
        <v>34</v>
      </c>
      <c r="D133" s="7">
        <v>6.6970000000000001</v>
      </c>
      <c r="E133" s="7">
        <v>25.338000000000001</v>
      </c>
      <c r="F133" s="7">
        <v>27.047000000000001</v>
      </c>
      <c r="G133" s="7">
        <v>17.652000000000001</v>
      </c>
      <c r="H133" s="7">
        <v>10.526999999999999</v>
      </c>
      <c r="I133" s="7">
        <v>8.0779999999999994</v>
      </c>
      <c r="J133" s="7">
        <v>6.3959999999999999</v>
      </c>
      <c r="K133" s="7">
        <v>8.3439999999999994</v>
      </c>
      <c r="L133" s="7">
        <v>9.7629999999999999</v>
      </c>
      <c r="M133" s="7">
        <v>5.5229999999999997</v>
      </c>
      <c r="N133" s="7">
        <v>7.9329999999999998</v>
      </c>
      <c r="O133" s="7">
        <v>13.164999999999999</v>
      </c>
      <c r="P133" s="8">
        <f t="shared" si="4"/>
        <v>146.46299999999999</v>
      </c>
    </row>
    <row r="134" spans="1:16" x14ac:dyDescent="0.3">
      <c r="A134" s="2" t="s">
        <v>69</v>
      </c>
      <c r="B134" s="2" t="s">
        <v>45</v>
      </c>
      <c r="C134" s="2" t="s">
        <v>35</v>
      </c>
      <c r="D134" s="7">
        <v>12.154999999999999</v>
      </c>
      <c r="E134" s="7">
        <v>21.036000000000001</v>
      </c>
      <c r="F134" s="7">
        <v>24.169</v>
      </c>
      <c r="G134" s="7">
        <v>16.728000000000002</v>
      </c>
      <c r="H134" s="7">
        <v>16.614999999999998</v>
      </c>
      <c r="I134" s="7">
        <v>14.154999999999999</v>
      </c>
      <c r="J134" s="7">
        <v>12.393000000000001</v>
      </c>
      <c r="K134" s="7">
        <v>11.01</v>
      </c>
      <c r="L134" s="7">
        <v>4.931</v>
      </c>
      <c r="M134" s="7">
        <v>2.89</v>
      </c>
      <c r="N134" s="7">
        <v>7.43</v>
      </c>
      <c r="O134" s="7">
        <v>11.471</v>
      </c>
      <c r="P134" s="8">
        <f t="shared" si="4"/>
        <v>154.983</v>
      </c>
    </row>
    <row r="135" spans="1:16" x14ac:dyDescent="0.3">
      <c r="A135" s="2" t="s">
        <v>69</v>
      </c>
      <c r="B135" s="2" t="s">
        <v>45</v>
      </c>
      <c r="C135" s="2" t="s">
        <v>36</v>
      </c>
      <c r="D135" s="7">
        <v>15.116</v>
      </c>
      <c r="E135" s="7">
        <v>14.202999999999999</v>
      </c>
      <c r="F135" s="7">
        <v>17.879000000000001</v>
      </c>
      <c r="G135" s="7">
        <v>8.7170000000000005</v>
      </c>
      <c r="H135" s="7">
        <v>9.2249999999999996</v>
      </c>
      <c r="I135" s="7">
        <v>14.145</v>
      </c>
      <c r="J135" s="7">
        <v>6.5090000000000003</v>
      </c>
      <c r="K135" s="7">
        <v>8.6650000000000009</v>
      </c>
      <c r="L135" s="7">
        <v>5.2769999999999992</v>
      </c>
      <c r="M135" s="7">
        <v>4.2850000000000001</v>
      </c>
      <c r="N135" s="7">
        <v>11.666</v>
      </c>
      <c r="O135" s="7">
        <v>9.3659999999999997</v>
      </c>
      <c r="P135" s="8">
        <f t="shared" si="4"/>
        <v>125.053</v>
      </c>
    </row>
    <row r="136" spans="1:16" x14ac:dyDescent="0.3">
      <c r="A136" s="2" t="s">
        <v>69</v>
      </c>
      <c r="B136" s="2" t="s">
        <v>45</v>
      </c>
      <c r="C136" s="2" t="s">
        <v>37</v>
      </c>
      <c r="D136" s="7">
        <v>9.1609999999999996</v>
      </c>
      <c r="E136" s="7">
        <v>15.521000000000001</v>
      </c>
      <c r="F136" s="7">
        <v>11.851000000000001</v>
      </c>
      <c r="G136" s="7">
        <v>6.9819999999999993</v>
      </c>
      <c r="H136" s="7">
        <v>15.928000000000001</v>
      </c>
      <c r="I136" s="7">
        <v>9.5630000000000006</v>
      </c>
      <c r="J136" s="7">
        <v>8.0269999999999992</v>
      </c>
      <c r="K136" s="7">
        <v>14.311</v>
      </c>
      <c r="L136" s="7">
        <v>4.0659999999999998</v>
      </c>
      <c r="M136" s="7">
        <v>2.12</v>
      </c>
      <c r="N136" s="7">
        <v>3.4609999999999999</v>
      </c>
      <c r="O136" s="7">
        <v>3.746</v>
      </c>
      <c r="P136" s="8">
        <f t="shared" si="4"/>
        <v>104.73699999999999</v>
      </c>
    </row>
    <row r="137" spans="1:16" x14ac:dyDescent="0.3">
      <c r="A137" s="2" t="s">
        <v>69</v>
      </c>
      <c r="B137" s="2" t="s">
        <v>45</v>
      </c>
      <c r="C137" s="2" t="s">
        <v>38</v>
      </c>
      <c r="D137" s="7">
        <v>6.5</v>
      </c>
      <c r="E137" s="7">
        <v>15.962999999999999</v>
      </c>
      <c r="F137" s="7">
        <v>27.297999999999998</v>
      </c>
      <c r="G137" s="7">
        <v>17.443000000000001</v>
      </c>
      <c r="H137" s="7">
        <v>15.926</v>
      </c>
      <c r="I137" s="7">
        <v>15.103</v>
      </c>
      <c r="J137" s="7">
        <v>9.99</v>
      </c>
      <c r="K137" s="7">
        <v>17.408999999999999</v>
      </c>
      <c r="L137" s="7">
        <v>10.428000000000001</v>
      </c>
      <c r="M137" s="7">
        <v>4.407</v>
      </c>
      <c r="N137" s="7">
        <v>0.51600000000000001</v>
      </c>
      <c r="O137" s="7">
        <v>10.346</v>
      </c>
      <c r="P137" s="8">
        <f t="shared" si="4"/>
        <v>151.32899999999998</v>
      </c>
    </row>
    <row r="138" spans="1:16" x14ac:dyDescent="0.3">
      <c r="A138" s="2" t="s">
        <v>69</v>
      </c>
      <c r="B138" s="2" t="s">
        <v>45</v>
      </c>
      <c r="C138" s="2" t="s">
        <v>39</v>
      </c>
      <c r="D138" s="7">
        <v>53.197000000000003</v>
      </c>
      <c r="E138" s="7">
        <v>20.873000000000001</v>
      </c>
      <c r="F138" s="7">
        <v>51.703000000000003</v>
      </c>
      <c r="G138" s="7">
        <v>67.614000000000004</v>
      </c>
      <c r="H138" s="7">
        <v>14.102</v>
      </c>
      <c r="I138" s="7">
        <v>16.524000000000001</v>
      </c>
      <c r="J138" s="7">
        <v>9.31</v>
      </c>
      <c r="K138" s="7">
        <v>13.781000000000001</v>
      </c>
      <c r="L138" s="7">
        <v>5.9779999999999998</v>
      </c>
      <c r="M138" s="7">
        <v>5.23</v>
      </c>
      <c r="N138" s="7">
        <v>6.6280000000000001</v>
      </c>
      <c r="O138" s="7">
        <v>11.156000000000001</v>
      </c>
      <c r="P138" s="8">
        <f t="shared" si="4"/>
        <v>276.096</v>
      </c>
    </row>
    <row r="139" spans="1:16" x14ac:dyDescent="0.3">
      <c r="A139" s="2" t="s">
        <v>69</v>
      </c>
      <c r="B139" s="2" t="s">
        <v>45</v>
      </c>
      <c r="C139" s="2" t="s">
        <v>40</v>
      </c>
      <c r="D139" s="7">
        <v>10.93</v>
      </c>
      <c r="E139" s="7">
        <v>17.125</v>
      </c>
      <c r="F139" s="7">
        <v>31.084</v>
      </c>
      <c r="G139" s="7">
        <v>14.513999999999999</v>
      </c>
      <c r="H139" s="7">
        <v>11.859</v>
      </c>
      <c r="I139" s="7">
        <v>13.565</v>
      </c>
      <c r="J139" s="7">
        <v>5.7719999999999994</v>
      </c>
      <c r="K139" s="7">
        <v>2.6549999999999998</v>
      </c>
      <c r="L139" s="7">
        <v>3.871</v>
      </c>
      <c r="M139" s="7">
        <v>3.7839999999999998</v>
      </c>
      <c r="N139" s="7">
        <v>3.1749999999999998</v>
      </c>
      <c r="O139" s="7">
        <v>12.54</v>
      </c>
      <c r="P139" s="8">
        <f t="shared" si="4"/>
        <v>130.874</v>
      </c>
    </row>
    <row r="140" spans="1:16" x14ac:dyDescent="0.3">
      <c r="A140" s="2" t="s">
        <v>69</v>
      </c>
      <c r="B140" s="2" t="s">
        <v>46</v>
      </c>
      <c r="C140" s="2" t="s">
        <v>18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8">
        <f t="shared" si="4"/>
        <v>0</v>
      </c>
    </row>
    <row r="141" spans="1:16" x14ac:dyDescent="0.3">
      <c r="A141" s="2" t="s">
        <v>69</v>
      </c>
      <c r="B141" s="2" t="s">
        <v>46</v>
      </c>
      <c r="C141" s="2" t="s">
        <v>19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8">
        <f t="shared" si="4"/>
        <v>0</v>
      </c>
    </row>
    <row r="142" spans="1:16" x14ac:dyDescent="0.3">
      <c r="A142" s="2" t="s">
        <v>69</v>
      </c>
      <c r="B142" s="2" t="s">
        <v>46</v>
      </c>
      <c r="C142" s="2" t="s">
        <v>20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8">
        <f t="shared" si="4"/>
        <v>0</v>
      </c>
    </row>
    <row r="143" spans="1:16" x14ac:dyDescent="0.3">
      <c r="A143" s="2" t="s">
        <v>69</v>
      </c>
      <c r="B143" s="2" t="s">
        <v>46</v>
      </c>
      <c r="C143" s="2" t="s">
        <v>21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8">
        <f t="shared" si="4"/>
        <v>0</v>
      </c>
    </row>
    <row r="144" spans="1:16" x14ac:dyDescent="0.3">
      <c r="A144" s="2" t="s">
        <v>69</v>
      </c>
      <c r="B144" s="2" t="s">
        <v>46</v>
      </c>
      <c r="C144" s="2" t="s">
        <v>22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8">
        <f t="shared" si="4"/>
        <v>0</v>
      </c>
    </row>
    <row r="145" spans="1:16" x14ac:dyDescent="0.3">
      <c r="A145" s="2" t="s">
        <v>69</v>
      </c>
      <c r="B145" s="2" t="s">
        <v>46</v>
      </c>
      <c r="C145" s="2" t="s">
        <v>23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8">
        <f t="shared" si="4"/>
        <v>0</v>
      </c>
    </row>
    <row r="146" spans="1:16" x14ac:dyDescent="0.3">
      <c r="A146" s="2" t="s">
        <v>69</v>
      </c>
      <c r="B146" s="2" t="s">
        <v>46</v>
      </c>
      <c r="C146" s="2" t="s">
        <v>24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8">
        <f t="shared" si="4"/>
        <v>0</v>
      </c>
    </row>
    <row r="147" spans="1:16" x14ac:dyDescent="0.3">
      <c r="A147" s="2" t="s">
        <v>69</v>
      </c>
      <c r="B147" s="2" t="s">
        <v>46</v>
      </c>
      <c r="C147" s="2" t="s">
        <v>25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8">
        <f t="shared" si="4"/>
        <v>0</v>
      </c>
    </row>
    <row r="148" spans="1:16" x14ac:dyDescent="0.3">
      <c r="A148" s="2" t="s">
        <v>69</v>
      </c>
      <c r="B148" s="2" t="s">
        <v>46</v>
      </c>
      <c r="C148" s="2" t="s">
        <v>26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8">
        <f t="shared" si="4"/>
        <v>0</v>
      </c>
    </row>
    <row r="149" spans="1:16" x14ac:dyDescent="0.3">
      <c r="A149" s="2" t="s">
        <v>69</v>
      </c>
      <c r="B149" s="2" t="s">
        <v>46</v>
      </c>
      <c r="C149" s="2" t="s">
        <v>27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8">
        <f t="shared" si="4"/>
        <v>0</v>
      </c>
    </row>
    <row r="150" spans="1:16" x14ac:dyDescent="0.3">
      <c r="A150" s="2" t="s">
        <v>69</v>
      </c>
      <c r="B150" s="2" t="s">
        <v>46</v>
      </c>
      <c r="C150" s="2" t="s">
        <v>28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8">
        <f t="shared" si="4"/>
        <v>0</v>
      </c>
    </row>
    <row r="151" spans="1:16" x14ac:dyDescent="0.3">
      <c r="A151" s="2" t="s">
        <v>69</v>
      </c>
      <c r="B151" s="2" t="s">
        <v>46</v>
      </c>
      <c r="C151" s="2" t="s">
        <v>29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8">
        <f t="shared" si="4"/>
        <v>0</v>
      </c>
    </row>
    <row r="152" spans="1:16" x14ac:dyDescent="0.3">
      <c r="A152" s="2" t="s">
        <v>69</v>
      </c>
      <c r="B152" s="2" t="s">
        <v>46</v>
      </c>
      <c r="C152" s="2" t="s">
        <v>30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8">
        <f t="shared" si="4"/>
        <v>0</v>
      </c>
    </row>
    <row r="153" spans="1:16" x14ac:dyDescent="0.3">
      <c r="A153" s="2" t="s">
        <v>69</v>
      </c>
      <c r="B153" s="2" t="s">
        <v>46</v>
      </c>
      <c r="C153" s="2" t="s">
        <v>31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8">
        <f t="shared" si="4"/>
        <v>0</v>
      </c>
    </row>
    <row r="154" spans="1:16" x14ac:dyDescent="0.3">
      <c r="A154" s="2" t="s">
        <v>69</v>
      </c>
      <c r="B154" s="2" t="s">
        <v>46</v>
      </c>
      <c r="C154" s="2" t="s">
        <v>32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8">
        <f t="shared" si="4"/>
        <v>0</v>
      </c>
    </row>
    <row r="155" spans="1:16" x14ac:dyDescent="0.3">
      <c r="A155" s="2" t="s">
        <v>69</v>
      </c>
      <c r="B155" s="2" t="s">
        <v>46</v>
      </c>
      <c r="C155" s="2" t="s">
        <v>33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8">
        <f t="shared" si="4"/>
        <v>0</v>
      </c>
    </row>
    <row r="156" spans="1:16" x14ac:dyDescent="0.3">
      <c r="A156" s="2" t="s">
        <v>69</v>
      </c>
      <c r="B156" s="2" t="s">
        <v>46</v>
      </c>
      <c r="C156" s="2" t="s">
        <v>34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8">
        <f t="shared" si="4"/>
        <v>0</v>
      </c>
    </row>
    <row r="157" spans="1:16" x14ac:dyDescent="0.3">
      <c r="A157" s="2" t="s">
        <v>69</v>
      </c>
      <c r="B157" s="2" t="s">
        <v>46</v>
      </c>
      <c r="C157" s="2" t="s">
        <v>35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8">
        <f t="shared" si="4"/>
        <v>0</v>
      </c>
    </row>
    <row r="158" spans="1:16" x14ac:dyDescent="0.3">
      <c r="A158" s="2" t="s">
        <v>69</v>
      </c>
      <c r="B158" s="2" t="s">
        <v>46</v>
      </c>
      <c r="C158" s="2" t="s">
        <v>36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8">
        <f t="shared" ref="P158:P189" si="5">SUM(D158:O158)</f>
        <v>0</v>
      </c>
    </row>
    <row r="159" spans="1:16" x14ac:dyDescent="0.3">
      <c r="A159" s="2" t="s">
        <v>69</v>
      </c>
      <c r="B159" s="2" t="s">
        <v>46</v>
      </c>
      <c r="C159" s="2" t="s">
        <v>37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8">
        <f t="shared" si="5"/>
        <v>0</v>
      </c>
    </row>
    <row r="160" spans="1:16" x14ac:dyDescent="0.3">
      <c r="A160" s="2" t="s">
        <v>69</v>
      </c>
      <c r="B160" s="2" t="s">
        <v>46</v>
      </c>
      <c r="C160" s="2" t="s">
        <v>38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8">
        <f t="shared" si="5"/>
        <v>0</v>
      </c>
    </row>
    <row r="161" spans="1:16" x14ac:dyDescent="0.3">
      <c r="A161" s="2" t="s">
        <v>69</v>
      </c>
      <c r="B161" s="2" t="s">
        <v>46</v>
      </c>
      <c r="C161" s="2" t="s">
        <v>39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8">
        <f t="shared" si="5"/>
        <v>0</v>
      </c>
    </row>
    <row r="162" spans="1:16" x14ac:dyDescent="0.3">
      <c r="A162" s="2" t="s">
        <v>69</v>
      </c>
      <c r="B162" s="2" t="s">
        <v>46</v>
      </c>
      <c r="C162" s="2" t="s">
        <v>40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8">
        <f t="shared" si="5"/>
        <v>0</v>
      </c>
    </row>
    <row r="163" spans="1:16" x14ac:dyDescent="0.3">
      <c r="A163" s="2" t="s">
        <v>69</v>
      </c>
      <c r="B163" s="2" t="s">
        <v>70</v>
      </c>
      <c r="C163" s="2" t="s">
        <v>18</v>
      </c>
      <c r="D163" s="7">
        <v>185.4083333333333</v>
      </c>
      <c r="E163" s="7">
        <v>185.4083333333333</v>
      </c>
      <c r="F163" s="7">
        <v>185.4083333333333</v>
      </c>
      <c r="G163" s="7">
        <v>185.4083333333333</v>
      </c>
      <c r="H163" s="7">
        <v>185.4083333333333</v>
      </c>
      <c r="I163" s="7">
        <v>185.4083333333333</v>
      </c>
      <c r="J163" s="7">
        <v>185.4083333333333</v>
      </c>
      <c r="K163" s="7">
        <v>185.4083333333333</v>
      </c>
      <c r="L163" s="7">
        <v>185.4083333333333</v>
      </c>
      <c r="M163" s="7">
        <v>185.4083333333333</v>
      </c>
      <c r="N163" s="7">
        <v>185.4083333333333</v>
      </c>
      <c r="O163" s="7">
        <v>185.4083333333333</v>
      </c>
      <c r="P163" s="8">
        <f t="shared" si="5"/>
        <v>2224.8999999999996</v>
      </c>
    </row>
    <row r="164" spans="1:16" x14ac:dyDescent="0.3">
      <c r="A164" s="2" t="s">
        <v>69</v>
      </c>
      <c r="B164" s="2" t="s">
        <v>70</v>
      </c>
      <c r="C164" s="2" t="s">
        <v>19</v>
      </c>
      <c r="D164" s="7">
        <v>282.46666666666658</v>
      </c>
      <c r="E164" s="7">
        <v>282.46666666666658</v>
      </c>
      <c r="F164" s="7">
        <v>282.46666666666658</v>
      </c>
      <c r="G164" s="7">
        <v>282.46666666666658</v>
      </c>
      <c r="H164" s="7">
        <v>282.46666666666658</v>
      </c>
      <c r="I164" s="7">
        <v>282.46666666666658</v>
      </c>
      <c r="J164" s="7">
        <v>282.46666666666658</v>
      </c>
      <c r="K164" s="7">
        <v>282.46666666666658</v>
      </c>
      <c r="L164" s="7">
        <v>282.46666666666658</v>
      </c>
      <c r="M164" s="7">
        <v>282.46666666666658</v>
      </c>
      <c r="N164" s="7">
        <v>282.46666666666658</v>
      </c>
      <c r="O164" s="7">
        <v>282.46666666666658</v>
      </c>
      <c r="P164" s="8">
        <f t="shared" si="5"/>
        <v>3389.6</v>
      </c>
    </row>
    <row r="165" spans="1:16" x14ac:dyDescent="0.3">
      <c r="A165" s="2" t="s">
        <v>69</v>
      </c>
      <c r="B165" s="2" t="s">
        <v>70</v>
      </c>
      <c r="C165" s="2" t="s">
        <v>20</v>
      </c>
      <c r="D165" s="7">
        <v>252.57499999999999</v>
      </c>
      <c r="E165" s="7">
        <v>252.57499999999999</v>
      </c>
      <c r="F165" s="7">
        <v>252.57499999999999</v>
      </c>
      <c r="G165" s="7">
        <v>252.57499999999999</v>
      </c>
      <c r="H165" s="7">
        <v>252.57499999999999</v>
      </c>
      <c r="I165" s="7">
        <v>252.57499999999999</v>
      </c>
      <c r="J165" s="7">
        <v>252.57499999999999</v>
      </c>
      <c r="K165" s="7">
        <v>252.57499999999999</v>
      </c>
      <c r="L165" s="7">
        <v>252.57499999999999</v>
      </c>
      <c r="M165" s="7">
        <v>252.57499999999999</v>
      </c>
      <c r="N165" s="7">
        <v>252.57499999999999</v>
      </c>
      <c r="O165" s="7">
        <v>252.57499999999999</v>
      </c>
      <c r="P165" s="8">
        <f t="shared" si="5"/>
        <v>3030.8999999999996</v>
      </c>
    </row>
    <row r="166" spans="1:16" x14ac:dyDescent="0.3">
      <c r="A166" s="2" t="s">
        <v>69</v>
      </c>
      <c r="B166" s="2" t="s">
        <v>70</v>
      </c>
      <c r="C166" s="2" t="s">
        <v>21</v>
      </c>
      <c r="D166" s="7">
        <v>285.21666666666658</v>
      </c>
      <c r="E166" s="7">
        <v>285.21666666666658</v>
      </c>
      <c r="F166" s="7">
        <v>285.21666666666658</v>
      </c>
      <c r="G166" s="7">
        <v>285.21666666666658</v>
      </c>
      <c r="H166" s="7">
        <v>285.21666666666658</v>
      </c>
      <c r="I166" s="7">
        <v>285.21666666666658</v>
      </c>
      <c r="J166" s="7">
        <v>285.21666666666658</v>
      </c>
      <c r="K166" s="7">
        <v>285.21666666666658</v>
      </c>
      <c r="L166" s="7">
        <v>285.21666666666658</v>
      </c>
      <c r="M166" s="7">
        <v>285.21666666666658</v>
      </c>
      <c r="N166" s="7">
        <v>285.21666666666658</v>
      </c>
      <c r="O166" s="7">
        <v>285.21666666666658</v>
      </c>
      <c r="P166" s="8">
        <f t="shared" si="5"/>
        <v>3422.6</v>
      </c>
    </row>
    <row r="167" spans="1:16" x14ac:dyDescent="0.3">
      <c r="A167" s="2" t="s">
        <v>69</v>
      </c>
      <c r="B167" s="2" t="s">
        <v>70</v>
      </c>
      <c r="C167" s="2" t="s">
        <v>22</v>
      </c>
      <c r="D167" s="7">
        <v>298.21666666666658</v>
      </c>
      <c r="E167" s="7">
        <v>298.21666666666658</v>
      </c>
      <c r="F167" s="7">
        <v>298.21666666666658</v>
      </c>
      <c r="G167" s="7">
        <v>298.21666666666658</v>
      </c>
      <c r="H167" s="7">
        <v>298.21666666666658</v>
      </c>
      <c r="I167" s="7">
        <v>298.21666666666658</v>
      </c>
      <c r="J167" s="7">
        <v>298.21666666666658</v>
      </c>
      <c r="K167" s="7">
        <v>298.21666666666658</v>
      </c>
      <c r="L167" s="7">
        <v>298.21666666666658</v>
      </c>
      <c r="M167" s="7">
        <v>298.21666666666658</v>
      </c>
      <c r="N167" s="7">
        <v>298.21666666666658</v>
      </c>
      <c r="O167" s="7">
        <v>298.21666666666658</v>
      </c>
      <c r="P167" s="8">
        <f t="shared" si="5"/>
        <v>3578.6</v>
      </c>
    </row>
    <row r="168" spans="1:16" x14ac:dyDescent="0.3">
      <c r="A168" s="2" t="s">
        <v>69</v>
      </c>
      <c r="B168" s="2" t="s">
        <v>70</v>
      </c>
      <c r="C168" s="2" t="s">
        <v>23</v>
      </c>
      <c r="D168" s="7">
        <v>345.36666666666662</v>
      </c>
      <c r="E168" s="7">
        <v>345.36666666666662</v>
      </c>
      <c r="F168" s="7">
        <v>345.36666666666662</v>
      </c>
      <c r="G168" s="7">
        <v>345.36666666666662</v>
      </c>
      <c r="H168" s="7">
        <v>345.36666666666662</v>
      </c>
      <c r="I168" s="7">
        <v>345.36666666666662</v>
      </c>
      <c r="J168" s="7">
        <v>345.36666666666662</v>
      </c>
      <c r="K168" s="7">
        <v>345.36666666666662</v>
      </c>
      <c r="L168" s="7">
        <v>345.36666666666662</v>
      </c>
      <c r="M168" s="7">
        <v>345.36666666666662</v>
      </c>
      <c r="N168" s="7">
        <v>345.36666666666662</v>
      </c>
      <c r="O168" s="7">
        <v>345.36666666666662</v>
      </c>
      <c r="P168" s="8">
        <f t="shared" si="5"/>
        <v>4144.4000000000005</v>
      </c>
    </row>
    <row r="169" spans="1:16" x14ac:dyDescent="0.3">
      <c r="A169" s="2" t="s">
        <v>69</v>
      </c>
      <c r="B169" s="2" t="s">
        <v>70</v>
      </c>
      <c r="C169" s="2" t="s">
        <v>24</v>
      </c>
      <c r="D169" s="7">
        <v>356.6583333333333</v>
      </c>
      <c r="E169" s="7">
        <v>356.6583333333333</v>
      </c>
      <c r="F169" s="7">
        <v>356.6583333333333</v>
      </c>
      <c r="G169" s="7">
        <v>356.6583333333333</v>
      </c>
      <c r="H169" s="7">
        <v>356.6583333333333</v>
      </c>
      <c r="I169" s="7">
        <v>356.6583333333333</v>
      </c>
      <c r="J169" s="7">
        <v>356.6583333333333</v>
      </c>
      <c r="K169" s="7">
        <v>356.6583333333333</v>
      </c>
      <c r="L169" s="7">
        <v>356.6583333333333</v>
      </c>
      <c r="M169" s="7">
        <v>356.6583333333333</v>
      </c>
      <c r="N169" s="7">
        <v>356.6583333333333</v>
      </c>
      <c r="O169" s="7">
        <v>356.6583333333333</v>
      </c>
      <c r="P169" s="8">
        <f t="shared" si="5"/>
        <v>4279.8999999999996</v>
      </c>
    </row>
    <row r="170" spans="1:16" x14ac:dyDescent="0.3">
      <c r="A170" s="2" t="s">
        <v>69</v>
      </c>
      <c r="B170" s="2" t="s">
        <v>70</v>
      </c>
      <c r="C170" s="2" t="s">
        <v>25</v>
      </c>
      <c r="D170" s="7">
        <v>398.98333333333329</v>
      </c>
      <c r="E170" s="7">
        <v>398.98333333333329</v>
      </c>
      <c r="F170" s="7">
        <v>398.98333333333329</v>
      </c>
      <c r="G170" s="7">
        <v>398.98333333333329</v>
      </c>
      <c r="H170" s="7">
        <v>398.98333333333329</v>
      </c>
      <c r="I170" s="7">
        <v>398.98333333333329</v>
      </c>
      <c r="J170" s="7">
        <v>398.98333333333329</v>
      </c>
      <c r="K170" s="7">
        <v>398.98333333333329</v>
      </c>
      <c r="L170" s="7">
        <v>398.98333333333329</v>
      </c>
      <c r="M170" s="7">
        <v>398.98333333333329</v>
      </c>
      <c r="N170" s="7">
        <v>398.98333333333329</v>
      </c>
      <c r="O170" s="7">
        <v>398.98333333333329</v>
      </c>
      <c r="P170" s="8">
        <f t="shared" si="5"/>
        <v>4787.7999999999993</v>
      </c>
    </row>
    <row r="171" spans="1:16" x14ac:dyDescent="0.3">
      <c r="A171" s="2" t="s">
        <v>69</v>
      </c>
      <c r="B171" s="2" t="s">
        <v>70</v>
      </c>
      <c r="C171" s="2" t="s">
        <v>26</v>
      </c>
      <c r="D171" s="7">
        <v>525.86666666666667</v>
      </c>
      <c r="E171" s="7">
        <v>525.86666666666667</v>
      </c>
      <c r="F171" s="7">
        <v>525.86666666666667</v>
      </c>
      <c r="G171" s="7">
        <v>525.86666666666667</v>
      </c>
      <c r="H171" s="7">
        <v>525.86666666666667</v>
      </c>
      <c r="I171" s="7">
        <v>525.86666666666667</v>
      </c>
      <c r="J171" s="7">
        <v>525.86666666666667</v>
      </c>
      <c r="K171" s="7">
        <v>525.86666666666667</v>
      </c>
      <c r="L171" s="7">
        <v>525.86666666666667</v>
      </c>
      <c r="M171" s="7">
        <v>525.86666666666667</v>
      </c>
      <c r="N171" s="7">
        <v>525.86666666666667</v>
      </c>
      <c r="O171" s="7">
        <v>525.86666666666667</v>
      </c>
      <c r="P171" s="8">
        <f t="shared" si="5"/>
        <v>6310.4000000000005</v>
      </c>
    </row>
    <row r="172" spans="1:16" x14ac:dyDescent="0.3">
      <c r="A172" s="2" t="s">
        <v>69</v>
      </c>
      <c r="B172" s="2" t="s">
        <v>70</v>
      </c>
      <c r="C172" s="2" t="s">
        <v>27</v>
      </c>
      <c r="D172" s="7">
        <v>583.27499999999998</v>
      </c>
      <c r="E172" s="7">
        <v>583.27499999999998</v>
      </c>
      <c r="F172" s="7">
        <v>583.27499999999998</v>
      </c>
      <c r="G172" s="7">
        <v>583.27499999999998</v>
      </c>
      <c r="H172" s="7">
        <v>583.27499999999998</v>
      </c>
      <c r="I172" s="7">
        <v>583.27499999999998</v>
      </c>
      <c r="J172" s="7">
        <v>583.27499999999998</v>
      </c>
      <c r="K172" s="7">
        <v>583.27499999999998</v>
      </c>
      <c r="L172" s="7">
        <v>583.27499999999998</v>
      </c>
      <c r="M172" s="7">
        <v>583.27499999999998</v>
      </c>
      <c r="N172" s="7">
        <v>583.27499999999998</v>
      </c>
      <c r="O172" s="7">
        <v>583.27499999999998</v>
      </c>
      <c r="P172" s="8">
        <f t="shared" si="5"/>
        <v>6999.2999999999984</v>
      </c>
    </row>
    <row r="173" spans="1:16" x14ac:dyDescent="0.3">
      <c r="A173" s="2" t="s">
        <v>69</v>
      </c>
      <c r="B173" s="2" t="s">
        <v>70</v>
      </c>
      <c r="C173" s="2" t="s">
        <v>28</v>
      </c>
      <c r="D173" s="7">
        <v>559.73333333333335</v>
      </c>
      <c r="E173" s="7">
        <v>559.73333333333335</v>
      </c>
      <c r="F173" s="7">
        <v>559.73333333333335</v>
      </c>
      <c r="G173" s="7">
        <v>559.73333333333335</v>
      </c>
      <c r="H173" s="7">
        <v>559.73333333333335</v>
      </c>
      <c r="I173" s="7">
        <v>559.73333333333335</v>
      </c>
      <c r="J173" s="7">
        <v>559.73333333333335</v>
      </c>
      <c r="K173" s="7">
        <v>559.73333333333335</v>
      </c>
      <c r="L173" s="7">
        <v>559.73333333333335</v>
      </c>
      <c r="M173" s="7">
        <v>559.73333333333335</v>
      </c>
      <c r="N173" s="7">
        <v>559.73333333333335</v>
      </c>
      <c r="O173" s="7">
        <v>559.73333333333335</v>
      </c>
      <c r="P173" s="8">
        <f t="shared" si="5"/>
        <v>6716.800000000002</v>
      </c>
    </row>
    <row r="174" spans="1:16" x14ac:dyDescent="0.3">
      <c r="A174" s="2" t="s">
        <v>69</v>
      </c>
      <c r="B174" s="2" t="s">
        <v>70</v>
      </c>
      <c r="C174" s="2" t="s">
        <v>29</v>
      </c>
      <c r="D174" s="7">
        <v>581.61666666666667</v>
      </c>
      <c r="E174" s="7">
        <v>581.61666666666667</v>
      </c>
      <c r="F174" s="7">
        <v>581.61666666666667</v>
      </c>
      <c r="G174" s="7">
        <v>581.61666666666667</v>
      </c>
      <c r="H174" s="7">
        <v>581.61666666666667</v>
      </c>
      <c r="I174" s="7">
        <v>581.61666666666667</v>
      </c>
      <c r="J174" s="7">
        <v>581.61666666666667</v>
      </c>
      <c r="K174" s="7">
        <v>581.61666666666667</v>
      </c>
      <c r="L174" s="7">
        <v>581.61666666666667</v>
      </c>
      <c r="M174" s="7">
        <v>581.61666666666667</v>
      </c>
      <c r="N174" s="7">
        <v>581.61666666666667</v>
      </c>
      <c r="O174" s="7">
        <v>581.61666666666667</v>
      </c>
      <c r="P174" s="8">
        <f t="shared" si="5"/>
        <v>6979.4000000000005</v>
      </c>
    </row>
    <row r="175" spans="1:16" x14ac:dyDescent="0.3">
      <c r="A175" s="2" t="s">
        <v>69</v>
      </c>
      <c r="B175" s="2" t="s">
        <v>70</v>
      </c>
      <c r="C175" s="2" t="s">
        <v>30</v>
      </c>
      <c r="D175" s="7">
        <v>613.36666666666667</v>
      </c>
      <c r="E175" s="7">
        <v>613.36666666666667</v>
      </c>
      <c r="F175" s="7">
        <v>613.36666666666667</v>
      </c>
      <c r="G175" s="7">
        <v>613.36666666666667</v>
      </c>
      <c r="H175" s="7">
        <v>613.36666666666667</v>
      </c>
      <c r="I175" s="7">
        <v>613.36666666666667</v>
      </c>
      <c r="J175" s="7">
        <v>613.36666666666667</v>
      </c>
      <c r="K175" s="7">
        <v>613.36666666666667</v>
      </c>
      <c r="L175" s="7">
        <v>613.36666666666667</v>
      </c>
      <c r="M175" s="7">
        <v>613.36666666666667</v>
      </c>
      <c r="N175" s="7">
        <v>613.36666666666667</v>
      </c>
      <c r="O175" s="7">
        <v>613.36666666666667</v>
      </c>
      <c r="P175" s="8">
        <f t="shared" si="5"/>
        <v>7360.4000000000005</v>
      </c>
    </row>
    <row r="176" spans="1:16" x14ac:dyDescent="0.3">
      <c r="A176" s="2" t="s">
        <v>69</v>
      </c>
      <c r="B176" s="2" t="s">
        <v>70</v>
      </c>
      <c r="C176" s="2" t="s">
        <v>31</v>
      </c>
      <c r="D176" s="7">
        <v>692.94999999999993</v>
      </c>
      <c r="E176" s="7">
        <v>692.94999999999993</v>
      </c>
      <c r="F176" s="7">
        <v>692.94999999999993</v>
      </c>
      <c r="G176" s="7">
        <v>692.94999999999993</v>
      </c>
      <c r="H176" s="7">
        <v>692.94999999999993</v>
      </c>
      <c r="I176" s="7">
        <v>692.94999999999993</v>
      </c>
      <c r="J176" s="7">
        <v>692.94999999999993</v>
      </c>
      <c r="K176" s="7">
        <v>692.94999999999993</v>
      </c>
      <c r="L176" s="7">
        <v>692.94999999999993</v>
      </c>
      <c r="M176" s="7">
        <v>692.94999999999993</v>
      </c>
      <c r="N176" s="7">
        <v>692.94999999999993</v>
      </c>
      <c r="O176" s="7">
        <v>692.94999999999993</v>
      </c>
      <c r="P176" s="8">
        <f t="shared" si="5"/>
        <v>8315.4</v>
      </c>
    </row>
    <row r="177" spans="1:16" x14ac:dyDescent="0.3">
      <c r="A177" s="2" t="s">
        <v>69</v>
      </c>
      <c r="B177" s="2" t="s">
        <v>70</v>
      </c>
      <c r="C177" s="2" t="s">
        <v>32</v>
      </c>
      <c r="D177" s="7">
        <v>765.94999999999993</v>
      </c>
      <c r="E177" s="7">
        <v>765.94999999999993</v>
      </c>
      <c r="F177" s="7">
        <v>765.94999999999993</v>
      </c>
      <c r="G177" s="7">
        <v>765.94999999999993</v>
      </c>
      <c r="H177" s="7">
        <v>765.94999999999993</v>
      </c>
      <c r="I177" s="7">
        <v>765.94999999999993</v>
      </c>
      <c r="J177" s="7">
        <v>765.94999999999993</v>
      </c>
      <c r="K177" s="7">
        <v>765.94999999999993</v>
      </c>
      <c r="L177" s="7">
        <v>765.94999999999993</v>
      </c>
      <c r="M177" s="7">
        <v>765.94999999999993</v>
      </c>
      <c r="N177" s="7">
        <v>765.94999999999993</v>
      </c>
      <c r="O177" s="7">
        <v>765.94999999999993</v>
      </c>
      <c r="P177" s="8">
        <f t="shared" si="5"/>
        <v>9191.4</v>
      </c>
    </row>
    <row r="178" spans="1:16" x14ac:dyDescent="0.3">
      <c r="A178" s="2" t="s">
        <v>69</v>
      </c>
      <c r="B178" s="2" t="s">
        <v>70</v>
      </c>
      <c r="C178" s="2" t="s">
        <v>33</v>
      </c>
      <c r="D178" s="7">
        <v>772.43333333333339</v>
      </c>
      <c r="E178" s="7">
        <v>772.43333333333339</v>
      </c>
      <c r="F178" s="7">
        <v>772.43333333333339</v>
      </c>
      <c r="G178" s="7">
        <v>772.43333333333339</v>
      </c>
      <c r="H178" s="7">
        <v>772.43333333333339</v>
      </c>
      <c r="I178" s="7">
        <v>772.43333333333339</v>
      </c>
      <c r="J178" s="7">
        <v>772.43333333333339</v>
      </c>
      <c r="K178" s="7">
        <v>772.43333333333339</v>
      </c>
      <c r="L178" s="7">
        <v>772.43333333333339</v>
      </c>
      <c r="M178" s="7">
        <v>772.43333333333339</v>
      </c>
      <c r="N178" s="7">
        <v>772.43333333333339</v>
      </c>
      <c r="O178" s="7">
        <v>772.43333333333339</v>
      </c>
      <c r="P178" s="8">
        <f t="shared" si="5"/>
        <v>9269.2000000000007</v>
      </c>
    </row>
    <row r="179" spans="1:16" x14ac:dyDescent="0.3">
      <c r="A179" s="2" t="s">
        <v>69</v>
      </c>
      <c r="B179" s="2" t="s">
        <v>70</v>
      </c>
      <c r="C179" s="2" t="s">
        <v>34</v>
      </c>
      <c r="D179" s="7">
        <v>774.61666666666667</v>
      </c>
      <c r="E179" s="7">
        <v>774.61666666666667</v>
      </c>
      <c r="F179" s="7">
        <v>774.61666666666667</v>
      </c>
      <c r="G179" s="7">
        <v>774.61666666666667</v>
      </c>
      <c r="H179" s="7">
        <v>774.61666666666667</v>
      </c>
      <c r="I179" s="7">
        <v>774.61666666666667</v>
      </c>
      <c r="J179" s="7">
        <v>774.61666666666667</v>
      </c>
      <c r="K179" s="7">
        <v>774.61666666666667</v>
      </c>
      <c r="L179" s="7">
        <v>774.61666666666667</v>
      </c>
      <c r="M179" s="7">
        <v>774.61666666666667</v>
      </c>
      <c r="N179" s="7">
        <v>774.61666666666667</v>
      </c>
      <c r="O179" s="7">
        <v>774.61666666666667</v>
      </c>
      <c r="P179" s="8">
        <f t="shared" si="5"/>
        <v>9295.4</v>
      </c>
    </row>
    <row r="180" spans="1:16" x14ac:dyDescent="0.3">
      <c r="A180" s="2" t="s">
        <v>69</v>
      </c>
      <c r="B180" s="2" t="s">
        <v>70</v>
      </c>
      <c r="C180" s="2" t="s">
        <v>35</v>
      </c>
      <c r="D180" s="7">
        <v>844.08333333333337</v>
      </c>
      <c r="E180" s="7">
        <v>844.08333333333337</v>
      </c>
      <c r="F180" s="7">
        <v>844.08333333333337</v>
      </c>
      <c r="G180" s="7">
        <v>844.08333333333337</v>
      </c>
      <c r="H180" s="7">
        <v>844.08333333333337</v>
      </c>
      <c r="I180" s="7">
        <v>844.08333333333337</v>
      </c>
      <c r="J180" s="7">
        <v>844.08333333333337</v>
      </c>
      <c r="K180" s="7">
        <v>844.08333333333337</v>
      </c>
      <c r="L180" s="7">
        <v>844.08333333333337</v>
      </c>
      <c r="M180" s="7">
        <v>844.08333333333337</v>
      </c>
      <c r="N180" s="7">
        <v>844.08333333333337</v>
      </c>
      <c r="O180" s="7">
        <v>844.08333333333337</v>
      </c>
      <c r="P180" s="8">
        <f t="shared" si="5"/>
        <v>10129</v>
      </c>
    </row>
    <row r="181" spans="1:16" x14ac:dyDescent="0.3">
      <c r="A181" s="2" t="s">
        <v>69</v>
      </c>
      <c r="B181" s="2" t="s">
        <v>70</v>
      </c>
      <c r="C181" s="2" t="s">
        <v>36</v>
      </c>
      <c r="D181" s="7">
        <v>868.73333333333323</v>
      </c>
      <c r="E181" s="7">
        <v>868.73333333333323</v>
      </c>
      <c r="F181" s="7">
        <v>868.73333333333323</v>
      </c>
      <c r="G181" s="7">
        <v>868.73333333333323</v>
      </c>
      <c r="H181" s="7">
        <v>868.73333333333323</v>
      </c>
      <c r="I181" s="7">
        <v>868.73333333333323</v>
      </c>
      <c r="J181" s="7">
        <v>868.73333333333323</v>
      </c>
      <c r="K181" s="7">
        <v>868.73333333333323</v>
      </c>
      <c r="L181" s="7">
        <v>868.73333333333323</v>
      </c>
      <c r="M181" s="7">
        <v>868.73333333333323</v>
      </c>
      <c r="N181" s="7">
        <v>868.73333333333323</v>
      </c>
      <c r="O181" s="7">
        <v>868.73333333333323</v>
      </c>
      <c r="P181" s="8">
        <f t="shared" si="5"/>
        <v>10424.800000000001</v>
      </c>
    </row>
    <row r="182" spans="1:16" x14ac:dyDescent="0.3">
      <c r="A182" s="2" t="s">
        <v>69</v>
      </c>
      <c r="B182" s="2" t="s">
        <v>70</v>
      </c>
      <c r="C182" s="2" t="s">
        <v>37</v>
      </c>
      <c r="D182" s="7">
        <v>712.94999999999993</v>
      </c>
      <c r="E182" s="7">
        <v>712.94999999999993</v>
      </c>
      <c r="F182" s="7">
        <v>712.94999999999993</v>
      </c>
      <c r="G182" s="7">
        <v>712.94999999999993</v>
      </c>
      <c r="H182" s="7">
        <v>712.94999999999993</v>
      </c>
      <c r="I182" s="7">
        <v>712.94999999999993</v>
      </c>
      <c r="J182" s="7">
        <v>712.94999999999993</v>
      </c>
      <c r="K182" s="7">
        <v>712.94999999999993</v>
      </c>
      <c r="L182" s="7">
        <v>712.94999999999993</v>
      </c>
      <c r="M182" s="7">
        <v>712.94999999999993</v>
      </c>
      <c r="N182" s="7">
        <v>712.94999999999993</v>
      </c>
      <c r="O182" s="7">
        <v>712.94999999999993</v>
      </c>
      <c r="P182" s="8">
        <f t="shared" si="5"/>
        <v>8555.4</v>
      </c>
    </row>
    <row r="183" spans="1:16" x14ac:dyDescent="0.3">
      <c r="A183" s="2" t="s">
        <v>69</v>
      </c>
      <c r="B183" s="2" t="s">
        <v>70</v>
      </c>
      <c r="C183" s="2" t="s">
        <v>38</v>
      </c>
      <c r="D183" s="7">
        <v>830.11666666666667</v>
      </c>
      <c r="E183" s="7">
        <v>830.11666666666667</v>
      </c>
      <c r="F183" s="7">
        <v>830.11666666666667</v>
      </c>
      <c r="G183" s="7">
        <v>830.11666666666667</v>
      </c>
      <c r="H183" s="7">
        <v>830.11666666666667</v>
      </c>
      <c r="I183" s="7">
        <v>830.11666666666667</v>
      </c>
      <c r="J183" s="7">
        <v>830.11666666666667</v>
      </c>
      <c r="K183" s="7">
        <v>830.11666666666667</v>
      </c>
      <c r="L183" s="7">
        <v>830.11666666666667</v>
      </c>
      <c r="M183" s="7">
        <v>830.11666666666667</v>
      </c>
      <c r="N183" s="7">
        <v>830.11666666666667</v>
      </c>
      <c r="O183" s="7">
        <v>830.11666666666667</v>
      </c>
      <c r="P183" s="8">
        <f t="shared" si="5"/>
        <v>9961.4</v>
      </c>
    </row>
    <row r="184" spans="1:16" x14ac:dyDescent="0.3">
      <c r="A184" s="2" t="s">
        <v>69</v>
      </c>
      <c r="B184" s="2" t="s">
        <v>70</v>
      </c>
      <c r="C184" s="2" t="s">
        <v>39</v>
      </c>
      <c r="D184" s="7">
        <v>919.40833333333319</v>
      </c>
      <c r="E184" s="7">
        <v>919.40833333333319</v>
      </c>
      <c r="F184" s="7">
        <v>919.40833333333319</v>
      </c>
      <c r="G184" s="7">
        <v>919.40833333333319</v>
      </c>
      <c r="H184" s="7">
        <v>919.40833333333319</v>
      </c>
      <c r="I184" s="7">
        <v>919.40833333333319</v>
      </c>
      <c r="J184" s="7">
        <v>919.40833333333319</v>
      </c>
      <c r="K184" s="7">
        <v>919.40833333333319</v>
      </c>
      <c r="L184" s="7">
        <v>919.40833333333319</v>
      </c>
      <c r="M184" s="7">
        <v>919.40833333333319</v>
      </c>
      <c r="N184" s="7">
        <v>919.40833333333319</v>
      </c>
      <c r="O184" s="7">
        <v>919.40833333333319</v>
      </c>
      <c r="P184" s="8">
        <f t="shared" si="5"/>
        <v>11032.899999999996</v>
      </c>
    </row>
    <row r="185" spans="1:16" x14ac:dyDescent="0.3">
      <c r="A185" s="2" t="s">
        <v>69</v>
      </c>
      <c r="B185" s="2" t="s">
        <v>70</v>
      </c>
      <c r="C185" s="2" t="s">
        <v>40</v>
      </c>
      <c r="D185" s="7">
        <v>951</v>
      </c>
      <c r="E185" s="7">
        <v>951</v>
      </c>
      <c r="F185" s="7">
        <v>951</v>
      </c>
      <c r="G185" s="7">
        <v>951</v>
      </c>
      <c r="H185" s="7">
        <v>951</v>
      </c>
      <c r="I185" s="7">
        <v>951</v>
      </c>
      <c r="J185" s="7">
        <v>951</v>
      </c>
      <c r="K185" s="7">
        <v>951</v>
      </c>
      <c r="L185" s="7">
        <v>951</v>
      </c>
      <c r="M185" s="7">
        <v>951</v>
      </c>
      <c r="N185" s="7">
        <v>951</v>
      </c>
      <c r="O185" s="7">
        <v>951</v>
      </c>
      <c r="P185" s="8">
        <f t="shared" si="5"/>
        <v>11412</v>
      </c>
    </row>
    <row r="186" spans="1:16" x14ac:dyDescent="0.3">
      <c r="A186" s="2" t="s">
        <v>69</v>
      </c>
      <c r="B186" s="2" t="s">
        <v>48</v>
      </c>
      <c r="C186" s="2" t="s">
        <v>18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8">
        <f t="shared" si="5"/>
        <v>0</v>
      </c>
    </row>
    <row r="187" spans="1:16" x14ac:dyDescent="0.3">
      <c r="A187" s="2" t="s">
        <v>69</v>
      </c>
      <c r="B187" s="2" t="s">
        <v>48</v>
      </c>
      <c r="C187" s="2" t="s">
        <v>19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8">
        <f t="shared" si="5"/>
        <v>0</v>
      </c>
    </row>
    <row r="188" spans="1:16" x14ac:dyDescent="0.3">
      <c r="A188" s="2" t="s">
        <v>69</v>
      </c>
      <c r="B188" s="2" t="s">
        <v>48</v>
      </c>
      <c r="C188" s="2" t="s">
        <v>20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8">
        <f t="shared" si="5"/>
        <v>0</v>
      </c>
    </row>
    <row r="189" spans="1:16" x14ac:dyDescent="0.3">
      <c r="A189" s="2" t="s">
        <v>69</v>
      </c>
      <c r="B189" s="2" t="s">
        <v>48</v>
      </c>
      <c r="C189" s="2" t="s">
        <v>21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8">
        <f t="shared" si="5"/>
        <v>0</v>
      </c>
    </row>
    <row r="190" spans="1:16" x14ac:dyDescent="0.3">
      <c r="A190" s="2" t="s">
        <v>69</v>
      </c>
      <c r="B190" s="2" t="s">
        <v>48</v>
      </c>
      <c r="C190" s="2" t="s">
        <v>22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8">
        <f t="shared" ref="P190:P221" si="6">SUM(D190:O190)</f>
        <v>0</v>
      </c>
    </row>
    <row r="191" spans="1:16" x14ac:dyDescent="0.3">
      <c r="A191" s="2" t="s">
        <v>69</v>
      </c>
      <c r="B191" s="2" t="s">
        <v>48</v>
      </c>
      <c r="C191" s="2" t="s">
        <v>23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8">
        <f t="shared" si="6"/>
        <v>0</v>
      </c>
    </row>
    <row r="192" spans="1:16" x14ac:dyDescent="0.3">
      <c r="A192" s="2" t="s">
        <v>69</v>
      </c>
      <c r="B192" s="2" t="s">
        <v>48</v>
      </c>
      <c r="C192" s="2" t="s">
        <v>24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8">
        <f t="shared" si="6"/>
        <v>0</v>
      </c>
    </row>
    <row r="193" spans="1:16" x14ac:dyDescent="0.3">
      <c r="A193" s="2" t="s">
        <v>69</v>
      </c>
      <c r="B193" s="2" t="s">
        <v>48</v>
      </c>
      <c r="C193" s="2" t="s">
        <v>25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8">
        <f t="shared" si="6"/>
        <v>0</v>
      </c>
    </row>
    <row r="194" spans="1:16" x14ac:dyDescent="0.3">
      <c r="A194" s="2" t="s">
        <v>69</v>
      </c>
      <c r="B194" s="2" t="s">
        <v>48</v>
      </c>
      <c r="C194" s="2" t="s">
        <v>26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8">
        <f t="shared" si="6"/>
        <v>0</v>
      </c>
    </row>
    <row r="195" spans="1:16" x14ac:dyDescent="0.3">
      <c r="A195" s="2" t="s">
        <v>69</v>
      </c>
      <c r="B195" s="2" t="s">
        <v>48</v>
      </c>
      <c r="C195" s="2" t="s">
        <v>27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8">
        <f t="shared" si="6"/>
        <v>0</v>
      </c>
    </row>
    <row r="196" spans="1:16" x14ac:dyDescent="0.3">
      <c r="A196" s="2" t="s">
        <v>69</v>
      </c>
      <c r="B196" s="2" t="s">
        <v>48</v>
      </c>
      <c r="C196" s="2" t="s">
        <v>28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8">
        <f t="shared" si="6"/>
        <v>0</v>
      </c>
    </row>
    <row r="197" spans="1:16" x14ac:dyDescent="0.3">
      <c r="A197" s="2" t="s">
        <v>69</v>
      </c>
      <c r="B197" s="2" t="s">
        <v>48</v>
      </c>
      <c r="C197" s="2" t="s">
        <v>29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8">
        <f t="shared" si="6"/>
        <v>0</v>
      </c>
    </row>
    <row r="198" spans="1:16" x14ac:dyDescent="0.3">
      <c r="A198" s="2" t="s">
        <v>69</v>
      </c>
      <c r="B198" s="2" t="s">
        <v>48</v>
      </c>
      <c r="C198" s="2" t="s">
        <v>30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8">
        <f t="shared" si="6"/>
        <v>0</v>
      </c>
    </row>
    <row r="199" spans="1:16" x14ac:dyDescent="0.3">
      <c r="A199" s="2" t="s">
        <v>69</v>
      </c>
      <c r="B199" s="2" t="s">
        <v>48</v>
      </c>
      <c r="C199" s="2" t="s">
        <v>31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8">
        <f t="shared" si="6"/>
        <v>0</v>
      </c>
    </row>
    <row r="200" spans="1:16" x14ac:dyDescent="0.3">
      <c r="A200" s="2" t="s">
        <v>69</v>
      </c>
      <c r="B200" s="2" t="s">
        <v>48</v>
      </c>
      <c r="C200" s="2" t="s">
        <v>32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8">
        <f t="shared" si="6"/>
        <v>0</v>
      </c>
    </row>
    <row r="201" spans="1:16" x14ac:dyDescent="0.3">
      <c r="A201" s="2" t="s">
        <v>69</v>
      </c>
      <c r="B201" s="2" t="s">
        <v>48</v>
      </c>
      <c r="C201" s="2" t="s">
        <v>33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8">
        <f t="shared" si="6"/>
        <v>0</v>
      </c>
    </row>
    <row r="202" spans="1:16" x14ac:dyDescent="0.3">
      <c r="A202" s="2" t="s">
        <v>69</v>
      </c>
      <c r="B202" s="2" t="s">
        <v>48</v>
      </c>
      <c r="C202" s="2" t="s">
        <v>34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8">
        <f t="shared" si="6"/>
        <v>0</v>
      </c>
    </row>
    <row r="203" spans="1:16" x14ac:dyDescent="0.3">
      <c r="A203" s="2" t="s">
        <v>69</v>
      </c>
      <c r="B203" s="2" t="s">
        <v>48</v>
      </c>
      <c r="C203" s="2" t="s">
        <v>35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8">
        <f t="shared" si="6"/>
        <v>0</v>
      </c>
    </row>
    <row r="204" spans="1:16" x14ac:dyDescent="0.3">
      <c r="A204" s="2" t="s">
        <v>69</v>
      </c>
      <c r="B204" s="2" t="s">
        <v>48</v>
      </c>
      <c r="C204" s="2" t="s">
        <v>36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8">
        <f t="shared" si="6"/>
        <v>0</v>
      </c>
    </row>
    <row r="205" spans="1:16" x14ac:dyDescent="0.3">
      <c r="A205" s="2" t="s">
        <v>69</v>
      </c>
      <c r="B205" s="2" t="s">
        <v>48</v>
      </c>
      <c r="C205" s="2" t="s">
        <v>37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8">
        <f t="shared" si="6"/>
        <v>0</v>
      </c>
    </row>
    <row r="206" spans="1:16" x14ac:dyDescent="0.3">
      <c r="A206" s="2" t="s">
        <v>69</v>
      </c>
      <c r="B206" s="2" t="s">
        <v>48</v>
      </c>
      <c r="C206" s="2" t="s">
        <v>38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8">
        <f t="shared" si="6"/>
        <v>0</v>
      </c>
    </row>
    <row r="207" spans="1:16" x14ac:dyDescent="0.3">
      <c r="A207" s="2" t="s">
        <v>69</v>
      </c>
      <c r="B207" s="2" t="s">
        <v>48</v>
      </c>
      <c r="C207" s="2" t="s">
        <v>39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8">
        <f t="shared" si="6"/>
        <v>0</v>
      </c>
    </row>
    <row r="208" spans="1:16" x14ac:dyDescent="0.3">
      <c r="A208" s="2" t="s">
        <v>69</v>
      </c>
      <c r="B208" s="2" t="s">
        <v>48</v>
      </c>
      <c r="C208" s="2" t="s">
        <v>40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8">
        <f t="shared" si="6"/>
        <v>0</v>
      </c>
    </row>
    <row r="209" spans="1:16" x14ac:dyDescent="0.3">
      <c r="A209" s="2" t="s">
        <v>69</v>
      </c>
      <c r="B209" s="2" t="s">
        <v>49</v>
      </c>
      <c r="C209" s="2" t="s">
        <v>18</v>
      </c>
      <c r="D209" s="7">
        <f t="shared" ref="D209:O209" si="7">D140+D163</f>
        <v>185.4083333333333</v>
      </c>
      <c r="E209" s="7">
        <f t="shared" si="7"/>
        <v>185.4083333333333</v>
      </c>
      <c r="F209" s="7">
        <f t="shared" si="7"/>
        <v>185.4083333333333</v>
      </c>
      <c r="G209" s="7">
        <f t="shared" si="7"/>
        <v>185.4083333333333</v>
      </c>
      <c r="H209" s="7">
        <f t="shared" si="7"/>
        <v>185.4083333333333</v>
      </c>
      <c r="I209" s="7">
        <f t="shared" si="7"/>
        <v>185.4083333333333</v>
      </c>
      <c r="J209" s="7">
        <f t="shared" si="7"/>
        <v>185.4083333333333</v>
      </c>
      <c r="K209" s="7">
        <f t="shared" si="7"/>
        <v>185.4083333333333</v>
      </c>
      <c r="L209" s="7">
        <f t="shared" si="7"/>
        <v>185.4083333333333</v>
      </c>
      <c r="M209" s="7">
        <f t="shared" si="7"/>
        <v>185.4083333333333</v>
      </c>
      <c r="N209" s="7">
        <f t="shared" si="7"/>
        <v>185.4083333333333</v>
      </c>
      <c r="O209" s="7">
        <f t="shared" si="7"/>
        <v>185.4083333333333</v>
      </c>
      <c r="P209" s="8">
        <f t="shared" si="6"/>
        <v>2224.8999999999996</v>
      </c>
    </row>
    <row r="210" spans="1:16" x14ac:dyDescent="0.3">
      <c r="A210" s="2" t="s">
        <v>69</v>
      </c>
      <c r="B210" s="2" t="s">
        <v>49</v>
      </c>
      <c r="C210" s="2" t="s">
        <v>19</v>
      </c>
      <c r="D210" s="7">
        <f t="shared" ref="D210:O210" si="8">D141+D164</f>
        <v>282.46666666666658</v>
      </c>
      <c r="E210" s="7">
        <f t="shared" si="8"/>
        <v>282.46666666666658</v>
      </c>
      <c r="F210" s="7">
        <f t="shared" si="8"/>
        <v>282.46666666666658</v>
      </c>
      <c r="G210" s="7">
        <f t="shared" si="8"/>
        <v>282.46666666666658</v>
      </c>
      <c r="H210" s="7">
        <f t="shared" si="8"/>
        <v>282.46666666666658</v>
      </c>
      <c r="I210" s="7">
        <f t="shared" si="8"/>
        <v>282.46666666666658</v>
      </c>
      <c r="J210" s="7">
        <f t="shared" si="8"/>
        <v>282.46666666666658</v>
      </c>
      <c r="K210" s="7">
        <f t="shared" si="8"/>
        <v>282.46666666666658</v>
      </c>
      <c r="L210" s="7">
        <f t="shared" si="8"/>
        <v>282.46666666666658</v>
      </c>
      <c r="M210" s="7">
        <f t="shared" si="8"/>
        <v>282.46666666666658</v>
      </c>
      <c r="N210" s="7">
        <f t="shared" si="8"/>
        <v>282.46666666666658</v>
      </c>
      <c r="O210" s="7">
        <f t="shared" si="8"/>
        <v>282.46666666666658</v>
      </c>
      <c r="P210" s="8">
        <f t="shared" si="6"/>
        <v>3389.6</v>
      </c>
    </row>
    <row r="211" spans="1:16" x14ac:dyDescent="0.3">
      <c r="A211" s="2" t="s">
        <v>69</v>
      </c>
      <c r="B211" s="2" t="s">
        <v>49</v>
      </c>
      <c r="C211" s="2" t="s">
        <v>20</v>
      </c>
      <c r="D211" s="7">
        <f t="shared" ref="D211:O211" si="9">D142+D165</f>
        <v>252.57499999999999</v>
      </c>
      <c r="E211" s="7">
        <f t="shared" si="9"/>
        <v>252.57499999999999</v>
      </c>
      <c r="F211" s="7">
        <f t="shared" si="9"/>
        <v>252.57499999999999</v>
      </c>
      <c r="G211" s="7">
        <f t="shared" si="9"/>
        <v>252.57499999999999</v>
      </c>
      <c r="H211" s="7">
        <f t="shared" si="9"/>
        <v>252.57499999999999</v>
      </c>
      <c r="I211" s="7">
        <f t="shared" si="9"/>
        <v>252.57499999999999</v>
      </c>
      <c r="J211" s="7">
        <f t="shared" si="9"/>
        <v>252.57499999999999</v>
      </c>
      <c r="K211" s="7">
        <f t="shared" si="9"/>
        <v>252.57499999999999</v>
      </c>
      <c r="L211" s="7">
        <f t="shared" si="9"/>
        <v>252.57499999999999</v>
      </c>
      <c r="M211" s="7">
        <f t="shared" si="9"/>
        <v>252.57499999999999</v>
      </c>
      <c r="N211" s="7">
        <f t="shared" si="9"/>
        <v>252.57499999999999</v>
      </c>
      <c r="O211" s="7">
        <f t="shared" si="9"/>
        <v>252.57499999999999</v>
      </c>
      <c r="P211" s="8">
        <f t="shared" si="6"/>
        <v>3030.8999999999996</v>
      </c>
    </row>
    <row r="212" spans="1:16" x14ac:dyDescent="0.3">
      <c r="A212" s="2" t="s">
        <v>69</v>
      </c>
      <c r="B212" s="2" t="s">
        <v>49</v>
      </c>
      <c r="C212" s="2" t="s">
        <v>21</v>
      </c>
      <c r="D212" s="7">
        <f t="shared" ref="D212:O212" si="10">D143+D166</f>
        <v>285.21666666666658</v>
      </c>
      <c r="E212" s="7">
        <f t="shared" si="10"/>
        <v>285.21666666666658</v>
      </c>
      <c r="F212" s="7">
        <f t="shared" si="10"/>
        <v>285.21666666666658</v>
      </c>
      <c r="G212" s="7">
        <f t="shared" si="10"/>
        <v>285.21666666666658</v>
      </c>
      <c r="H212" s="7">
        <f t="shared" si="10"/>
        <v>285.21666666666658</v>
      </c>
      <c r="I212" s="7">
        <f t="shared" si="10"/>
        <v>285.21666666666658</v>
      </c>
      <c r="J212" s="7">
        <f t="shared" si="10"/>
        <v>285.21666666666658</v>
      </c>
      <c r="K212" s="7">
        <f t="shared" si="10"/>
        <v>285.21666666666658</v>
      </c>
      <c r="L212" s="7">
        <f t="shared" si="10"/>
        <v>285.21666666666658</v>
      </c>
      <c r="M212" s="7">
        <f t="shared" si="10"/>
        <v>285.21666666666658</v>
      </c>
      <c r="N212" s="7">
        <f t="shared" si="10"/>
        <v>285.21666666666658</v>
      </c>
      <c r="O212" s="7">
        <f t="shared" si="10"/>
        <v>285.21666666666658</v>
      </c>
      <c r="P212" s="8">
        <f t="shared" si="6"/>
        <v>3422.6</v>
      </c>
    </row>
    <row r="213" spans="1:16" x14ac:dyDescent="0.3">
      <c r="A213" s="2" t="s">
        <v>69</v>
      </c>
      <c r="B213" s="2" t="s">
        <v>49</v>
      </c>
      <c r="C213" s="2" t="s">
        <v>22</v>
      </c>
      <c r="D213" s="7">
        <f t="shared" ref="D213:O213" si="11">D144+D167</f>
        <v>298.21666666666658</v>
      </c>
      <c r="E213" s="7">
        <f t="shared" si="11"/>
        <v>298.21666666666658</v>
      </c>
      <c r="F213" s="7">
        <f t="shared" si="11"/>
        <v>298.21666666666658</v>
      </c>
      <c r="G213" s="7">
        <f t="shared" si="11"/>
        <v>298.21666666666658</v>
      </c>
      <c r="H213" s="7">
        <f t="shared" si="11"/>
        <v>298.21666666666658</v>
      </c>
      <c r="I213" s="7">
        <f t="shared" si="11"/>
        <v>298.21666666666658</v>
      </c>
      <c r="J213" s="7">
        <f t="shared" si="11"/>
        <v>298.21666666666658</v>
      </c>
      <c r="K213" s="7">
        <f t="shared" si="11"/>
        <v>298.21666666666658</v>
      </c>
      <c r="L213" s="7">
        <f t="shared" si="11"/>
        <v>298.21666666666658</v>
      </c>
      <c r="M213" s="7">
        <f t="shared" si="11"/>
        <v>298.21666666666658</v>
      </c>
      <c r="N213" s="7">
        <f t="shared" si="11"/>
        <v>298.21666666666658</v>
      </c>
      <c r="O213" s="7">
        <f t="shared" si="11"/>
        <v>298.21666666666658</v>
      </c>
      <c r="P213" s="8">
        <f t="shared" si="6"/>
        <v>3578.6</v>
      </c>
    </row>
    <row r="214" spans="1:16" x14ac:dyDescent="0.3">
      <c r="A214" s="2" t="s">
        <v>69</v>
      </c>
      <c r="B214" s="2" t="s">
        <v>49</v>
      </c>
      <c r="C214" s="2" t="s">
        <v>23</v>
      </c>
      <c r="D214" s="7">
        <f t="shared" ref="D214:O214" si="12">D145+D168</f>
        <v>345.36666666666662</v>
      </c>
      <c r="E214" s="7">
        <f t="shared" si="12"/>
        <v>345.36666666666662</v>
      </c>
      <c r="F214" s="7">
        <f t="shared" si="12"/>
        <v>345.36666666666662</v>
      </c>
      <c r="G214" s="7">
        <f t="shared" si="12"/>
        <v>345.36666666666662</v>
      </c>
      <c r="H214" s="7">
        <f t="shared" si="12"/>
        <v>345.36666666666662</v>
      </c>
      <c r="I214" s="7">
        <f t="shared" si="12"/>
        <v>345.36666666666662</v>
      </c>
      <c r="J214" s="7">
        <f t="shared" si="12"/>
        <v>345.36666666666662</v>
      </c>
      <c r="K214" s="7">
        <f t="shared" si="12"/>
        <v>345.36666666666662</v>
      </c>
      <c r="L214" s="7">
        <f t="shared" si="12"/>
        <v>345.36666666666662</v>
      </c>
      <c r="M214" s="7">
        <f t="shared" si="12"/>
        <v>345.36666666666662</v>
      </c>
      <c r="N214" s="7">
        <f t="shared" si="12"/>
        <v>345.36666666666662</v>
      </c>
      <c r="O214" s="7">
        <f t="shared" si="12"/>
        <v>345.36666666666662</v>
      </c>
      <c r="P214" s="8">
        <f t="shared" si="6"/>
        <v>4144.4000000000005</v>
      </c>
    </row>
    <row r="215" spans="1:16" x14ac:dyDescent="0.3">
      <c r="A215" s="2" t="s">
        <v>69</v>
      </c>
      <c r="B215" s="2" t="s">
        <v>49</v>
      </c>
      <c r="C215" s="2" t="s">
        <v>24</v>
      </c>
      <c r="D215" s="7">
        <f t="shared" ref="D215:O215" si="13">D146+D169</f>
        <v>356.6583333333333</v>
      </c>
      <c r="E215" s="7">
        <f t="shared" si="13"/>
        <v>356.6583333333333</v>
      </c>
      <c r="F215" s="7">
        <f t="shared" si="13"/>
        <v>356.6583333333333</v>
      </c>
      <c r="G215" s="7">
        <f t="shared" si="13"/>
        <v>356.6583333333333</v>
      </c>
      <c r="H215" s="7">
        <f t="shared" si="13"/>
        <v>356.6583333333333</v>
      </c>
      <c r="I215" s="7">
        <f t="shared" si="13"/>
        <v>356.6583333333333</v>
      </c>
      <c r="J215" s="7">
        <f t="shared" si="13"/>
        <v>356.6583333333333</v>
      </c>
      <c r="K215" s="7">
        <f t="shared" si="13"/>
        <v>356.6583333333333</v>
      </c>
      <c r="L215" s="7">
        <f t="shared" si="13"/>
        <v>356.6583333333333</v>
      </c>
      <c r="M215" s="7">
        <f t="shared" si="13"/>
        <v>356.6583333333333</v>
      </c>
      <c r="N215" s="7">
        <f t="shared" si="13"/>
        <v>356.6583333333333</v>
      </c>
      <c r="O215" s="7">
        <f t="shared" si="13"/>
        <v>356.6583333333333</v>
      </c>
      <c r="P215" s="8">
        <f t="shared" si="6"/>
        <v>4279.8999999999996</v>
      </c>
    </row>
    <row r="216" spans="1:16" x14ac:dyDescent="0.3">
      <c r="A216" s="2" t="s">
        <v>69</v>
      </c>
      <c r="B216" s="2" t="s">
        <v>49</v>
      </c>
      <c r="C216" s="2" t="s">
        <v>25</v>
      </c>
      <c r="D216" s="7">
        <f t="shared" ref="D216:O216" si="14">D147+D170</f>
        <v>398.98333333333329</v>
      </c>
      <c r="E216" s="7">
        <f t="shared" si="14"/>
        <v>398.98333333333329</v>
      </c>
      <c r="F216" s="7">
        <f t="shared" si="14"/>
        <v>398.98333333333329</v>
      </c>
      <c r="G216" s="7">
        <f t="shared" si="14"/>
        <v>398.98333333333329</v>
      </c>
      <c r="H216" s="7">
        <f t="shared" si="14"/>
        <v>398.98333333333329</v>
      </c>
      <c r="I216" s="7">
        <f t="shared" si="14"/>
        <v>398.98333333333329</v>
      </c>
      <c r="J216" s="7">
        <f t="shared" si="14"/>
        <v>398.98333333333329</v>
      </c>
      <c r="K216" s="7">
        <f t="shared" si="14"/>
        <v>398.98333333333329</v>
      </c>
      <c r="L216" s="7">
        <f t="shared" si="14"/>
        <v>398.98333333333329</v>
      </c>
      <c r="M216" s="7">
        <f t="shared" si="14"/>
        <v>398.98333333333329</v>
      </c>
      <c r="N216" s="7">
        <f t="shared" si="14"/>
        <v>398.98333333333329</v>
      </c>
      <c r="O216" s="7">
        <f t="shared" si="14"/>
        <v>398.98333333333329</v>
      </c>
      <c r="P216" s="8">
        <f t="shared" si="6"/>
        <v>4787.7999999999993</v>
      </c>
    </row>
    <row r="217" spans="1:16" x14ac:dyDescent="0.3">
      <c r="A217" s="2" t="s">
        <v>69</v>
      </c>
      <c r="B217" s="2" t="s">
        <v>49</v>
      </c>
      <c r="C217" s="2" t="s">
        <v>26</v>
      </c>
      <c r="D217" s="7">
        <f t="shared" ref="D217:O217" si="15">D148+D171</f>
        <v>525.86666666666667</v>
      </c>
      <c r="E217" s="7">
        <f t="shared" si="15"/>
        <v>525.86666666666667</v>
      </c>
      <c r="F217" s="7">
        <f t="shared" si="15"/>
        <v>525.86666666666667</v>
      </c>
      <c r="G217" s="7">
        <f t="shared" si="15"/>
        <v>525.86666666666667</v>
      </c>
      <c r="H217" s="7">
        <f t="shared" si="15"/>
        <v>525.86666666666667</v>
      </c>
      <c r="I217" s="7">
        <f t="shared" si="15"/>
        <v>525.86666666666667</v>
      </c>
      <c r="J217" s="7">
        <f t="shared" si="15"/>
        <v>525.86666666666667</v>
      </c>
      <c r="K217" s="7">
        <f t="shared" si="15"/>
        <v>525.86666666666667</v>
      </c>
      <c r="L217" s="7">
        <f t="shared" si="15"/>
        <v>525.86666666666667</v>
      </c>
      <c r="M217" s="7">
        <f t="shared" si="15"/>
        <v>525.86666666666667</v>
      </c>
      <c r="N217" s="7">
        <f t="shared" si="15"/>
        <v>525.86666666666667</v>
      </c>
      <c r="O217" s="7">
        <f t="shared" si="15"/>
        <v>525.86666666666667</v>
      </c>
      <c r="P217" s="8">
        <f t="shared" si="6"/>
        <v>6310.4000000000005</v>
      </c>
    </row>
    <row r="218" spans="1:16" x14ac:dyDescent="0.3">
      <c r="A218" s="2" t="s">
        <v>69</v>
      </c>
      <c r="B218" s="2" t="s">
        <v>49</v>
      </c>
      <c r="C218" s="2" t="s">
        <v>27</v>
      </c>
      <c r="D218" s="7">
        <f t="shared" ref="D218:O218" si="16">D149+D172</f>
        <v>583.27499999999998</v>
      </c>
      <c r="E218" s="7">
        <f t="shared" si="16"/>
        <v>583.27499999999998</v>
      </c>
      <c r="F218" s="7">
        <f t="shared" si="16"/>
        <v>583.27499999999998</v>
      </c>
      <c r="G218" s="7">
        <f t="shared" si="16"/>
        <v>583.27499999999998</v>
      </c>
      <c r="H218" s="7">
        <f t="shared" si="16"/>
        <v>583.27499999999998</v>
      </c>
      <c r="I218" s="7">
        <f t="shared" si="16"/>
        <v>583.27499999999998</v>
      </c>
      <c r="J218" s="7">
        <f t="shared" si="16"/>
        <v>583.27499999999998</v>
      </c>
      <c r="K218" s="7">
        <f t="shared" si="16"/>
        <v>583.27499999999998</v>
      </c>
      <c r="L218" s="7">
        <f t="shared" si="16"/>
        <v>583.27499999999998</v>
      </c>
      <c r="M218" s="7">
        <f t="shared" si="16"/>
        <v>583.27499999999998</v>
      </c>
      <c r="N218" s="7">
        <f t="shared" si="16"/>
        <v>583.27499999999998</v>
      </c>
      <c r="O218" s="7">
        <f t="shared" si="16"/>
        <v>583.27499999999998</v>
      </c>
      <c r="P218" s="8">
        <f t="shared" si="6"/>
        <v>6999.2999999999984</v>
      </c>
    </row>
    <row r="219" spans="1:16" x14ac:dyDescent="0.3">
      <c r="A219" s="2" t="s">
        <v>69</v>
      </c>
      <c r="B219" s="2" t="s">
        <v>49</v>
      </c>
      <c r="C219" s="2" t="s">
        <v>28</v>
      </c>
      <c r="D219" s="7">
        <f t="shared" ref="D219:O219" si="17">D150+D173</f>
        <v>559.73333333333335</v>
      </c>
      <c r="E219" s="7">
        <f t="shared" si="17"/>
        <v>559.73333333333335</v>
      </c>
      <c r="F219" s="7">
        <f t="shared" si="17"/>
        <v>559.73333333333335</v>
      </c>
      <c r="G219" s="7">
        <f t="shared" si="17"/>
        <v>559.73333333333335</v>
      </c>
      <c r="H219" s="7">
        <f t="shared" si="17"/>
        <v>559.73333333333335</v>
      </c>
      <c r="I219" s="7">
        <f t="shared" si="17"/>
        <v>559.73333333333335</v>
      </c>
      <c r="J219" s="7">
        <f t="shared" si="17"/>
        <v>559.73333333333335</v>
      </c>
      <c r="K219" s="7">
        <f t="shared" si="17"/>
        <v>559.73333333333335</v>
      </c>
      <c r="L219" s="7">
        <f t="shared" si="17"/>
        <v>559.73333333333335</v>
      </c>
      <c r="M219" s="7">
        <f t="shared" si="17"/>
        <v>559.73333333333335</v>
      </c>
      <c r="N219" s="7">
        <f t="shared" si="17"/>
        <v>559.73333333333335</v>
      </c>
      <c r="O219" s="7">
        <f t="shared" si="17"/>
        <v>559.73333333333335</v>
      </c>
      <c r="P219" s="8">
        <f t="shared" si="6"/>
        <v>6716.800000000002</v>
      </c>
    </row>
    <row r="220" spans="1:16" x14ac:dyDescent="0.3">
      <c r="A220" s="2" t="s">
        <v>69</v>
      </c>
      <c r="B220" s="2" t="s">
        <v>49</v>
      </c>
      <c r="C220" s="2" t="s">
        <v>29</v>
      </c>
      <c r="D220" s="7">
        <f t="shared" ref="D220:O220" si="18">D151+D174</f>
        <v>581.61666666666667</v>
      </c>
      <c r="E220" s="7">
        <f t="shared" si="18"/>
        <v>581.61666666666667</v>
      </c>
      <c r="F220" s="7">
        <f t="shared" si="18"/>
        <v>581.61666666666667</v>
      </c>
      <c r="G220" s="7">
        <f t="shared" si="18"/>
        <v>581.61666666666667</v>
      </c>
      <c r="H220" s="7">
        <f t="shared" si="18"/>
        <v>581.61666666666667</v>
      </c>
      <c r="I220" s="7">
        <f t="shared" si="18"/>
        <v>581.61666666666667</v>
      </c>
      <c r="J220" s="7">
        <f t="shared" si="18"/>
        <v>581.61666666666667</v>
      </c>
      <c r="K220" s="7">
        <f t="shared" si="18"/>
        <v>581.61666666666667</v>
      </c>
      <c r="L220" s="7">
        <f t="shared" si="18"/>
        <v>581.61666666666667</v>
      </c>
      <c r="M220" s="7">
        <f t="shared" si="18"/>
        <v>581.61666666666667</v>
      </c>
      <c r="N220" s="7">
        <f t="shared" si="18"/>
        <v>581.61666666666667</v>
      </c>
      <c r="O220" s="7">
        <f t="shared" si="18"/>
        <v>581.61666666666667</v>
      </c>
      <c r="P220" s="8">
        <f t="shared" si="6"/>
        <v>6979.4000000000005</v>
      </c>
    </row>
    <row r="221" spans="1:16" x14ac:dyDescent="0.3">
      <c r="A221" s="2" t="s">
        <v>69</v>
      </c>
      <c r="B221" s="2" t="s">
        <v>49</v>
      </c>
      <c r="C221" s="2" t="s">
        <v>30</v>
      </c>
      <c r="D221" s="7">
        <f t="shared" ref="D221:O221" si="19">D152+D175</f>
        <v>613.36666666666667</v>
      </c>
      <c r="E221" s="7">
        <f t="shared" si="19"/>
        <v>613.36666666666667</v>
      </c>
      <c r="F221" s="7">
        <f t="shared" si="19"/>
        <v>613.36666666666667</v>
      </c>
      <c r="G221" s="7">
        <f t="shared" si="19"/>
        <v>613.36666666666667</v>
      </c>
      <c r="H221" s="7">
        <f t="shared" si="19"/>
        <v>613.36666666666667</v>
      </c>
      <c r="I221" s="7">
        <f t="shared" si="19"/>
        <v>613.36666666666667</v>
      </c>
      <c r="J221" s="7">
        <f t="shared" si="19"/>
        <v>613.36666666666667</v>
      </c>
      <c r="K221" s="7">
        <f t="shared" si="19"/>
        <v>613.36666666666667</v>
      </c>
      <c r="L221" s="7">
        <f t="shared" si="19"/>
        <v>613.36666666666667</v>
      </c>
      <c r="M221" s="7">
        <f t="shared" si="19"/>
        <v>613.36666666666667</v>
      </c>
      <c r="N221" s="7">
        <f t="shared" si="19"/>
        <v>613.36666666666667</v>
      </c>
      <c r="O221" s="7">
        <f t="shared" si="19"/>
        <v>613.36666666666667</v>
      </c>
      <c r="P221" s="8">
        <f t="shared" si="6"/>
        <v>7360.4000000000005</v>
      </c>
    </row>
    <row r="222" spans="1:16" x14ac:dyDescent="0.3">
      <c r="A222" s="2" t="s">
        <v>69</v>
      </c>
      <c r="B222" s="2" t="s">
        <v>49</v>
      </c>
      <c r="C222" s="2" t="s">
        <v>31</v>
      </c>
      <c r="D222" s="7">
        <f t="shared" ref="D222:O222" si="20">D153+D176</f>
        <v>692.94999999999993</v>
      </c>
      <c r="E222" s="7">
        <f t="shared" si="20"/>
        <v>692.94999999999993</v>
      </c>
      <c r="F222" s="7">
        <f t="shared" si="20"/>
        <v>692.94999999999993</v>
      </c>
      <c r="G222" s="7">
        <f t="shared" si="20"/>
        <v>692.94999999999993</v>
      </c>
      <c r="H222" s="7">
        <f t="shared" si="20"/>
        <v>692.94999999999993</v>
      </c>
      <c r="I222" s="7">
        <f t="shared" si="20"/>
        <v>692.94999999999993</v>
      </c>
      <c r="J222" s="7">
        <f t="shared" si="20"/>
        <v>692.94999999999993</v>
      </c>
      <c r="K222" s="7">
        <f t="shared" si="20"/>
        <v>692.94999999999993</v>
      </c>
      <c r="L222" s="7">
        <f t="shared" si="20"/>
        <v>692.94999999999993</v>
      </c>
      <c r="M222" s="7">
        <f t="shared" si="20"/>
        <v>692.94999999999993</v>
      </c>
      <c r="N222" s="7">
        <f t="shared" si="20"/>
        <v>692.94999999999993</v>
      </c>
      <c r="O222" s="7">
        <f t="shared" si="20"/>
        <v>692.94999999999993</v>
      </c>
      <c r="P222" s="8">
        <f t="shared" ref="P222:P253" si="21">SUM(D222:O222)</f>
        <v>8315.4</v>
      </c>
    </row>
    <row r="223" spans="1:16" x14ac:dyDescent="0.3">
      <c r="A223" s="2" t="s">
        <v>69</v>
      </c>
      <c r="B223" s="2" t="s">
        <v>49</v>
      </c>
      <c r="C223" s="2" t="s">
        <v>32</v>
      </c>
      <c r="D223" s="7">
        <f t="shared" ref="D223:O223" si="22">D154+D177</f>
        <v>765.94999999999993</v>
      </c>
      <c r="E223" s="7">
        <f t="shared" si="22"/>
        <v>765.94999999999993</v>
      </c>
      <c r="F223" s="7">
        <f t="shared" si="22"/>
        <v>765.94999999999993</v>
      </c>
      <c r="G223" s="7">
        <f t="shared" si="22"/>
        <v>765.94999999999993</v>
      </c>
      <c r="H223" s="7">
        <f t="shared" si="22"/>
        <v>765.94999999999993</v>
      </c>
      <c r="I223" s="7">
        <f t="shared" si="22"/>
        <v>765.94999999999993</v>
      </c>
      <c r="J223" s="7">
        <f t="shared" si="22"/>
        <v>765.94999999999993</v>
      </c>
      <c r="K223" s="7">
        <f t="shared" si="22"/>
        <v>765.94999999999993</v>
      </c>
      <c r="L223" s="7">
        <f t="shared" si="22"/>
        <v>765.94999999999993</v>
      </c>
      <c r="M223" s="7">
        <f t="shared" si="22"/>
        <v>765.94999999999993</v>
      </c>
      <c r="N223" s="7">
        <f t="shared" si="22"/>
        <v>765.94999999999993</v>
      </c>
      <c r="O223" s="7">
        <f t="shared" si="22"/>
        <v>765.94999999999993</v>
      </c>
      <c r="P223" s="8">
        <f t="shared" si="21"/>
        <v>9191.4</v>
      </c>
    </row>
    <row r="224" spans="1:16" x14ac:dyDescent="0.3">
      <c r="A224" s="2" t="s">
        <v>69</v>
      </c>
      <c r="B224" s="2" t="s">
        <v>49</v>
      </c>
      <c r="C224" s="2" t="s">
        <v>33</v>
      </c>
      <c r="D224" s="7">
        <f t="shared" ref="D224:O224" si="23">D155+D178</f>
        <v>772.43333333333339</v>
      </c>
      <c r="E224" s="7">
        <f t="shared" si="23"/>
        <v>772.43333333333339</v>
      </c>
      <c r="F224" s="7">
        <f t="shared" si="23"/>
        <v>772.43333333333339</v>
      </c>
      <c r="G224" s="7">
        <f t="shared" si="23"/>
        <v>772.43333333333339</v>
      </c>
      <c r="H224" s="7">
        <f t="shared" si="23"/>
        <v>772.43333333333339</v>
      </c>
      <c r="I224" s="7">
        <f t="shared" si="23"/>
        <v>772.43333333333339</v>
      </c>
      <c r="J224" s="7">
        <f t="shared" si="23"/>
        <v>772.43333333333339</v>
      </c>
      <c r="K224" s="7">
        <f t="shared" si="23"/>
        <v>772.43333333333339</v>
      </c>
      <c r="L224" s="7">
        <f t="shared" si="23"/>
        <v>772.43333333333339</v>
      </c>
      <c r="M224" s="7">
        <f t="shared" si="23"/>
        <v>772.43333333333339</v>
      </c>
      <c r="N224" s="7">
        <f t="shared" si="23"/>
        <v>772.43333333333339</v>
      </c>
      <c r="O224" s="7">
        <f t="shared" si="23"/>
        <v>772.43333333333339</v>
      </c>
      <c r="P224" s="8">
        <f t="shared" si="21"/>
        <v>9269.2000000000007</v>
      </c>
    </row>
    <row r="225" spans="1:16" x14ac:dyDescent="0.3">
      <c r="A225" s="2" t="s">
        <v>69</v>
      </c>
      <c r="B225" s="2" t="s">
        <v>49</v>
      </c>
      <c r="C225" s="2" t="s">
        <v>34</v>
      </c>
      <c r="D225" s="7">
        <f t="shared" ref="D225:O225" si="24">D156+D179</f>
        <v>774.61666666666667</v>
      </c>
      <c r="E225" s="7">
        <f t="shared" si="24"/>
        <v>774.61666666666667</v>
      </c>
      <c r="F225" s="7">
        <f t="shared" si="24"/>
        <v>774.61666666666667</v>
      </c>
      <c r="G225" s="7">
        <f t="shared" si="24"/>
        <v>774.61666666666667</v>
      </c>
      <c r="H225" s="7">
        <f t="shared" si="24"/>
        <v>774.61666666666667</v>
      </c>
      <c r="I225" s="7">
        <f t="shared" si="24"/>
        <v>774.61666666666667</v>
      </c>
      <c r="J225" s="7">
        <f t="shared" si="24"/>
        <v>774.61666666666667</v>
      </c>
      <c r="K225" s="7">
        <f t="shared" si="24"/>
        <v>774.61666666666667</v>
      </c>
      <c r="L225" s="7">
        <f t="shared" si="24"/>
        <v>774.61666666666667</v>
      </c>
      <c r="M225" s="7">
        <f t="shared" si="24"/>
        <v>774.61666666666667</v>
      </c>
      <c r="N225" s="7">
        <f t="shared" si="24"/>
        <v>774.61666666666667</v>
      </c>
      <c r="O225" s="7">
        <f t="shared" si="24"/>
        <v>774.61666666666667</v>
      </c>
      <c r="P225" s="8">
        <f t="shared" si="21"/>
        <v>9295.4</v>
      </c>
    </row>
    <row r="226" spans="1:16" x14ac:dyDescent="0.3">
      <c r="A226" s="2" t="s">
        <v>69</v>
      </c>
      <c r="B226" s="2" t="s">
        <v>49</v>
      </c>
      <c r="C226" s="2" t="s">
        <v>35</v>
      </c>
      <c r="D226" s="7">
        <f t="shared" ref="D226:O226" si="25">D157+D180</f>
        <v>844.08333333333337</v>
      </c>
      <c r="E226" s="7">
        <f t="shared" si="25"/>
        <v>844.08333333333337</v>
      </c>
      <c r="F226" s="7">
        <f t="shared" si="25"/>
        <v>844.08333333333337</v>
      </c>
      <c r="G226" s="7">
        <f t="shared" si="25"/>
        <v>844.08333333333337</v>
      </c>
      <c r="H226" s="7">
        <f t="shared" si="25"/>
        <v>844.08333333333337</v>
      </c>
      <c r="I226" s="7">
        <f t="shared" si="25"/>
        <v>844.08333333333337</v>
      </c>
      <c r="J226" s="7">
        <f t="shared" si="25"/>
        <v>844.08333333333337</v>
      </c>
      <c r="K226" s="7">
        <f t="shared" si="25"/>
        <v>844.08333333333337</v>
      </c>
      <c r="L226" s="7">
        <f t="shared" si="25"/>
        <v>844.08333333333337</v>
      </c>
      <c r="M226" s="7">
        <f t="shared" si="25"/>
        <v>844.08333333333337</v>
      </c>
      <c r="N226" s="7">
        <f t="shared" si="25"/>
        <v>844.08333333333337</v>
      </c>
      <c r="O226" s="7">
        <f t="shared" si="25"/>
        <v>844.08333333333337</v>
      </c>
      <c r="P226" s="8">
        <f t="shared" si="21"/>
        <v>10129</v>
      </c>
    </row>
    <row r="227" spans="1:16" x14ac:dyDescent="0.3">
      <c r="A227" s="2" t="s">
        <v>69</v>
      </c>
      <c r="B227" s="2" t="s">
        <v>49</v>
      </c>
      <c r="C227" s="2" t="s">
        <v>36</v>
      </c>
      <c r="D227" s="7">
        <f t="shared" ref="D227:O227" si="26">D158+D181</f>
        <v>868.73333333333323</v>
      </c>
      <c r="E227" s="7">
        <f t="shared" si="26"/>
        <v>868.73333333333323</v>
      </c>
      <c r="F227" s="7">
        <f t="shared" si="26"/>
        <v>868.73333333333323</v>
      </c>
      <c r="G227" s="7">
        <f t="shared" si="26"/>
        <v>868.73333333333323</v>
      </c>
      <c r="H227" s="7">
        <f t="shared" si="26"/>
        <v>868.73333333333323</v>
      </c>
      <c r="I227" s="7">
        <f t="shared" si="26"/>
        <v>868.73333333333323</v>
      </c>
      <c r="J227" s="7">
        <f t="shared" si="26"/>
        <v>868.73333333333323</v>
      </c>
      <c r="K227" s="7">
        <f t="shared" si="26"/>
        <v>868.73333333333323</v>
      </c>
      <c r="L227" s="7">
        <f t="shared" si="26"/>
        <v>868.73333333333323</v>
      </c>
      <c r="M227" s="7">
        <f t="shared" si="26"/>
        <v>868.73333333333323</v>
      </c>
      <c r="N227" s="7">
        <f t="shared" si="26"/>
        <v>868.73333333333323</v>
      </c>
      <c r="O227" s="7">
        <f t="shared" si="26"/>
        <v>868.73333333333323</v>
      </c>
      <c r="P227" s="8">
        <f t="shared" si="21"/>
        <v>10424.800000000001</v>
      </c>
    </row>
    <row r="228" spans="1:16" x14ac:dyDescent="0.3">
      <c r="A228" s="2" t="s">
        <v>69</v>
      </c>
      <c r="B228" s="2" t="s">
        <v>49</v>
      </c>
      <c r="C228" s="2" t="s">
        <v>37</v>
      </c>
      <c r="D228" s="7">
        <f t="shared" ref="D228:O228" si="27">D159+D182</f>
        <v>712.94999999999993</v>
      </c>
      <c r="E228" s="7">
        <f t="shared" si="27"/>
        <v>712.94999999999993</v>
      </c>
      <c r="F228" s="7">
        <f t="shared" si="27"/>
        <v>712.94999999999993</v>
      </c>
      <c r="G228" s="7">
        <f t="shared" si="27"/>
        <v>712.94999999999993</v>
      </c>
      <c r="H228" s="7">
        <f t="shared" si="27"/>
        <v>712.94999999999993</v>
      </c>
      <c r="I228" s="7">
        <f t="shared" si="27"/>
        <v>712.94999999999993</v>
      </c>
      <c r="J228" s="7">
        <f t="shared" si="27"/>
        <v>712.94999999999993</v>
      </c>
      <c r="K228" s="7">
        <f t="shared" si="27"/>
        <v>712.94999999999993</v>
      </c>
      <c r="L228" s="7">
        <f t="shared" si="27"/>
        <v>712.94999999999993</v>
      </c>
      <c r="M228" s="7">
        <f t="shared" si="27"/>
        <v>712.94999999999993</v>
      </c>
      <c r="N228" s="7">
        <f t="shared" si="27"/>
        <v>712.94999999999993</v>
      </c>
      <c r="O228" s="7">
        <f t="shared" si="27"/>
        <v>712.94999999999993</v>
      </c>
      <c r="P228" s="8">
        <f t="shared" si="21"/>
        <v>8555.4</v>
      </c>
    </row>
    <row r="229" spans="1:16" x14ac:dyDescent="0.3">
      <c r="A229" s="2" t="s">
        <v>69</v>
      </c>
      <c r="B229" s="2" t="s">
        <v>49</v>
      </c>
      <c r="C229" s="2" t="s">
        <v>38</v>
      </c>
      <c r="D229" s="7">
        <f t="shared" ref="D229:O229" si="28">D160+D183</f>
        <v>830.11666666666667</v>
      </c>
      <c r="E229" s="7">
        <f t="shared" si="28"/>
        <v>830.11666666666667</v>
      </c>
      <c r="F229" s="7">
        <f t="shared" si="28"/>
        <v>830.11666666666667</v>
      </c>
      <c r="G229" s="7">
        <f t="shared" si="28"/>
        <v>830.11666666666667</v>
      </c>
      <c r="H229" s="7">
        <f t="shared" si="28"/>
        <v>830.11666666666667</v>
      </c>
      <c r="I229" s="7">
        <f t="shared" si="28"/>
        <v>830.11666666666667</v>
      </c>
      <c r="J229" s="7">
        <f t="shared" si="28"/>
        <v>830.11666666666667</v>
      </c>
      <c r="K229" s="7">
        <f t="shared" si="28"/>
        <v>830.11666666666667</v>
      </c>
      <c r="L229" s="7">
        <f t="shared" si="28"/>
        <v>830.11666666666667</v>
      </c>
      <c r="M229" s="7">
        <f t="shared" si="28"/>
        <v>830.11666666666667</v>
      </c>
      <c r="N229" s="7">
        <f t="shared" si="28"/>
        <v>830.11666666666667</v>
      </c>
      <c r="O229" s="7">
        <f t="shared" si="28"/>
        <v>830.11666666666667</v>
      </c>
      <c r="P229" s="8">
        <f t="shared" si="21"/>
        <v>9961.4</v>
      </c>
    </row>
    <row r="230" spans="1:16" x14ac:dyDescent="0.3">
      <c r="A230" s="2" t="s">
        <v>69</v>
      </c>
      <c r="B230" s="2" t="s">
        <v>49</v>
      </c>
      <c r="C230" s="2" t="s">
        <v>39</v>
      </c>
      <c r="D230" s="7">
        <f t="shared" ref="D230:O230" si="29">D161+D184</f>
        <v>919.40833333333319</v>
      </c>
      <c r="E230" s="7">
        <f t="shared" si="29"/>
        <v>919.40833333333319</v>
      </c>
      <c r="F230" s="7">
        <f t="shared" si="29"/>
        <v>919.40833333333319</v>
      </c>
      <c r="G230" s="7">
        <f t="shared" si="29"/>
        <v>919.40833333333319</v>
      </c>
      <c r="H230" s="7">
        <f t="shared" si="29"/>
        <v>919.40833333333319</v>
      </c>
      <c r="I230" s="7">
        <f t="shared" si="29"/>
        <v>919.40833333333319</v>
      </c>
      <c r="J230" s="7">
        <f t="shared" si="29"/>
        <v>919.40833333333319</v>
      </c>
      <c r="K230" s="7">
        <f t="shared" si="29"/>
        <v>919.40833333333319</v>
      </c>
      <c r="L230" s="7">
        <f t="shared" si="29"/>
        <v>919.40833333333319</v>
      </c>
      <c r="M230" s="7">
        <f t="shared" si="29"/>
        <v>919.40833333333319</v>
      </c>
      <c r="N230" s="7">
        <f t="shared" si="29"/>
        <v>919.40833333333319</v>
      </c>
      <c r="O230" s="7">
        <f t="shared" si="29"/>
        <v>919.40833333333319</v>
      </c>
      <c r="P230" s="8">
        <f t="shared" si="21"/>
        <v>11032.899999999996</v>
      </c>
    </row>
    <row r="231" spans="1:16" x14ac:dyDescent="0.3">
      <c r="A231" s="2" t="s">
        <v>69</v>
      </c>
      <c r="B231" s="2" t="s">
        <v>49</v>
      </c>
      <c r="C231" s="2" t="s">
        <v>40</v>
      </c>
      <c r="D231" s="7">
        <f t="shared" ref="D231:O231" si="30">D162+D185</f>
        <v>951</v>
      </c>
      <c r="E231" s="7">
        <f t="shared" si="30"/>
        <v>951</v>
      </c>
      <c r="F231" s="7">
        <f t="shared" si="30"/>
        <v>951</v>
      </c>
      <c r="G231" s="7">
        <f t="shared" si="30"/>
        <v>951</v>
      </c>
      <c r="H231" s="7">
        <f t="shared" si="30"/>
        <v>951</v>
      </c>
      <c r="I231" s="7">
        <f t="shared" si="30"/>
        <v>951</v>
      </c>
      <c r="J231" s="7">
        <f t="shared" si="30"/>
        <v>951</v>
      </c>
      <c r="K231" s="7">
        <f t="shared" si="30"/>
        <v>951</v>
      </c>
      <c r="L231" s="7">
        <f t="shared" si="30"/>
        <v>951</v>
      </c>
      <c r="M231" s="7">
        <f t="shared" si="30"/>
        <v>951</v>
      </c>
      <c r="N231" s="7">
        <f t="shared" si="30"/>
        <v>951</v>
      </c>
      <c r="O231" s="7">
        <f t="shared" si="30"/>
        <v>951</v>
      </c>
      <c r="P231" s="8">
        <f t="shared" si="21"/>
        <v>11412</v>
      </c>
    </row>
    <row r="232" spans="1:16" x14ac:dyDescent="0.3">
      <c r="A232" s="2" t="s">
        <v>69</v>
      </c>
      <c r="B232" s="2" t="s">
        <v>50</v>
      </c>
      <c r="C232" s="2" t="s">
        <v>18</v>
      </c>
      <c r="D232" s="7">
        <v>39.091583333333404</v>
      </c>
      <c r="E232" s="7">
        <v>39.091583333333404</v>
      </c>
      <c r="F232" s="7">
        <v>39.091583333333404</v>
      </c>
      <c r="G232" s="7">
        <v>39.091583333333404</v>
      </c>
      <c r="H232" s="7">
        <v>39.091583333333404</v>
      </c>
      <c r="I232" s="7">
        <v>39.091583333333404</v>
      </c>
      <c r="J232" s="7">
        <v>39.091583333333404</v>
      </c>
      <c r="K232" s="7">
        <v>39.091583333333404</v>
      </c>
      <c r="L232" s="7">
        <v>39.091583333333404</v>
      </c>
      <c r="M232" s="7">
        <v>39.091583333333404</v>
      </c>
      <c r="N232" s="7">
        <v>39.091583333333404</v>
      </c>
      <c r="O232" s="7">
        <v>39.091583333333404</v>
      </c>
      <c r="P232" s="8">
        <f t="shared" si="21"/>
        <v>469.09900000000084</v>
      </c>
    </row>
    <row r="233" spans="1:16" x14ac:dyDescent="0.3">
      <c r="A233" s="2" t="s">
        <v>69</v>
      </c>
      <c r="B233" s="2" t="s">
        <v>50</v>
      </c>
      <c r="C233" s="2" t="s">
        <v>19</v>
      </c>
      <c r="D233" s="7">
        <v>12.27408333333327</v>
      </c>
      <c r="E233" s="7">
        <v>12.27408333333327</v>
      </c>
      <c r="F233" s="7">
        <v>12.27408333333327</v>
      </c>
      <c r="G233" s="7">
        <v>12.27408333333327</v>
      </c>
      <c r="H233" s="7">
        <v>12.27408333333327</v>
      </c>
      <c r="I233" s="7">
        <v>12.27408333333327</v>
      </c>
      <c r="J233" s="7">
        <v>12.27408333333327</v>
      </c>
      <c r="K233" s="7">
        <v>12.27408333333327</v>
      </c>
      <c r="L233" s="7">
        <v>12.27408333333327</v>
      </c>
      <c r="M233" s="7">
        <v>12.27408333333327</v>
      </c>
      <c r="N233" s="7">
        <v>12.27408333333327</v>
      </c>
      <c r="O233" s="7">
        <v>12.27408333333327</v>
      </c>
      <c r="P233" s="8">
        <f t="shared" si="21"/>
        <v>147.28899999999922</v>
      </c>
    </row>
    <row r="234" spans="1:16" x14ac:dyDescent="0.3">
      <c r="A234" s="2" t="s">
        <v>69</v>
      </c>
      <c r="B234" s="2" t="s">
        <v>50</v>
      </c>
      <c r="C234" s="2" t="s">
        <v>20</v>
      </c>
      <c r="D234" s="7">
        <v>23.29458333333351</v>
      </c>
      <c r="E234" s="7">
        <v>23.29458333333351</v>
      </c>
      <c r="F234" s="7">
        <v>23.29458333333351</v>
      </c>
      <c r="G234" s="7">
        <v>23.29458333333351</v>
      </c>
      <c r="H234" s="7">
        <v>23.29458333333351</v>
      </c>
      <c r="I234" s="7">
        <v>23.29458333333351</v>
      </c>
      <c r="J234" s="7">
        <v>23.29458333333351</v>
      </c>
      <c r="K234" s="7">
        <v>23.29458333333351</v>
      </c>
      <c r="L234" s="7">
        <v>23.29458333333351</v>
      </c>
      <c r="M234" s="7">
        <v>23.29458333333351</v>
      </c>
      <c r="N234" s="7">
        <v>23.29458333333351</v>
      </c>
      <c r="O234" s="7">
        <v>23.29458333333351</v>
      </c>
      <c r="P234" s="8">
        <f t="shared" si="21"/>
        <v>279.53500000000213</v>
      </c>
    </row>
    <row r="235" spans="1:16" x14ac:dyDescent="0.3">
      <c r="A235" s="2" t="s">
        <v>69</v>
      </c>
      <c r="B235" s="2" t="s">
        <v>50</v>
      </c>
      <c r="C235" s="2" t="s">
        <v>21</v>
      </c>
      <c r="D235" s="7">
        <v>30.769083333333281</v>
      </c>
      <c r="E235" s="7">
        <v>30.769083333333281</v>
      </c>
      <c r="F235" s="7">
        <v>30.769083333333281</v>
      </c>
      <c r="G235" s="7">
        <v>30.769083333333281</v>
      </c>
      <c r="H235" s="7">
        <v>30.769083333333281</v>
      </c>
      <c r="I235" s="7">
        <v>30.769083333333281</v>
      </c>
      <c r="J235" s="7">
        <v>30.769083333333281</v>
      </c>
      <c r="K235" s="7">
        <v>30.769083333333281</v>
      </c>
      <c r="L235" s="7">
        <v>30.769083333333281</v>
      </c>
      <c r="M235" s="7">
        <v>30.769083333333281</v>
      </c>
      <c r="N235" s="7">
        <v>30.769083333333281</v>
      </c>
      <c r="O235" s="7">
        <v>30.769083333333281</v>
      </c>
      <c r="P235" s="8">
        <f t="shared" si="21"/>
        <v>369.22899999999942</v>
      </c>
    </row>
    <row r="236" spans="1:16" x14ac:dyDescent="0.3">
      <c r="A236" s="2" t="s">
        <v>69</v>
      </c>
      <c r="B236" s="2" t="s">
        <v>50</v>
      </c>
      <c r="C236" s="2" t="s">
        <v>22</v>
      </c>
      <c r="D236" s="7">
        <v>32.415083333333349</v>
      </c>
      <c r="E236" s="7">
        <v>32.415083333333349</v>
      </c>
      <c r="F236" s="7">
        <v>32.415083333333349</v>
      </c>
      <c r="G236" s="7">
        <v>32.415083333333349</v>
      </c>
      <c r="H236" s="7">
        <v>32.415083333333349</v>
      </c>
      <c r="I236" s="7">
        <v>32.415083333333349</v>
      </c>
      <c r="J236" s="7">
        <v>32.415083333333349</v>
      </c>
      <c r="K236" s="7">
        <v>32.415083333333349</v>
      </c>
      <c r="L236" s="7">
        <v>32.415083333333349</v>
      </c>
      <c r="M236" s="7">
        <v>32.415083333333349</v>
      </c>
      <c r="N236" s="7">
        <v>32.415083333333349</v>
      </c>
      <c r="O236" s="7">
        <v>32.415083333333349</v>
      </c>
      <c r="P236" s="8">
        <f t="shared" si="21"/>
        <v>388.98100000000028</v>
      </c>
    </row>
    <row r="237" spans="1:16" x14ac:dyDescent="0.3">
      <c r="A237" s="2" t="s">
        <v>69</v>
      </c>
      <c r="B237" s="2" t="s">
        <v>50</v>
      </c>
      <c r="C237" s="2" t="s">
        <v>23</v>
      </c>
      <c r="D237" s="7">
        <v>13.20416666666673</v>
      </c>
      <c r="E237" s="7">
        <v>13.20416666666673</v>
      </c>
      <c r="F237" s="7">
        <v>13.20416666666673</v>
      </c>
      <c r="G237" s="7">
        <v>13.20416666666673</v>
      </c>
      <c r="H237" s="7">
        <v>13.20416666666673</v>
      </c>
      <c r="I237" s="7">
        <v>13.20416666666673</v>
      </c>
      <c r="J237" s="7">
        <v>13.20416666666673</v>
      </c>
      <c r="K237" s="7">
        <v>13.20416666666673</v>
      </c>
      <c r="L237" s="7">
        <v>13.20416666666673</v>
      </c>
      <c r="M237" s="7">
        <v>13.20416666666673</v>
      </c>
      <c r="N237" s="7">
        <v>13.20416666666673</v>
      </c>
      <c r="O237" s="7">
        <v>13.20416666666673</v>
      </c>
      <c r="P237" s="8">
        <f t="shared" si="21"/>
        <v>158.45000000000081</v>
      </c>
    </row>
    <row r="238" spans="1:16" x14ac:dyDescent="0.3">
      <c r="A238" s="2" t="s">
        <v>69</v>
      </c>
      <c r="B238" s="2" t="s">
        <v>50</v>
      </c>
      <c r="C238" s="2" t="s">
        <v>24</v>
      </c>
      <c r="D238" s="7">
        <v>8.8014166666666824</v>
      </c>
      <c r="E238" s="7">
        <v>8.8014166666666824</v>
      </c>
      <c r="F238" s="7">
        <v>8.8014166666666824</v>
      </c>
      <c r="G238" s="7">
        <v>8.8014166666666824</v>
      </c>
      <c r="H238" s="7">
        <v>8.8014166666666824</v>
      </c>
      <c r="I238" s="7">
        <v>8.8014166666666824</v>
      </c>
      <c r="J238" s="7">
        <v>8.8014166666666824</v>
      </c>
      <c r="K238" s="7">
        <v>8.8014166666666824</v>
      </c>
      <c r="L238" s="7">
        <v>8.8014166666666824</v>
      </c>
      <c r="M238" s="7">
        <v>8.8014166666666824</v>
      </c>
      <c r="N238" s="7">
        <v>8.8014166666666824</v>
      </c>
      <c r="O238" s="7">
        <v>8.8014166666666824</v>
      </c>
      <c r="P238" s="8">
        <f t="shared" si="21"/>
        <v>105.61700000000019</v>
      </c>
    </row>
    <row r="239" spans="1:16" x14ac:dyDescent="0.3">
      <c r="A239" s="2" t="s">
        <v>69</v>
      </c>
      <c r="B239" s="2" t="s">
        <v>50</v>
      </c>
      <c r="C239" s="2" t="s">
        <v>25</v>
      </c>
      <c r="D239" s="7">
        <v>21.763666666666801</v>
      </c>
      <c r="E239" s="7">
        <v>21.763666666666801</v>
      </c>
      <c r="F239" s="7">
        <v>21.763666666666801</v>
      </c>
      <c r="G239" s="7">
        <v>21.763666666666801</v>
      </c>
      <c r="H239" s="7">
        <v>21.763666666666801</v>
      </c>
      <c r="I239" s="7">
        <v>21.763666666666801</v>
      </c>
      <c r="J239" s="7">
        <v>21.763666666666801</v>
      </c>
      <c r="K239" s="7">
        <v>21.763666666666801</v>
      </c>
      <c r="L239" s="7">
        <v>21.763666666666801</v>
      </c>
      <c r="M239" s="7">
        <v>21.763666666666801</v>
      </c>
      <c r="N239" s="7">
        <v>21.763666666666801</v>
      </c>
      <c r="O239" s="7">
        <v>21.763666666666801</v>
      </c>
      <c r="P239" s="8">
        <f t="shared" si="21"/>
        <v>261.16400000000164</v>
      </c>
    </row>
    <row r="240" spans="1:16" x14ac:dyDescent="0.3">
      <c r="A240" s="2" t="s">
        <v>69</v>
      </c>
      <c r="B240" s="2" t="s">
        <v>50</v>
      </c>
      <c r="C240" s="2" t="s">
        <v>26</v>
      </c>
      <c r="D240" s="7">
        <v>4.8517500000000382</v>
      </c>
      <c r="E240" s="7">
        <v>4.8517500000000382</v>
      </c>
      <c r="F240" s="7">
        <v>4.8517500000000382</v>
      </c>
      <c r="G240" s="7">
        <v>4.8517500000000382</v>
      </c>
      <c r="H240" s="7">
        <v>4.8517500000000382</v>
      </c>
      <c r="I240" s="7">
        <v>4.8517500000000382</v>
      </c>
      <c r="J240" s="7">
        <v>4.8517500000000382</v>
      </c>
      <c r="K240" s="7">
        <v>4.8517500000000382</v>
      </c>
      <c r="L240" s="7">
        <v>4.8517500000000382</v>
      </c>
      <c r="M240" s="7">
        <v>4.8517500000000382</v>
      </c>
      <c r="N240" s="7">
        <v>4.8517500000000382</v>
      </c>
      <c r="O240" s="7">
        <v>4.8517500000000382</v>
      </c>
      <c r="P240" s="8">
        <f t="shared" si="21"/>
        <v>58.221000000000458</v>
      </c>
    </row>
    <row r="241" spans="1:16" x14ac:dyDescent="0.3">
      <c r="A241" s="2" t="s">
        <v>69</v>
      </c>
      <c r="B241" s="2" t="s">
        <v>50</v>
      </c>
      <c r="C241" s="2" t="s">
        <v>27</v>
      </c>
      <c r="D241" s="7">
        <v>40.715500000000517</v>
      </c>
      <c r="E241" s="7">
        <v>40.715500000000517</v>
      </c>
      <c r="F241" s="7">
        <v>40.715500000000517</v>
      </c>
      <c r="G241" s="7">
        <v>40.715500000000517</v>
      </c>
      <c r="H241" s="7">
        <v>40.715500000000517</v>
      </c>
      <c r="I241" s="7">
        <v>40.715500000000517</v>
      </c>
      <c r="J241" s="7">
        <v>40.715500000000517</v>
      </c>
      <c r="K241" s="7">
        <v>40.715500000000517</v>
      </c>
      <c r="L241" s="7">
        <v>40.715500000000517</v>
      </c>
      <c r="M241" s="7">
        <v>40.715500000000517</v>
      </c>
      <c r="N241" s="7">
        <v>40.715500000000517</v>
      </c>
      <c r="O241" s="7">
        <v>40.715500000000517</v>
      </c>
      <c r="P241" s="8">
        <f t="shared" si="21"/>
        <v>488.58600000000632</v>
      </c>
    </row>
    <row r="242" spans="1:16" x14ac:dyDescent="0.3">
      <c r="A242" s="2" t="s">
        <v>69</v>
      </c>
      <c r="B242" s="2" t="s">
        <v>50</v>
      </c>
      <c r="C242" s="2" t="s">
        <v>28</v>
      </c>
      <c r="D242" s="7">
        <v>24.065666666666431</v>
      </c>
      <c r="E242" s="7">
        <v>24.065666666666431</v>
      </c>
      <c r="F242" s="7">
        <v>24.065666666666431</v>
      </c>
      <c r="G242" s="7">
        <v>24.065666666666431</v>
      </c>
      <c r="H242" s="7">
        <v>24.065666666666431</v>
      </c>
      <c r="I242" s="7">
        <v>24.065666666666431</v>
      </c>
      <c r="J242" s="7">
        <v>24.065666666666431</v>
      </c>
      <c r="K242" s="7">
        <v>24.065666666666431</v>
      </c>
      <c r="L242" s="7">
        <v>24.065666666666431</v>
      </c>
      <c r="M242" s="7">
        <v>24.065666666666431</v>
      </c>
      <c r="N242" s="7">
        <v>24.065666666666431</v>
      </c>
      <c r="O242" s="7">
        <v>24.065666666666431</v>
      </c>
      <c r="P242" s="8">
        <f t="shared" si="21"/>
        <v>288.78799999999717</v>
      </c>
    </row>
    <row r="243" spans="1:16" x14ac:dyDescent="0.3">
      <c r="A243" s="2" t="s">
        <v>69</v>
      </c>
      <c r="B243" s="2" t="s">
        <v>50</v>
      </c>
      <c r="C243" s="2" t="s">
        <v>29</v>
      </c>
      <c r="D243" s="7">
        <v>3.6029166666665642</v>
      </c>
      <c r="E243" s="7">
        <v>3.6029166666665642</v>
      </c>
      <c r="F243" s="7">
        <v>3.6029166666665642</v>
      </c>
      <c r="G243" s="7">
        <v>3.6029166666665642</v>
      </c>
      <c r="H243" s="7">
        <v>3.6029166666665642</v>
      </c>
      <c r="I243" s="7">
        <v>3.6029166666665642</v>
      </c>
      <c r="J243" s="7">
        <v>3.6029166666665642</v>
      </c>
      <c r="K243" s="7">
        <v>3.6029166666665642</v>
      </c>
      <c r="L243" s="7">
        <v>3.6029166666665642</v>
      </c>
      <c r="M243" s="7">
        <v>3.6029166666665642</v>
      </c>
      <c r="N243" s="7">
        <v>3.6029166666665642</v>
      </c>
      <c r="O243" s="7">
        <v>3.6029166666665642</v>
      </c>
      <c r="P243" s="8">
        <f t="shared" si="21"/>
        <v>43.234999999998784</v>
      </c>
    </row>
    <row r="244" spans="1:16" x14ac:dyDescent="0.3">
      <c r="A244" s="2" t="s">
        <v>69</v>
      </c>
      <c r="B244" s="2" t="s">
        <v>50</v>
      </c>
      <c r="C244" s="2" t="s">
        <v>30</v>
      </c>
      <c r="D244" s="7">
        <v>28.77441666666672</v>
      </c>
      <c r="E244" s="7">
        <v>28.77441666666672</v>
      </c>
      <c r="F244" s="7">
        <v>28.77441666666672</v>
      </c>
      <c r="G244" s="7">
        <v>28.77441666666672</v>
      </c>
      <c r="H244" s="7">
        <v>28.77441666666672</v>
      </c>
      <c r="I244" s="7">
        <v>28.77441666666672</v>
      </c>
      <c r="J244" s="7">
        <v>28.77441666666672</v>
      </c>
      <c r="K244" s="7">
        <v>28.77441666666672</v>
      </c>
      <c r="L244" s="7">
        <v>28.77441666666672</v>
      </c>
      <c r="M244" s="7">
        <v>28.77441666666672</v>
      </c>
      <c r="N244" s="7">
        <v>28.77441666666672</v>
      </c>
      <c r="O244" s="7">
        <v>28.77441666666672</v>
      </c>
      <c r="P244" s="8">
        <f t="shared" si="21"/>
        <v>345.29300000000057</v>
      </c>
    </row>
    <row r="245" spans="1:16" x14ac:dyDescent="0.3">
      <c r="A245" s="2" t="s">
        <v>69</v>
      </c>
      <c r="B245" s="2" t="s">
        <v>50</v>
      </c>
      <c r="C245" s="2" t="s">
        <v>31</v>
      </c>
      <c r="D245" s="7">
        <v>30.510750000000598</v>
      </c>
      <c r="E245" s="7">
        <v>30.510750000000598</v>
      </c>
      <c r="F245" s="7">
        <v>30.510750000000598</v>
      </c>
      <c r="G245" s="7">
        <v>30.510750000000598</v>
      </c>
      <c r="H245" s="7">
        <v>30.510750000000598</v>
      </c>
      <c r="I245" s="7">
        <v>30.510750000000598</v>
      </c>
      <c r="J245" s="7">
        <v>30.510750000000598</v>
      </c>
      <c r="K245" s="7">
        <v>30.510750000000598</v>
      </c>
      <c r="L245" s="7">
        <v>30.510750000000598</v>
      </c>
      <c r="M245" s="7">
        <v>30.510750000000598</v>
      </c>
      <c r="N245" s="7">
        <v>30.510750000000598</v>
      </c>
      <c r="O245" s="7">
        <v>30.510750000000598</v>
      </c>
      <c r="P245" s="8">
        <f t="shared" si="21"/>
        <v>366.12900000000718</v>
      </c>
    </row>
    <row r="246" spans="1:16" x14ac:dyDescent="0.3">
      <c r="A246" s="2" t="s">
        <v>69</v>
      </c>
      <c r="B246" s="2" t="s">
        <v>50</v>
      </c>
      <c r="C246" s="2" t="s">
        <v>32</v>
      </c>
      <c r="D246" s="7">
        <v>19.145999999999791</v>
      </c>
      <c r="E246" s="7">
        <v>19.145999999999791</v>
      </c>
      <c r="F246" s="7">
        <v>19.145999999999791</v>
      </c>
      <c r="G246" s="7">
        <v>19.145999999999791</v>
      </c>
      <c r="H246" s="7">
        <v>19.145999999999791</v>
      </c>
      <c r="I246" s="7">
        <v>19.145999999999791</v>
      </c>
      <c r="J246" s="7">
        <v>19.145999999999791</v>
      </c>
      <c r="K246" s="7">
        <v>19.145999999999791</v>
      </c>
      <c r="L246" s="7">
        <v>19.145999999999791</v>
      </c>
      <c r="M246" s="7">
        <v>19.145999999999791</v>
      </c>
      <c r="N246" s="7">
        <v>19.145999999999791</v>
      </c>
      <c r="O246" s="7">
        <v>19.145999999999791</v>
      </c>
      <c r="P246" s="8">
        <f t="shared" si="21"/>
        <v>229.75199999999748</v>
      </c>
    </row>
    <row r="247" spans="1:16" x14ac:dyDescent="0.3">
      <c r="A247" s="2" t="s">
        <v>69</v>
      </c>
      <c r="B247" s="2" t="s">
        <v>50</v>
      </c>
      <c r="C247" s="2" t="s">
        <v>33</v>
      </c>
      <c r="D247" s="7">
        <v>12.88066666666638</v>
      </c>
      <c r="E247" s="7">
        <v>12.88066666666638</v>
      </c>
      <c r="F247" s="7">
        <v>12.88066666666638</v>
      </c>
      <c r="G247" s="7">
        <v>12.88066666666638</v>
      </c>
      <c r="H247" s="7">
        <v>12.88066666666638</v>
      </c>
      <c r="I247" s="7">
        <v>12.88066666666638</v>
      </c>
      <c r="J247" s="7">
        <v>12.88066666666638</v>
      </c>
      <c r="K247" s="7">
        <v>12.88066666666638</v>
      </c>
      <c r="L247" s="7">
        <v>12.88066666666638</v>
      </c>
      <c r="M247" s="7">
        <v>12.88066666666638</v>
      </c>
      <c r="N247" s="7">
        <v>12.88066666666638</v>
      </c>
      <c r="O247" s="7">
        <v>12.88066666666638</v>
      </c>
      <c r="P247" s="8">
        <f t="shared" si="21"/>
        <v>154.56799999999657</v>
      </c>
    </row>
    <row r="248" spans="1:16" x14ac:dyDescent="0.3">
      <c r="A248" s="2" t="s">
        <v>69</v>
      </c>
      <c r="B248" s="2" t="s">
        <v>50</v>
      </c>
      <c r="C248" s="2" t="s">
        <v>34</v>
      </c>
      <c r="D248" s="7">
        <v>47.746750000000169</v>
      </c>
      <c r="E248" s="7">
        <v>47.746750000000169</v>
      </c>
      <c r="F248" s="7">
        <v>47.746750000000169</v>
      </c>
      <c r="G248" s="7">
        <v>47.746750000000169</v>
      </c>
      <c r="H248" s="7">
        <v>47.746750000000169</v>
      </c>
      <c r="I248" s="7">
        <v>47.746750000000169</v>
      </c>
      <c r="J248" s="7">
        <v>47.746750000000169</v>
      </c>
      <c r="K248" s="7">
        <v>47.746750000000169</v>
      </c>
      <c r="L248" s="7">
        <v>47.746750000000169</v>
      </c>
      <c r="M248" s="7">
        <v>47.746750000000169</v>
      </c>
      <c r="N248" s="7">
        <v>47.746750000000169</v>
      </c>
      <c r="O248" s="7">
        <v>47.746750000000169</v>
      </c>
      <c r="P248" s="8">
        <f t="shared" si="21"/>
        <v>572.96100000000206</v>
      </c>
    </row>
    <row r="249" spans="1:16" x14ac:dyDescent="0.3">
      <c r="A249" s="2" t="s">
        <v>69</v>
      </c>
      <c r="B249" s="2" t="s">
        <v>50</v>
      </c>
      <c r="C249" s="2" t="s">
        <v>35</v>
      </c>
      <c r="D249" s="7">
        <v>74.778416666666587</v>
      </c>
      <c r="E249" s="7">
        <v>74.778416666666587</v>
      </c>
      <c r="F249" s="7">
        <v>74.778416666666587</v>
      </c>
      <c r="G249" s="7">
        <v>74.778416666666587</v>
      </c>
      <c r="H249" s="7">
        <v>74.778416666666587</v>
      </c>
      <c r="I249" s="7">
        <v>74.778416666666587</v>
      </c>
      <c r="J249" s="7">
        <v>74.778416666666587</v>
      </c>
      <c r="K249" s="7">
        <v>74.778416666666587</v>
      </c>
      <c r="L249" s="7">
        <v>74.778416666666587</v>
      </c>
      <c r="M249" s="7">
        <v>74.778416666666587</v>
      </c>
      <c r="N249" s="7">
        <v>74.778416666666587</v>
      </c>
      <c r="O249" s="7">
        <v>74.778416666666587</v>
      </c>
      <c r="P249" s="8">
        <f t="shared" si="21"/>
        <v>897.34099999999887</v>
      </c>
    </row>
    <row r="250" spans="1:16" x14ac:dyDescent="0.3">
      <c r="A250" s="2" t="s">
        <v>69</v>
      </c>
      <c r="B250" s="2" t="s">
        <v>50</v>
      </c>
      <c r="C250" s="2" t="s">
        <v>36</v>
      </c>
      <c r="D250" s="7">
        <v>29.842999999999851</v>
      </c>
      <c r="E250" s="7">
        <v>29.842999999999851</v>
      </c>
      <c r="F250" s="7">
        <v>29.842999999999851</v>
      </c>
      <c r="G250" s="7">
        <v>29.842999999999851</v>
      </c>
      <c r="H250" s="7">
        <v>29.842999999999851</v>
      </c>
      <c r="I250" s="7">
        <v>29.842999999999851</v>
      </c>
      <c r="J250" s="7">
        <v>29.842999999999851</v>
      </c>
      <c r="K250" s="7">
        <v>29.842999999999851</v>
      </c>
      <c r="L250" s="7">
        <v>29.842999999999851</v>
      </c>
      <c r="M250" s="7">
        <v>29.842999999999851</v>
      </c>
      <c r="N250" s="7">
        <v>29.842999999999851</v>
      </c>
      <c r="O250" s="7">
        <v>29.842999999999851</v>
      </c>
      <c r="P250" s="8">
        <f t="shared" si="21"/>
        <v>358.11599999999822</v>
      </c>
    </row>
    <row r="251" spans="1:16" x14ac:dyDescent="0.3">
      <c r="A251" s="2" t="s">
        <v>69</v>
      </c>
      <c r="B251" s="2" t="s">
        <v>50</v>
      </c>
      <c r="C251" s="2" t="s">
        <v>37</v>
      </c>
      <c r="D251" s="7">
        <v>70.331499999999821</v>
      </c>
      <c r="E251" s="7">
        <v>70.331499999999821</v>
      </c>
      <c r="F251" s="7">
        <v>70.331499999999821</v>
      </c>
      <c r="G251" s="7">
        <v>70.331499999999821</v>
      </c>
      <c r="H251" s="7">
        <v>70.331499999999821</v>
      </c>
      <c r="I251" s="7">
        <v>70.331499999999821</v>
      </c>
      <c r="J251" s="7">
        <v>70.331499999999821</v>
      </c>
      <c r="K251" s="7">
        <v>70.331499999999821</v>
      </c>
      <c r="L251" s="7">
        <v>70.331499999999821</v>
      </c>
      <c r="M251" s="7">
        <v>70.331499999999821</v>
      </c>
      <c r="N251" s="7">
        <v>70.331499999999821</v>
      </c>
      <c r="O251" s="7">
        <v>70.331499999999821</v>
      </c>
      <c r="P251" s="8">
        <f t="shared" si="21"/>
        <v>843.97799999999768</v>
      </c>
    </row>
    <row r="252" spans="1:16" x14ac:dyDescent="0.3">
      <c r="A252" s="2" t="s">
        <v>69</v>
      </c>
      <c r="B252" s="2" t="s">
        <v>50</v>
      </c>
      <c r="C252" s="2" t="s">
        <v>38</v>
      </c>
      <c r="D252" s="7">
        <v>59.220500000000051</v>
      </c>
      <c r="E252" s="7">
        <v>59.220500000000051</v>
      </c>
      <c r="F252" s="7">
        <v>59.220500000000051</v>
      </c>
      <c r="G252" s="7">
        <v>59.220500000000051</v>
      </c>
      <c r="H252" s="7">
        <v>59.220500000000051</v>
      </c>
      <c r="I252" s="7">
        <v>59.220500000000051</v>
      </c>
      <c r="J252" s="7">
        <v>59.220500000000051</v>
      </c>
      <c r="K252" s="7">
        <v>59.220500000000051</v>
      </c>
      <c r="L252" s="7">
        <v>59.220500000000051</v>
      </c>
      <c r="M252" s="7">
        <v>59.220500000000051</v>
      </c>
      <c r="N252" s="7">
        <v>59.220500000000051</v>
      </c>
      <c r="O252" s="7">
        <v>59.220500000000051</v>
      </c>
      <c r="P252" s="8">
        <f t="shared" si="21"/>
        <v>710.64600000000053</v>
      </c>
    </row>
    <row r="253" spans="1:16" x14ac:dyDescent="0.3">
      <c r="A253" s="2" t="s">
        <v>69</v>
      </c>
      <c r="B253" s="2" t="s">
        <v>50</v>
      </c>
      <c r="C253" s="2" t="s">
        <v>39</v>
      </c>
      <c r="D253" s="7">
        <v>44.409916666667037</v>
      </c>
      <c r="E253" s="7">
        <v>44.409916666667037</v>
      </c>
      <c r="F253" s="7">
        <v>44.409916666667037</v>
      </c>
      <c r="G253" s="7">
        <v>44.409916666667037</v>
      </c>
      <c r="H253" s="7">
        <v>44.409916666667037</v>
      </c>
      <c r="I253" s="7">
        <v>44.409916666667037</v>
      </c>
      <c r="J253" s="7">
        <v>44.409916666667037</v>
      </c>
      <c r="K253" s="7">
        <v>44.409916666667037</v>
      </c>
      <c r="L253" s="7">
        <v>44.409916666667037</v>
      </c>
      <c r="M253" s="7">
        <v>44.409916666667037</v>
      </c>
      <c r="N253" s="7">
        <v>44.409916666667037</v>
      </c>
      <c r="O253" s="7">
        <v>44.409916666667037</v>
      </c>
      <c r="P253" s="8">
        <f t="shared" si="21"/>
        <v>532.9190000000043</v>
      </c>
    </row>
    <row r="254" spans="1:16" x14ac:dyDescent="0.3">
      <c r="A254" s="2" t="s">
        <v>69</v>
      </c>
      <c r="B254" s="2" t="s">
        <v>50</v>
      </c>
      <c r="C254" s="2" t="s">
        <v>40</v>
      </c>
      <c r="D254" s="7">
        <v>16.601333333333301</v>
      </c>
      <c r="E254" s="7">
        <v>16.601333333333301</v>
      </c>
      <c r="F254" s="7">
        <v>16.601333333333301</v>
      </c>
      <c r="G254" s="7">
        <v>16.601333333333301</v>
      </c>
      <c r="H254" s="7">
        <v>16.601333333333301</v>
      </c>
      <c r="I254" s="7">
        <v>16.601333333333301</v>
      </c>
      <c r="J254" s="7">
        <v>16.601333333333301</v>
      </c>
      <c r="K254" s="7">
        <v>16.601333333333301</v>
      </c>
      <c r="L254" s="7">
        <v>16.601333333333301</v>
      </c>
      <c r="M254" s="7">
        <v>16.601333333333301</v>
      </c>
      <c r="N254" s="7">
        <v>16.601333333333301</v>
      </c>
      <c r="O254" s="7">
        <v>16.601333333333301</v>
      </c>
      <c r="P254" s="8">
        <f t="shared" ref="P254" si="31">SUM(D254:O254)</f>
        <v>199.21599999999955</v>
      </c>
    </row>
    <row r="255" spans="1:16" x14ac:dyDescent="0.3">
      <c r="A255" s="2" t="s">
        <v>69</v>
      </c>
      <c r="B255" s="2" t="s">
        <v>51</v>
      </c>
      <c r="C255" s="2" t="s">
        <v>18</v>
      </c>
      <c r="D255" s="7">
        <f>1249.6+D71+D117-D94-D209-D232-D186</f>
        <v>5448.1100833333339</v>
      </c>
      <c r="E255" s="7">
        <f t="shared" ref="E255:O255" si="32">D255+E71+E117-E94-E209-E232-E186</f>
        <v>5179.0491666666667</v>
      </c>
      <c r="F255" s="7">
        <f t="shared" si="32"/>
        <v>4685.1402499999995</v>
      </c>
      <c r="G255" s="7">
        <f t="shared" si="32"/>
        <v>4211.0063333333319</v>
      </c>
      <c r="H255" s="7">
        <f t="shared" si="32"/>
        <v>3763.9804166666654</v>
      </c>
      <c r="I255" s="7">
        <f t="shared" si="32"/>
        <v>3441.2184999999986</v>
      </c>
      <c r="J255" s="7">
        <f t="shared" si="32"/>
        <v>3061.0855833333321</v>
      </c>
      <c r="K255" s="7">
        <f t="shared" si="32"/>
        <v>2600.5146666666656</v>
      </c>
      <c r="L255" s="7">
        <f t="shared" si="32"/>
        <v>2216.6117499999991</v>
      </c>
      <c r="M255" s="7">
        <f t="shared" si="32"/>
        <v>1783.7868333333324</v>
      </c>
      <c r="N255" s="7">
        <f t="shared" si="32"/>
        <v>1326.0049166666658</v>
      </c>
      <c r="O255" s="7">
        <f t="shared" si="32"/>
        <v>894.19999999999914</v>
      </c>
      <c r="P255" s="8">
        <f t="shared" ref="P255:P277" si="33">O255</f>
        <v>894.19999999999914</v>
      </c>
    </row>
    <row r="256" spans="1:16" x14ac:dyDescent="0.3">
      <c r="A256" s="2" t="s">
        <v>69</v>
      </c>
      <c r="B256" s="2" t="s">
        <v>51</v>
      </c>
      <c r="C256" s="2" t="s">
        <v>19</v>
      </c>
      <c r="D256" s="7">
        <f t="shared" ref="D256:D277" si="34">O255+D72+D118-D95-D210-D233-D187</f>
        <v>7177.959249999999</v>
      </c>
      <c r="E256" s="7">
        <f t="shared" ref="E256:O256" si="35">D256+E72+E118-E95-E210-E233-E187</f>
        <v>6621.4204999999993</v>
      </c>
      <c r="F256" s="7">
        <f t="shared" si="35"/>
        <v>5835.0037499999989</v>
      </c>
      <c r="G256" s="7">
        <f t="shared" si="35"/>
        <v>5075.8099999999995</v>
      </c>
      <c r="H256" s="7">
        <f t="shared" si="35"/>
        <v>4497.5372499999994</v>
      </c>
      <c r="I256" s="7">
        <f t="shared" si="35"/>
        <v>3993.3814999999995</v>
      </c>
      <c r="J256" s="7">
        <f t="shared" si="35"/>
        <v>3475.7167499999996</v>
      </c>
      <c r="K256" s="7">
        <f t="shared" si="35"/>
        <v>2858.9609999999998</v>
      </c>
      <c r="L256" s="7">
        <f t="shared" si="35"/>
        <v>2339.9312499999996</v>
      </c>
      <c r="M256" s="7">
        <f t="shared" si="35"/>
        <v>1771.1864999999998</v>
      </c>
      <c r="N256" s="7">
        <f t="shared" si="35"/>
        <v>1187.6957499999999</v>
      </c>
      <c r="O256" s="7">
        <f t="shared" si="35"/>
        <v>608.6</v>
      </c>
      <c r="P256" s="8">
        <f t="shared" si="33"/>
        <v>608.6</v>
      </c>
    </row>
    <row r="257" spans="1:16" x14ac:dyDescent="0.3">
      <c r="A257" s="2" t="s">
        <v>69</v>
      </c>
      <c r="B257" s="2" t="s">
        <v>51</v>
      </c>
      <c r="C257" s="2" t="s">
        <v>20</v>
      </c>
      <c r="D257" s="7">
        <f t="shared" si="34"/>
        <v>7830.3784166666674</v>
      </c>
      <c r="E257" s="7">
        <f t="shared" ref="E257:O257" si="36">D257+E73+E119-E96-E211-E234-E188</f>
        <v>7484.9748333333346</v>
      </c>
      <c r="F257" s="7">
        <f t="shared" si="36"/>
        <v>6627.3242500000015</v>
      </c>
      <c r="G257" s="7">
        <f t="shared" si="36"/>
        <v>5899.0696666666681</v>
      </c>
      <c r="H257" s="7">
        <f t="shared" si="36"/>
        <v>5315.8700833333351</v>
      </c>
      <c r="I257" s="7">
        <f t="shared" si="36"/>
        <v>4828.1535000000022</v>
      </c>
      <c r="J257" s="7">
        <f t="shared" si="36"/>
        <v>4330.9509166666694</v>
      </c>
      <c r="K257" s="7">
        <f t="shared" si="36"/>
        <v>3749.0083333333359</v>
      </c>
      <c r="L257" s="7">
        <f t="shared" si="36"/>
        <v>3191.1317500000027</v>
      </c>
      <c r="M257" s="7">
        <f t="shared" si="36"/>
        <v>2721.27316666667</v>
      </c>
      <c r="N257" s="7">
        <f t="shared" si="36"/>
        <v>2070.6075833333366</v>
      </c>
      <c r="O257" s="7">
        <f t="shared" si="36"/>
        <v>1586.6000000000031</v>
      </c>
      <c r="P257" s="8">
        <f t="shared" si="33"/>
        <v>1586.6000000000031</v>
      </c>
    </row>
    <row r="258" spans="1:16" x14ac:dyDescent="0.3">
      <c r="A258" s="2" t="s">
        <v>69</v>
      </c>
      <c r="B258" s="2" t="s">
        <v>51</v>
      </c>
      <c r="C258" s="2" t="s">
        <v>21</v>
      </c>
      <c r="D258" s="7">
        <f t="shared" si="34"/>
        <v>10450.735250000002</v>
      </c>
      <c r="E258" s="7">
        <f t="shared" ref="E258:O258" si="37">D258+E74+E120-E97-E212-E235-E189</f>
        <v>9918.3985000000011</v>
      </c>
      <c r="F258" s="7">
        <f t="shared" si="37"/>
        <v>9028.2947500000009</v>
      </c>
      <c r="G258" s="7">
        <f t="shared" si="37"/>
        <v>8270.5220000000008</v>
      </c>
      <c r="H258" s="7">
        <f t="shared" si="37"/>
        <v>7389.28125</v>
      </c>
      <c r="I258" s="7">
        <f t="shared" si="37"/>
        <v>6730.0074999999997</v>
      </c>
      <c r="J258" s="7">
        <f t="shared" si="37"/>
        <v>5983.6257499999992</v>
      </c>
      <c r="K258" s="7">
        <f t="shared" si="37"/>
        <v>5069.857</v>
      </c>
      <c r="L258" s="7">
        <f t="shared" si="37"/>
        <v>4305.2782500000003</v>
      </c>
      <c r="M258" s="7">
        <f t="shared" si="37"/>
        <v>3442.3175000000001</v>
      </c>
      <c r="N258" s="7">
        <f t="shared" si="37"/>
        <v>2831.8157500000002</v>
      </c>
      <c r="O258" s="7">
        <f t="shared" si="37"/>
        <v>2006.9999999999998</v>
      </c>
      <c r="P258" s="8">
        <f t="shared" si="33"/>
        <v>2006.9999999999998</v>
      </c>
    </row>
    <row r="259" spans="1:16" x14ac:dyDescent="0.3">
      <c r="A259" s="2" t="s">
        <v>69</v>
      </c>
      <c r="B259" s="2" t="s">
        <v>51</v>
      </c>
      <c r="C259" s="2" t="s">
        <v>22</v>
      </c>
      <c r="D259" s="7">
        <f t="shared" si="34"/>
        <v>10269.74725</v>
      </c>
      <c r="E259" s="7">
        <f t="shared" ref="E259:O259" si="38">D259+E75+E121-E98-E213-E236-E190</f>
        <v>9395.5024999999987</v>
      </c>
      <c r="F259" s="7">
        <f t="shared" si="38"/>
        <v>8543.6357499999995</v>
      </c>
      <c r="G259" s="7">
        <f t="shared" si="38"/>
        <v>7795.1009999999997</v>
      </c>
      <c r="H259" s="7">
        <f t="shared" si="38"/>
        <v>7135.50425</v>
      </c>
      <c r="I259" s="7">
        <f t="shared" si="38"/>
        <v>6300.8845000000001</v>
      </c>
      <c r="J259" s="7">
        <f t="shared" si="38"/>
        <v>5621.3047500000002</v>
      </c>
      <c r="K259" s="7">
        <f t="shared" si="38"/>
        <v>4812.1020000000008</v>
      </c>
      <c r="L259" s="7">
        <f t="shared" si="38"/>
        <v>4114.0512500000004</v>
      </c>
      <c r="M259" s="7">
        <f t="shared" si="38"/>
        <v>3277.3305000000009</v>
      </c>
      <c r="N259" s="7">
        <f t="shared" si="38"/>
        <v>2564.4787500000007</v>
      </c>
      <c r="O259" s="7">
        <f t="shared" si="38"/>
        <v>1782.6000000000008</v>
      </c>
      <c r="P259" s="8">
        <f t="shared" si="33"/>
        <v>1782.6000000000008</v>
      </c>
    </row>
    <row r="260" spans="1:16" x14ac:dyDescent="0.3">
      <c r="A260" s="2" t="s">
        <v>69</v>
      </c>
      <c r="B260" s="2" t="s">
        <v>51</v>
      </c>
      <c r="C260" s="2" t="s">
        <v>23</v>
      </c>
      <c r="D260" s="7">
        <f t="shared" si="34"/>
        <v>10595.904166666667</v>
      </c>
      <c r="E260" s="7">
        <f t="shared" ref="E260:O260" si="39">D260+E76+E122-E99-E214-E237-E191</f>
        <v>9756.2823333333345</v>
      </c>
      <c r="F260" s="7">
        <f t="shared" si="39"/>
        <v>8968.4805000000015</v>
      </c>
      <c r="G260" s="7">
        <f t="shared" si="39"/>
        <v>8211.4406666666691</v>
      </c>
      <c r="H260" s="7">
        <f t="shared" si="39"/>
        <v>7439.7498333333351</v>
      </c>
      <c r="I260" s="7">
        <f t="shared" si="39"/>
        <v>6533.6240000000016</v>
      </c>
      <c r="J260" s="7">
        <f t="shared" si="39"/>
        <v>5605.4611666666679</v>
      </c>
      <c r="K260" s="7">
        <f t="shared" si="39"/>
        <v>4606.3433333333342</v>
      </c>
      <c r="L260" s="7">
        <f t="shared" si="39"/>
        <v>3801.4825000000005</v>
      </c>
      <c r="M260" s="7">
        <f t="shared" si="39"/>
        <v>2996.782666666667</v>
      </c>
      <c r="N260" s="7">
        <f t="shared" si="39"/>
        <v>2175.3898333333336</v>
      </c>
      <c r="O260" s="7">
        <f t="shared" si="39"/>
        <v>1461.5000000000005</v>
      </c>
      <c r="P260" s="8">
        <f t="shared" si="33"/>
        <v>1461.5000000000005</v>
      </c>
    </row>
    <row r="261" spans="1:16" x14ac:dyDescent="0.3">
      <c r="A261" s="2" t="s">
        <v>69</v>
      </c>
      <c r="B261" s="2" t="s">
        <v>51</v>
      </c>
      <c r="C261" s="2" t="s">
        <v>24</v>
      </c>
      <c r="D261" s="7">
        <f t="shared" si="34"/>
        <v>13274.007250000001</v>
      </c>
      <c r="E261" s="7">
        <f t="shared" ref="E261:O261" si="40">D261+E77+E123-E100-E215-E238-E192</f>
        <v>12329.889499999999</v>
      </c>
      <c r="F261" s="7">
        <f t="shared" si="40"/>
        <v>11264.811749999999</v>
      </c>
      <c r="G261" s="7">
        <f t="shared" si="40"/>
        <v>10184.414999999999</v>
      </c>
      <c r="H261" s="7">
        <f t="shared" si="40"/>
        <v>9218.1582499999986</v>
      </c>
      <c r="I261" s="7">
        <f t="shared" si="40"/>
        <v>8352.3514999999989</v>
      </c>
      <c r="J261" s="7">
        <f t="shared" si="40"/>
        <v>7365.5017499999976</v>
      </c>
      <c r="K261" s="7">
        <f t="shared" si="40"/>
        <v>6328.1819999999971</v>
      </c>
      <c r="L261" s="7">
        <f t="shared" si="40"/>
        <v>5087.1222499999967</v>
      </c>
      <c r="M261" s="7">
        <f t="shared" si="40"/>
        <v>4058.9474999999966</v>
      </c>
      <c r="N261" s="7">
        <f t="shared" si="40"/>
        <v>2852.2277499999964</v>
      </c>
      <c r="O261" s="7">
        <f t="shared" si="40"/>
        <v>1943.4999999999964</v>
      </c>
      <c r="P261" s="8">
        <f t="shared" si="33"/>
        <v>1943.4999999999964</v>
      </c>
    </row>
    <row r="262" spans="1:16" x14ac:dyDescent="0.3">
      <c r="A262" s="2" t="s">
        <v>69</v>
      </c>
      <c r="B262" s="2" t="s">
        <v>51</v>
      </c>
      <c r="C262" s="2" t="s">
        <v>25</v>
      </c>
      <c r="D262" s="7">
        <f t="shared" si="34"/>
        <v>14001.137999999997</v>
      </c>
      <c r="E262" s="7">
        <f t="shared" ref="E262:O262" si="41">D262+E78+E124-E101-E216-E239-E193</f>
        <v>13176.249999999996</v>
      </c>
      <c r="F262" s="7">
        <f t="shared" si="41"/>
        <v>11952.609999999995</v>
      </c>
      <c r="G262" s="7">
        <f t="shared" si="41"/>
        <v>10772.167999999994</v>
      </c>
      <c r="H262" s="7">
        <f t="shared" si="41"/>
        <v>9916.9219999999932</v>
      </c>
      <c r="I262" s="7">
        <f t="shared" si="41"/>
        <v>9003.1039999999921</v>
      </c>
      <c r="J262" s="7">
        <f t="shared" si="41"/>
        <v>8023.8659999999918</v>
      </c>
      <c r="K262" s="7">
        <f t="shared" si="41"/>
        <v>6760.8019999999915</v>
      </c>
      <c r="L262" s="7">
        <f t="shared" si="41"/>
        <v>5800.9709999999905</v>
      </c>
      <c r="M262" s="7">
        <f t="shared" si="41"/>
        <v>4745.3009999999904</v>
      </c>
      <c r="N262" s="7">
        <f t="shared" si="41"/>
        <v>3747.323999999991</v>
      </c>
      <c r="O262" s="7">
        <f t="shared" si="41"/>
        <v>2748.6999999999912</v>
      </c>
      <c r="P262" s="8">
        <f t="shared" si="33"/>
        <v>2748.6999999999912</v>
      </c>
    </row>
    <row r="263" spans="1:16" x14ac:dyDescent="0.3">
      <c r="A263" s="2" t="s">
        <v>69</v>
      </c>
      <c r="B263" s="2" t="s">
        <v>51</v>
      </c>
      <c r="C263" s="2" t="s">
        <v>26</v>
      </c>
      <c r="D263" s="7">
        <f t="shared" si="34"/>
        <v>14514.333583333326</v>
      </c>
      <c r="E263" s="7">
        <f t="shared" ref="E263:O263" si="42">D263+E79+E125-E102-E217-E240-E194</f>
        <v>13532.202166666661</v>
      </c>
      <c r="F263" s="7">
        <f t="shared" si="42"/>
        <v>12254.106749999994</v>
      </c>
      <c r="G263" s="7">
        <f t="shared" si="42"/>
        <v>10949.661333333328</v>
      </c>
      <c r="H263" s="7">
        <f t="shared" si="42"/>
        <v>9822.3279166666616</v>
      </c>
      <c r="I263" s="7">
        <f t="shared" si="42"/>
        <v>8695.9814999999944</v>
      </c>
      <c r="J263" s="7">
        <f t="shared" si="42"/>
        <v>7491.3980833333271</v>
      </c>
      <c r="K263" s="7">
        <f t="shared" si="42"/>
        <v>6497.7266666666601</v>
      </c>
      <c r="L263" s="7">
        <f t="shared" si="42"/>
        <v>5481.3482499999936</v>
      </c>
      <c r="M263" s="7">
        <f t="shared" si="42"/>
        <v>4334.196833333327</v>
      </c>
      <c r="N263" s="7">
        <f t="shared" si="42"/>
        <v>3390.3784166666601</v>
      </c>
      <c r="O263" s="7">
        <f t="shared" si="42"/>
        <v>2185.7999999999938</v>
      </c>
      <c r="P263" s="8">
        <f t="shared" si="33"/>
        <v>2185.7999999999938</v>
      </c>
    </row>
    <row r="264" spans="1:16" x14ac:dyDescent="0.3">
      <c r="A264" s="2" t="s">
        <v>69</v>
      </c>
      <c r="B264" s="2" t="s">
        <v>51</v>
      </c>
      <c r="C264" s="2" t="s">
        <v>27</v>
      </c>
      <c r="D264" s="7">
        <f t="shared" si="34"/>
        <v>15834.267499999994</v>
      </c>
      <c r="E264" s="7">
        <f t="shared" ref="E264:O264" si="43">D264+E80+E126-E103-E218-E241-E195</f>
        <v>14479.357999999995</v>
      </c>
      <c r="F264" s="7">
        <f t="shared" si="43"/>
        <v>12839.321499999996</v>
      </c>
      <c r="G264" s="7">
        <f t="shared" si="43"/>
        <v>11328.329999999996</v>
      </c>
      <c r="H264" s="7">
        <f t="shared" si="43"/>
        <v>9853.1394999999975</v>
      </c>
      <c r="I264" s="7">
        <f t="shared" si="43"/>
        <v>8199.9699999999975</v>
      </c>
      <c r="J264" s="7">
        <f t="shared" si="43"/>
        <v>6781.8414999999977</v>
      </c>
      <c r="K264" s="7">
        <f t="shared" si="43"/>
        <v>5388.257999999998</v>
      </c>
      <c r="L264" s="7">
        <f t="shared" si="43"/>
        <v>4175.0004999999974</v>
      </c>
      <c r="M264" s="7">
        <f t="shared" si="43"/>
        <v>2885.4749999999963</v>
      </c>
      <c r="N264" s="7">
        <f t="shared" si="43"/>
        <v>1767.6074999999958</v>
      </c>
      <c r="O264" s="7">
        <f t="shared" si="43"/>
        <v>707.39999999999543</v>
      </c>
      <c r="P264" s="8">
        <f t="shared" si="33"/>
        <v>707.39999999999543</v>
      </c>
    </row>
    <row r="265" spans="1:16" x14ac:dyDescent="0.3">
      <c r="A265" s="2" t="s">
        <v>69</v>
      </c>
      <c r="B265" s="2" t="s">
        <v>51</v>
      </c>
      <c r="C265" s="2" t="s">
        <v>28</v>
      </c>
      <c r="D265" s="7">
        <f t="shared" si="34"/>
        <v>13632.899999999994</v>
      </c>
      <c r="E265" s="7">
        <f t="shared" ref="E265:O265" si="44">D265+E81+E127-E104-E219-E242-E196</f>
        <v>12370.890999999992</v>
      </c>
      <c r="F265" s="7">
        <f t="shared" si="44"/>
        <v>10780.815999999992</v>
      </c>
      <c r="G265" s="7">
        <f t="shared" si="44"/>
        <v>9575.3399999999911</v>
      </c>
      <c r="H265" s="7">
        <f t="shared" si="44"/>
        <v>8222.54899999999</v>
      </c>
      <c r="I265" s="7">
        <f t="shared" si="44"/>
        <v>7045.1439999999902</v>
      </c>
      <c r="J265" s="7">
        <f t="shared" si="44"/>
        <v>5895.4489999999905</v>
      </c>
      <c r="K265" s="7">
        <f t="shared" si="44"/>
        <v>4625.638999999991</v>
      </c>
      <c r="L265" s="7">
        <f t="shared" si="44"/>
        <v>3520.5839999999916</v>
      </c>
      <c r="M265" s="7">
        <f t="shared" si="44"/>
        <v>2351.5539999999919</v>
      </c>
      <c r="N265" s="7">
        <f t="shared" si="44"/>
        <v>1525.5249999999921</v>
      </c>
      <c r="O265" s="7">
        <f t="shared" si="44"/>
        <v>588.09999999999241</v>
      </c>
      <c r="P265" s="8">
        <f t="shared" si="33"/>
        <v>588.09999999999241</v>
      </c>
    </row>
    <row r="266" spans="1:16" x14ac:dyDescent="0.3">
      <c r="A266" s="2" t="s">
        <v>69</v>
      </c>
      <c r="B266" s="2" t="s">
        <v>51</v>
      </c>
      <c r="C266" s="2" t="s">
        <v>29</v>
      </c>
      <c r="D266" s="7">
        <f t="shared" si="34"/>
        <v>18299.879416666659</v>
      </c>
      <c r="E266" s="7">
        <f t="shared" ref="E266:O266" si="45">D266+E82+E128-E105-E220-E243-E197</f>
        <v>17216.117833333326</v>
      </c>
      <c r="F266" s="7">
        <f t="shared" si="45"/>
        <v>15544.125249999996</v>
      </c>
      <c r="G266" s="7">
        <f t="shared" si="45"/>
        <v>14128.973666666663</v>
      </c>
      <c r="H266" s="7">
        <f t="shared" si="45"/>
        <v>12868.172083333331</v>
      </c>
      <c r="I266" s="7">
        <f t="shared" si="45"/>
        <v>11635.368499999999</v>
      </c>
      <c r="J266" s="7">
        <f t="shared" si="45"/>
        <v>10491.659916666666</v>
      </c>
      <c r="K266" s="7">
        <f t="shared" si="45"/>
        <v>8987.7773333333316</v>
      </c>
      <c r="L266" s="7">
        <f t="shared" si="45"/>
        <v>7434.2967499999977</v>
      </c>
      <c r="M266" s="7">
        <f t="shared" si="45"/>
        <v>5892.0861666666642</v>
      </c>
      <c r="N266" s="7">
        <f t="shared" si="45"/>
        <v>4306.5105833333309</v>
      </c>
      <c r="O266" s="7">
        <f t="shared" si="45"/>
        <v>3007.9999999999973</v>
      </c>
      <c r="P266" s="8">
        <f t="shared" si="33"/>
        <v>3007.9999999999973</v>
      </c>
    </row>
    <row r="267" spans="1:16" x14ac:dyDescent="0.3">
      <c r="A267" s="2" t="s">
        <v>69</v>
      </c>
      <c r="B267" s="2" t="s">
        <v>51</v>
      </c>
      <c r="C267" s="2" t="s">
        <v>30</v>
      </c>
      <c r="D267" s="7">
        <f t="shared" si="34"/>
        <v>17930.098916666666</v>
      </c>
      <c r="E267" s="7">
        <f t="shared" ref="E267:O267" si="46">D267+E83+E129-E106-E221-E244-E198</f>
        <v>16535.286833333332</v>
      </c>
      <c r="F267" s="7">
        <f t="shared" si="46"/>
        <v>15023.755749999998</v>
      </c>
      <c r="G267" s="7">
        <f t="shared" si="46"/>
        <v>13585.847666666665</v>
      </c>
      <c r="H267" s="7">
        <f t="shared" si="46"/>
        <v>12274.026583333331</v>
      </c>
      <c r="I267" s="7">
        <f t="shared" si="46"/>
        <v>11050.467499999997</v>
      </c>
      <c r="J267" s="7">
        <f t="shared" si="46"/>
        <v>9880.3334166666627</v>
      </c>
      <c r="K267" s="7">
        <f t="shared" si="46"/>
        <v>8477.6513333333296</v>
      </c>
      <c r="L267" s="7">
        <f t="shared" si="46"/>
        <v>6927.2772499999946</v>
      </c>
      <c r="M267" s="7">
        <f t="shared" si="46"/>
        <v>5440.4121666666606</v>
      </c>
      <c r="N267" s="7">
        <f t="shared" si="46"/>
        <v>4092.7370833333275</v>
      </c>
      <c r="O267" s="7">
        <f t="shared" si="46"/>
        <v>2573.2999999999943</v>
      </c>
      <c r="P267" s="8">
        <f t="shared" si="33"/>
        <v>2573.2999999999943</v>
      </c>
    </row>
    <row r="268" spans="1:16" x14ac:dyDescent="0.3">
      <c r="A268" s="2" t="s">
        <v>69</v>
      </c>
      <c r="B268" s="2" t="s">
        <v>51</v>
      </c>
      <c r="C268" s="2" t="s">
        <v>31</v>
      </c>
      <c r="D268" s="7">
        <f t="shared" si="34"/>
        <v>19582.902249999992</v>
      </c>
      <c r="E268" s="7">
        <f t="shared" ref="E268:O268" si="47">D268+E84+E130-E107-E222-E245-E199</f>
        <v>17990.49549999999</v>
      </c>
      <c r="F268" s="7">
        <f t="shared" si="47"/>
        <v>16372.617749999987</v>
      </c>
      <c r="G268" s="7">
        <f t="shared" si="47"/>
        <v>14860.293999999985</v>
      </c>
      <c r="H268" s="7">
        <f t="shared" si="47"/>
        <v>13419.166249999984</v>
      </c>
      <c r="I268" s="7">
        <f t="shared" si="47"/>
        <v>11908.728499999983</v>
      </c>
      <c r="J268" s="7">
        <f t="shared" si="47"/>
        <v>10436.554749999981</v>
      </c>
      <c r="K268" s="7">
        <f t="shared" si="47"/>
        <v>8636.7469999999794</v>
      </c>
      <c r="L268" s="7">
        <f t="shared" si="47"/>
        <v>6851.5972499999789</v>
      </c>
      <c r="M268" s="7">
        <f t="shared" si="47"/>
        <v>5206.1744999999783</v>
      </c>
      <c r="N268" s="7">
        <f t="shared" si="47"/>
        <v>3637.5137499999773</v>
      </c>
      <c r="O268" s="7">
        <f t="shared" si="47"/>
        <v>2090.7999999999774</v>
      </c>
      <c r="P268" s="8">
        <f t="shared" si="33"/>
        <v>2090.7999999999774</v>
      </c>
    </row>
    <row r="269" spans="1:16" x14ac:dyDescent="0.3">
      <c r="A269" s="2" t="s">
        <v>69</v>
      </c>
      <c r="B269" s="2" t="s">
        <v>51</v>
      </c>
      <c r="C269" s="2" t="s">
        <v>32</v>
      </c>
      <c r="D269" s="7">
        <f t="shared" si="34"/>
        <v>20265.582999999977</v>
      </c>
      <c r="E269" s="7">
        <f t="shared" ref="E269:O269" si="48">D269+E85+E131-E108-E223-E246-E200</f>
        <v>18726.747999999974</v>
      </c>
      <c r="F269" s="7">
        <f t="shared" si="48"/>
        <v>17188.125999999971</v>
      </c>
      <c r="G269" s="7">
        <f t="shared" si="48"/>
        <v>15331.079999999971</v>
      </c>
      <c r="H269" s="7">
        <f t="shared" si="48"/>
        <v>13505.29199999997</v>
      </c>
      <c r="I269" s="7">
        <f t="shared" si="48"/>
        <v>11301.74499999997</v>
      </c>
      <c r="J269" s="7">
        <f t="shared" si="48"/>
        <v>9790.3819999999687</v>
      </c>
      <c r="K269" s="7">
        <f t="shared" si="48"/>
        <v>7947.8179999999684</v>
      </c>
      <c r="L269" s="7">
        <f t="shared" si="48"/>
        <v>6197.3259999999691</v>
      </c>
      <c r="M269" s="7">
        <f t="shared" si="48"/>
        <v>4398.0119999999697</v>
      </c>
      <c r="N269" s="7">
        <f t="shared" si="48"/>
        <v>2778.1139999999705</v>
      </c>
      <c r="O269" s="7">
        <f t="shared" si="48"/>
        <v>1341.6999999999712</v>
      </c>
      <c r="P269" s="8">
        <f t="shared" si="33"/>
        <v>1341.6999999999712</v>
      </c>
    </row>
    <row r="270" spans="1:16" x14ac:dyDescent="0.3">
      <c r="A270" s="2" t="s">
        <v>69</v>
      </c>
      <c r="B270" s="2" t="s">
        <v>51</v>
      </c>
      <c r="C270" s="2" t="s">
        <v>33</v>
      </c>
      <c r="D270" s="7">
        <f t="shared" si="34"/>
        <v>21331.885999999966</v>
      </c>
      <c r="E270" s="7">
        <f t="shared" ref="E270:O270" si="49">D270+E86+E132-E109-E224-E247-E201</f>
        <v>19694.732999999964</v>
      </c>
      <c r="F270" s="7">
        <f t="shared" si="49"/>
        <v>17624.225999999962</v>
      </c>
      <c r="G270" s="7">
        <f t="shared" si="49"/>
        <v>15954.699999999963</v>
      </c>
      <c r="H270" s="7">
        <f t="shared" si="49"/>
        <v>14000.327999999963</v>
      </c>
      <c r="I270" s="7">
        <f t="shared" si="49"/>
        <v>12082.856999999965</v>
      </c>
      <c r="J270" s="7">
        <f t="shared" si="49"/>
        <v>10745.631999999967</v>
      </c>
      <c r="K270" s="7">
        <f t="shared" si="49"/>
        <v>9123.8989999999667</v>
      </c>
      <c r="L270" s="7">
        <f t="shared" si="49"/>
        <v>7419.5929999999671</v>
      </c>
      <c r="M270" s="7">
        <f t="shared" si="49"/>
        <v>5826.0799999999672</v>
      </c>
      <c r="N270" s="7">
        <f t="shared" si="49"/>
        <v>4028.9359999999674</v>
      </c>
      <c r="O270" s="7">
        <f t="shared" si="49"/>
        <v>2635.6999999999675</v>
      </c>
      <c r="P270" s="8">
        <f t="shared" si="33"/>
        <v>2635.6999999999675</v>
      </c>
    </row>
    <row r="271" spans="1:16" x14ac:dyDescent="0.3">
      <c r="A271" s="2" t="s">
        <v>69</v>
      </c>
      <c r="B271" s="2" t="s">
        <v>51</v>
      </c>
      <c r="C271" s="2" t="s">
        <v>34</v>
      </c>
      <c r="D271" s="7">
        <f t="shared" si="34"/>
        <v>21959.483583333305</v>
      </c>
      <c r="E271" s="7">
        <f t="shared" ref="E271:O271" si="50">D271+E87+E133-E110-E225-E248-E202</f>
        <v>20579.154166666642</v>
      </c>
      <c r="F271" s="7">
        <f t="shared" si="50"/>
        <v>18351.384749999976</v>
      </c>
      <c r="G271" s="7">
        <f t="shared" si="50"/>
        <v>16714.436333333309</v>
      </c>
      <c r="H271" s="7">
        <f t="shared" si="50"/>
        <v>14959.28591666664</v>
      </c>
      <c r="I271" s="7">
        <f t="shared" si="50"/>
        <v>13372.725499999973</v>
      </c>
      <c r="J271" s="7">
        <f t="shared" si="50"/>
        <v>12023.623083333307</v>
      </c>
      <c r="K271" s="7">
        <f t="shared" si="50"/>
        <v>10504.107666666639</v>
      </c>
      <c r="L271" s="7">
        <f t="shared" si="50"/>
        <v>9151.1852499999732</v>
      </c>
      <c r="M271" s="7">
        <f t="shared" si="50"/>
        <v>7468.8468333333058</v>
      </c>
      <c r="N271" s="7">
        <f t="shared" si="50"/>
        <v>5906.6224166666389</v>
      </c>
      <c r="O271" s="7">
        <f t="shared" si="50"/>
        <v>4434.799999999972</v>
      </c>
      <c r="P271" s="8">
        <f t="shared" si="33"/>
        <v>4434.799999999972</v>
      </c>
    </row>
    <row r="272" spans="1:16" x14ac:dyDescent="0.3">
      <c r="A272" s="2" t="s">
        <v>69</v>
      </c>
      <c r="B272" s="2" t="s">
        <v>51</v>
      </c>
      <c r="C272" s="2" t="s">
        <v>35</v>
      </c>
      <c r="D272" s="7">
        <f t="shared" si="34"/>
        <v>22754.162249999968</v>
      </c>
      <c r="E272" s="7">
        <f t="shared" ref="E272:O272" si="51">D272+E88+E134-E111-E226-E249-E203</f>
        <v>21455.400499999967</v>
      </c>
      <c r="F272" s="7">
        <f t="shared" si="51"/>
        <v>19875.378749999967</v>
      </c>
      <c r="G272" s="7">
        <f t="shared" si="51"/>
        <v>18059.074999999968</v>
      </c>
      <c r="H272" s="7">
        <f t="shared" si="51"/>
        <v>16420.09824999997</v>
      </c>
      <c r="I272" s="7">
        <f t="shared" si="51"/>
        <v>14677.700499999968</v>
      </c>
      <c r="J272" s="7">
        <f t="shared" si="51"/>
        <v>12987.267749999968</v>
      </c>
      <c r="K272" s="7">
        <f t="shared" si="51"/>
        <v>10869.062999999969</v>
      </c>
      <c r="L272" s="7">
        <f t="shared" si="51"/>
        <v>8872.1182499999704</v>
      </c>
      <c r="M272" s="7">
        <f t="shared" si="51"/>
        <v>7066.3604999999698</v>
      </c>
      <c r="N272" s="7">
        <f t="shared" si="51"/>
        <v>5332.3317499999703</v>
      </c>
      <c r="O272" s="7">
        <f t="shared" si="51"/>
        <v>3434.5999999999694</v>
      </c>
      <c r="P272" s="8">
        <f t="shared" si="33"/>
        <v>3434.5999999999694</v>
      </c>
    </row>
    <row r="273" spans="1:16" x14ac:dyDescent="0.3">
      <c r="A273" s="2" t="s">
        <v>69</v>
      </c>
      <c r="B273" s="2" t="s">
        <v>51</v>
      </c>
      <c r="C273" s="2" t="s">
        <v>36</v>
      </c>
      <c r="D273" s="7">
        <f t="shared" si="34"/>
        <v>21200.387666666637</v>
      </c>
      <c r="E273" s="7">
        <f t="shared" ref="E273:O273" si="52">D273+E89+E135-E112-E227-E250-E204</f>
        <v>19349.334333333303</v>
      </c>
      <c r="F273" s="7">
        <f t="shared" si="52"/>
        <v>17338.470999999969</v>
      </c>
      <c r="G273" s="7">
        <f t="shared" si="52"/>
        <v>15197.428666666634</v>
      </c>
      <c r="H273" s="7">
        <f t="shared" si="52"/>
        <v>13328.2743333333</v>
      </c>
      <c r="I273" s="7">
        <f t="shared" si="52"/>
        <v>11475.855999999967</v>
      </c>
      <c r="J273" s="7">
        <f t="shared" si="52"/>
        <v>9743.874666666632</v>
      </c>
      <c r="K273" s="7">
        <f t="shared" si="52"/>
        <v>7895.3153333333003</v>
      </c>
      <c r="L273" s="7">
        <f t="shared" si="52"/>
        <v>6373.7879999999668</v>
      </c>
      <c r="M273" s="7">
        <f t="shared" si="52"/>
        <v>4755.2876666666334</v>
      </c>
      <c r="N273" s="7">
        <f t="shared" si="52"/>
        <v>3187.8423333333008</v>
      </c>
      <c r="O273" s="7">
        <f t="shared" si="52"/>
        <v>1775.9999999999677</v>
      </c>
      <c r="P273" s="8">
        <f t="shared" si="33"/>
        <v>1775.9999999999677</v>
      </c>
    </row>
    <row r="274" spans="1:16" x14ac:dyDescent="0.3">
      <c r="A274" s="2" t="s">
        <v>69</v>
      </c>
      <c r="B274" s="2" t="s">
        <v>51</v>
      </c>
      <c r="C274" s="2" t="s">
        <v>37</v>
      </c>
      <c r="D274" s="7">
        <f t="shared" si="34"/>
        <v>15007.032499999965</v>
      </c>
      <c r="E274" s="7">
        <f t="shared" ref="E274:O274" si="53">D274+E90+E136-E113-E228-E251-E205</f>
        <v>13968.511999999964</v>
      </c>
      <c r="F274" s="7">
        <f t="shared" si="53"/>
        <v>12173.579499999963</v>
      </c>
      <c r="G274" s="7">
        <f t="shared" si="53"/>
        <v>10585.475999999962</v>
      </c>
      <c r="H274" s="7">
        <f t="shared" si="53"/>
        <v>9237.5034999999607</v>
      </c>
      <c r="I274" s="7">
        <f t="shared" si="53"/>
        <v>7971.7329999999611</v>
      </c>
      <c r="J274" s="7">
        <f t="shared" si="53"/>
        <v>6897.1224999999613</v>
      </c>
      <c r="K274" s="7">
        <f t="shared" si="53"/>
        <v>5813.1369999999606</v>
      </c>
      <c r="L274" s="7">
        <f t="shared" si="53"/>
        <v>4781.3774999999605</v>
      </c>
      <c r="M274" s="7">
        <f t="shared" si="53"/>
        <v>3650.1979999999608</v>
      </c>
      <c r="N274" s="7">
        <f t="shared" si="53"/>
        <v>2575.424499999961</v>
      </c>
      <c r="O274" s="7">
        <f t="shared" si="53"/>
        <v>1484.0999999999617</v>
      </c>
      <c r="P274" s="8">
        <f t="shared" si="33"/>
        <v>1484.0999999999617</v>
      </c>
    </row>
    <row r="275" spans="1:16" x14ac:dyDescent="0.3">
      <c r="A275" s="2" t="s">
        <v>69</v>
      </c>
      <c r="B275" s="2" t="s">
        <v>51</v>
      </c>
      <c r="C275" s="2" t="s">
        <v>38</v>
      </c>
      <c r="D275" s="7">
        <f t="shared" si="34"/>
        <v>19339.650833333297</v>
      </c>
      <c r="E275" s="7">
        <f t="shared" ref="E275:O275" si="54">D275+E91+E137-E114-E229-E252-E206</f>
        <v>18235.609666666631</v>
      </c>
      <c r="F275" s="7">
        <f t="shared" si="54"/>
        <v>16211.368499999962</v>
      </c>
      <c r="G275" s="7">
        <f t="shared" si="54"/>
        <v>14205.499333333295</v>
      </c>
      <c r="H275" s="7">
        <f t="shared" si="54"/>
        <v>12621.397166666628</v>
      </c>
      <c r="I275" s="7">
        <f t="shared" si="54"/>
        <v>10994.26899999996</v>
      </c>
      <c r="J275" s="7">
        <f t="shared" si="54"/>
        <v>9341.1008333332938</v>
      </c>
      <c r="K275" s="7">
        <f t="shared" si="54"/>
        <v>7540.7626666666265</v>
      </c>
      <c r="L275" s="7">
        <f t="shared" si="54"/>
        <v>5980.7774999999592</v>
      </c>
      <c r="M275" s="7">
        <f t="shared" si="54"/>
        <v>4534.9983333332921</v>
      </c>
      <c r="N275" s="7">
        <f t="shared" si="54"/>
        <v>3350.6361666666248</v>
      </c>
      <c r="O275" s="7">
        <f t="shared" si="54"/>
        <v>1862.4999999999579</v>
      </c>
      <c r="P275" s="8">
        <f t="shared" si="33"/>
        <v>1862.4999999999579</v>
      </c>
    </row>
    <row r="276" spans="1:16" x14ac:dyDescent="0.3">
      <c r="A276" s="2" t="s">
        <v>69</v>
      </c>
      <c r="B276" s="2" t="s">
        <v>51</v>
      </c>
      <c r="C276" s="2" t="s">
        <v>39</v>
      </c>
      <c r="D276" s="7">
        <f t="shared" si="34"/>
        <v>19999.717749999956</v>
      </c>
      <c r="E276" s="7">
        <f t="shared" ref="E276:O276" si="55">D276+E92+E138-E115-E230-E253-E207</f>
        <v>18801.272499999955</v>
      </c>
      <c r="F276" s="7">
        <f t="shared" si="55"/>
        <v>16993.945249999957</v>
      </c>
      <c r="G276" s="7">
        <f t="shared" si="55"/>
        <v>15592.661999999957</v>
      </c>
      <c r="H276" s="7">
        <f t="shared" si="55"/>
        <v>14228.195749999957</v>
      </c>
      <c r="I276" s="7">
        <f t="shared" si="55"/>
        <v>12784.051499999956</v>
      </c>
      <c r="J276" s="7">
        <f t="shared" si="55"/>
        <v>11461.526249999955</v>
      </c>
      <c r="K276" s="7">
        <f t="shared" si="55"/>
        <v>9895.4239999999554</v>
      </c>
      <c r="L276" s="7">
        <f t="shared" si="55"/>
        <v>8413.3267499999547</v>
      </c>
      <c r="M276" s="7">
        <f t="shared" si="55"/>
        <v>6529.7074999999541</v>
      </c>
      <c r="N276" s="7">
        <f t="shared" si="55"/>
        <v>4756.5212499999534</v>
      </c>
      <c r="O276" s="7">
        <f t="shared" si="55"/>
        <v>3224.7999999999529</v>
      </c>
      <c r="P276" s="8">
        <f t="shared" si="33"/>
        <v>3224.7999999999529</v>
      </c>
    </row>
    <row r="277" spans="1:16" x14ac:dyDescent="0.3">
      <c r="A277" s="2" t="s">
        <v>69</v>
      </c>
      <c r="B277" s="2" t="s">
        <v>51</v>
      </c>
      <c r="C277" s="2" t="s">
        <v>40</v>
      </c>
      <c r="D277" s="7">
        <f t="shared" si="34"/>
        <v>20528.66566666662</v>
      </c>
      <c r="E277" s="7">
        <f t="shared" ref="E277:O277" si="56">D277+E93+E139-E116-E231-E254-E208</f>
        <v>18869.373333333289</v>
      </c>
      <c r="F277" s="7">
        <f t="shared" si="56"/>
        <v>16736.985999999957</v>
      </c>
      <c r="G277" s="7">
        <f t="shared" si="56"/>
        <v>14915.942666666622</v>
      </c>
      <c r="H277" s="7">
        <f t="shared" si="56"/>
        <v>13304.043333333289</v>
      </c>
      <c r="I277" s="7">
        <f t="shared" si="56"/>
        <v>11476.264999999956</v>
      </c>
      <c r="J277" s="7">
        <f t="shared" si="56"/>
        <v>9862.3976666666222</v>
      </c>
      <c r="K277" s="7">
        <f t="shared" si="56"/>
        <v>8058.8883333332897</v>
      </c>
      <c r="L277" s="7">
        <f t="shared" si="56"/>
        <v>6177.7069999999567</v>
      </c>
      <c r="M277" s="7">
        <f t="shared" si="56"/>
        <v>4576.8636666666234</v>
      </c>
      <c r="N277" s="7">
        <f t="shared" si="56"/>
        <v>2961.1763333332901</v>
      </c>
      <c r="O277" s="7">
        <f t="shared" si="56"/>
        <v>1597.2999999999568</v>
      </c>
      <c r="P277" s="8">
        <f t="shared" si="33"/>
        <v>1597.2999999999568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2"/>
  <sheetViews>
    <sheetView workbookViewId="0">
      <pane xSplit="3" ySplit="2" topLeftCell="D3" activePane="bottomRight" state="frozen"/>
      <selection pane="topRight"/>
      <selection pane="bottomLeft"/>
      <selection pane="bottomRight" activeCell="A25" sqref="A25:XFD32"/>
    </sheetView>
  </sheetViews>
  <sheetFormatPr defaultRowHeight="14.4" x14ac:dyDescent="0.3"/>
  <cols>
    <col min="1" max="1" width="18" customWidth="1"/>
    <col min="2" max="2" width="22" customWidth="1"/>
    <col min="3" max="3" width="9" customWidth="1"/>
    <col min="4" max="26" width="10" customWidth="1"/>
  </cols>
  <sheetData>
    <row r="1" spans="1:26" ht="25.8" x14ac:dyDescent="0.5">
      <c r="A1" s="9" t="s">
        <v>69</v>
      </c>
    </row>
    <row r="2" spans="1:26" x14ac:dyDescent="0.3">
      <c r="A2" s="10" t="s">
        <v>0</v>
      </c>
      <c r="B2" s="10" t="s">
        <v>1</v>
      </c>
      <c r="C2" s="10" t="s">
        <v>53</v>
      </c>
      <c r="D2" s="10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10" t="s">
        <v>23</v>
      </c>
      <c r="J2" s="10" t="s">
        <v>24</v>
      </c>
      <c r="K2" s="10" t="s">
        <v>25</v>
      </c>
      <c r="L2" s="10" t="s">
        <v>26</v>
      </c>
      <c r="M2" s="10" t="s">
        <v>27</v>
      </c>
      <c r="N2" s="10" t="s">
        <v>28</v>
      </c>
      <c r="O2" s="10" t="s">
        <v>29</v>
      </c>
      <c r="P2" s="10" t="s">
        <v>30</v>
      </c>
      <c r="Q2" s="10" t="s">
        <v>31</v>
      </c>
      <c r="R2" s="10" t="s">
        <v>32</v>
      </c>
      <c r="S2" s="10" t="s">
        <v>33</v>
      </c>
      <c r="T2" s="10" t="s">
        <v>34</v>
      </c>
      <c r="U2" s="10" t="s">
        <v>35</v>
      </c>
      <c r="V2" s="10" t="s">
        <v>36</v>
      </c>
      <c r="W2" s="10" t="s">
        <v>37</v>
      </c>
      <c r="X2" s="10" t="s">
        <v>38</v>
      </c>
      <c r="Y2" s="10" t="s">
        <v>39</v>
      </c>
      <c r="Z2" s="10" t="s">
        <v>40</v>
      </c>
    </row>
    <row r="3" spans="1:26" x14ac:dyDescent="0.3">
      <c r="A3" s="11" t="s">
        <v>69</v>
      </c>
      <c r="B3" s="11" t="s">
        <v>17</v>
      </c>
      <c r="C3" s="12" t="s">
        <v>54</v>
      </c>
      <c r="D3" s="13">
        <f>SUMIFS(Canola_Mo!$P:$P,Canola_Mo!$B:$B,"Planted Area",Canola_Mo!$C:$C,RIGHT(D$2,5))</f>
        <v>9.5798000000000005</v>
      </c>
      <c r="E3" s="13">
        <f>SUMIFS(Canola_Mo!$P:$P,Canola_Mo!$B:$B,"Planted Area",Canola_Mo!$C:$C,RIGHT(E$2,5))</f>
        <v>11.702199999999999</v>
      </c>
      <c r="F3" s="13">
        <f>SUMIFS(Canola_Mo!$P:$P,Canola_Mo!$B:$B,"Planted Area",Canola_Mo!$C:$C,RIGHT(F$2,5))</f>
        <v>12.894600000000001</v>
      </c>
      <c r="G3" s="13">
        <f>SUMIFS(Canola_Mo!$P:$P,Canola_Mo!$B:$B,"Planted Area",Canola_Mo!$C:$C,RIGHT(G$2,5))</f>
        <v>13.269600000000001</v>
      </c>
      <c r="H3" s="13">
        <f>SUMIFS(Canola_Mo!$P:$P,Canola_Mo!$B:$B,"Planted Area",Canola_Mo!$C:$C,RIGHT(H$2,5))</f>
        <v>13.055339</v>
      </c>
      <c r="I3" s="13">
        <f>SUMIFS(Canola_Mo!$P:$P,Canola_Mo!$B:$B,"Planted Area",Canola_Mo!$C:$C,RIGHT(I$2,5))</f>
        <v>15.771000000000001</v>
      </c>
      <c r="J3" s="13">
        <f>SUMIFS(Canola_Mo!$P:$P,Canola_Mo!$B:$B,"Planted Area",Canola_Mo!$C:$C,RIGHT(J$2,5))</f>
        <v>16.1632</v>
      </c>
      <c r="K3" s="13">
        <f>SUMIFS(Canola_Mo!$P:$P,Canola_Mo!$B:$B,"Planted Area",Canola_Mo!$C:$C,RIGHT(K$2,5))</f>
        <v>16.529699999999998</v>
      </c>
      <c r="L3" s="13">
        <f>SUMIFS(Canola_Mo!$P:$P,Canola_Mo!$B:$B,"Planted Area",Canola_Mo!$C:$C,RIGHT(L$2,5))</f>
        <v>17.585899999999999</v>
      </c>
      <c r="M3" s="13">
        <f>SUMIFS(Canola_Mo!$P:$P,Canola_Mo!$B:$B,"Planted Area",Canola_Mo!$C:$C,RIGHT(M$2,5))</f>
        <v>18.98968</v>
      </c>
      <c r="N3" s="13">
        <f>SUMIFS(Canola_Mo!$P:$P,Canola_Mo!$B:$B,"Planted Area",Canola_Mo!$C:$C,RIGHT(N$2,5))</f>
        <v>22.175999999999998</v>
      </c>
      <c r="O3" s="13">
        <f>SUMIFS(Canola_Mo!$P:$P,Canola_Mo!$B:$B,"Planted Area",Canola_Mo!$C:$C,RIGHT(O$2,5))</f>
        <v>20.445799999999998</v>
      </c>
      <c r="P3" s="13">
        <f>SUMIFS(Canola_Mo!$P:$P,Canola_Mo!$B:$B,"Planted Area",Canola_Mo!$C:$C,RIGHT(P$2,5))</f>
        <v>20.8996</v>
      </c>
      <c r="Q3" s="13">
        <f>SUMIFS(Canola_Mo!$P:$P,Canola_Mo!$B:$B,"Planted Area",Canola_Mo!$C:$C,RIGHT(Q$2,5))</f>
        <v>20.784700000000001</v>
      </c>
      <c r="R3" s="13">
        <f>SUMIFS(Canola_Mo!$P:$P,Canola_Mo!$B:$B,"Planted Area",Canola_Mo!$C:$C,RIGHT(R$2,5))</f>
        <v>20.784044000000002</v>
      </c>
      <c r="S3" s="13">
        <f>SUMIFS(Canola_Mo!$P:$P,Canola_Mo!$B:$B,"Planted Area",Canola_Mo!$C:$C,RIGHT(S$2,5))</f>
        <v>23.014099999999999</v>
      </c>
      <c r="T3" s="13">
        <f>SUMIFS(Canola_Mo!$P:$P,Canola_Mo!$B:$B,"Planted Area",Canola_Mo!$C:$C,RIGHT(T$2,5))</f>
        <v>22.813199999999998</v>
      </c>
      <c r="U3" s="13">
        <f>SUMIFS(Canola_Mo!$P:$P,Canola_Mo!$B:$B,"Planted Area",Canola_Mo!$C:$C,RIGHT(U$2,5))</f>
        <v>21.180900000000001</v>
      </c>
      <c r="V3" s="13">
        <f>SUMIFS(Canola_Mo!$P:$P,Canola_Mo!$B:$B,"Planted Area",Canola_Mo!$C:$C,RIGHT(V$2,5))</f>
        <v>20.782599999999999</v>
      </c>
      <c r="W3" s="13">
        <f>SUMIFS(Canola_Mo!$P:$P,Canola_Mo!$B:$B,"Planted Area",Canola_Mo!$C:$C,RIGHT(W$2,5))</f>
        <v>22.270249</v>
      </c>
      <c r="X3" s="13">
        <f>SUMIFS(Canola_Mo!$P:$P,Canola_Mo!$B:$B,"Planted Area",Canola_Mo!$C:$C,RIGHT(X$2,5))</f>
        <v>21.395700000000001</v>
      </c>
      <c r="Y3" s="13">
        <f>SUMIFS(Canola_Mo!$P:$P,Canola_Mo!$B:$B,"Planted Area",Canola_Mo!$C:$C,RIGHT(Y$2,5))</f>
        <v>22.0867</v>
      </c>
      <c r="Z3" s="13">
        <f>SUMIFS(Canola_Mo!$P:$P,Canola_Mo!$B:$B,"Planted Area",Canola_Mo!$C:$C,RIGHT(Z$2,5))</f>
        <v>22.0108</v>
      </c>
    </row>
    <row r="4" spans="1:26" x14ac:dyDescent="0.3">
      <c r="A4" s="11" t="s">
        <v>69</v>
      </c>
      <c r="B4" s="11" t="s">
        <v>41</v>
      </c>
      <c r="C4" s="12" t="s">
        <v>54</v>
      </c>
      <c r="D4" s="13">
        <f>SUMIFS(Canola_Mo!$P:$P,Canola_Mo!$B:$B,"Harvested Area",Canola_Mo!$C:$C,RIGHT(D$2,5))</f>
        <v>8.9648000000000003</v>
      </c>
      <c r="E4" s="13">
        <f>SUMIFS(Canola_Mo!$P:$P,Canola_Mo!$B:$B,"Harvested Area",Canola_Mo!$C:$C,RIGHT(E$2,5))</f>
        <v>11.587199999999999</v>
      </c>
      <c r="F4" s="13">
        <f>SUMIFS(Canola_Mo!$P:$P,Canola_Mo!$B:$B,"Harvested Area",Canola_Mo!$C:$C,RIGHT(F$2,5))</f>
        <v>12.0266</v>
      </c>
      <c r="G4" s="13">
        <f>SUMIFS(Canola_Mo!$P:$P,Canola_Mo!$B:$B,"Harvested Area",Canola_Mo!$C:$C,RIGHT(G$2,5))</f>
        <v>12.788600000000001</v>
      </c>
      <c r="H4" s="13">
        <f>SUMIFS(Canola_Mo!$P:$P,Canola_Mo!$B:$B,"Harvested Area",Canola_Mo!$C:$C,RIGHT(H$2,5))</f>
        <v>12.9438</v>
      </c>
      <c r="I4" s="13">
        <f>SUMIFS(Canola_Mo!$P:$P,Canola_Mo!$B:$B,"Harvested Area",Canola_Mo!$C:$C,RIGHT(I$2,5))</f>
        <v>15.648999999999999</v>
      </c>
      <c r="J4" s="13">
        <f>SUMIFS(Canola_Mo!$P:$P,Canola_Mo!$B:$B,"Harvested Area",Canola_Mo!$C:$C,RIGHT(J$2,5))</f>
        <v>16.052</v>
      </c>
      <c r="K4" s="13">
        <f>SUMIFS(Canola_Mo!$P:$P,Canola_Mo!$B:$B,"Harvested Area",Canola_Mo!$C:$C,RIGHT(K$2,5))</f>
        <v>16.101700000000001</v>
      </c>
      <c r="L4" s="13">
        <f>SUMIFS(Canola_Mo!$P:$P,Canola_Mo!$B:$B,"Harvested Area",Canola_Mo!$C:$C,RIGHT(L$2,5))</f>
        <v>16.945900000000002</v>
      </c>
      <c r="M4" s="13">
        <f>SUMIFS(Canola_Mo!$P:$P,Canola_Mo!$B:$B,"Harvested Area",Canola_Mo!$C:$C,RIGHT(M$2,5))</f>
        <v>18.753799999999998</v>
      </c>
      <c r="N4" s="13">
        <f>SUMIFS(Canola_Mo!$P:$P,Canola_Mo!$B:$B,"Harvested Area",Canola_Mo!$C:$C,RIGHT(N$2,5))</f>
        <v>21.893799999999999</v>
      </c>
      <c r="O4" s="13">
        <f>SUMIFS(Canola_Mo!$P:$P,Canola_Mo!$B:$B,"Harvested Area",Canola_Mo!$C:$C,RIGHT(O$2,5))</f>
        <v>20.345099999999999</v>
      </c>
      <c r="P4" s="13">
        <f>SUMIFS(Canola_Mo!$P:$P,Canola_Mo!$B:$B,"Harvested Area",Canola_Mo!$C:$C,RIGHT(P$2,5))</f>
        <v>20.738099999999999</v>
      </c>
      <c r="Q4" s="13">
        <f>SUMIFS(Canola_Mo!$P:$P,Canola_Mo!$B:$B,"Harvested Area",Canola_Mo!$C:$C,RIGHT(Q$2,5))</f>
        <v>20.668900000000001</v>
      </c>
      <c r="R4" s="13">
        <f>SUMIFS(Canola_Mo!$P:$P,Canola_Mo!$B:$B,"Harvested Area",Canola_Mo!$C:$C,RIGHT(R$2,5))</f>
        <v>20.4192</v>
      </c>
      <c r="S4" s="13">
        <f>SUMIFS(Canola_Mo!$P:$P,Canola_Mo!$B:$B,"Harvested Area",Canola_Mo!$C:$C,RIGHT(S$2,5))</f>
        <v>22.914300000000001</v>
      </c>
      <c r="T4" s="13">
        <f>SUMIFS(Canola_Mo!$P:$P,Canola_Mo!$B:$B,"Harvested Area",Canola_Mo!$C:$C,RIGHT(T$2,5))</f>
        <v>22.5352</v>
      </c>
      <c r="U4" s="13">
        <f>SUMIFS(Canola_Mo!$P:$P,Canola_Mo!$B:$B,"Harvested Area",Canola_Mo!$C:$C,RIGHT(U$2,5))</f>
        <v>20.9328</v>
      </c>
      <c r="V4" s="13">
        <f>SUMIFS(Canola_Mo!$P:$P,Canola_Mo!$B:$B,"Harvested Area",Canola_Mo!$C:$C,RIGHT(V$2,5))</f>
        <v>20.572399999999998</v>
      </c>
      <c r="W4" s="13">
        <f>SUMIFS(Canola_Mo!$P:$P,Canola_Mo!$B:$B,"Harvested Area",Canola_Mo!$C:$C,RIGHT(W$2,5))</f>
        <v>22.10622</v>
      </c>
      <c r="X4" s="13">
        <f>SUMIFS(Canola_Mo!$P:$P,Canola_Mo!$B:$B,"Harvested Area",Canola_Mo!$C:$C,RIGHT(X$2,5))</f>
        <v>21.241800000000001</v>
      </c>
      <c r="Y4" s="13">
        <f>SUMIFS(Canola_Mo!$P:$P,Canola_Mo!$B:$B,"Harvested Area",Canola_Mo!$C:$C,RIGHT(Y$2,5))</f>
        <v>21.885200000000001</v>
      </c>
      <c r="Z4" s="13">
        <f>SUMIFS(Canola_Mo!$P:$P,Canola_Mo!$B:$B,"Harvested Area",Canola_Mo!$C:$C,RIGHT(Z$2,5))</f>
        <v>21.858599999999999</v>
      </c>
    </row>
    <row r="5" spans="1:26" x14ac:dyDescent="0.3">
      <c r="A5" s="11" t="s">
        <v>69</v>
      </c>
      <c r="B5" s="11" t="s">
        <v>55</v>
      </c>
      <c r="C5" s="12" t="s">
        <v>56</v>
      </c>
      <c r="D5" s="14">
        <f t="shared" ref="D5:Z5" si="0">IF(D3&lt;&gt;0,D4/D3,"")</f>
        <v>0.935802417587006</v>
      </c>
      <c r="E5" s="14">
        <f t="shared" si="0"/>
        <v>0.99017278802276498</v>
      </c>
      <c r="F5" s="14">
        <f t="shared" si="0"/>
        <v>0.93268499992244813</v>
      </c>
      <c r="G5" s="14">
        <f t="shared" si="0"/>
        <v>0.96375173328510277</v>
      </c>
      <c r="H5" s="14">
        <f t="shared" si="0"/>
        <v>0.99145644552010481</v>
      </c>
      <c r="I5" s="14">
        <f t="shared" si="0"/>
        <v>0.99226428254390964</v>
      </c>
      <c r="J5" s="14">
        <f t="shared" si="0"/>
        <v>0.99312017422292609</v>
      </c>
      <c r="K5" s="14">
        <f t="shared" si="0"/>
        <v>0.97410721307706749</v>
      </c>
      <c r="L5" s="14">
        <f t="shared" si="0"/>
        <v>0.96360720804735633</v>
      </c>
      <c r="M5" s="14">
        <f t="shared" si="0"/>
        <v>0.98757851633097549</v>
      </c>
      <c r="N5" s="14">
        <f t="shared" si="0"/>
        <v>0.987274531024531</v>
      </c>
      <c r="O5" s="14">
        <f t="shared" si="0"/>
        <v>0.99507478308503461</v>
      </c>
      <c r="P5" s="14">
        <f t="shared" si="0"/>
        <v>0.99227257937950963</v>
      </c>
      <c r="Q5" s="14">
        <f t="shared" si="0"/>
        <v>0.99442859411009055</v>
      </c>
      <c r="R5" s="14">
        <f t="shared" si="0"/>
        <v>0.9824459571005526</v>
      </c>
      <c r="S5" s="14">
        <f t="shared" si="0"/>
        <v>0.99566352801108893</v>
      </c>
      <c r="T5" s="14">
        <f t="shared" si="0"/>
        <v>0.98781407255448606</v>
      </c>
      <c r="U5" s="14">
        <f t="shared" si="0"/>
        <v>0.98828661671600349</v>
      </c>
      <c r="V5" s="14">
        <f t="shared" si="0"/>
        <v>0.98988576982668197</v>
      </c>
      <c r="W5" s="14">
        <f t="shared" si="0"/>
        <v>0.99263461311097156</v>
      </c>
      <c r="X5" s="14">
        <f t="shared" si="0"/>
        <v>0.99280696588566864</v>
      </c>
      <c r="Y5" s="14">
        <f t="shared" si="0"/>
        <v>0.9908768625462383</v>
      </c>
      <c r="Z5" s="14">
        <f t="shared" si="0"/>
        <v>0.99308521271375871</v>
      </c>
    </row>
    <row r="6" spans="1:26" x14ac:dyDescent="0.3">
      <c r="A6" s="11" t="s">
        <v>69</v>
      </c>
      <c r="B6" s="11" t="s">
        <v>42</v>
      </c>
      <c r="C6" s="12" t="s">
        <v>57</v>
      </c>
      <c r="D6" s="15">
        <f>SUMIFS(Canola_Mo!$P:$P,Canola_Mo!$B:$B,"Yield",Canola_Mo!$C:$C,RIGHT(D$2,5))</f>
        <v>22.233641157638761</v>
      </c>
      <c r="E6" s="15">
        <f>SUMIFS(Canola_Mo!$P:$P,Canola_Mo!$B:$B,"Yield",Canola_Mo!$C:$C,RIGHT(E$2,5))</f>
        <v>25.766288318144159</v>
      </c>
      <c r="F6" s="15">
        <f>SUMIFS(Canola_Mo!$P:$P,Canola_Mo!$B:$B,"Yield",Canola_Mo!$C:$C,RIGHT(F$2,5))</f>
        <v>28.133321803335939</v>
      </c>
      <c r="G6" s="15">
        <f>SUMIFS(Canola_Mo!$P:$P,Canola_Mo!$B:$B,"Yield",Canola_Mo!$C:$C,RIGHT(G$2,5))</f>
        <v>32.69649572666281</v>
      </c>
      <c r="H6" s="15">
        <f>SUMIFS(Canola_Mo!$P:$P,Canola_Mo!$B:$B,"Yield",Canola_Mo!$C:$C,RIGHT(H$2,5))</f>
        <v>30.659136246697258</v>
      </c>
      <c r="I6" s="15">
        <f>SUMIFS(Canola_Mo!$P:$P,Canola_Mo!$B:$B,"Yield",Canola_Mo!$C:$C,RIGHT(I$2,5))</f>
        <v>27.080160185954369</v>
      </c>
      <c r="J6" s="15">
        <f>SUMIFS(Canola_Mo!$P:$P,Canola_Mo!$B:$B,"Yield",Canola_Mo!$C:$C,RIGHT(J$2,5))</f>
        <v>34.733693823199602</v>
      </c>
      <c r="K6" s="15">
        <f>SUMIFS(Canola_Mo!$P:$P,Canola_Mo!$B:$B,"Yield",Canola_Mo!$C:$C,RIGHT(K$2,5))</f>
        <v>35.319840405050392</v>
      </c>
      <c r="L6" s="15">
        <f>SUMIFS(Canola_Mo!$P:$P,Canola_Mo!$B:$B,"Yield",Canola_Mo!$C:$C,RIGHT(L$2,5))</f>
        <v>33.275384930868228</v>
      </c>
      <c r="M6" s="15">
        <f>SUMIFS(Canola_Mo!$P:$P,Canola_Mo!$B:$B,"Yield",Canola_Mo!$C:$C,RIGHT(M$2,5))</f>
        <v>34.345447282684042</v>
      </c>
      <c r="N6" s="15">
        <f>SUMIFS(Canola_Mo!$P:$P,Canola_Mo!$B:$B,"Yield",Canola_Mo!$C:$C,RIGHT(N$2,5))</f>
        <v>27.93013712786269</v>
      </c>
      <c r="O6" s="15">
        <f>SUMIFS(Canola_Mo!$P:$P,Canola_Mo!$B:$B,"Yield",Canola_Mo!$C:$C,RIGHT(O$2,5))</f>
        <v>40.20427363345474</v>
      </c>
      <c r="P6" s="15">
        <f>SUMIFS(Canola_Mo!$P:$P,Canola_Mo!$B:$B,"Yield",Canola_Mo!$C:$C,RIGHT(P$2,5))</f>
        <v>34.890483421817812</v>
      </c>
      <c r="Q6" s="15">
        <f>SUMIFS(Canola_Mo!$P:$P,Canola_Mo!$B:$B,"Yield",Canola_Mo!$C:$C,RIGHT(Q$2,5))</f>
        <v>39.202174583553067</v>
      </c>
      <c r="R6" s="15">
        <f>SUMIFS(Canola_Mo!$P:$P,Canola_Mo!$B:$B,"Yield",Canola_Mo!$C:$C,RIGHT(R$2,5))</f>
        <v>42.321820933239309</v>
      </c>
      <c r="S6" s="15">
        <f>SUMIFS(Canola_Mo!$P:$P,Canola_Mo!$B:$B,"Yield",Canola_Mo!$C:$C,RIGHT(S$2,5))</f>
        <v>41.290428869745099</v>
      </c>
      <c r="T6" s="15">
        <f>SUMIFS(Canola_Mo!$P:$P,Canola_Mo!$B:$B,"Yield",Canola_Mo!$C:$C,RIGHT(T$2,5))</f>
        <v>40.547717515265013</v>
      </c>
      <c r="U6" s="15">
        <f>SUMIFS(Canola_Mo!$P:$P,Canola_Mo!$B:$B,"Yield",Canola_Mo!$C:$C,RIGHT(U$2,5))</f>
        <v>41.942935859034627</v>
      </c>
      <c r="V6" s="15">
        <f>SUMIFS(Canola_Mo!$P:$P,Canola_Mo!$B:$B,"Yield",Canola_Mo!$C:$C,RIGHT(V$2,5))</f>
        <v>41.761249769108133</v>
      </c>
      <c r="W6" s="15">
        <f>SUMIFS(Canola_Mo!$P:$P,Canola_Mo!$B:$B,"Yield",Canola_Mo!$C:$C,RIGHT(W$2,5))</f>
        <v>28.419294105912279</v>
      </c>
      <c r="X6" s="15">
        <f>SUMIFS(Canola_Mo!$P:$P,Canola_Mo!$B:$B,"Yield",Canola_Mo!$C:$C,RIGHT(X$2,5))</f>
        <v>39.127324732367313</v>
      </c>
      <c r="Y6" s="15">
        <f>SUMIFS(Canola_Mo!$P:$P,Canola_Mo!$B:$B,"Yield",Canola_Mo!$C:$C,RIGHT(Y$2,5))</f>
        <v>39.213659596439612</v>
      </c>
      <c r="Z6" s="15">
        <f>SUMIFS(Canola_Mo!$P:$P,Canola_Mo!$B:$B,"Yield",Canola_Mo!$C:$C,RIGHT(Z$2,5))</f>
        <v>38.809331510252257</v>
      </c>
    </row>
    <row r="8" spans="1:26" x14ac:dyDescent="0.3">
      <c r="A8" s="11" t="s">
        <v>69</v>
      </c>
      <c r="B8" s="11" t="s">
        <v>58</v>
      </c>
      <c r="C8" s="12" t="s">
        <v>59</v>
      </c>
      <c r="D8" s="16">
        <f>SUMIFS(Canola_Mo!$D:$D,Canola_Mo!$B:$B,"STOCKS",Canola_Mo!$C:$C,RIGHT(D$2,5))-SUMIFS(Canola_Mo!$D:$D,Canola_Mo!$B:$B,"Production",Canola_Mo!$C:$C,RIGHT(D$2,5))-SUMIFS(Canola_Mo!$D:$D,Canola_Mo!$B:$B,"Imports",Canola_Mo!$C:$C,RIGHT(D$2,5))+SUMIFS(Canola_Mo!$D:$D,Canola_Mo!$B:$B,"Exports",Canola_Mo!$C:$C,RIGHT(D$2,5))+SUMIFS(Canola_Mo!$D:$D,Canola_Mo!$B:$B,"Food &amp; Processing",Canola_Mo!$C:$C,RIGHT(D$2,5))+SUMIFS(Canola_Mo!$D:$D,Canola_Mo!$B:$B,"FSR",Canola_Mo!$C:$C,RIGHT(D$2,5))+SUMIFS(Canola_Mo!$D:$D,Canola_Mo!$B:$B,"Seed",Canola_Mo!$C:$C,RIGHT(D$2,5))</f>
        <v>1249.6000000000006</v>
      </c>
      <c r="E8" s="16">
        <f t="shared" ref="E8:Z8" si="1">D19</f>
        <v>894.20000000000073</v>
      </c>
      <c r="F8" s="16">
        <f t="shared" si="1"/>
        <v>608.60000000000218</v>
      </c>
      <c r="G8" s="16">
        <f t="shared" si="1"/>
        <v>1586.6000000000013</v>
      </c>
      <c r="H8" s="16">
        <f t="shared" si="1"/>
        <v>2007.0000000000018</v>
      </c>
      <c r="I8" s="16">
        <f t="shared" si="1"/>
        <v>1782.6000000000022</v>
      </c>
      <c r="J8" s="16">
        <f t="shared" si="1"/>
        <v>1461.5</v>
      </c>
      <c r="K8" s="16">
        <f t="shared" si="1"/>
        <v>1943.5</v>
      </c>
      <c r="L8" s="16">
        <f t="shared" si="1"/>
        <v>2748.6999999999989</v>
      </c>
      <c r="M8" s="16">
        <f t="shared" si="1"/>
        <v>2185.7999999999975</v>
      </c>
      <c r="N8" s="16">
        <f t="shared" si="1"/>
        <v>707.39999999999418</v>
      </c>
      <c r="O8" s="16">
        <f t="shared" si="1"/>
        <v>588.09999999999673</v>
      </c>
      <c r="P8" s="16">
        <f t="shared" si="1"/>
        <v>3007.9999999999964</v>
      </c>
      <c r="Q8" s="16">
        <f t="shared" si="1"/>
        <v>2573.299999999992</v>
      </c>
      <c r="R8" s="16">
        <f t="shared" si="1"/>
        <v>2090.7999999999847</v>
      </c>
      <c r="S8" s="16">
        <f t="shared" si="1"/>
        <v>1341.6999999999898</v>
      </c>
      <c r="T8" s="16">
        <f t="shared" si="1"/>
        <v>2635.6999999999935</v>
      </c>
      <c r="U8" s="16">
        <f t="shared" si="1"/>
        <v>4434.799999999992</v>
      </c>
      <c r="V8" s="16">
        <f t="shared" si="1"/>
        <v>3434.5999999999913</v>
      </c>
      <c r="W8" s="16">
        <f t="shared" si="1"/>
        <v>1775.9999999999927</v>
      </c>
      <c r="X8" s="16">
        <f t="shared" si="1"/>
        <v>1484.0999999999949</v>
      </c>
      <c r="Y8" s="16">
        <f t="shared" si="1"/>
        <v>1862.4999999999964</v>
      </c>
      <c r="Z8" s="16">
        <f t="shared" si="1"/>
        <v>3224.7999999999956</v>
      </c>
    </row>
    <row r="9" spans="1:26" x14ac:dyDescent="0.3">
      <c r="A9" s="11" t="s">
        <v>69</v>
      </c>
      <c r="B9" s="11" t="s">
        <v>45</v>
      </c>
      <c r="C9" s="12" t="s">
        <v>59</v>
      </c>
      <c r="D9" s="16">
        <f>SUMIFS(Canola_Mo!$P:$P,Canola_Mo!$B:$B,"Imports",Canola_Mo!$C:$C,RIGHT(D$2,5))</f>
        <v>239.60200000000003</v>
      </c>
      <c r="E9" s="16">
        <f>SUMIFS(Canola_Mo!$P:$P,Canola_Mo!$B:$B,"Imports",Canola_Mo!$C:$C,RIGHT(E$2,5))</f>
        <v>242.63200000000001</v>
      </c>
      <c r="F9" s="16">
        <f>SUMIFS(Canola_Mo!$P:$P,Canola_Mo!$B:$B,"Imports",Canola_Mo!$C:$C,RIGHT(F$2,5))</f>
        <v>107.583</v>
      </c>
      <c r="G9" s="16">
        <f>SUMIFS(Canola_Mo!$P:$P,Canola_Mo!$B:$B,"Imports",Canola_Mo!$C:$C,RIGHT(G$2,5))</f>
        <v>139.536</v>
      </c>
      <c r="H9" s="16">
        <f>SUMIFS(Canola_Mo!$P:$P,Canola_Mo!$B:$B,"Imports",Canola_Mo!$C:$C,RIGHT(H$2,5))</f>
        <v>203.011</v>
      </c>
      <c r="I9" s="16">
        <f>SUMIFS(Canola_Mo!$P:$P,Canola_Mo!$B:$B,"Imports",Canola_Mo!$C:$C,RIGHT(I$2,5))</f>
        <v>178.81499999999997</v>
      </c>
      <c r="J9" s="16">
        <f>SUMIFS(Canola_Mo!$P:$P,Canola_Mo!$B:$B,"Imports",Canola_Mo!$C:$C,RIGHT(J$2,5))</f>
        <v>120.52300000000001</v>
      </c>
      <c r="K9" s="16">
        <f>SUMIFS(Canola_Mo!$P:$P,Canola_Mo!$B:$B,"Imports",Canola_Mo!$C:$C,RIGHT(K$2,5))</f>
        <v>127.85399999999998</v>
      </c>
      <c r="L9" s="16">
        <f>SUMIFS(Canola_Mo!$P:$P,Canola_Mo!$B:$B,"Imports",Canola_Mo!$C:$C,RIGHT(L$2,5))</f>
        <v>223.654</v>
      </c>
      <c r="M9" s="16">
        <f>SUMIFS(Canola_Mo!$P:$P,Canola_Mo!$B:$B,"Imports",Canola_Mo!$C:$C,RIGHT(M$2,5))</f>
        <v>96.570999999999998</v>
      </c>
      <c r="N9" s="16">
        <f>SUMIFS(Canola_Mo!$P:$P,Canola_Mo!$B:$B,"Imports",Canola_Mo!$C:$C,RIGHT(N$2,5))</f>
        <v>127.608</v>
      </c>
      <c r="O9" s="16">
        <f>SUMIFS(Canola_Mo!$P:$P,Canola_Mo!$B:$B,"Imports",Canola_Mo!$C:$C,RIGHT(O$2,5))</f>
        <v>66.082000000000008</v>
      </c>
      <c r="P9" s="16">
        <f>SUMIFS(Canola_Mo!$P:$P,Canola_Mo!$B:$B,"Imports",Canola_Mo!$C:$C,RIGHT(P$2,5))</f>
        <v>76.587999999999994</v>
      </c>
      <c r="Q9" s="16">
        <f>SUMIFS(Canola_Mo!$P:$P,Canola_Mo!$B:$B,"Imports",Canola_Mo!$C:$C,RIGHT(Q$2,5))</f>
        <v>104.98099999999999</v>
      </c>
      <c r="R9" s="16">
        <f>SUMIFS(Canola_Mo!$P:$P,Canola_Mo!$B:$B,"Imports",Canola_Mo!$C:$C,RIGHT(R$2,5))</f>
        <v>94.528999999999996</v>
      </c>
      <c r="S9" s="16">
        <f>SUMIFS(Canola_Mo!$P:$P,Canola_Mo!$B:$B,"Imports",Canola_Mo!$C:$C,RIGHT(S$2,5))</f>
        <v>108.033</v>
      </c>
      <c r="T9" s="16">
        <f>SUMIFS(Canola_Mo!$P:$P,Canola_Mo!$B:$B,"Imports",Canola_Mo!$C:$C,RIGHT(T$2,5))</f>
        <v>146.46299999999999</v>
      </c>
      <c r="U9" s="16">
        <f>SUMIFS(Canola_Mo!$P:$P,Canola_Mo!$B:$B,"Imports",Canola_Mo!$C:$C,RIGHT(U$2,5))</f>
        <v>154.983</v>
      </c>
      <c r="V9" s="16">
        <f>SUMIFS(Canola_Mo!$P:$P,Canola_Mo!$B:$B,"Imports",Canola_Mo!$C:$C,RIGHT(V$2,5))</f>
        <v>125.053</v>
      </c>
      <c r="W9" s="16">
        <f>SUMIFS(Canola_Mo!$P:$P,Canola_Mo!$B:$B,"Imports",Canola_Mo!$C:$C,RIGHT(W$2,5))</f>
        <v>104.73699999999999</v>
      </c>
      <c r="X9" s="16">
        <f>SUMIFS(Canola_Mo!$P:$P,Canola_Mo!$B:$B,"Imports",Canola_Mo!$C:$C,RIGHT(X$2,5))</f>
        <v>151.32899999999998</v>
      </c>
      <c r="Y9" s="16">
        <f>SUMIFS(Canola_Mo!$P:$P,Canola_Mo!$B:$B,"Imports",Canola_Mo!$C:$C,RIGHT(Y$2,5))</f>
        <v>276.096</v>
      </c>
      <c r="Z9" s="16">
        <f>SUMIFS(Canola_Mo!$P:$P,Canola_Mo!$B:$B,"Imports",Canola_Mo!$C:$C,RIGHT(Z$2,5))</f>
        <v>130.874</v>
      </c>
    </row>
    <row r="10" spans="1:26" x14ac:dyDescent="0.3">
      <c r="A10" s="11" t="s">
        <v>69</v>
      </c>
      <c r="B10" s="11" t="s">
        <v>43</v>
      </c>
      <c r="C10" s="12" t="s">
        <v>59</v>
      </c>
      <c r="D10" s="16">
        <f>SUMIFS(Canola_Mo!$P:$P,Canola_Mo!$B:$B,"Production",Canola_Mo!$C:$C,RIGHT(D$2,5))</f>
        <v>4520.5</v>
      </c>
      <c r="E10" s="16">
        <f>SUMIFS(Canola_Mo!$P:$P,Canola_Mo!$B:$B,"Production",Canola_Mo!$C:$C,RIGHT(E$2,5))</f>
        <v>6771.2</v>
      </c>
      <c r="F10" s="16">
        <f>SUMIFS(Canola_Mo!$P:$P,Canola_Mo!$B:$B,"Production",Canola_Mo!$C:$C,RIGHT(F$2,5))</f>
        <v>7673.6</v>
      </c>
      <c r="G10" s="16">
        <f>SUMIFS(Canola_Mo!$P:$P,Canola_Mo!$B:$B,"Production",Canola_Mo!$C:$C,RIGHT(G$2,5))</f>
        <v>9483.2999999999993</v>
      </c>
      <c r="H10" s="16">
        <f>SUMIFS(Canola_Mo!$P:$P,Canola_Mo!$B:$B,"Production",Canola_Mo!$C:$C,RIGHT(H$2,5))</f>
        <v>9000.2999999999993</v>
      </c>
      <c r="I10" s="16">
        <f>SUMIFS(Canola_Mo!$P:$P,Canola_Mo!$B:$B,"Production",Canola_Mo!$C:$C,RIGHT(I$2,5))</f>
        <v>9611.1</v>
      </c>
      <c r="J10" s="16">
        <f>SUMIFS(Canola_Mo!$P:$P,Canola_Mo!$B:$B,"Production",Canola_Mo!$C:$C,RIGHT(J$2,5))</f>
        <v>12644.9</v>
      </c>
      <c r="K10" s="16">
        <f>SUMIFS(Canola_Mo!$P:$P,Canola_Mo!$B:$B,"Production",Canola_Mo!$C:$C,RIGHT(K$2,5))</f>
        <v>12898.1</v>
      </c>
      <c r="L10" s="16">
        <f>SUMIFS(Canola_Mo!$P:$P,Canola_Mo!$B:$B,"Production",Canola_Mo!$C:$C,RIGHT(L$2,5))</f>
        <v>12788.6</v>
      </c>
      <c r="M10" s="16">
        <f>SUMIFS(Canola_Mo!$P:$P,Canola_Mo!$B:$B,"Production",Canola_Mo!$C:$C,RIGHT(M$2,5))</f>
        <v>14608.1</v>
      </c>
      <c r="N10" s="16">
        <f>SUMIFS(Canola_Mo!$P:$P,Canola_Mo!$B:$B,"Production",Canola_Mo!$C:$C,RIGHT(N$2,5))</f>
        <v>13868.5</v>
      </c>
      <c r="O10" s="16">
        <f>SUMIFS(Canola_Mo!$P:$P,Canola_Mo!$B:$B,"Production",Canola_Mo!$C:$C,RIGHT(O$2,5))</f>
        <v>18551</v>
      </c>
      <c r="P10" s="16">
        <f>SUMIFS(Canola_Mo!$P:$P,Canola_Mo!$B:$B,"Production",Canola_Mo!$C:$C,RIGHT(P$2,5))</f>
        <v>16410.099999999999</v>
      </c>
      <c r="Q10" s="16">
        <f>SUMIFS(Canola_Mo!$P:$P,Canola_Mo!$B:$B,"Production",Canola_Mo!$C:$C,RIGHT(Q$2,5))</f>
        <v>18376.5</v>
      </c>
      <c r="R10" s="16">
        <f>SUMIFS(Canola_Mo!$P:$P,Canola_Mo!$B:$B,"Production",Canola_Mo!$C:$C,RIGHT(R$2,5))</f>
        <v>19599.2</v>
      </c>
      <c r="S10" s="16">
        <f>SUMIFS(Canola_Mo!$P:$P,Canola_Mo!$B:$B,"Production",Canola_Mo!$C:$C,RIGHT(S$2,5))</f>
        <v>21458.1</v>
      </c>
      <c r="T10" s="16">
        <f>SUMIFS(Canola_Mo!$P:$P,Canola_Mo!$B:$B,"Production",Canola_Mo!$C:$C,RIGHT(T$2,5))</f>
        <v>20723.5</v>
      </c>
      <c r="U10" s="16">
        <f>SUMIFS(Canola_Mo!$P:$P,Canola_Mo!$B:$B,"Production",Canola_Mo!$C:$C,RIGHT(U$2,5))</f>
        <v>19912.3</v>
      </c>
      <c r="V10" s="16">
        <f>SUMIFS(Canola_Mo!$P:$P,Canola_Mo!$B:$B,"Production",Canola_Mo!$C:$C,RIGHT(V$2,5))</f>
        <v>19484.7</v>
      </c>
      <c r="W10" s="16">
        <f>SUMIFS(Canola_Mo!$P:$P,Canola_Mo!$B:$B,"Production",Canola_Mo!$C:$C,RIGHT(W$2,5))</f>
        <v>14248.3</v>
      </c>
      <c r="X10" s="16">
        <f>SUMIFS(Canola_Mo!$P:$P,Canola_Mo!$B:$B,"Production",Canola_Mo!$C:$C,RIGHT(X$2,5))</f>
        <v>18849.8</v>
      </c>
      <c r="Y10" s="16">
        <f>SUMIFS(Canola_Mo!$P:$P,Canola_Mo!$B:$B,"Production",Canola_Mo!$C:$C,RIGHT(Y$2,5))</f>
        <v>19463.599999999999</v>
      </c>
      <c r="Z10" s="16">
        <f>SUMIFS(Canola_Mo!$P:$P,Canola_Mo!$B:$B,"Production",Canola_Mo!$C:$C,RIGHT(Z$2,5))</f>
        <v>19239.5</v>
      </c>
    </row>
    <row r="11" spans="1:26" x14ac:dyDescent="0.3">
      <c r="A11" s="17" t="s">
        <v>69</v>
      </c>
      <c r="B11" s="17" t="s">
        <v>60</v>
      </c>
      <c r="C11" s="18" t="s">
        <v>59</v>
      </c>
      <c r="D11" s="19">
        <f t="shared" ref="D11:Z11" si="2">D8+D9+D10</f>
        <v>6009.7020000000011</v>
      </c>
      <c r="E11" s="19">
        <f t="shared" si="2"/>
        <v>7908.0320000000011</v>
      </c>
      <c r="F11" s="19">
        <f t="shared" si="2"/>
        <v>8389.7830000000031</v>
      </c>
      <c r="G11" s="19">
        <f t="shared" si="2"/>
        <v>11209.436000000002</v>
      </c>
      <c r="H11" s="19">
        <f t="shared" si="2"/>
        <v>11210.311000000002</v>
      </c>
      <c r="I11" s="19">
        <f t="shared" si="2"/>
        <v>11572.515000000003</v>
      </c>
      <c r="J11" s="19">
        <f t="shared" si="2"/>
        <v>14226.922999999999</v>
      </c>
      <c r="K11" s="19">
        <f t="shared" si="2"/>
        <v>14969.454</v>
      </c>
      <c r="L11" s="19">
        <f t="shared" si="2"/>
        <v>15760.954</v>
      </c>
      <c r="M11" s="19">
        <f t="shared" si="2"/>
        <v>16890.470999999998</v>
      </c>
      <c r="N11" s="19">
        <f t="shared" si="2"/>
        <v>14703.507999999994</v>
      </c>
      <c r="O11" s="19">
        <f t="shared" si="2"/>
        <v>19205.181999999997</v>
      </c>
      <c r="P11" s="19">
        <f t="shared" si="2"/>
        <v>19494.687999999995</v>
      </c>
      <c r="Q11" s="19">
        <f t="shared" si="2"/>
        <v>21054.780999999992</v>
      </c>
      <c r="R11" s="19">
        <f t="shared" si="2"/>
        <v>21784.528999999984</v>
      </c>
      <c r="S11" s="19">
        <f t="shared" si="2"/>
        <v>22907.832999999988</v>
      </c>
      <c r="T11" s="19">
        <f t="shared" si="2"/>
        <v>23505.662999999993</v>
      </c>
      <c r="U11" s="19">
        <f t="shared" si="2"/>
        <v>24502.082999999991</v>
      </c>
      <c r="V11" s="19">
        <f t="shared" si="2"/>
        <v>23044.352999999992</v>
      </c>
      <c r="W11" s="19">
        <f t="shared" si="2"/>
        <v>16129.036999999993</v>
      </c>
      <c r="X11" s="19">
        <f t="shared" si="2"/>
        <v>20485.228999999996</v>
      </c>
      <c r="Y11" s="19">
        <f t="shared" si="2"/>
        <v>21602.195999999996</v>
      </c>
      <c r="Z11" s="19">
        <f t="shared" si="2"/>
        <v>22595.173999999995</v>
      </c>
    </row>
    <row r="13" spans="1:26" x14ac:dyDescent="0.3">
      <c r="A13" s="11" t="s">
        <v>69</v>
      </c>
      <c r="B13" s="11" t="s">
        <v>46</v>
      </c>
      <c r="C13" s="12" t="s">
        <v>59</v>
      </c>
      <c r="D13" s="16">
        <f>SUMIFS(Canola_Mo!$P:$P,Canola_Mo!$B:$B,"Food",Canola_Mo!$C:$C,RIGHT(D$2,5))</f>
        <v>0</v>
      </c>
      <c r="E13" s="16">
        <f>SUMIFS(Canola_Mo!$P:$P,Canola_Mo!$B:$B,"Food",Canola_Mo!$C:$C,RIGHT(E$2,5))</f>
        <v>0</v>
      </c>
      <c r="F13" s="16">
        <f>SUMIFS(Canola_Mo!$P:$P,Canola_Mo!$B:$B,"Food",Canola_Mo!$C:$C,RIGHT(F$2,5))</f>
        <v>0</v>
      </c>
      <c r="G13" s="16">
        <f>SUMIFS(Canola_Mo!$P:$P,Canola_Mo!$B:$B,"Food",Canola_Mo!$C:$C,RIGHT(G$2,5))</f>
        <v>0</v>
      </c>
      <c r="H13" s="16">
        <f>SUMIFS(Canola_Mo!$P:$P,Canola_Mo!$B:$B,"Food",Canola_Mo!$C:$C,RIGHT(H$2,5))</f>
        <v>0</v>
      </c>
      <c r="I13" s="16">
        <f>SUMIFS(Canola_Mo!$P:$P,Canola_Mo!$B:$B,"Food",Canola_Mo!$C:$C,RIGHT(I$2,5))</f>
        <v>0</v>
      </c>
      <c r="J13" s="16">
        <f>SUMIFS(Canola_Mo!$P:$P,Canola_Mo!$B:$B,"Food",Canola_Mo!$C:$C,RIGHT(J$2,5))</f>
        <v>0</v>
      </c>
      <c r="K13" s="16">
        <f>SUMIFS(Canola_Mo!$P:$P,Canola_Mo!$B:$B,"Food",Canola_Mo!$C:$C,RIGHT(K$2,5))</f>
        <v>0</v>
      </c>
      <c r="L13" s="16">
        <f>SUMIFS(Canola_Mo!$P:$P,Canola_Mo!$B:$B,"Food",Canola_Mo!$C:$C,RIGHT(L$2,5))</f>
        <v>0</v>
      </c>
      <c r="M13" s="16">
        <f>SUMIFS(Canola_Mo!$P:$P,Canola_Mo!$B:$B,"Food",Canola_Mo!$C:$C,RIGHT(M$2,5))</f>
        <v>0</v>
      </c>
      <c r="N13" s="16">
        <f>SUMIFS(Canola_Mo!$P:$P,Canola_Mo!$B:$B,"Food",Canola_Mo!$C:$C,RIGHT(N$2,5))</f>
        <v>0</v>
      </c>
      <c r="O13" s="16">
        <f>SUMIFS(Canola_Mo!$P:$P,Canola_Mo!$B:$B,"Food",Canola_Mo!$C:$C,RIGHT(O$2,5))</f>
        <v>0</v>
      </c>
      <c r="P13" s="16">
        <f>SUMIFS(Canola_Mo!$P:$P,Canola_Mo!$B:$B,"Food",Canola_Mo!$C:$C,RIGHT(P$2,5))</f>
        <v>0</v>
      </c>
      <c r="Q13" s="16">
        <f>SUMIFS(Canola_Mo!$P:$P,Canola_Mo!$B:$B,"Food",Canola_Mo!$C:$C,RIGHT(Q$2,5))</f>
        <v>0</v>
      </c>
      <c r="R13" s="16">
        <f>SUMIFS(Canola_Mo!$P:$P,Canola_Mo!$B:$B,"Food",Canola_Mo!$C:$C,RIGHT(R$2,5))</f>
        <v>0</v>
      </c>
      <c r="S13" s="16">
        <f>SUMIFS(Canola_Mo!$P:$P,Canola_Mo!$B:$B,"Food",Canola_Mo!$C:$C,RIGHT(S$2,5))</f>
        <v>0</v>
      </c>
      <c r="T13" s="16">
        <f>SUMIFS(Canola_Mo!$P:$P,Canola_Mo!$B:$B,"Food",Canola_Mo!$C:$C,RIGHT(T$2,5))</f>
        <v>0</v>
      </c>
      <c r="U13" s="16">
        <f>SUMIFS(Canola_Mo!$P:$P,Canola_Mo!$B:$B,"Food",Canola_Mo!$C:$C,RIGHT(U$2,5))</f>
        <v>0</v>
      </c>
      <c r="V13" s="16">
        <f>SUMIFS(Canola_Mo!$P:$P,Canola_Mo!$B:$B,"Food",Canola_Mo!$C:$C,RIGHT(V$2,5))</f>
        <v>0</v>
      </c>
      <c r="W13" s="16">
        <f>SUMIFS(Canola_Mo!$P:$P,Canola_Mo!$B:$B,"Food",Canola_Mo!$C:$C,RIGHT(W$2,5))</f>
        <v>0</v>
      </c>
      <c r="X13" s="16">
        <f>SUMIFS(Canola_Mo!$P:$P,Canola_Mo!$B:$B,"Food",Canola_Mo!$C:$C,RIGHT(X$2,5))</f>
        <v>0</v>
      </c>
      <c r="Y13" s="16">
        <f>SUMIFS(Canola_Mo!$P:$P,Canola_Mo!$B:$B,"Food",Canola_Mo!$C:$C,RIGHT(Y$2,5))</f>
        <v>0</v>
      </c>
      <c r="Z13" s="16">
        <f>SUMIFS(Canola_Mo!$P:$P,Canola_Mo!$B:$B,"Food",Canola_Mo!$C:$C,RIGHT(Z$2,5))</f>
        <v>0</v>
      </c>
    </row>
    <row r="14" spans="1:26" x14ac:dyDescent="0.3">
      <c r="A14" s="11" t="s">
        <v>69</v>
      </c>
      <c r="B14" s="11" t="s">
        <v>70</v>
      </c>
      <c r="C14" s="12" t="s">
        <v>59</v>
      </c>
      <c r="D14" s="16">
        <f>SUMIFS(Canola_Mo!$P:$P,Canola_Mo!$B:$B,"Crush",Canola_Mo!$C:$C,RIGHT(D$2,5))</f>
        <v>2224.8999999999996</v>
      </c>
      <c r="E14" s="16">
        <f>SUMIFS(Canola_Mo!$P:$P,Canola_Mo!$B:$B,"Crush",Canola_Mo!$C:$C,RIGHT(E$2,5))</f>
        <v>3389.6</v>
      </c>
      <c r="F14" s="16">
        <f>SUMIFS(Canola_Mo!$P:$P,Canola_Mo!$B:$B,"Crush",Canola_Mo!$C:$C,RIGHT(F$2,5))</f>
        <v>3030.8999999999996</v>
      </c>
      <c r="G14" s="16">
        <f>SUMIFS(Canola_Mo!$P:$P,Canola_Mo!$B:$B,"Crush",Canola_Mo!$C:$C,RIGHT(G$2,5))</f>
        <v>3422.6</v>
      </c>
      <c r="H14" s="16">
        <f>SUMIFS(Canola_Mo!$P:$P,Canola_Mo!$B:$B,"Crush",Canola_Mo!$C:$C,RIGHT(H$2,5))</f>
        <v>3578.6</v>
      </c>
      <c r="I14" s="16">
        <f>SUMIFS(Canola_Mo!$P:$P,Canola_Mo!$B:$B,"Crush",Canola_Mo!$C:$C,RIGHT(I$2,5))</f>
        <v>4144.4000000000005</v>
      </c>
      <c r="J14" s="16">
        <f>SUMIFS(Canola_Mo!$P:$P,Canola_Mo!$B:$B,"Crush",Canola_Mo!$C:$C,RIGHT(J$2,5))</f>
        <v>4279.8999999999996</v>
      </c>
      <c r="K14" s="16">
        <f>SUMIFS(Canola_Mo!$P:$P,Canola_Mo!$B:$B,"Crush",Canola_Mo!$C:$C,RIGHT(K$2,5))</f>
        <v>4787.7999999999993</v>
      </c>
      <c r="L14" s="16">
        <f>SUMIFS(Canola_Mo!$P:$P,Canola_Mo!$B:$B,"Crush",Canola_Mo!$C:$C,RIGHT(L$2,5))</f>
        <v>6310.4000000000005</v>
      </c>
      <c r="M14" s="16">
        <f>SUMIFS(Canola_Mo!$P:$P,Canola_Mo!$B:$B,"Crush",Canola_Mo!$C:$C,RIGHT(M$2,5))</f>
        <v>6999.2999999999984</v>
      </c>
      <c r="N14" s="16">
        <f>SUMIFS(Canola_Mo!$P:$P,Canola_Mo!$B:$B,"Crush",Canola_Mo!$C:$C,RIGHT(N$2,5))</f>
        <v>6716.800000000002</v>
      </c>
      <c r="O14" s="16">
        <f>SUMIFS(Canola_Mo!$P:$P,Canola_Mo!$B:$B,"Crush",Canola_Mo!$C:$C,RIGHT(O$2,5))</f>
        <v>6979.4000000000005</v>
      </c>
      <c r="P14" s="16">
        <f>SUMIFS(Canola_Mo!$P:$P,Canola_Mo!$B:$B,"Crush",Canola_Mo!$C:$C,RIGHT(P$2,5))</f>
        <v>7360.4000000000005</v>
      </c>
      <c r="Q14" s="16">
        <f>SUMIFS(Canola_Mo!$P:$P,Canola_Mo!$B:$B,"Crush",Canola_Mo!$C:$C,RIGHT(Q$2,5))</f>
        <v>8315.4</v>
      </c>
      <c r="R14" s="16">
        <f>SUMIFS(Canola_Mo!$P:$P,Canola_Mo!$B:$B,"Crush",Canola_Mo!$C:$C,RIGHT(R$2,5))</f>
        <v>9191.4</v>
      </c>
      <c r="S14" s="16">
        <f>SUMIFS(Canola_Mo!$P:$P,Canola_Mo!$B:$B,"Crush",Canola_Mo!$C:$C,RIGHT(S$2,5))</f>
        <v>9269.2000000000007</v>
      </c>
      <c r="T14" s="16">
        <f>SUMIFS(Canola_Mo!$P:$P,Canola_Mo!$B:$B,"Crush",Canola_Mo!$C:$C,RIGHT(T$2,5))</f>
        <v>9295.4</v>
      </c>
      <c r="U14" s="16">
        <f>SUMIFS(Canola_Mo!$P:$P,Canola_Mo!$B:$B,"Crush",Canola_Mo!$C:$C,RIGHT(U$2,5))</f>
        <v>10129</v>
      </c>
      <c r="V14" s="16">
        <f>SUMIFS(Canola_Mo!$P:$P,Canola_Mo!$B:$B,"Crush",Canola_Mo!$C:$C,RIGHT(V$2,5))</f>
        <v>10424.800000000001</v>
      </c>
      <c r="W14" s="16">
        <f>SUMIFS(Canola_Mo!$P:$P,Canola_Mo!$B:$B,"Crush",Canola_Mo!$C:$C,RIGHT(W$2,5))</f>
        <v>8555.4</v>
      </c>
      <c r="X14" s="16">
        <f>SUMIFS(Canola_Mo!$P:$P,Canola_Mo!$B:$B,"Crush",Canola_Mo!$C:$C,RIGHT(X$2,5))</f>
        <v>9961.4</v>
      </c>
      <c r="Y14" s="16">
        <f>SUMIFS(Canola_Mo!$P:$P,Canola_Mo!$B:$B,"Crush",Canola_Mo!$C:$C,RIGHT(Y$2,5))</f>
        <v>11032.899999999996</v>
      </c>
      <c r="Z14" s="16">
        <f>SUMIFS(Canola_Mo!$P:$P,Canola_Mo!$B:$B,"Crush",Canola_Mo!$C:$C,RIGHT(Z$2,5))</f>
        <v>11412</v>
      </c>
    </row>
    <row r="15" spans="1:26" x14ac:dyDescent="0.3">
      <c r="A15" s="11" t="s">
        <v>69</v>
      </c>
      <c r="B15" s="11" t="s">
        <v>50</v>
      </c>
      <c r="C15" s="12" t="s">
        <v>59</v>
      </c>
      <c r="D15" s="16">
        <f>SUMIFS(Canola_Mo!$P:$P,Canola_Mo!$B:$B,"FSR",Canola_Mo!$C:$C,RIGHT(D$2,5))+SUMIFS(Canola_Mo!$P:$P,Canola_Mo!$B:$B,"Seed",Canola_Mo!$C:$C,RIGHT(D$2,5))</f>
        <v>469.09900000000084</v>
      </c>
      <c r="E15" s="16">
        <f>SUMIFS(Canola_Mo!$P:$P,Canola_Mo!$B:$B,"FSR",Canola_Mo!$C:$C,RIGHT(E$2,5))+SUMIFS(Canola_Mo!$P:$P,Canola_Mo!$B:$B,"Seed",Canola_Mo!$C:$C,RIGHT(E$2,5))</f>
        <v>147.28899999999922</v>
      </c>
      <c r="F15" s="16">
        <f>SUMIFS(Canola_Mo!$P:$P,Canola_Mo!$B:$B,"FSR",Canola_Mo!$C:$C,RIGHT(F$2,5))+SUMIFS(Canola_Mo!$P:$P,Canola_Mo!$B:$B,"Seed",Canola_Mo!$C:$C,RIGHT(F$2,5))</f>
        <v>279.53500000000213</v>
      </c>
      <c r="G15" s="16">
        <f>SUMIFS(Canola_Mo!$P:$P,Canola_Mo!$B:$B,"FSR",Canola_Mo!$C:$C,RIGHT(G$2,5))+SUMIFS(Canola_Mo!$P:$P,Canola_Mo!$B:$B,"Seed",Canola_Mo!$C:$C,RIGHT(G$2,5))</f>
        <v>369.22899999999942</v>
      </c>
      <c r="H15" s="16">
        <f>SUMIFS(Canola_Mo!$P:$P,Canola_Mo!$B:$B,"FSR",Canola_Mo!$C:$C,RIGHT(H$2,5))+SUMIFS(Canola_Mo!$P:$P,Canola_Mo!$B:$B,"Seed",Canola_Mo!$C:$C,RIGHT(H$2,5))</f>
        <v>388.98100000000028</v>
      </c>
      <c r="I15" s="16">
        <f>SUMIFS(Canola_Mo!$P:$P,Canola_Mo!$B:$B,"FSR",Canola_Mo!$C:$C,RIGHT(I$2,5))+SUMIFS(Canola_Mo!$P:$P,Canola_Mo!$B:$B,"Seed",Canola_Mo!$C:$C,RIGHT(I$2,5))</f>
        <v>158.45000000000081</v>
      </c>
      <c r="J15" s="16">
        <f>SUMIFS(Canola_Mo!$P:$P,Canola_Mo!$B:$B,"FSR",Canola_Mo!$C:$C,RIGHT(J$2,5))+SUMIFS(Canola_Mo!$P:$P,Canola_Mo!$B:$B,"Seed",Canola_Mo!$C:$C,RIGHT(J$2,5))</f>
        <v>105.61700000000019</v>
      </c>
      <c r="K15" s="16">
        <f>SUMIFS(Canola_Mo!$P:$P,Canola_Mo!$B:$B,"FSR",Canola_Mo!$C:$C,RIGHT(K$2,5))+SUMIFS(Canola_Mo!$P:$P,Canola_Mo!$B:$B,"Seed",Canola_Mo!$C:$C,RIGHT(K$2,5))</f>
        <v>261.16400000000164</v>
      </c>
      <c r="L15" s="16">
        <f>SUMIFS(Canola_Mo!$P:$P,Canola_Mo!$B:$B,"FSR",Canola_Mo!$C:$C,RIGHT(L$2,5))+SUMIFS(Canola_Mo!$P:$P,Canola_Mo!$B:$B,"Seed",Canola_Mo!$C:$C,RIGHT(L$2,5))</f>
        <v>58.221000000000458</v>
      </c>
      <c r="M15" s="16">
        <f>SUMIFS(Canola_Mo!$P:$P,Canola_Mo!$B:$B,"FSR",Canola_Mo!$C:$C,RIGHT(M$2,5))+SUMIFS(Canola_Mo!$P:$P,Canola_Mo!$B:$B,"Seed",Canola_Mo!$C:$C,RIGHT(M$2,5))</f>
        <v>488.58600000000632</v>
      </c>
      <c r="N15" s="16">
        <f>SUMIFS(Canola_Mo!$P:$P,Canola_Mo!$B:$B,"FSR",Canola_Mo!$C:$C,RIGHT(N$2,5))+SUMIFS(Canola_Mo!$P:$P,Canola_Mo!$B:$B,"Seed",Canola_Mo!$C:$C,RIGHT(N$2,5))</f>
        <v>288.78799999999717</v>
      </c>
      <c r="O15" s="16">
        <f>SUMIFS(Canola_Mo!$P:$P,Canola_Mo!$B:$B,"FSR",Canola_Mo!$C:$C,RIGHT(O$2,5))+SUMIFS(Canola_Mo!$P:$P,Canola_Mo!$B:$B,"Seed",Canola_Mo!$C:$C,RIGHT(O$2,5))</f>
        <v>43.234999999998784</v>
      </c>
      <c r="P15" s="16">
        <f>SUMIFS(Canola_Mo!$P:$P,Canola_Mo!$B:$B,"FSR",Canola_Mo!$C:$C,RIGHT(P$2,5))+SUMIFS(Canola_Mo!$P:$P,Canola_Mo!$B:$B,"Seed",Canola_Mo!$C:$C,RIGHT(P$2,5))</f>
        <v>345.29300000000057</v>
      </c>
      <c r="Q15" s="16">
        <f>SUMIFS(Canola_Mo!$P:$P,Canola_Mo!$B:$B,"FSR",Canola_Mo!$C:$C,RIGHT(Q$2,5))+SUMIFS(Canola_Mo!$P:$P,Canola_Mo!$B:$B,"Seed",Canola_Mo!$C:$C,RIGHT(Q$2,5))</f>
        <v>366.12900000000718</v>
      </c>
      <c r="R15" s="16">
        <f>SUMIFS(Canola_Mo!$P:$P,Canola_Mo!$B:$B,"FSR",Canola_Mo!$C:$C,RIGHT(R$2,5))+SUMIFS(Canola_Mo!$P:$P,Canola_Mo!$B:$B,"Seed",Canola_Mo!$C:$C,RIGHT(R$2,5))</f>
        <v>229.75199999999748</v>
      </c>
      <c r="S15" s="16">
        <f>SUMIFS(Canola_Mo!$P:$P,Canola_Mo!$B:$B,"FSR",Canola_Mo!$C:$C,RIGHT(S$2,5))+SUMIFS(Canola_Mo!$P:$P,Canola_Mo!$B:$B,"Seed",Canola_Mo!$C:$C,RIGHT(S$2,5))</f>
        <v>154.56799999999657</v>
      </c>
      <c r="T15" s="16">
        <f>SUMIFS(Canola_Mo!$P:$P,Canola_Mo!$B:$B,"FSR",Canola_Mo!$C:$C,RIGHT(T$2,5))+SUMIFS(Canola_Mo!$P:$P,Canola_Mo!$B:$B,"Seed",Canola_Mo!$C:$C,RIGHT(T$2,5))</f>
        <v>572.96100000000206</v>
      </c>
      <c r="U15" s="16">
        <f>SUMIFS(Canola_Mo!$P:$P,Canola_Mo!$B:$B,"FSR",Canola_Mo!$C:$C,RIGHT(U$2,5))+SUMIFS(Canola_Mo!$P:$P,Canola_Mo!$B:$B,"Seed",Canola_Mo!$C:$C,RIGHT(U$2,5))</f>
        <v>897.34099999999887</v>
      </c>
      <c r="V15" s="16">
        <f>SUMIFS(Canola_Mo!$P:$P,Canola_Mo!$B:$B,"FSR",Canola_Mo!$C:$C,RIGHT(V$2,5))+SUMIFS(Canola_Mo!$P:$P,Canola_Mo!$B:$B,"Seed",Canola_Mo!$C:$C,RIGHT(V$2,5))</f>
        <v>358.11599999999822</v>
      </c>
      <c r="W15" s="16">
        <f>SUMIFS(Canola_Mo!$P:$P,Canola_Mo!$B:$B,"FSR",Canola_Mo!$C:$C,RIGHT(W$2,5))+SUMIFS(Canola_Mo!$P:$P,Canola_Mo!$B:$B,"Seed",Canola_Mo!$C:$C,RIGHT(W$2,5))</f>
        <v>843.97799999999768</v>
      </c>
      <c r="X15" s="16">
        <f>SUMIFS(Canola_Mo!$P:$P,Canola_Mo!$B:$B,"FSR",Canola_Mo!$C:$C,RIGHT(X$2,5))+SUMIFS(Canola_Mo!$P:$P,Canola_Mo!$B:$B,"Seed",Canola_Mo!$C:$C,RIGHT(X$2,5))</f>
        <v>710.64600000000053</v>
      </c>
      <c r="Y15" s="16">
        <f>SUMIFS(Canola_Mo!$P:$P,Canola_Mo!$B:$B,"FSR",Canola_Mo!$C:$C,RIGHT(Y$2,5))+SUMIFS(Canola_Mo!$P:$P,Canola_Mo!$B:$B,"Seed",Canola_Mo!$C:$C,RIGHT(Y$2,5))</f>
        <v>532.9190000000043</v>
      </c>
      <c r="Z15" s="16">
        <f>SUMIFS(Canola_Mo!$P:$P,Canola_Mo!$B:$B,"FSR",Canola_Mo!$C:$C,RIGHT(Z$2,5))+SUMIFS(Canola_Mo!$P:$P,Canola_Mo!$B:$B,"Seed",Canola_Mo!$C:$C,RIGHT(Z$2,5))</f>
        <v>199.21599999999955</v>
      </c>
    </row>
    <row r="16" spans="1:26" x14ac:dyDescent="0.3">
      <c r="A16" s="11" t="s">
        <v>69</v>
      </c>
      <c r="B16" s="11" t="s">
        <v>44</v>
      </c>
      <c r="C16" s="12" t="s">
        <v>59</v>
      </c>
      <c r="D16" s="16">
        <f>SUMIFS(Canola_Mo!$P:$P,Canola_Mo!$B:$B,"Exports",Canola_Mo!$C:$C,RIGHT(D$2,5))</f>
        <v>2421.5030000000002</v>
      </c>
      <c r="E16" s="16">
        <f>SUMIFS(Canola_Mo!$P:$P,Canola_Mo!$B:$B,"Exports",Canola_Mo!$C:$C,RIGHT(E$2,5))</f>
        <v>3762.5429999999997</v>
      </c>
      <c r="F16" s="16">
        <f>SUMIFS(Canola_Mo!$P:$P,Canola_Mo!$B:$B,"Exports",Canola_Mo!$C:$C,RIGHT(F$2,5))</f>
        <v>3492.748</v>
      </c>
      <c r="G16" s="16">
        <f>SUMIFS(Canola_Mo!$P:$P,Canola_Mo!$B:$B,"Exports",Canola_Mo!$C:$C,RIGHT(G$2,5))</f>
        <v>5410.607</v>
      </c>
      <c r="H16" s="16">
        <f>SUMIFS(Canola_Mo!$P:$P,Canola_Mo!$B:$B,"Exports",Canola_Mo!$C:$C,RIGHT(H$2,5))</f>
        <v>5460.13</v>
      </c>
      <c r="I16" s="16">
        <f>SUMIFS(Canola_Mo!$P:$P,Canola_Mo!$B:$B,"Exports",Canola_Mo!$C:$C,RIGHT(I$2,5))</f>
        <v>5808.1650000000009</v>
      </c>
      <c r="J16" s="16">
        <f>SUMIFS(Canola_Mo!$P:$P,Canola_Mo!$B:$B,"Exports",Canola_Mo!$C:$C,RIGHT(J$2,5))</f>
        <v>7897.9059999999999</v>
      </c>
      <c r="K16" s="16">
        <f>SUMIFS(Canola_Mo!$P:$P,Canola_Mo!$B:$B,"Exports",Canola_Mo!$C:$C,RIGHT(K$2,5))</f>
        <v>7171.7900000000009</v>
      </c>
      <c r="L16" s="16">
        <f>SUMIFS(Canola_Mo!$P:$P,Canola_Mo!$B:$B,"Exports",Canola_Mo!$C:$C,RIGHT(L$2,5))</f>
        <v>7206.5330000000013</v>
      </c>
      <c r="M16" s="16">
        <f>SUMIFS(Canola_Mo!$P:$P,Canola_Mo!$B:$B,"Exports",Canola_Mo!$C:$C,RIGHT(M$2,5))</f>
        <v>8695.1849999999995</v>
      </c>
      <c r="N16" s="16">
        <f>SUMIFS(Canola_Mo!$P:$P,Canola_Mo!$B:$B,"Exports",Canola_Mo!$C:$C,RIGHT(N$2,5))</f>
        <v>7109.8199999999988</v>
      </c>
      <c r="O16" s="16">
        <f>SUMIFS(Canola_Mo!$P:$P,Canola_Mo!$B:$B,"Exports",Canola_Mo!$C:$C,RIGHT(O$2,5))</f>
        <v>9174.5470000000005</v>
      </c>
      <c r="P16" s="16">
        <f>SUMIFS(Canola_Mo!$P:$P,Canola_Mo!$B:$B,"Exports",Canola_Mo!$C:$C,RIGHT(P$2,5))</f>
        <v>9215.6950000000015</v>
      </c>
      <c r="Q16" s="16">
        <f>SUMIFS(Canola_Mo!$P:$P,Canola_Mo!$B:$B,"Exports",Canola_Mo!$C:$C,RIGHT(Q$2,5))</f>
        <v>10282.451999999999</v>
      </c>
      <c r="R16" s="16">
        <f>SUMIFS(Canola_Mo!$P:$P,Canola_Mo!$B:$B,"Exports",Canola_Mo!$C:$C,RIGHT(R$2,5))</f>
        <v>11021.676999999998</v>
      </c>
      <c r="S16" s="16">
        <f>SUMIFS(Canola_Mo!$P:$P,Canola_Mo!$B:$B,"Exports",Canola_Mo!$C:$C,RIGHT(S$2,5))</f>
        <v>10848.365</v>
      </c>
      <c r="T16" s="16">
        <f>SUMIFS(Canola_Mo!$P:$P,Canola_Mo!$B:$B,"Exports",Canola_Mo!$C:$C,RIGHT(T$2,5))</f>
        <v>9202.5020000000004</v>
      </c>
      <c r="U16" s="16">
        <f>SUMIFS(Canola_Mo!$P:$P,Canola_Mo!$B:$B,"Exports",Canola_Mo!$C:$C,RIGHT(U$2,5))</f>
        <v>10041.142</v>
      </c>
      <c r="V16" s="16">
        <f>SUMIFS(Canola_Mo!$P:$P,Canola_Mo!$B:$B,"Exports",Canola_Mo!$C:$C,RIGHT(V$2,5))</f>
        <v>10485.437</v>
      </c>
      <c r="W16" s="16">
        <f>SUMIFS(Canola_Mo!$P:$P,Canola_Mo!$B:$B,"Exports",Canola_Mo!$C:$C,RIGHT(W$2,5))</f>
        <v>5245.5590000000002</v>
      </c>
      <c r="X16" s="16">
        <f>SUMIFS(Canola_Mo!$P:$P,Canola_Mo!$B:$B,"Exports",Canola_Mo!$C:$C,RIGHT(X$2,5))</f>
        <v>7950.6830000000009</v>
      </c>
      <c r="Y16" s="16">
        <f>SUMIFS(Canola_Mo!$P:$P,Canola_Mo!$B:$B,"Exports",Canola_Mo!$C:$C,RIGHT(Y$2,5))</f>
        <v>6811.5770000000002</v>
      </c>
      <c r="Z16" s="16">
        <f>SUMIFS(Canola_Mo!$P:$P,Canola_Mo!$B:$B,"Exports",Canola_Mo!$C:$C,RIGHT(Z$2,5))</f>
        <v>9386.6580000000013</v>
      </c>
    </row>
    <row r="17" spans="1:26" x14ac:dyDescent="0.3">
      <c r="A17" s="17" t="s">
        <v>69</v>
      </c>
      <c r="B17" s="17" t="s">
        <v>61</v>
      </c>
      <c r="C17" s="18" t="s">
        <v>59</v>
      </c>
      <c r="D17" s="19">
        <f t="shared" ref="D17:Z17" si="3">D13+D14+D15+D16</f>
        <v>5115.5020000000004</v>
      </c>
      <c r="E17" s="19">
        <f t="shared" si="3"/>
        <v>7299.4319999999989</v>
      </c>
      <c r="F17" s="19">
        <f t="shared" si="3"/>
        <v>6803.1830000000018</v>
      </c>
      <c r="G17" s="19">
        <f t="shared" si="3"/>
        <v>9202.4359999999997</v>
      </c>
      <c r="H17" s="19">
        <f t="shared" si="3"/>
        <v>9427.7109999999993</v>
      </c>
      <c r="I17" s="19">
        <f t="shared" si="3"/>
        <v>10111.015000000003</v>
      </c>
      <c r="J17" s="19">
        <f t="shared" si="3"/>
        <v>12283.422999999999</v>
      </c>
      <c r="K17" s="19">
        <f t="shared" si="3"/>
        <v>12220.754000000001</v>
      </c>
      <c r="L17" s="19">
        <f t="shared" si="3"/>
        <v>13575.154000000002</v>
      </c>
      <c r="M17" s="19">
        <f t="shared" si="3"/>
        <v>16183.071000000004</v>
      </c>
      <c r="N17" s="19">
        <f t="shared" si="3"/>
        <v>14115.407999999998</v>
      </c>
      <c r="O17" s="19">
        <f t="shared" si="3"/>
        <v>16197.182000000001</v>
      </c>
      <c r="P17" s="19">
        <f t="shared" si="3"/>
        <v>16921.388000000003</v>
      </c>
      <c r="Q17" s="19">
        <f t="shared" si="3"/>
        <v>18963.981000000007</v>
      </c>
      <c r="R17" s="19">
        <f t="shared" si="3"/>
        <v>20442.828999999994</v>
      </c>
      <c r="S17" s="19">
        <f t="shared" si="3"/>
        <v>20272.132999999994</v>
      </c>
      <c r="T17" s="19">
        <f t="shared" si="3"/>
        <v>19070.863000000001</v>
      </c>
      <c r="U17" s="19">
        <f t="shared" si="3"/>
        <v>21067.483</v>
      </c>
      <c r="V17" s="19">
        <f t="shared" si="3"/>
        <v>21268.352999999999</v>
      </c>
      <c r="W17" s="19">
        <f t="shared" si="3"/>
        <v>14644.936999999998</v>
      </c>
      <c r="X17" s="19">
        <f t="shared" si="3"/>
        <v>18622.728999999999</v>
      </c>
      <c r="Y17" s="19">
        <f t="shared" si="3"/>
        <v>18377.396000000001</v>
      </c>
      <c r="Z17" s="19">
        <f t="shared" si="3"/>
        <v>20997.874000000003</v>
      </c>
    </row>
    <row r="19" spans="1:26" x14ac:dyDescent="0.3">
      <c r="A19" s="20" t="s">
        <v>69</v>
      </c>
      <c r="B19" s="20" t="s">
        <v>62</v>
      </c>
      <c r="C19" s="21" t="s">
        <v>59</v>
      </c>
      <c r="D19" s="22">
        <f t="shared" ref="D19:Z19" si="4">D11-D17</f>
        <v>894.20000000000073</v>
      </c>
      <c r="E19" s="22">
        <f t="shared" si="4"/>
        <v>608.60000000000218</v>
      </c>
      <c r="F19" s="22">
        <f t="shared" si="4"/>
        <v>1586.6000000000013</v>
      </c>
      <c r="G19" s="22">
        <f t="shared" si="4"/>
        <v>2007.0000000000018</v>
      </c>
      <c r="H19" s="22">
        <f t="shared" si="4"/>
        <v>1782.6000000000022</v>
      </c>
      <c r="I19" s="22">
        <f t="shared" si="4"/>
        <v>1461.5</v>
      </c>
      <c r="J19" s="22">
        <f t="shared" si="4"/>
        <v>1943.5</v>
      </c>
      <c r="K19" s="22">
        <f t="shared" si="4"/>
        <v>2748.6999999999989</v>
      </c>
      <c r="L19" s="22">
        <f t="shared" si="4"/>
        <v>2185.7999999999975</v>
      </c>
      <c r="M19" s="22">
        <f t="shared" si="4"/>
        <v>707.39999999999418</v>
      </c>
      <c r="N19" s="22">
        <f t="shared" si="4"/>
        <v>588.09999999999673</v>
      </c>
      <c r="O19" s="22">
        <f t="shared" si="4"/>
        <v>3007.9999999999964</v>
      </c>
      <c r="P19" s="22">
        <f t="shared" si="4"/>
        <v>2573.299999999992</v>
      </c>
      <c r="Q19" s="22">
        <f t="shared" si="4"/>
        <v>2090.7999999999847</v>
      </c>
      <c r="R19" s="22">
        <f t="shared" si="4"/>
        <v>1341.6999999999898</v>
      </c>
      <c r="S19" s="22">
        <f t="shared" si="4"/>
        <v>2635.6999999999935</v>
      </c>
      <c r="T19" s="22">
        <f t="shared" si="4"/>
        <v>4434.799999999992</v>
      </c>
      <c r="U19" s="22">
        <f t="shared" si="4"/>
        <v>3434.5999999999913</v>
      </c>
      <c r="V19" s="22">
        <f t="shared" si="4"/>
        <v>1775.9999999999927</v>
      </c>
      <c r="W19" s="22">
        <f t="shared" si="4"/>
        <v>1484.0999999999949</v>
      </c>
      <c r="X19" s="22">
        <f t="shared" si="4"/>
        <v>1862.4999999999964</v>
      </c>
      <c r="Y19" s="22">
        <f t="shared" si="4"/>
        <v>3224.7999999999956</v>
      </c>
      <c r="Z19" s="22">
        <f t="shared" si="4"/>
        <v>1597.299999999992</v>
      </c>
    </row>
    <row r="20" spans="1:26" x14ac:dyDescent="0.3">
      <c r="A20" s="11" t="s">
        <v>69</v>
      </c>
      <c r="B20" s="11" t="s">
        <v>63</v>
      </c>
      <c r="C20" s="12" t="s">
        <v>56</v>
      </c>
      <c r="D20" s="14">
        <f t="shared" ref="D20:Z20" si="5">IF(D17&lt;&gt;0,D19/D17,"")</f>
        <v>0.17480200379161237</v>
      </c>
      <c r="E20" s="14">
        <f t="shared" si="5"/>
        <v>8.3376350379043507E-2</v>
      </c>
      <c r="F20" s="14">
        <f t="shared" si="5"/>
        <v>0.23321436451143543</v>
      </c>
      <c r="G20" s="14">
        <f t="shared" si="5"/>
        <v>0.21809442630190548</v>
      </c>
      <c r="H20" s="14">
        <f t="shared" si="5"/>
        <v>0.18908089142741036</v>
      </c>
      <c r="I20" s="14">
        <f t="shared" si="5"/>
        <v>0.1445453300187963</v>
      </c>
      <c r="J20" s="14">
        <f t="shared" si="5"/>
        <v>0.15822136875038825</v>
      </c>
      <c r="K20" s="14">
        <f t="shared" si="5"/>
        <v>0.22492065546855772</v>
      </c>
      <c r="L20" s="14">
        <f t="shared" si="5"/>
        <v>0.1610147479726563</v>
      </c>
      <c r="M20" s="14">
        <f t="shared" si="5"/>
        <v>4.3712346068307678E-2</v>
      </c>
      <c r="N20" s="14">
        <f t="shared" si="5"/>
        <v>4.1663691194756595E-2</v>
      </c>
      <c r="O20" s="14">
        <f t="shared" si="5"/>
        <v>0.18571131694389778</v>
      </c>
      <c r="P20" s="14">
        <f t="shared" si="5"/>
        <v>0.15207381333020623</v>
      </c>
      <c r="Q20" s="14">
        <f t="shared" si="5"/>
        <v>0.11025111235873859</v>
      </c>
      <c r="R20" s="14">
        <f t="shared" si="5"/>
        <v>6.5631816418363145E-2</v>
      </c>
      <c r="S20" s="14">
        <f t="shared" si="5"/>
        <v>0.13001591889713796</v>
      </c>
      <c r="T20" s="14">
        <f t="shared" si="5"/>
        <v>0.23254322575753344</v>
      </c>
      <c r="U20" s="14">
        <f t="shared" si="5"/>
        <v>0.16302849277248693</v>
      </c>
      <c r="V20" s="14">
        <f t="shared" si="5"/>
        <v>8.3504350336859309E-2</v>
      </c>
      <c r="W20" s="14">
        <f t="shared" si="5"/>
        <v>0.10133877667073576</v>
      </c>
      <c r="X20" s="14">
        <f t="shared" si="5"/>
        <v>0.10001219477553458</v>
      </c>
      <c r="Y20" s="14">
        <f t="shared" si="5"/>
        <v>0.17547643855527711</v>
      </c>
      <c r="Z20" s="14">
        <f t="shared" si="5"/>
        <v>7.6069605903911597E-2</v>
      </c>
    </row>
    <row r="21" spans="1:26" x14ac:dyDescent="0.3">
      <c r="A21" s="11" t="s">
        <v>69</v>
      </c>
      <c r="B21" s="11" t="s">
        <v>64</v>
      </c>
      <c r="C21" s="12" t="s">
        <v>65</v>
      </c>
      <c r="D21" s="16">
        <f t="shared" ref="D21:Z21" si="6">IF(D17&lt;&gt;0,D19/D17*365,"")</f>
        <v>63.802731383938514</v>
      </c>
      <c r="E21" s="16">
        <f t="shared" si="6"/>
        <v>30.432367888350878</v>
      </c>
      <c r="F21" s="16">
        <f t="shared" si="6"/>
        <v>85.123243046673934</v>
      </c>
      <c r="G21" s="16">
        <f t="shared" si="6"/>
        <v>79.604465600195496</v>
      </c>
      <c r="H21" s="16">
        <f t="shared" si="6"/>
        <v>69.01452537100478</v>
      </c>
      <c r="I21" s="16">
        <f t="shared" si="6"/>
        <v>52.759045456860648</v>
      </c>
      <c r="J21" s="16">
        <f t="shared" si="6"/>
        <v>57.750799593891713</v>
      </c>
      <c r="K21" s="16">
        <f t="shared" si="6"/>
        <v>82.096039246023565</v>
      </c>
      <c r="L21" s="16">
        <f t="shared" si="6"/>
        <v>58.77038301001955</v>
      </c>
      <c r="M21" s="16">
        <f t="shared" si="6"/>
        <v>15.955006314932303</v>
      </c>
      <c r="N21" s="16">
        <f t="shared" si="6"/>
        <v>15.207247286086158</v>
      </c>
      <c r="O21" s="16">
        <f t="shared" si="6"/>
        <v>67.784630684522696</v>
      </c>
      <c r="P21" s="16">
        <f t="shared" si="6"/>
        <v>55.50694186552527</v>
      </c>
      <c r="Q21" s="16">
        <f t="shared" si="6"/>
        <v>40.241656010939586</v>
      </c>
      <c r="R21" s="16">
        <f t="shared" si="6"/>
        <v>23.955612992702548</v>
      </c>
      <c r="S21" s="16">
        <f t="shared" si="6"/>
        <v>47.455810397455352</v>
      </c>
      <c r="T21" s="16">
        <f t="shared" si="6"/>
        <v>84.878277401499702</v>
      </c>
      <c r="U21" s="16">
        <f t="shared" si="6"/>
        <v>59.505399861957727</v>
      </c>
      <c r="V21" s="16">
        <f t="shared" si="6"/>
        <v>30.479087872953649</v>
      </c>
      <c r="W21" s="16">
        <f t="shared" si="6"/>
        <v>36.988653484818556</v>
      </c>
      <c r="X21" s="16">
        <f t="shared" si="6"/>
        <v>36.504451093070124</v>
      </c>
      <c r="Y21" s="16">
        <f t="shared" si="6"/>
        <v>64.048900072676147</v>
      </c>
      <c r="Z21" s="16">
        <f t="shared" si="6"/>
        <v>27.765406154927732</v>
      </c>
    </row>
    <row r="22" spans="1:26" x14ac:dyDescent="0.3">
      <c r="A22" s="20" t="s">
        <v>69</v>
      </c>
      <c r="B22" s="20" t="s">
        <v>66</v>
      </c>
      <c r="C22" s="21" t="s">
        <v>59</v>
      </c>
      <c r="D22" s="22">
        <f>D19-SUMIFS(Canola_Mo!$P:$P,Canola_Mo!$B:$B,"STOCKS",Canola_Mo!$C:$C,RIGHT(D$2,5))</f>
        <v>1.5916157281026244E-12</v>
      </c>
      <c r="E22" s="22">
        <f>E19-SUMIFS(Canola_Mo!$P:$P,Canola_Mo!$B:$B,"STOCKS",Canola_Mo!$C:$C,RIGHT(E$2,5))</f>
        <v>2.1600499167107046E-12</v>
      </c>
      <c r="F22" s="22">
        <f>F19-SUMIFS(Canola_Mo!$P:$P,Canola_Mo!$B:$B,"STOCKS",Canola_Mo!$C:$C,RIGHT(F$2,5))</f>
        <v>-1.8189894035458565E-12</v>
      </c>
      <c r="G22" s="22">
        <f>G19-SUMIFS(Canola_Mo!$P:$P,Canola_Mo!$B:$B,"STOCKS",Canola_Mo!$C:$C,RIGHT(G$2,5))</f>
        <v>2.0463630789890885E-12</v>
      </c>
      <c r="H22" s="22">
        <f>H19-SUMIFS(Canola_Mo!$P:$P,Canola_Mo!$B:$B,"STOCKS",Canola_Mo!$C:$C,RIGHT(H$2,5))</f>
        <v>0</v>
      </c>
      <c r="I22" s="22">
        <f>I19-SUMIFS(Canola_Mo!$P:$P,Canola_Mo!$B:$B,"STOCKS",Canola_Mo!$C:$C,RIGHT(I$2,5))</f>
        <v>0</v>
      </c>
      <c r="J22" s="22">
        <f>J19-SUMIFS(Canola_Mo!$P:$P,Canola_Mo!$B:$B,"STOCKS",Canola_Mo!$C:$C,RIGHT(J$2,5))</f>
        <v>3.637978807091713E-12</v>
      </c>
      <c r="K22" s="22">
        <f>K19-SUMIFS(Canola_Mo!$P:$P,Canola_Mo!$B:$B,"STOCKS",Canola_Mo!$C:$C,RIGHT(K$2,5))</f>
        <v>7.73070496506989E-12</v>
      </c>
      <c r="L22" s="22">
        <f>L19-SUMIFS(Canola_Mo!$P:$P,Canola_Mo!$B:$B,"STOCKS",Canola_Mo!$C:$C,RIGHT(L$2,5))</f>
        <v>3.637978807091713E-12</v>
      </c>
      <c r="M22" s="22">
        <f>M19-SUMIFS(Canola_Mo!$P:$P,Canola_Mo!$B:$B,"STOCKS",Canola_Mo!$C:$C,RIGHT(M$2,5))</f>
        <v>-1.2505552149377763E-12</v>
      </c>
      <c r="N22" s="22">
        <f>N19-SUMIFS(Canola_Mo!$P:$P,Canola_Mo!$B:$B,"STOCKS",Canola_Mo!$C:$C,RIGHT(N$2,5))</f>
        <v>4.3200998334214091E-12</v>
      </c>
      <c r="O22" s="22">
        <f>O19-SUMIFS(Canola_Mo!$P:$P,Canola_Mo!$B:$B,"STOCKS",Canola_Mo!$C:$C,RIGHT(O$2,5))</f>
        <v>0</v>
      </c>
      <c r="P22" s="22">
        <f>P19-SUMIFS(Canola_Mo!$P:$P,Canola_Mo!$B:$B,"STOCKS",Canola_Mo!$C:$C,RIGHT(P$2,5))</f>
        <v>0</v>
      </c>
      <c r="Q22" s="22">
        <f>Q19-SUMIFS(Canola_Mo!$P:$P,Canola_Mo!$B:$B,"STOCKS",Canola_Mo!$C:$C,RIGHT(Q$2,5))</f>
        <v>7.2759576141834259E-12</v>
      </c>
      <c r="R22" s="22">
        <f>R19-SUMIFS(Canola_Mo!$P:$P,Canola_Mo!$B:$B,"STOCKS",Canola_Mo!$C:$C,RIGHT(R$2,5))</f>
        <v>1.8644641386345029E-11</v>
      </c>
      <c r="S22" s="22">
        <f>S19-SUMIFS(Canola_Mo!$P:$P,Canola_Mo!$B:$B,"STOCKS",Canola_Mo!$C:$C,RIGHT(S$2,5))</f>
        <v>2.5920599000528455E-11</v>
      </c>
      <c r="T22" s="22">
        <f>T19-SUMIFS(Canola_Mo!$P:$P,Canola_Mo!$B:$B,"STOCKS",Canola_Mo!$C:$C,RIGHT(T$2,5))</f>
        <v>2.0008883439004421E-11</v>
      </c>
      <c r="U22" s="22">
        <f>U19-SUMIFS(Canola_Mo!$P:$P,Canola_Mo!$B:$B,"STOCKS",Canola_Mo!$C:$C,RIGHT(U$2,5))</f>
        <v>2.1827872842550278E-11</v>
      </c>
      <c r="V22" s="22">
        <f>V19-SUMIFS(Canola_Mo!$P:$P,Canola_Mo!$B:$B,"STOCKS",Canola_Mo!$C:$C,RIGHT(V$2,5))</f>
        <v>2.5011104298755527E-11</v>
      </c>
      <c r="W22" s="22">
        <f>W19-SUMIFS(Canola_Mo!$P:$P,Canola_Mo!$B:$B,"STOCKS",Canola_Mo!$C:$C,RIGHT(W$2,5))</f>
        <v>3.3196556614711881E-11</v>
      </c>
      <c r="X22" s="22">
        <f>X19-SUMIFS(Canola_Mo!$P:$P,Canola_Mo!$B:$B,"STOCKS",Canola_Mo!$C:$C,RIGHT(X$2,5))</f>
        <v>3.8426151149906218E-11</v>
      </c>
      <c r="Y22" s="22">
        <f>Y19-SUMIFS(Canola_Mo!$P:$P,Canola_Mo!$B:$B,"STOCKS",Canola_Mo!$C:$C,RIGHT(Y$2,5))</f>
        <v>4.2746250983327627E-11</v>
      </c>
      <c r="Z22" s="22">
        <f>Z19-SUMIFS(Canola_Mo!$P:$P,Canola_Mo!$B:$B,"STOCKS",Canola_Mo!$C:$C,RIGHT(Z$2,5))</f>
        <v>3.5242919693700969E-11</v>
      </c>
    </row>
    <row r="25" spans="1:26" s="25" customFormat="1" ht="13.8" x14ac:dyDescent="0.3">
      <c r="A25" s="25" t="str">
        <f>A22</f>
        <v>Canola</v>
      </c>
      <c r="B25" s="25" t="s">
        <v>81</v>
      </c>
      <c r="D25" s="40" cm="1">
        <f t="array" ref="D25">SUM(D13:D14/D$10)</f>
        <v>0.49218006857648483</v>
      </c>
      <c r="E25" s="40" cm="1">
        <f t="array" ref="E25">SUM(E13:E14/E$10)</f>
        <v>0.50059073724007563</v>
      </c>
      <c r="F25" s="40" cm="1">
        <f t="array" ref="F25">SUM(F13:F14/F$10)</f>
        <v>0.39497758548790651</v>
      </c>
      <c r="G25" s="40" cm="1">
        <f t="array" ref="G25">SUM(G13:G14/G$10)</f>
        <v>0.36090812269990408</v>
      </c>
      <c r="H25" s="40" cm="1">
        <f t="array" ref="H25">SUM(H13:H14/H$10)</f>
        <v>0.39760896858993594</v>
      </c>
      <c r="I25" s="40" cm="1">
        <f t="array" ref="I25">SUM(I13:I14/I$10)</f>
        <v>0.43120974706329146</v>
      </c>
      <c r="J25" s="40" cm="1">
        <f t="array" ref="J25">SUM(J13:J14/J$10)</f>
        <v>0.33846847345570147</v>
      </c>
      <c r="K25" s="40" cm="1">
        <f t="array" ref="K25">SUM(K13:K14/K$10)</f>
        <v>0.37120195997860145</v>
      </c>
      <c r="L25" s="40" cm="1">
        <f t="array" ref="L25">SUM(L13:L14/L$10)</f>
        <v>0.49343946952754802</v>
      </c>
      <c r="M25" s="40" cm="1">
        <f t="array" ref="M25">SUM(M13:M14/M$10)</f>
        <v>0.47913828629322075</v>
      </c>
      <c r="N25" s="40" cm="1">
        <f t="array" ref="N25">SUM(N13:N14/N$10)</f>
        <v>0.48432058261527938</v>
      </c>
      <c r="O25" s="40" cm="1">
        <f t="array" ref="O25">SUM(O13:O14/O$10)</f>
        <v>0.37622769662012834</v>
      </c>
      <c r="P25" s="40" cm="1">
        <f t="array" ref="P25">SUM(P13:P14/P$10)</f>
        <v>0.44852865003869574</v>
      </c>
      <c r="Q25" s="40" cm="1">
        <f t="array" ref="Q25">SUM(Q13:Q14/Q$10)</f>
        <v>0.45250183658476856</v>
      </c>
      <c r="R25" s="40" cm="1">
        <f t="array" ref="R25">SUM(R13:R14/R$10)</f>
        <v>0.4689681211478019</v>
      </c>
      <c r="S25" s="40" cm="1">
        <f t="array" ref="S25">SUM(S13:S14/S$10)</f>
        <v>0.43196741556801399</v>
      </c>
      <c r="T25" s="40" cm="1">
        <f t="array" ref="T25">SUM(T13:T14/T$10)</f>
        <v>0.44854392356503486</v>
      </c>
      <c r="U25" s="40" cm="1">
        <f t="array" ref="U25">SUM(U13:U14/U$10)</f>
        <v>0.50868056427434305</v>
      </c>
      <c r="V25" s="40" cm="1">
        <f t="array" ref="V25">SUM(V13:V14/V$10)</f>
        <v>0.53502491698614818</v>
      </c>
      <c r="W25" s="40" cm="1">
        <f t="array" ref="W25">SUM(W13:W14/W$10)</f>
        <v>0.60045058006920127</v>
      </c>
      <c r="X25" s="40" cm="1">
        <f t="array" ref="X25">SUM(X13:X14/X$10)</f>
        <v>0.52846184044393041</v>
      </c>
      <c r="Y25" s="40" cm="1">
        <f t="array" ref="Y25">SUM(Y13:Y14/Y$10)</f>
        <v>0.56684785959431949</v>
      </c>
      <c r="Z25" s="40" cm="1">
        <f t="array" ref="Z25">SUM(Z13:Z14/Z$10)</f>
        <v>0.59315470776267576</v>
      </c>
    </row>
    <row r="26" spans="1:26" s="25" customFormat="1" ht="13.8" x14ac:dyDescent="0.3">
      <c r="A26" s="25" t="str">
        <f>A25</f>
        <v>Canola</v>
      </c>
      <c r="B26" s="25" t="s">
        <v>82</v>
      </c>
      <c r="D26" s="40">
        <f t="shared" ref="D26:Z27" si="7">D15/D$10</f>
        <v>0.10377148545514896</v>
      </c>
      <c r="E26" s="40">
        <f t="shared" si="7"/>
        <v>2.1752274338374178E-2</v>
      </c>
      <c r="F26" s="40">
        <f t="shared" si="7"/>
        <v>3.6428143244370582E-2</v>
      </c>
      <c r="G26" s="40">
        <f t="shared" si="7"/>
        <v>3.893465354887006E-2</v>
      </c>
      <c r="H26" s="40">
        <f t="shared" si="7"/>
        <v>4.3218670488761518E-2</v>
      </c>
      <c r="I26" s="40">
        <f t="shared" si="7"/>
        <v>1.6486146226758727E-2</v>
      </c>
      <c r="J26" s="40">
        <f t="shared" si="7"/>
        <v>8.3525373866143813E-3</v>
      </c>
      <c r="K26" s="40">
        <f t="shared" si="7"/>
        <v>2.0248253618750173E-2</v>
      </c>
      <c r="L26" s="40">
        <f t="shared" si="7"/>
        <v>4.5525702578859658E-3</v>
      </c>
      <c r="M26" s="40">
        <f t="shared" si="7"/>
        <v>3.3446238730567721E-2</v>
      </c>
      <c r="N26" s="40">
        <f t="shared" si="7"/>
        <v>2.0823304611168991E-2</v>
      </c>
      <c r="O26" s="40">
        <f t="shared" si="7"/>
        <v>2.3306021238746581E-3</v>
      </c>
      <c r="P26" s="40">
        <f t="shared" si="7"/>
        <v>2.1041492739227709E-2</v>
      </c>
      <c r="Q26" s="40">
        <f t="shared" si="7"/>
        <v>1.9923761325606464E-2</v>
      </c>
      <c r="R26" s="40">
        <f t="shared" si="7"/>
        <v>1.1722519286501362E-2</v>
      </c>
      <c r="S26" s="40">
        <f t="shared" si="7"/>
        <v>7.2032472586108084E-3</v>
      </c>
      <c r="T26" s="40">
        <f t="shared" si="7"/>
        <v>2.764788766376346E-2</v>
      </c>
      <c r="U26" s="40">
        <f t="shared" si="7"/>
        <v>4.5064658527643665E-2</v>
      </c>
      <c r="V26" s="40">
        <f t="shared" si="7"/>
        <v>1.8379343792821967E-2</v>
      </c>
      <c r="W26" s="40">
        <f t="shared" si="7"/>
        <v>5.9233592779489322E-2</v>
      </c>
      <c r="X26" s="40">
        <f t="shared" si="7"/>
        <v>3.7700453055204856E-2</v>
      </c>
      <c r="Y26" s="40">
        <f t="shared" si="7"/>
        <v>2.738028936065293E-2</v>
      </c>
      <c r="Z26" s="40">
        <f t="shared" si="7"/>
        <v>1.0354531042906498E-2</v>
      </c>
    </row>
    <row r="27" spans="1:26" s="25" customFormat="1" ht="13.8" x14ac:dyDescent="0.3">
      <c r="A27" s="25" t="str">
        <f>A26</f>
        <v>Canola</v>
      </c>
      <c r="B27" s="25" t="s">
        <v>83</v>
      </c>
      <c r="D27" s="40">
        <f t="shared" si="7"/>
        <v>0.5356714965158722</v>
      </c>
      <c r="E27" s="40">
        <f t="shared" si="7"/>
        <v>0.55566856687145549</v>
      </c>
      <c r="F27" s="40">
        <f t="shared" si="7"/>
        <v>0.4551641993327773</v>
      </c>
      <c r="G27" s="40">
        <f t="shared" si="7"/>
        <v>0.57054052914069997</v>
      </c>
      <c r="H27" s="40">
        <f t="shared" si="7"/>
        <v>0.60666088908147509</v>
      </c>
      <c r="I27" s="40">
        <f t="shared" si="7"/>
        <v>0.60431844429877957</v>
      </c>
      <c r="J27" s="40">
        <f t="shared" si="7"/>
        <v>0.62459220713489239</v>
      </c>
      <c r="K27" s="40">
        <f t="shared" si="7"/>
        <v>0.55603460974872276</v>
      </c>
      <c r="L27" s="40">
        <f t="shared" si="7"/>
        <v>0.56351226873934601</v>
      </c>
      <c r="M27" s="40">
        <f t="shared" si="7"/>
        <v>0.59523038588180521</v>
      </c>
      <c r="N27" s="40">
        <f t="shared" si="7"/>
        <v>0.5126596243285142</v>
      </c>
      <c r="O27" s="40">
        <f t="shared" si="7"/>
        <v>0.49455808312220367</v>
      </c>
      <c r="P27" s="40">
        <f t="shared" si="7"/>
        <v>0.56158676668637009</v>
      </c>
      <c r="Q27" s="40">
        <f t="shared" si="7"/>
        <v>0.55954354746551294</v>
      </c>
      <c r="R27" s="40">
        <f t="shared" si="7"/>
        <v>0.5623534123841788</v>
      </c>
      <c r="S27" s="40">
        <f t="shared" si="7"/>
        <v>0.50556037114189978</v>
      </c>
      <c r="T27" s="40">
        <f t="shared" si="7"/>
        <v>0.44406118657562671</v>
      </c>
      <c r="U27" s="40">
        <f t="shared" si="7"/>
        <v>0.5042683165681513</v>
      </c>
      <c r="V27" s="40">
        <f t="shared" si="7"/>
        <v>0.53813694847752336</v>
      </c>
      <c r="W27" s="40">
        <f t="shared" si="7"/>
        <v>0.36815332355438896</v>
      </c>
      <c r="X27" s="40">
        <f t="shared" si="7"/>
        <v>0.4217913717917432</v>
      </c>
      <c r="Y27" s="40">
        <f t="shared" si="7"/>
        <v>0.34996490885550469</v>
      </c>
      <c r="Z27" s="40">
        <f>Z16/Z$10</f>
        <v>0.48788471633878228</v>
      </c>
    </row>
    <row r="28" spans="1:26" s="25" customFormat="1" ht="13.8" x14ac:dyDescent="0.3"/>
    <row r="29" spans="1:26" s="25" customFormat="1" ht="13.8" x14ac:dyDescent="0.3">
      <c r="D29" s="39" t="e">
        <f t="shared" ref="D29:Y32" si="8">(D13-C13)/C13</f>
        <v>#VALUE!</v>
      </c>
      <c r="E29" s="39" t="e">
        <f t="shared" si="8"/>
        <v>#DIV/0!</v>
      </c>
      <c r="F29" s="39" t="e">
        <f t="shared" si="8"/>
        <v>#DIV/0!</v>
      </c>
      <c r="G29" s="39" t="e">
        <f t="shared" si="8"/>
        <v>#DIV/0!</v>
      </c>
      <c r="H29" s="39" t="e">
        <f t="shared" si="8"/>
        <v>#DIV/0!</v>
      </c>
      <c r="I29" s="39" t="e">
        <f t="shared" si="8"/>
        <v>#DIV/0!</v>
      </c>
      <c r="J29" s="39" t="e">
        <f t="shared" si="8"/>
        <v>#DIV/0!</v>
      </c>
      <c r="K29" s="39" t="e">
        <f t="shared" si="8"/>
        <v>#DIV/0!</v>
      </c>
      <c r="L29" s="39" t="e">
        <f t="shared" si="8"/>
        <v>#DIV/0!</v>
      </c>
      <c r="M29" s="39" t="e">
        <f t="shared" si="8"/>
        <v>#DIV/0!</v>
      </c>
      <c r="N29" s="39" t="e">
        <f t="shared" si="8"/>
        <v>#DIV/0!</v>
      </c>
      <c r="O29" s="39" t="e">
        <f t="shared" si="8"/>
        <v>#DIV/0!</v>
      </c>
      <c r="P29" s="39" t="e">
        <f t="shared" si="8"/>
        <v>#DIV/0!</v>
      </c>
      <c r="Q29" s="39" t="e">
        <f t="shared" si="8"/>
        <v>#DIV/0!</v>
      </c>
      <c r="R29" s="39" t="e">
        <f t="shared" si="8"/>
        <v>#DIV/0!</v>
      </c>
      <c r="S29" s="39" t="e">
        <f t="shared" si="8"/>
        <v>#DIV/0!</v>
      </c>
      <c r="T29" s="39" t="e">
        <f t="shared" si="8"/>
        <v>#DIV/0!</v>
      </c>
      <c r="U29" s="39" t="e">
        <f t="shared" si="8"/>
        <v>#DIV/0!</v>
      </c>
      <c r="V29" s="39" t="e">
        <f t="shared" si="8"/>
        <v>#DIV/0!</v>
      </c>
      <c r="W29" s="39" t="e">
        <f t="shared" si="8"/>
        <v>#DIV/0!</v>
      </c>
      <c r="X29" s="39" t="e">
        <f t="shared" si="8"/>
        <v>#DIV/0!</v>
      </c>
      <c r="Y29" s="39" t="e">
        <f t="shared" si="8"/>
        <v>#DIV/0!</v>
      </c>
      <c r="Z29" s="39" t="e">
        <f>(Z13-Y13)/Y13</f>
        <v>#DIV/0!</v>
      </c>
    </row>
    <row r="30" spans="1:26" s="25" customFormat="1" ht="13.8" x14ac:dyDescent="0.3">
      <c r="D30" s="39" t="e">
        <f t="shared" si="8"/>
        <v>#VALUE!</v>
      </c>
      <c r="E30" s="39">
        <f t="shared" si="8"/>
        <v>0.52348420153714792</v>
      </c>
      <c r="F30" s="39">
        <f t="shared" si="8"/>
        <v>-0.10582369601132885</v>
      </c>
      <c r="G30" s="39">
        <f t="shared" si="8"/>
        <v>0.1292355405985022</v>
      </c>
      <c r="H30" s="39">
        <f t="shared" si="8"/>
        <v>4.5579384093963657E-2</v>
      </c>
      <c r="I30" s="39">
        <f t="shared" si="8"/>
        <v>0.15810652210361612</v>
      </c>
      <c r="J30" s="39">
        <f t="shared" si="8"/>
        <v>3.2694720586815718E-2</v>
      </c>
      <c r="K30" s="39">
        <f t="shared" si="8"/>
        <v>0.11867099698591081</v>
      </c>
      <c r="L30" s="39">
        <f t="shared" si="8"/>
        <v>0.31801662559004168</v>
      </c>
      <c r="M30" s="39">
        <f t="shared" si="8"/>
        <v>0.1091689908722106</v>
      </c>
      <c r="N30" s="39">
        <f t="shared" si="8"/>
        <v>-4.0361178975039852E-2</v>
      </c>
      <c r="O30" s="39">
        <f t="shared" si="8"/>
        <v>3.9095998094330404E-2</v>
      </c>
      <c r="P30" s="39">
        <f t="shared" si="8"/>
        <v>5.4589219703699454E-2</v>
      </c>
      <c r="Q30" s="39">
        <f t="shared" si="8"/>
        <v>0.12974838324004118</v>
      </c>
      <c r="R30" s="39">
        <f t="shared" si="8"/>
        <v>0.10534670611155207</v>
      </c>
      <c r="S30" s="39">
        <f t="shared" si="8"/>
        <v>8.4644341449617144E-3</v>
      </c>
      <c r="T30" s="39">
        <f t="shared" si="8"/>
        <v>2.8265653993870998E-3</v>
      </c>
      <c r="U30" s="39">
        <f t="shared" si="8"/>
        <v>8.9678765841168795E-2</v>
      </c>
      <c r="V30" s="39">
        <f t="shared" si="8"/>
        <v>2.9203277717445068E-2</v>
      </c>
      <c r="W30" s="39">
        <f t="shared" si="8"/>
        <v>-0.17932238508172832</v>
      </c>
      <c r="X30" s="39">
        <f t="shared" si="8"/>
        <v>0.16434065034948689</v>
      </c>
      <c r="Y30" s="39">
        <f t="shared" si="8"/>
        <v>0.10756520167847856</v>
      </c>
      <c r="Z30" s="39">
        <f t="shared" ref="Z30:Z32" si="9">(Z14-Y14)/Y14</f>
        <v>3.4360866136736862E-2</v>
      </c>
    </row>
    <row r="31" spans="1:26" s="25" customFormat="1" ht="13.8" x14ac:dyDescent="0.3">
      <c r="D31" s="39" t="e">
        <f t="shared" si="8"/>
        <v>#VALUE!</v>
      </c>
      <c r="E31" s="39">
        <f t="shared" si="8"/>
        <v>-0.68601723729959152</v>
      </c>
      <c r="F31" s="39">
        <f t="shared" si="8"/>
        <v>0.89786745785498989</v>
      </c>
      <c r="G31" s="39">
        <f t="shared" si="8"/>
        <v>0.32086858532919527</v>
      </c>
      <c r="H31" s="39">
        <f t="shared" si="8"/>
        <v>5.3495256331439006E-2</v>
      </c>
      <c r="I31" s="39">
        <f t="shared" si="8"/>
        <v>-0.59265362575549785</v>
      </c>
      <c r="J31" s="39">
        <f t="shared" si="8"/>
        <v>-0.33343641527295897</v>
      </c>
      <c r="K31" s="39">
        <f t="shared" si="8"/>
        <v>1.472745864775568</v>
      </c>
      <c r="L31" s="39">
        <f t="shared" si="8"/>
        <v>-0.7770711124044658</v>
      </c>
      <c r="M31" s="39">
        <f t="shared" si="8"/>
        <v>7.3919204410780042</v>
      </c>
      <c r="N31" s="39">
        <f t="shared" si="8"/>
        <v>-0.40893107866374923</v>
      </c>
      <c r="O31" s="39">
        <f t="shared" si="8"/>
        <v>-0.85028810061360161</v>
      </c>
      <c r="P31" s="39">
        <f t="shared" si="8"/>
        <v>6.9864230368916456</v>
      </c>
      <c r="Q31" s="39">
        <f t="shared" si="8"/>
        <v>6.0342955113502364E-2</v>
      </c>
      <c r="R31" s="39">
        <f t="shared" si="8"/>
        <v>-0.37248346894129397</v>
      </c>
      <c r="S31" s="39">
        <f t="shared" si="8"/>
        <v>-0.32723980639995182</v>
      </c>
      <c r="T31" s="39">
        <f t="shared" si="8"/>
        <v>2.7068539413074815</v>
      </c>
      <c r="U31" s="39">
        <f t="shared" si="8"/>
        <v>0.56614673599074916</v>
      </c>
      <c r="V31" s="39">
        <f t="shared" si="8"/>
        <v>-0.60091425667611453</v>
      </c>
      <c r="W31" s="39">
        <f t="shared" si="8"/>
        <v>1.3567168180142799</v>
      </c>
      <c r="X31" s="39">
        <f t="shared" si="8"/>
        <v>-0.15798042129059942</v>
      </c>
      <c r="Y31" s="39">
        <f t="shared" si="8"/>
        <v>-0.25009216965971254</v>
      </c>
      <c r="Z31" s="39">
        <f t="shared" si="9"/>
        <v>-0.62617958826763931</v>
      </c>
    </row>
    <row r="32" spans="1:26" s="25" customFormat="1" ht="13.8" x14ac:dyDescent="0.3">
      <c r="D32" s="39" t="e">
        <f t="shared" si="8"/>
        <v>#VALUE!</v>
      </c>
      <c r="E32" s="39">
        <f t="shared" si="8"/>
        <v>0.55380480635373952</v>
      </c>
      <c r="F32" s="39">
        <f t="shared" si="8"/>
        <v>-7.1705492801012405E-2</v>
      </c>
      <c r="G32" s="39">
        <f t="shared" si="8"/>
        <v>0.54909744419007611</v>
      </c>
      <c r="H32" s="39">
        <f t="shared" si="8"/>
        <v>9.1529471647081636E-3</v>
      </c>
      <c r="I32" s="39">
        <f t="shared" si="8"/>
        <v>6.3741156346094466E-2</v>
      </c>
      <c r="J32" s="39">
        <f t="shared" si="8"/>
        <v>0.35979366977349969</v>
      </c>
      <c r="K32" s="39">
        <f t="shared" si="8"/>
        <v>-9.1937787053935446E-2</v>
      </c>
      <c r="L32" s="39">
        <f t="shared" si="8"/>
        <v>4.8443972843600254E-3</v>
      </c>
      <c r="M32" s="39">
        <f t="shared" si="8"/>
        <v>0.20656978882910798</v>
      </c>
      <c r="N32" s="39">
        <f t="shared" si="8"/>
        <v>-0.1823267705057455</v>
      </c>
      <c r="O32" s="39">
        <f t="shared" si="8"/>
        <v>0.29040496102573654</v>
      </c>
      <c r="P32" s="39">
        <f t="shared" si="8"/>
        <v>4.4850170804074628E-3</v>
      </c>
      <c r="Q32" s="39">
        <f t="shared" si="8"/>
        <v>0.11575437338149729</v>
      </c>
      <c r="R32" s="39">
        <f t="shared" si="8"/>
        <v>7.1891898936168E-2</v>
      </c>
      <c r="S32" s="39">
        <f t="shared" si="8"/>
        <v>-1.5724648798907653E-2</v>
      </c>
      <c r="T32" s="39">
        <f t="shared" si="8"/>
        <v>-0.1517153045643283</v>
      </c>
      <c r="U32" s="39">
        <f t="shared" si="8"/>
        <v>9.1131737868679563E-2</v>
      </c>
      <c r="V32" s="39">
        <f t="shared" si="8"/>
        <v>4.4247457111950023E-2</v>
      </c>
      <c r="W32" s="39">
        <f t="shared" si="8"/>
        <v>-0.49972910046572211</v>
      </c>
      <c r="X32" s="39">
        <f t="shared" si="8"/>
        <v>0.51569794563363036</v>
      </c>
      <c r="Y32" s="39">
        <f t="shared" si="8"/>
        <v>-0.14327146485402581</v>
      </c>
      <c r="Z32" s="39">
        <f t="shared" si="9"/>
        <v>0.3780447611470884</v>
      </c>
    </row>
  </sheetData>
  <conditionalFormatting sqref="D22:Z22">
    <cfRule type="cellIs" dxfId="13" priority="3" operator="between">
      <formula>-0.0009</formula>
      <formula>0.0009</formula>
    </cfRule>
  </conditionalFormatting>
  <conditionalFormatting sqref="D25:Z25">
    <cfRule type="colorScale" priority="2">
      <colorScale>
        <cfvo type="min"/>
        <cfvo type="max"/>
        <color rgb="FFFCFCFF"/>
        <color rgb="FF63BE7B"/>
      </colorScale>
    </cfRule>
  </conditionalFormatting>
  <conditionalFormatting sqref="D27:Z27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77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20" customWidth="1"/>
    <col min="3" max="16" width="7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71</v>
      </c>
      <c r="B2" s="2" t="s">
        <v>17</v>
      </c>
      <c r="C2" s="2" t="s">
        <v>18</v>
      </c>
      <c r="D2" s="3">
        <v>12.528700000000001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>
        <f t="shared" ref="P2:P33" si="0">D2</f>
        <v>12.528700000000001</v>
      </c>
    </row>
    <row r="3" spans="1:16" x14ac:dyDescent="0.3">
      <c r="A3" s="2" t="s">
        <v>71</v>
      </c>
      <c r="B3" s="2" t="s">
        <v>17</v>
      </c>
      <c r="C3" s="2" t="s">
        <v>19</v>
      </c>
      <c r="D3" s="3">
        <v>12.3294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>
        <f t="shared" si="0"/>
        <v>12.3294</v>
      </c>
    </row>
    <row r="4" spans="1:16" x14ac:dyDescent="0.3">
      <c r="A4" s="2" t="s">
        <v>71</v>
      </c>
      <c r="B4" s="2" t="s">
        <v>17</v>
      </c>
      <c r="C4" s="2" t="s">
        <v>20</v>
      </c>
      <c r="D4" s="3">
        <v>10.952199999999999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>
        <f t="shared" si="0"/>
        <v>10.952199999999999</v>
      </c>
    </row>
    <row r="5" spans="1:16" x14ac:dyDescent="0.3">
      <c r="A5" s="2" t="s">
        <v>71</v>
      </c>
      <c r="B5" s="2" t="s">
        <v>17</v>
      </c>
      <c r="C5" s="2" t="s">
        <v>21</v>
      </c>
      <c r="D5" s="3">
        <v>10.236800000000001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>
        <f t="shared" si="0"/>
        <v>10.236800000000001</v>
      </c>
    </row>
    <row r="6" spans="1:16" x14ac:dyDescent="0.3">
      <c r="A6" s="2" t="s">
        <v>71</v>
      </c>
      <c r="B6" s="2" t="s">
        <v>17</v>
      </c>
      <c r="C6" s="2" t="s">
        <v>22</v>
      </c>
      <c r="D6" s="3">
        <v>9.1180000000000003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>
        <f t="shared" si="0"/>
        <v>9.1180000000000003</v>
      </c>
    </row>
    <row r="7" spans="1:16" x14ac:dyDescent="0.3">
      <c r="A7" s="2" t="s">
        <v>71</v>
      </c>
      <c r="B7" s="2" t="s">
        <v>17</v>
      </c>
      <c r="C7" s="2" t="s">
        <v>23</v>
      </c>
      <c r="D7" s="3">
        <v>10.784800000000001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>
        <f t="shared" si="0"/>
        <v>10.784800000000001</v>
      </c>
    </row>
    <row r="8" spans="1:16" x14ac:dyDescent="0.3">
      <c r="A8" s="2" t="s">
        <v>71</v>
      </c>
      <c r="B8" s="2" t="s">
        <v>17</v>
      </c>
      <c r="C8" s="2" t="s">
        <v>24</v>
      </c>
      <c r="D8" s="3">
        <v>9.2971000000000004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>
        <f t="shared" si="0"/>
        <v>9.2971000000000004</v>
      </c>
    </row>
    <row r="9" spans="1:16" x14ac:dyDescent="0.3">
      <c r="A9" s="2" t="s">
        <v>71</v>
      </c>
      <c r="B9" s="2" t="s">
        <v>17</v>
      </c>
      <c r="C9" s="2" t="s">
        <v>25</v>
      </c>
      <c r="D9" s="3">
        <v>8.6481999999999992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>
        <f t="shared" si="0"/>
        <v>8.6481999999999992</v>
      </c>
    </row>
    <row r="10" spans="1:16" x14ac:dyDescent="0.3">
      <c r="A10" s="2" t="s">
        <v>71</v>
      </c>
      <c r="B10" s="2" t="s">
        <v>17</v>
      </c>
      <c r="C10" s="2" t="s">
        <v>26</v>
      </c>
      <c r="D10" s="3">
        <v>6.9154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>
        <f t="shared" si="0"/>
        <v>6.9154</v>
      </c>
    </row>
    <row r="11" spans="1:16" x14ac:dyDescent="0.3">
      <c r="A11" s="2" t="s">
        <v>71</v>
      </c>
      <c r="B11" s="2" t="s">
        <v>17</v>
      </c>
      <c r="C11" s="2" t="s">
        <v>27</v>
      </c>
      <c r="D11" s="3">
        <v>6.5888450000000001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>
        <f t="shared" si="0"/>
        <v>6.5888450000000001</v>
      </c>
    </row>
    <row r="12" spans="1:16" x14ac:dyDescent="0.3">
      <c r="A12" s="2" t="s">
        <v>71</v>
      </c>
      <c r="B12" s="2" t="s">
        <v>17</v>
      </c>
      <c r="C12" s="2" t="s">
        <v>28</v>
      </c>
      <c r="D12" s="3">
        <v>7.4499000000000004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>
        <f t="shared" si="0"/>
        <v>7.4499000000000004</v>
      </c>
    </row>
    <row r="13" spans="1:16" x14ac:dyDescent="0.3">
      <c r="A13" s="2" t="s">
        <v>71</v>
      </c>
      <c r="B13" s="2" t="s">
        <v>17</v>
      </c>
      <c r="C13" s="2" t="s">
        <v>29</v>
      </c>
      <c r="D13" s="3">
        <v>7.1986999999999997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>
        <f t="shared" si="0"/>
        <v>7.1986999999999997</v>
      </c>
    </row>
    <row r="14" spans="1:16" x14ac:dyDescent="0.3">
      <c r="A14" s="2" t="s">
        <v>71</v>
      </c>
      <c r="B14" s="2" t="s">
        <v>17</v>
      </c>
      <c r="C14" s="2" t="s">
        <v>30</v>
      </c>
      <c r="D14" s="3">
        <v>5.9726999999999997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>
        <f t="shared" si="0"/>
        <v>5.9726999999999997</v>
      </c>
    </row>
    <row r="15" spans="1:16" x14ac:dyDescent="0.3">
      <c r="A15" s="2" t="s">
        <v>71</v>
      </c>
      <c r="B15" s="2" t="s">
        <v>17</v>
      </c>
      <c r="C15" s="2" t="s">
        <v>31</v>
      </c>
      <c r="D15" s="3">
        <v>6.67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>
        <f t="shared" si="0"/>
        <v>6.67</v>
      </c>
    </row>
    <row r="16" spans="1:16" x14ac:dyDescent="0.3">
      <c r="A16" s="2" t="s">
        <v>71</v>
      </c>
      <c r="B16" s="2" t="s">
        <v>17</v>
      </c>
      <c r="C16" s="2" t="s">
        <v>32</v>
      </c>
      <c r="D16" s="3">
        <v>6.6762220000000001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>
        <f t="shared" si="0"/>
        <v>6.6762220000000001</v>
      </c>
    </row>
    <row r="17" spans="1:16" x14ac:dyDescent="0.3">
      <c r="A17" s="2" t="s">
        <v>71</v>
      </c>
      <c r="B17" s="2" t="s">
        <v>17</v>
      </c>
      <c r="C17" s="2" t="s">
        <v>33</v>
      </c>
      <c r="D17" s="3">
        <v>5.766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>
        <f t="shared" si="0"/>
        <v>5.766</v>
      </c>
    </row>
    <row r="18" spans="1:16" x14ac:dyDescent="0.3">
      <c r="A18" s="2" t="s">
        <v>71</v>
      </c>
      <c r="B18" s="2" t="s">
        <v>17</v>
      </c>
      <c r="C18" s="2" t="s">
        <v>34</v>
      </c>
      <c r="D18" s="3">
        <v>6.4931999999999999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>
        <f t="shared" si="0"/>
        <v>6.4931999999999999</v>
      </c>
    </row>
    <row r="19" spans="1:16" x14ac:dyDescent="0.3">
      <c r="A19" s="2" t="s">
        <v>71</v>
      </c>
      <c r="B19" s="2" t="s">
        <v>17</v>
      </c>
      <c r="C19" s="2" t="s">
        <v>35</v>
      </c>
      <c r="D19" s="3">
        <v>7.4020999999999999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>
        <f t="shared" si="0"/>
        <v>7.4020999999999999</v>
      </c>
    </row>
    <row r="20" spans="1:16" x14ac:dyDescent="0.3">
      <c r="A20" s="2" t="s">
        <v>71</v>
      </c>
      <c r="B20" s="2" t="s">
        <v>17</v>
      </c>
      <c r="C20" s="2" t="s">
        <v>36</v>
      </c>
      <c r="D20" s="3">
        <v>7.5612000000000004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>
        <f t="shared" si="0"/>
        <v>7.5612000000000004</v>
      </c>
    </row>
    <row r="21" spans="1:16" x14ac:dyDescent="0.3">
      <c r="A21" s="2" t="s">
        <v>71</v>
      </c>
      <c r="B21" s="2" t="s">
        <v>17</v>
      </c>
      <c r="C21" s="2" t="s">
        <v>37</v>
      </c>
      <c r="D21" s="3">
        <v>8.322139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>
        <f t="shared" si="0"/>
        <v>8.322139</v>
      </c>
    </row>
    <row r="22" spans="1:16" x14ac:dyDescent="0.3">
      <c r="A22" s="2" t="s">
        <v>71</v>
      </c>
      <c r="B22" s="2" t="s">
        <v>17</v>
      </c>
      <c r="C22" s="2" t="s">
        <v>38</v>
      </c>
      <c r="D22" s="3">
        <v>7.0446999999999997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>
        <f t="shared" si="0"/>
        <v>7.0446999999999997</v>
      </c>
    </row>
    <row r="23" spans="1:16" x14ac:dyDescent="0.3">
      <c r="A23" s="2" t="s">
        <v>71</v>
      </c>
      <c r="B23" s="2" t="s">
        <v>17</v>
      </c>
      <c r="C23" s="2" t="s">
        <v>39</v>
      </c>
      <c r="D23" s="3">
        <v>7.3305999999999996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>
        <f t="shared" si="0"/>
        <v>7.3305999999999996</v>
      </c>
    </row>
    <row r="24" spans="1:16" x14ac:dyDescent="0.3">
      <c r="A24" s="2" t="s">
        <v>71</v>
      </c>
      <c r="B24" s="2" t="s">
        <v>17</v>
      </c>
      <c r="C24" s="2" t="s">
        <v>40</v>
      </c>
      <c r="D24" s="3">
        <v>6.4054000000000002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>
        <f t="shared" si="0"/>
        <v>6.4054000000000002</v>
      </c>
    </row>
    <row r="25" spans="1:16" x14ac:dyDescent="0.3">
      <c r="A25" s="2" t="s">
        <v>71</v>
      </c>
      <c r="B25" s="2" t="s">
        <v>41</v>
      </c>
      <c r="C25" s="2" t="s">
        <v>18</v>
      </c>
      <c r="D25" s="3">
        <v>8.2578999999999994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>
        <f t="shared" si="0"/>
        <v>8.2578999999999994</v>
      </c>
    </row>
    <row r="26" spans="1:16" x14ac:dyDescent="0.3">
      <c r="A26" s="2" t="s">
        <v>71</v>
      </c>
      <c r="B26" s="2" t="s">
        <v>41</v>
      </c>
      <c r="C26" s="2" t="s">
        <v>19</v>
      </c>
      <c r="D26" s="3">
        <v>10.865500000000001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>
        <f t="shared" si="0"/>
        <v>10.865500000000001</v>
      </c>
    </row>
    <row r="27" spans="1:16" x14ac:dyDescent="0.3">
      <c r="A27" s="2" t="s">
        <v>71</v>
      </c>
      <c r="B27" s="2" t="s">
        <v>41</v>
      </c>
      <c r="C27" s="2" t="s">
        <v>20</v>
      </c>
      <c r="D27" s="3">
        <v>9.4907000000000004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>
        <f t="shared" si="0"/>
        <v>9.4907000000000004</v>
      </c>
    </row>
    <row r="28" spans="1:16" x14ac:dyDescent="0.3">
      <c r="A28" s="2" t="s">
        <v>71</v>
      </c>
      <c r="B28" s="2" t="s">
        <v>41</v>
      </c>
      <c r="C28" s="2" t="s">
        <v>21</v>
      </c>
      <c r="D28" s="3">
        <v>8.9795999999999996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>
        <f t="shared" si="0"/>
        <v>8.9795999999999996</v>
      </c>
    </row>
    <row r="29" spans="1:16" x14ac:dyDescent="0.3">
      <c r="A29" s="2" t="s">
        <v>71</v>
      </c>
      <c r="B29" s="2" t="s">
        <v>41</v>
      </c>
      <c r="C29" s="2" t="s">
        <v>22</v>
      </c>
      <c r="D29" s="3">
        <v>7.9640000000000004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>
        <f t="shared" si="0"/>
        <v>7.9640000000000004</v>
      </c>
    </row>
    <row r="30" spans="1:16" x14ac:dyDescent="0.3">
      <c r="A30" s="2" t="s">
        <v>71</v>
      </c>
      <c r="B30" s="2" t="s">
        <v>41</v>
      </c>
      <c r="C30" s="2" t="s">
        <v>23</v>
      </c>
      <c r="D30" s="3">
        <v>9.7934999999999999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>
        <f t="shared" si="0"/>
        <v>9.7934999999999999</v>
      </c>
    </row>
    <row r="31" spans="1:16" x14ac:dyDescent="0.3">
      <c r="A31" s="2" t="s">
        <v>71</v>
      </c>
      <c r="B31" s="2" t="s">
        <v>41</v>
      </c>
      <c r="C31" s="2" t="s">
        <v>24</v>
      </c>
      <c r="D31" s="3">
        <v>8.6574000000000009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>
        <f t="shared" si="0"/>
        <v>8.6574000000000009</v>
      </c>
    </row>
    <row r="32" spans="1:16" x14ac:dyDescent="0.3">
      <c r="A32" s="2" t="s">
        <v>71</v>
      </c>
      <c r="B32" s="2" t="s">
        <v>41</v>
      </c>
      <c r="C32" s="2" t="s">
        <v>25</v>
      </c>
      <c r="D32" s="3">
        <v>7.2195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>
        <f t="shared" si="0"/>
        <v>7.2195</v>
      </c>
    </row>
    <row r="33" spans="1:16" x14ac:dyDescent="0.3">
      <c r="A33" s="2" t="s">
        <v>71</v>
      </c>
      <c r="B33" s="2" t="s">
        <v>41</v>
      </c>
      <c r="C33" s="2" t="s">
        <v>26</v>
      </c>
      <c r="D33" s="3">
        <v>5.9158999999999997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>
        <f t="shared" si="0"/>
        <v>5.9158999999999997</v>
      </c>
    </row>
    <row r="34" spans="1:16" x14ac:dyDescent="0.3">
      <c r="A34" s="2" t="s">
        <v>71</v>
      </c>
      <c r="B34" s="2" t="s">
        <v>41</v>
      </c>
      <c r="C34" s="2" t="s">
        <v>27</v>
      </c>
      <c r="D34" s="3">
        <v>5.9339000000000004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>
        <f t="shared" ref="P34:P65" si="1">D34</f>
        <v>5.9339000000000004</v>
      </c>
    </row>
    <row r="35" spans="1:16" x14ac:dyDescent="0.3">
      <c r="A35" s="2" t="s">
        <v>71</v>
      </c>
      <c r="B35" s="2" t="s">
        <v>41</v>
      </c>
      <c r="C35" s="2" t="s">
        <v>28</v>
      </c>
      <c r="D35" s="3">
        <v>6.8319000000000001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>
        <f t="shared" si="1"/>
        <v>6.8319000000000001</v>
      </c>
    </row>
    <row r="36" spans="1:16" x14ac:dyDescent="0.3">
      <c r="A36" s="2" t="s">
        <v>71</v>
      </c>
      <c r="B36" s="2" t="s">
        <v>41</v>
      </c>
      <c r="C36" s="2" t="s">
        <v>29</v>
      </c>
      <c r="D36" s="3">
        <v>6.6406999999999998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>
        <f t="shared" si="1"/>
        <v>6.6406999999999998</v>
      </c>
    </row>
    <row r="37" spans="1:16" x14ac:dyDescent="0.3">
      <c r="A37" s="2" t="s">
        <v>71</v>
      </c>
      <c r="B37" s="2" t="s">
        <v>41</v>
      </c>
      <c r="C37" s="2" t="s">
        <v>30</v>
      </c>
      <c r="D37" s="3">
        <v>5.3552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>
        <f t="shared" si="1"/>
        <v>5.3552</v>
      </c>
    </row>
    <row r="38" spans="1:16" x14ac:dyDescent="0.3">
      <c r="A38" s="2" t="s">
        <v>71</v>
      </c>
      <c r="B38" s="2" t="s">
        <v>41</v>
      </c>
      <c r="C38" s="2" t="s">
        <v>31</v>
      </c>
      <c r="D38" s="3">
        <v>5.8129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>
        <f t="shared" si="1"/>
        <v>5.8129</v>
      </c>
    </row>
    <row r="39" spans="1:16" x14ac:dyDescent="0.3">
      <c r="A39" s="2" t="s">
        <v>71</v>
      </c>
      <c r="B39" s="2" t="s">
        <v>41</v>
      </c>
      <c r="C39" s="2" t="s">
        <v>32</v>
      </c>
      <c r="D39" s="3">
        <v>5.5984999999999996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>
        <f t="shared" si="1"/>
        <v>5.5984999999999996</v>
      </c>
    </row>
    <row r="40" spans="1:16" x14ac:dyDescent="0.3">
      <c r="A40" s="2" t="s">
        <v>71</v>
      </c>
      <c r="B40" s="2" t="s">
        <v>41</v>
      </c>
      <c r="C40" s="2" t="s">
        <v>33</v>
      </c>
      <c r="D40" s="3">
        <v>5.2222999999999997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>
        <f t="shared" si="1"/>
        <v>5.2222999999999997</v>
      </c>
    </row>
    <row r="41" spans="1:16" x14ac:dyDescent="0.3">
      <c r="A41" s="2" t="s">
        <v>71</v>
      </c>
      <c r="B41" s="2" t="s">
        <v>41</v>
      </c>
      <c r="C41" s="2" t="s">
        <v>34</v>
      </c>
      <c r="D41" s="3">
        <v>5.9185999999999996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>
        <f t="shared" si="1"/>
        <v>5.9185999999999996</v>
      </c>
    </row>
    <row r="42" spans="1:16" x14ac:dyDescent="0.3">
      <c r="A42" s="2" t="s">
        <v>71</v>
      </c>
      <c r="B42" s="2" t="s">
        <v>41</v>
      </c>
      <c r="C42" s="2" t="s">
        <v>35</v>
      </c>
      <c r="D42" s="3">
        <v>6.74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>
        <f t="shared" si="1"/>
        <v>6.74</v>
      </c>
    </row>
    <row r="43" spans="1:16" x14ac:dyDescent="0.3">
      <c r="A43" s="2" t="s">
        <v>71</v>
      </c>
      <c r="B43" s="2" t="s">
        <v>41</v>
      </c>
      <c r="C43" s="2" t="s">
        <v>36</v>
      </c>
      <c r="D43" s="3">
        <v>6.9405999999999999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>
        <f t="shared" si="1"/>
        <v>6.9405999999999999</v>
      </c>
    </row>
    <row r="44" spans="1:16" x14ac:dyDescent="0.3">
      <c r="A44" s="2" t="s">
        <v>71</v>
      </c>
      <c r="B44" s="2" t="s">
        <v>41</v>
      </c>
      <c r="C44" s="2" t="s">
        <v>37</v>
      </c>
      <c r="D44" s="3">
        <v>7.4408570000000003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>
        <f t="shared" si="1"/>
        <v>7.4408570000000003</v>
      </c>
    </row>
    <row r="45" spans="1:16" x14ac:dyDescent="0.3">
      <c r="A45" s="2" t="s">
        <v>71</v>
      </c>
      <c r="B45" s="2" t="s">
        <v>41</v>
      </c>
      <c r="C45" s="2" t="s">
        <v>38</v>
      </c>
      <c r="D45" s="3">
        <v>6.5130999999999997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>
        <f t="shared" si="1"/>
        <v>6.5130999999999997</v>
      </c>
    </row>
    <row r="46" spans="1:16" x14ac:dyDescent="0.3">
      <c r="A46" s="2" t="s">
        <v>71</v>
      </c>
      <c r="B46" s="2" t="s">
        <v>41</v>
      </c>
      <c r="C46" s="2" t="s">
        <v>39</v>
      </c>
      <c r="D46" s="3">
        <v>6.6786000000000003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>
        <f t="shared" si="1"/>
        <v>6.6786000000000003</v>
      </c>
    </row>
    <row r="47" spans="1:16" x14ac:dyDescent="0.3">
      <c r="A47" s="2" t="s">
        <v>71</v>
      </c>
      <c r="B47" s="2" t="s">
        <v>41</v>
      </c>
      <c r="C47" s="2" t="s">
        <v>40</v>
      </c>
      <c r="D47" s="3">
        <v>5.9156000000000004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>
        <f t="shared" si="1"/>
        <v>5.9156000000000004</v>
      </c>
    </row>
    <row r="48" spans="1:16" x14ac:dyDescent="0.3">
      <c r="A48" s="2" t="s">
        <v>71</v>
      </c>
      <c r="B48" s="2" t="s">
        <v>42</v>
      </c>
      <c r="C48" s="2" t="s">
        <v>18</v>
      </c>
      <c r="D48" s="5">
        <v>41.534587960619533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6">
        <f t="shared" si="1"/>
        <v>41.534587960619533</v>
      </c>
    </row>
    <row r="49" spans="1:16" x14ac:dyDescent="0.3">
      <c r="A49" s="2" t="s">
        <v>71</v>
      </c>
      <c r="B49" s="2" t="s">
        <v>42</v>
      </c>
      <c r="C49" s="2" t="s">
        <v>19</v>
      </c>
      <c r="D49" s="5">
        <v>51.419340142653361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6">
        <f t="shared" si="1"/>
        <v>51.419340142653361</v>
      </c>
    </row>
    <row r="50" spans="1:16" x14ac:dyDescent="0.3">
      <c r="A50" s="2" t="s">
        <v>71</v>
      </c>
      <c r="B50" s="2" t="s">
        <v>42</v>
      </c>
      <c r="C50" s="2" t="s">
        <v>20</v>
      </c>
      <c r="D50" s="5">
        <v>60.767299389929093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">
        <f t="shared" si="1"/>
        <v>60.767299389929093</v>
      </c>
    </row>
    <row r="51" spans="1:16" x14ac:dyDescent="0.3">
      <c r="A51" s="2" t="s">
        <v>71</v>
      </c>
      <c r="B51" s="2" t="s">
        <v>42</v>
      </c>
      <c r="C51" s="2" t="s">
        <v>21</v>
      </c>
      <c r="D51" s="5">
        <v>59.729553316406083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6">
        <f t="shared" si="1"/>
        <v>59.729553316406083</v>
      </c>
    </row>
    <row r="52" spans="1:16" x14ac:dyDescent="0.3">
      <c r="A52" s="2" t="s">
        <v>71</v>
      </c>
      <c r="B52" s="2" t="s">
        <v>42</v>
      </c>
      <c r="C52" s="2" t="s">
        <v>22</v>
      </c>
      <c r="D52" s="5">
        <v>55.209524580612758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6">
        <f t="shared" si="1"/>
        <v>55.209524580612758</v>
      </c>
    </row>
    <row r="53" spans="1:16" x14ac:dyDescent="0.3">
      <c r="A53" s="2" t="s">
        <v>71</v>
      </c>
      <c r="B53" s="2" t="s">
        <v>42</v>
      </c>
      <c r="C53" s="2" t="s">
        <v>23</v>
      </c>
      <c r="D53" s="5">
        <v>51.164828721090522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6">
        <f t="shared" si="1"/>
        <v>51.164828721090522</v>
      </c>
    </row>
    <row r="54" spans="1:16" x14ac:dyDescent="0.3">
      <c r="A54" s="2" t="s">
        <v>71</v>
      </c>
      <c r="B54" s="2" t="s">
        <v>42</v>
      </c>
      <c r="C54" s="2" t="s">
        <v>24</v>
      </c>
      <c r="D54" s="5">
        <v>62.526518317277699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6">
        <f t="shared" si="1"/>
        <v>62.526518317277699</v>
      </c>
    </row>
    <row r="55" spans="1:16" x14ac:dyDescent="0.3">
      <c r="A55" s="2" t="s">
        <v>71</v>
      </c>
      <c r="B55" s="2" t="s">
        <v>42</v>
      </c>
      <c r="C55" s="2" t="s">
        <v>25</v>
      </c>
      <c r="D55" s="5">
        <v>60.617274703234301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6">
        <f t="shared" si="1"/>
        <v>60.617274703234301</v>
      </c>
    </row>
    <row r="56" spans="1:16" x14ac:dyDescent="0.3">
      <c r="A56" s="2" t="s">
        <v>71</v>
      </c>
      <c r="B56" s="2" t="s">
        <v>42</v>
      </c>
      <c r="C56" s="2" t="s">
        <v>26</v>
      </c>
      <c r="D56" s="5">
        <v>59.215714450886601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6">
        <f t="shared" si="1"/>
        <v>59.215714450886601</v>
      </c>
    </row>
    <row r="57" spans="1:16" x14ac:dyDescent="0.3">
      <c r="A57" s="2" t="s">
        <v>71</v>
      </c>
      <c r="B57" s="2" t="s">
        <v>42</v>
      </c>
      <c r="C57" s="2" t="s">
        <v>27</v>
      </c>
      <c r="D57" s="5">
        <v>61.081824499907313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>
        <f t="shared" si="1"/>
        <v>61.081824499907313</v>
      </c>
    </row>
    <row r="58" spans="1:16" x14ac:dyDescent="0.3">
      <c r="A58" s="2" t="s">
        <v>71</v>
      </c>
      <c r="B58" s="2" t="s">
        <v>42</v>
      </c>
      <c r="C58" s="2" t="s">
        <v>28</v>
      </c>
      <c r="D58" s="5">
        <v>53.865210860814713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6">
        <f t="shared" si="1"/>
        <v>53.865210860814713</v>
      </c>
    </row>
    <row r="59" spans="1:16" x14ac:dyDescent="0.3">
      <c r="A59" s="2" t="s">
        <v>71</v>
      </c>
      <c r="B59" s="2" t="s">
        <v>42</v>
      </c>
      <c r="C59" s="2" t="s">
        <v>29</v>
      </c>
      <c r="D59" s="5">
        <v>71.111445383769791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6">
        <f t="shared" si="1"/>
        <v>71.111445383769791</v>
      </c>
    </row>
    <row r="60" spans="1:16" x14ac:dyDescent="0.3">
      <c r="A60" s="2" t="s">
        <v>71</v>
      </c>
      <c r="B60" s="2" t="s">
        <v>42</v>
      </c>
      <c r="C60" s="2" t="s">
        <v>30</v>
      </c>
      <c r="D60" s="5">
        <v>61.038201613385127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6">
        <f t="shared" si="1"/>
        <v>61.038201613385127</v>
      </c>
    </row>
    <row r="61" spans="1:16" x14ac:dyDescent="0.3">
      <c r="A61" s="2" t="s">
        <v>71</v>
      </c>
      <c r="B61" s="2" t="s">
        <v>42</v>
      </c>
      <c r="C61" s="2" t="s">
        <v>31</v>
      </c>
      <c r="D61" s="5">
        <v>65.23806281890279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6">
        <f t="shared" si="1"/>
        <v>65.23806281890279</v>
      </c>
    </row>
    <row r="62" spans="1:16" x14ac:dyDescent="0.3">
      <c r="A62" s="2" t="s">
        <v>71</v>
      </c>
      <c r="B62" s="2" t="s">
        <v>42</v>
      </c>
      <c r="C62" s="2" t="s">
        <v>32</v>
      </c>
      <c r="D62" s="5">
        <v>72.517657629722237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6">
        <f t="shared" si="1"/>
        <v>72.517657629722237</v>
      </c>
    </row>
    <row r="63" spans="1:16" x14ac:dyDescent="0.3">
      <c r="A63" s="2" t="s">
        <v>71</v>
      </c>
      <c r="B63" s="2" t="s">
        <v>42</v>
      </c>
      <c r="C63" s="2" t="s">
        <v>33</v>
      </c>
      <c r="D63" s="5">
        <v>69.403184895544115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>
        <f t="shared" si="1"/>
        <v>69.403184895544115</v>
      </c>
    </row>
    <row r="64" spans="1:16" x14ac:dyDescent="0.3">
      <c r="A64" s="2" t="s">
        <v>71</v>
      </c>
      <c r="B64" s="2" t="s">
        <v>42</v>
      </c>
      <c r="C64" s="2" t="s">
        <v>34</v>
      </c>
      <c r="D64" s="5">
        <v>65.028261602405976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6">
        <f t="shared" si="1"/>
        <v>65.028261602405976</v>
      </c>
    </row>
    <row r="65" spans="1:16" x14ac:dyDescent="0.3">
      <c r="A65" s="2" t="s">
        <v>71</v>
      </c>
      <c r="B65" s="2" t="s">
        <v>42</v>
      </c>
      <c r="C65" s="2" t="s">
        <v>35</v>
      </c>
      <c r="D65" s="5">
        <v>70.752027442136509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>
        <f t="shared" si="1"/>
        <v>70.752027442136509</v>
      </c>
    </row>
    <row r="66" spans="1:16" x14ac:dyDescent="0.3">
      <c r="A66" s="2" t="s">
        <v>71</v>
      </c>
      <c r="B66" s="2" t="s">
        <v>42</v>
      </c>
      <c r="C66" s="2" t="s">
        <v>36</v>
      </c>
      <c r="D66" s="5">
        <v>71.076198276806039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>
        <f t="shared" ref="P66:P93" si="2">D66</f>
        <v>71.076198276806039</v>
      </c>
    </row>
    <row r="67" spans="1:16" x14ac:dyDescent="0.3">
      <c r="A67" s="2" t="s">
        <v>71</v>
      </c>
      <c r="B67" s="2" t="s">
        <v>42</v>
      </c>
      <c r="C67" s="2" t="s">
        <v>37</v>
      </c>
      <c r="D67" s="5">
        <v>43.108977022404822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6">
        <f t="shared" si="2"/>
        <v>43.108977022404822</v>
      </c>
    </row>
    <row r="68" spans="1:16" x14ac:dyDescent="0.3">
      <c r="A68" s="2" t="s">
        <v>71</v>
      </c>
      <c r="B68" s="2" t="s">
        <v>42</v>
      </c>
      <c r="C68" s="2" t="s">
        <v>38</v>
      </c>
      <c r="D68" s="5">
        <v>70.425010566396949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6">
        <f t="shared" si="2"/>
        <v>70.425010566396949</v>
      </c>
    </row>
    <row r="69" spans="1:16" x14ac:dyDescent="0.3">
      <c r="A69" s="2" t="s">
        <v>71</v>
      </c>
      <c r="B69" s="2" t="s">
        <v>42</v>
      </c>
      <c r="C69" s="2" t="s">
        <v>39</v>
      </c>
      <c r="D69" s="5">
        <v>61.243592944629121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6">
        <f t="shared" si="2"/>
        <v>61.243592944629121</v>
      </c>
    </row>
    <row r="70" spans="1:16" x14ac:dyDescent="0.3">
      <c r="A70" s="2" t="s">
        <v>71</v>
      </c>
      <c r="B70" s="2" t="s">
        <v>42</v>
      </c>
      <c r="C70" s="2" t="s">
        <v>40</v>
      </c>
      <c r="D70" s="5">
        <v>63.23045328284536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>
        <f t="shared" si="2"/>
        <v>63.23045328284536</v>
      </c>
    </row>
    <row r="71" spans="1:16" x14ac:dyDescent="0.3">
      <c r="A71" s="2" t="s">
        <v>71</v>
      </c>
      <c r="B71" s="2" t="s">
        <v>43</v>
      </c>
      <c r="C71" s="2" t="s">
        <v>18</v>
      </c>
      <c r="D71" s="7">
        <v>7467.7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8">
        <f t="shared" si="2"/>
        <v>7467.7</v>
      </c>
    </row>
    <row r="72" spans="1:16" x14ac:dyDescent="0.3">
      <c r="A72" s="2" t="s">
        <v>71</v>
      </c>
      <c r="B72" s="2" t="s">
        <v>43</v>
      </c>
      <c r="C72" s="2" t="s">
        <v>19</v>
      </c>
      <c r="D72" s="7">
        <v>12164.2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8">
        <f t="shared" si="2"/>
        <v>12164.2</v>
      </c>
    </row>
    <row r="73" spans="1:16" x14ac:dyDescent="0.3">
      <c r="A73" s="2" t="s">
        <v>71</v>
      </c>
      <c r="B73" s="2" t="s">
        <v>43</v>
      </c>
      <c r="C73" s="2" t="s">
        <v>20</v>
      </c>
      <c r="D73" s="7">
        <v>12556.7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8">
        <f t="shared" si="2"/>
        <v>12556.7</v>
      </c>
    </row>
    <row r="74" spans="1:16" x14ac:dyDescent="0.3">
      <c r="A74" s="2" t="s">
        <v>71</v>
      </c>
      <c r="B74" s="2" t="s">
        <v>43</v>
      </c>
      <c r="C74" s="2" t="s">
        <v>21</v>
      </c>
      <c r="D74" s="7">
        <v>11677.6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8">
        <f t="shared" si="2"/>
        <v>11677.6</v>
      </c>
    </row>
    <row r="75" spans="1:16" x14ac:dyDescent="0.3">
      <c r="A75" s="2" t="s">
        <v>71</v>
      </c>
      <c r="B75" s="2" t="s">
        <v>43</v>
      </c>
      <c r="C75" s="2" t="s">
        <v>22</v>
      </c>
      <c r="D75" s="7">
        <v>9573.1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8">
        <f t="shared" si="2"/>
        <v>9573.1</v>
      </c>
    </row>
    <row r="76" spans="1:16" x14ac:dyDescent="0.3">
      <c r="A76" s="2" t="s">
        <v>71</v>
      </c>
      <c r="B76" s="2" t="s">
        <v>43</v>
      </c>
      <c r="C76" s="2" t="s">
        <v>23</v>
      </c>
      <c r="D76" s="7">
        <v>10909.8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8">
        <f t="shared" si="2"/>
        <v>10909.8</v>
      </c>
    </row>
    <row r="77" spans="1:16" x14ac:dyDescent="0.3">
      <c r="A77" s="2" t="s">
        <v>71</v>
      </c>
      <c r="B77" s="2" t="s">
        <v>43</v>
      </c>
      <c r="C77" s="2" t="s">
        <v>24</v>
      </c>
      <c r="D77" s="7">
        <v>11785.8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8">
        <f t="shared" si="2"/>
        <v>11785.8</v>
      </c>
    </row>
    <row r="78" spans="1:16" x14ac:dyDescent="0.3">
      <c r="A78" s="2" t="s">
        <v>71</v>
      </c>
      <c r="B78" s="2" t="s">
        <v>43</v>
      </c>
      <c r="C78" s="2" t="s">
        <v>25</v>
      </c>
      <c r="D78" s="7">
        <v>9528.2000000000007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8">
        <f t="shared" si="2"/>
        <v>9528.2000000000007</v>
      </c>
    </row>
    <row r="79" spans="1:16" x14ac:dyDescent="0.3">
      <c r="A79" s="2" t="s">
        <v>71</v>
      </c>
      <c r="B79" s="2" t="s">
        <v>43</v>
      </c>
      <c r="C79" s="2" t="s">
        <v>26</v>
      </c>
      <c r="D79" s="7">
        <v>7627.2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8">
        <f t="shared" si="2"/>
        <v>7627.2</v>
      </c>
    </row>
    <row r="80" spans="1:16" x14ac:dyDescent="0.3">
      <c r="A80" s="2" t="s">
        <v>71</v>
      </c>
      <c r="B80" s="2" t="s">
        <v>43</v>
      </c>
      <c r="C80" s="2" t="s">
        <v>27</v>
      </c>
      <c r="D80" s="7">
        <v>7891.5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8">
        <f t="shared" si="2"/>
        <v>7891.5</v>
      </c>
    </row>
    <row r="81" spans="1:16" x14ac:dyDescent="0.3">
      <c r="A81" s="2" t="s">
        <v>71</v>
      </c>
      <c r="B81" s="2" t="s">
        <v>43</v>
      </c>
      <c r="C81" s="2" t="s">
        <v>28</v>
      </c>
      <c r="D81" s="7">
        <v>8012.3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8">
        <f t="shared" si="2"/>
        <v>8012.3</v>
      </c>
    </row>
    <row r="82" spans="1:16" x14ac:dyDescent="0.3">
      <c r="A82" s="2" t="s">
        <v>71</v>
      </c>
      <c r="B82" s="2" t="s">
        <v>43</v>
      </c>
      <c r="C82" s="2" t="s">
        <v>29</v>
      </c>
      <c r="D82" s="7">
        <v>10281.6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8">
        <f t="shared" si="2"/>
        <v>10281.6</v>
      </c>
    </row>
    <row r="83" spans="1:16" x14ac:dyDescent="0.3">
      <c r="A83" s="2" t="s">
        <v>71</v>
      </c>
      <c r="B83" s="2" t="s">
        <v>43</v>
      </c>
      <c r="C83" s="2" t="s">
        <v>30</v>
      </c>
      <c r="D83" s="7">
        <v>7116.8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8">
        <f t="shared" si="2"/>
        <v>7116.8</v>
      </c>
    </row>
    <row r="84" spans="1:16" x14ac:dyDescent="0.3">
      <c r="A84" s="2" t="s">
        <v>71</v>
      </c>
      <c r="B84" s="2" t="s">
        <v>43</v>
      </c>
      <c r="C84" s="2" t="s">
        <v>31</v>
      </c>
      <c r="D84" s="7">
        <v>8256.6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8">
        <f t="shared" si="2"/>
        <v>8256.6</v>
      </c>
    </row>
    <row r="85" spans="1:16" x14ac:dyDescent="0.3">
      <c r="A85" s="2" t="s">
        <v>71</v>
      </c>
      <c r="B85" s="2" t="s">
        <v>43</v>
      </c>
      <c r="C85" s="2" t="s">
        <v>32</v>
      </c>
      <c r="D85" s="7">
        <v>8839.4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8">
        <f t="shared" si="2"/>
        <v>8839.4</v>
      </c>
    </row>
    <row r="86" spans="1:16" x14ac:dyDescent="0.3">
      <c r="A86" s="2" t="s">
        <v>71</v>
      </c>
      <c r="B86" s="2" t="s">
        <v>43</v>
      </c>
      <c r="C86" s="2" t="s">
        <v>33</v>
      </c>
      <c r="D86" s="7">
        <v>7891.3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8">
        <f t="shared" si="2"/>
        <v>7891.3</v>
      </c>
    </row>
    <row r="87" spans="1:16" x14ac:dyDescent="0.3">
      <c r="A87" s="2" t="s">
        <v>71</v>
      </c>
      <c r="B87" s="2" t="s">
        <v>43</v>
      </c>
      <c r="C87" s="2" t="s">
        <v>34</v>
      </c>
      <c r="D87" s="7">
        <v>8379.7000000000007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8">
        <f t="shared" si="2"/>
        <v>8379.7000000000007</v>
      </c>
    </row>
    <row r="88" spans="1:16" x14ac:dyDescent="0.3">
      <c r="A88" s="2" t="s">
        <v>71</v>
      </c>
      <c r="B88" s="2" t="s">
        <v>43</v>
      </c>
      <c r="C88" s="2" t="s">
        <v>35</v>
      </c>
      <c r="D88" s="7">
        <v>10382.6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8">
        <f t="shared" si="2"/>
        <v>10382.6</v>
      </c>
    </row>
    <row r="89" spans="1:16" x14ac:dyDescent="0.3">
      <c r="A89" s="2" t="s">
        <v>71</v>
      </c>
      <c r="B89" s="2" t="s">
        <v>43</v>
      </c>
      <c r="C89" s="2" t="s">
        <v>36</v>
      </c>
      <c r="D89" s="7">
        <v>10740.6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8">
        <f t="shared" si="2"/>
        <v>10740.6</v>
      </c>
    </row>
    <row r="90" spans="1:16" x14ac:dyDescent="0.3">
      <c r="A90" s="2" t="s">
        <v>71</v>
      </c>
      <c r="B90" s="2" t="s">
        <v>43</v>
      </c>
      <c r="C90" s="2" t="s">
        <v>37</v>
      </c>
      <c r="D90" s="7">
        <v>6983.9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8">
        <f t="shared" si="2"/>
        <v>6983.9</v>
      </c>
    </row>
    <row r="91" spans="1:16" x14ac:dyDescent="0.3">
      <c r="A91" s="2" t="s">
        <v>71</v>
      </c>
      <c r="B91" s="2" t="s">
        <v>43</v>
      </c>
      <c r="C91" s="2" t="s">
        <v>38</v>
      </c>
      <c r="D91" s="7">
        <v>9986.7000000000007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8">
        <f t="shared" si="2"/>
        <v>9986.7000000000007</v>
      </c>
    </row>
    <row r="92" spans="1:16" x14ac:dyDescent="0.3">
      <c r="A92" s="2" t="s">
        <v>71</v>
      </c>
      <c r="B92" s="2" t="s">
        <v>43</v>
      </c>
      <c r="C92" s="2" t="s">
        <v>39</v>
      </c>
      <c r="D92" s="7">
        <v>8905.4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8">
        <f t="shared" si="2"/>
        <v>8905.4</v>
      </c>
    </row>
    <row r="93" spans="1:16" x14ac:dyDescent="0.3">
      <c r="A93" s="2" t="s">
        <v>71</v>
      </c>
      <c r="B93" s="2" t="s">
        <v>43</v>
      </c>
      <c r="C93" s="2" t="s">
        <v>40</v>
      </c>
      <c r="D93" s="7">
        <v>8143.9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8">
        <f t="shared" si="2"/>
        <v>8143.9</v>
      </c>
    </row>
    <row r="94" spans="1:16" x14ac:dyDescent="0.3">
      <c r="A94" s="2" t="s">
        <v>71</v>
      </c>
      <c r="B94" s="2" t="s">
        <v>44</v>
      </c>
      <c r="C94" s="2" t="s">
        <v>18</v>
      </c>
      <c r="D94" s="7">
        <v>93.36</v>
      </c>
      <c r="E94" s="7">
        <v>52.201999999999998</v>
      </c>
      <c r="F94" s="7">
        <v>18.91</v>
      </c>
      <c r="G94" s="7">
        <v>47.14</v>
      </c>
      <c r="H94" s="7">
        <v>67.802000000000007</v>
      </c>
      <c r="I94" s="7">
        <v>24.4</v>
      </c>
      <c r="J94" s="7">
        <v>35.298000000000002</v>
      </c>
      <c r="K94" s="7">
        <v>10.050000000000001</v>
      </c>
      <c r="L94" s="7">
        <v>30.454000000000001</v>
      </c>
      <c r="M94" s="7">
        <v>14.568</v>
      </c>
      <c r="N94" s="7">
        <v>24.085999999999999</v>
      </c>
      <c r="O94" s="7">
        <v>9.1679999999999993</v>
      </c>
      <c r="P94" s="8">
        <f t="shared" ref="P94:P125" si="3">SUM(D94:O94)</f>
        <v>427.43800000000005</v>
      </c>
    </row>
    <row r="95" spans="1:16" x14ac:dyDescent="0.3">
      <c r="A95" s="2" t="s">
        <v>71</v>
      </c>
      <c r="B95" s="2" t="s">
        <v>44</v>
      </c>
      <c r="C95" s="2" t="s">
        <v>19</v>
      </c>
      <c r="D95" s="7">
        <v>4.7240000000000002</v>
      </c>
      <c r="E95" s="7">
        <v>41.923999999999999</v>
      </c>
      <c r="F95" s="7">
        <v>140.24199999999999</v>
      </c>
      <c r="G95" s="7">
        <v>206.97399999999999</v>
      </c>
      <c r="H95" s="7">
        <v>242.542</v>
      </c>
      <c r="I95" s="7">
        <v>45.677999999999997</v>
      </c>
      <c r="J95" s="7">
        <v>226.76599999999999</v>
      </c>
      <c r="K95" s="7">
        <v>208.036</v>
      </c>
      <c r="L95" s="7">
        <v>290.976</v>
      </c>
      <c r="M95" s="7">
        <v>206.87799999999999</v>
      </c>
      <c r="N95" s="7">
        <v>130.792</v>
      </c>
      <c r="O95" s="7">
        <v>108.804</v>
      </c>
      <c r="P95" s="8">
        <f t="shared" si="3"/>
        <v>1854.336</v>
      </c>
    </row>
    <row r="96" spans="1:16" x14ac:dyDescent="0.3">
      <c r="A96" s="2" t="s">
        <v>71</v>
      </c>
      <c r="B96" s="2" t="s">
        <v>44</v>
      </c>
      <c r="C96" s="2" t="s">
        <v>20</v>
      </c>
      <c r="D96" s="7">
        <v>95.897999999999996</v>
      </c>
      <c r="E96" s="7">
        <v>46.658000000000001</v>
      </c>
      <c r="F96" s="7">
        <v>95.251999999999995</v>
      </c>
      <c r="G96" s="7">
        <v>102.11199999999999</v>
      </c>
      <c r="H96" s="7">
        <v>109.682</v>
      </c>
      <c r="I96" s="7">
        <v>59.921999999999997</v>
      </c>
      <c r="J96" s="7">
        <v>175.31800000000001</v>
      </c>
      <c r="K96" s="7">
        <v>175.036</v>
      </c>
      <c r="L96" s="7">
        <v>110.226</v>
      </c>
      <c r="M96" s="7">
        <v>58.701999999999998</v>
      </c>
      <c r="N96" s="7">
        <v>37.052</v>
      </c>
      <c r="O96" s="7">
        <v>109.26600000000001</v>
      </c>
      <c r="P96" s="8">
        <f t="shared" si="3"/>
        <v>1175.124</v>
      </c>
    </row>
    <row r="97" spans="1:16" x14ac:dyDescent="0.3">
      <c r="A97" s="2" t="s">
        <v>71</v>
      </c>
      <c r="B97" s="2" t="s">
        <v>44</v>
      </c>
      <c r="C97" s="2" t="s">
        <v>21</v>
      </c>
      <c r="D97" s="7">
        <v>319.38799999999998</v>
      </c>
      <c r="E97" s="7">
        <v>183.45599999999999</v>
      </c>
      <c r="F97" s="7">
        <v>260.97199999999998</v>
      </c>
      <c r="G97" s="7">
        <v>382.99799999999999</v>
      </c>
      <c r="H97" s="7">
        <v>154.58000000000001</v>
      </c>
      <c r="I97" s="7">
        <v>373.084</v>
      </c>
      <c r="J97" s="7">
        <v>198.20599999999999</v>
      </c>
      <c r="K97" s="7">
        <v>99.116</v>
      </c>
      <c r="L97" s="7">
        <v>33.804000000000002</v>
      </c>
      <c r="M97" s="7">
        <v>99.213999999999999</v>
      </c>
      <c r="N97" s="7">
        <v>70.040000000000006</v>
      </c>
      <c r="O97" s="7">
        <v>57.143999999999998</v>
      </c>
      <c r="P97" s="8">
        <f t="shared" si="3"/>
        <v>2232.0019999999995</v>
      </c>
    </row>
    <row r="98" spans="1:16" x14ac:dyDescent="0.3">
      <c r="A98" s="2" t="s">
        <v>71</v>
      </c>
      <c r="B98" s="2" t="s">
        <v>44</v>
      </c>
      <c r="C98" s="2" t="s">
        <v>22</v>
      </c>
      <c r="D98" s="7">
        <v>79.437999999999988</v>
      </c>
      <c r="E98" s="7">
        <v>67.043999999999997</v>
      </c>
      <c r="F98" s="7">
        <v>156.90799999999999</v>
      </c>
      <c r="G98" s="7">
        <v>146.83600000000001</v>
      </c>
      <c r="H98" s="7">
        <v>133.21</v>
      </c>
      <c r="I98" s="7">
        <v>95.286000000000001</v>
      </c>
      <c r="J98" s="7">
        <v>138.72800000000001</v>
      </c>
      <c r="K98" s="7">
        <v>93.891999999999996</v>
      </c>
      <c r="L98" s="7">
        <v>99.272000000000006</v>
      </c>
      <c r="M98" s="7">
        <v>130.48400000000001</v>
      </c>
      <c r="N98" s="7">
        <v>36.841999999999999</v>
      </c>
      <c r="O98" s="7">
        <v>53.805999999999997</v>
      </c>
      <c r="P98" s="8">
        <f t="shared" si="3"/>
        <v>1231.7460000000003</v>
      </c>
    </row>
    <row r="99" spans="1:16" x14ac:dyDescent="0.3">
      <c r="A99" s="2" t="s">
        <v>71</v>
      </c>
      <c r="B99" s="2" t="s">
        <v>44</v>
      </c>
      <c r="C99" s="2" t="s">
        <v>23</v>
      </c>
      <c r="D99" s="7">
        <v>20.132000000000001</v>
      </c>
      <c r="E99" s="7">
        <v>231.25200000000001</v>
      </c>
      <c r="F99" s="7">
        <v>356.14</v>
      </c>
      <c r="G99" s="7">
        <v>373.55799999999999</v>
      </c>
      <c r="H99" s="7">
        <v>320.52600000000001</v>
      </c>
      <c r="I99" s="7">
        <v>401.25</v>
      </c>
      <c r="J99" s="7">
        <v>300.654</v>
      </c>
      <c r="K99" s="7">
        <v>199.88399999999999</v>
      </c>
      <c r="L99" s="7">
        <v>203.94</v>
      </c>
      <c r="M99" s="7">
        <v>386.54</v>
      </c>
      <c r="N99" s="7">
        <v>204.08600000000001</v>
      </c>
      <c r="O99" s="7">
        <v>47.67</v>
      </c>
      <c r="P99" s="8">
        <f t="shared" si="3"/>
        <v>3045.6319999999996</v>
      </c>
    </row>
    <row r="100" spans="1:16" x14ac:dyDescent="0.3">
      <c r="A100" s="2" t="s">
        <v>71</v>
      </c>
      <c r="B100" s="2" t="s">
        <v>44</v>
      </c>
      <c r="C100" s="2" t="s">
        <v>24</v>
      </c>
      <c r="D100" s="7">
        <v>56.917999999999999</v>
      </c>
      <c r="E100" s="7">
        <v>95.864000000000004</v>
      </c>
      <c r="F100" s="7">
        <v>122.474</v>
      </c>
      <c r="G100" s="7">
        <v>155.036</v>
      </c>
      <c r="H100" s="7">
        <v>102.29600000000001</v>
      </c>
      <c r="I100" s="7">
        <v>163.57</v>
      </c>
      <c r="J100" s="7">
        <v>163.96600000000001</v>
      </c>
      <c r="K100" s="7">
        <v>146.70599999999999</v>
      </c>
      <c r="L100" s="7">
        <v>119.846</v>
      </c>
      <c r="M100" s="7">
        <v>109.946</v>
      </c>
      <c r="N100" s="7">
        <v>115.864</v>
      </c>
      <c r="O100" s="7">
        <v>130.43799999999999</v>
      </c>
      <c r="P100" s="8">
        <f t="shared" si="3"/>
        <v>1482.924</v>
      </c>
    </row>
    <row r="101" spans="1:16" x14ac:dyDescent="0.3">
      <c r="A101" s="2" t="s">
        <v>71</v>
      </c>
      <c r="B101" s="2" t="s">
        <v>44</v>
      </c>
      <c r="C101" s="2" t="s">
        <v>25</v>
      </c>
      <c r="D101" s="7">
        <v>161.81</v>
      </c>
      <c r="E101" s="7">
        <v>126.42400000000001</v>
      </c>
      <c r="F101" s="7">
        <v>96.668000000000006</v>
      </c>
      <c r="G101" s="7">
        <v>144.60400000000001</v>
      </c>
      <c r="H101" s="7">
        <v>93.378</v>
      </c>
      <c r="I101" s="7">
        <v>64.494</v>
      </c>
      <c r="J101" s="7">
        <v>61.238</v>
      </c>
      <c r="K101" s="7">
        <v>161.506</v>
      </c>
      <c r="L101" s="7">
        <v>136.21199999999999</v>
      </c>
      <c r="M101" s="7">
        <v>58.021999999999998</v>
      </c>
      <c r="N101" s="7">
        <v>114.676</v>
      </c>
      <c r="O101" s="7">
        <v>89.76</v>
      </c>
      <c r="P101" s="8">
        <f t="shared" si="3"/>
        <v>1308.7920000000001</v>
      </c>
    </row>
    <row r="102" spans="1:16" x14ac:dyDescent="0.3">
      <c r="A102" s="2" t="s">
        <v>71</v>
      </c>
      <c r="B102" s="2" t="s">
        <v>44</v>
      </c>
      <c r="C102" s="2" t="s">
        <v>26</v>
      </c>
      <c r="D102" s="7">
        <v>107.256</v>
      </c>
      <c r="E102" s="7">
        <v>74.974000000000004</v>
      </c>
      <c r="F102" s="7">
        <v>128.97999999999999</v>
      </c>
      <c r="G102" s="7">
        <v>220.74600000000001</v>
      </c>
      <c r="H102" s="7">
        <v>130.744</v>
      </c>
      <c r="I102" s="7">
        <v>116.43</v>
      </c>
      <c r="J102" s="7">
        <v>50.612000000000002</v>
      </c>
      <c r="K102" s="7">
        <v>199.51400000000001</v>
      </c>
      <c r="L102" s="7">
        <v>80.436000000000007</v>
      </c>
      <c r="M102" s="7">
        <v>35.771999999999998</v>
      </c>
      <c r="N102" s="7">
        <v>35.423999999999999</v>
      </c>
      <c r="O102" s="7">
        <v>26.452000000000002</v>
      </c>
      <c r="P102" s="8">
        <f t="shared" si="3"/>
        <v>1207.3399999999999</v>
      </c>
    </row>
    <row r="103" spans="1:16" x14ac:dyDescent="0.3">
      <c r="A103" s="2" t="s">
        <v>71</v>
      </c>
      <c r="B103" s="2" t="s">
        <v>44</v>
      </c>
      <c r="C103" s="2" t="s">
        <v>27</v>
      </c>
      <c r="D103" s="7">
        <v>7.4080000000000004</v>
      </c>
      <c r="E103" s="7">
        <v>19.501999999999999</v>
      </c>
      <c r="F103" s="7">
        <v>175.982</v>
      </c>
      <c r="G103" s="7">
        <v>213.43</v>
      </c>
      <c r="H103" s="7">
        <v>94.513999999999996</v>
      </c>
      <c r="I103" s="7">
        <v>120.595</v>
      </c>
      <c r="J103" s="7">
        <v>158.19499999999999</v>
      </c>
      <c r="K103" s="7">
        <v>180.44399999999999</v>
      </c>
      <c r="L103" s="7">
        <v>116.565</v>
      </c>
      <c r="M103" s="7">
        <v>40.107999999999997</v>
      </c>
      <c r="N103" s="7">
        <v>105.10899999999999</v>
      </c>
      <c r="O103" s="7">
        <v>67.569999999999993</v>
      </c>
      <c r="P103" s="8">
        <f t="shared" si="3"/>
        <v>1299.4219999999998</v>
      </c>
    </row>
    <row r="104" spans="1:16" x14ac:dyDescent="0.3">
      <c r="A104" s="2" t="s">
        <v>71</v>
      </c>
      <c r="B104" s="2" t="s">
        <v>44</v>
      </c>
      <c r="C104" s="2" t="s">
        <v>28</v>
      </c>
      <c r="D104" s="7">
        <v>44.859000000000002</v>
      </c>
      <c r="E104" s="7">
        <v>119.52500000000001</v>
      </c>
      <c r="F104" s="7">
        <v>188.565</v>
      </c>
      <c r="G104" s="7">
        <v>306.74900000000002</v>
      </c>
      <c r="H104" s="7">
        <v>97.677999999999997</v>
      </c>
      <c r="I104" s="7">
        <v>152.708</v>
      </c>
      <c r="J104" s="7">
        <v>154.255</v>
      </c>
      <c r="K104" s="7">
        <v>130.179</v>
      </c>
      <c r="L104" s="7">
        <v>112.261</v>
      </c>
      <c r="M104" s="7">
        <v>77.019000000000005</v>
      </c>
      <c r="N104" s="7">
        <v>29.183</v>
      </c>
      <c r="O104" s="7">
        <v>19.481000000000002</v>
      </c>
      <c r="P104" s="8">
        <f t="shared" si="3"/>
        <v>1432.462</v>
      </c>
    </row>
    <row r="105" spans="1:16" x14ac:dyDescent="0.3">
      <c r="A105" s="2" t="s">
        <v>71</v>
      </c>
      <c r="B105" s="2" t="s">
        <v>44</v>
      </c>
      <c r="C105" s="2" t="s">
        <v>29</v>
      </c>
      <c r="D105" s="7">
        <v>14.47</v>
      </c>
      <c r="E105" s="7">
        <v>33.073</v>
      </c>
      <c r="F105" s="7">
        <v>134.791</v>
      </c>
      <c r="G105" s="7">
        <v>272.74400000000003</v>
      </c>
      <c r="H105" s="7">
        <v>134.32900000000001</v>
      </c>
      <c r="I105" s="7">
        <v>50.054000000000002</v>
      </c>
      <c r="J105" s="7">
        <v>167.13800000000001</v>
      </c>
      <c r="K105" s="7">
        <v>144.70500000000001</v>
      </c>
      <c r="L105" s="7">
        <v>262.42099999999999</v>
      </c>
      <c r="M105" s="7">
        <v>144.20599999999999</v>
      </c>
      <c r="N105" s="7">
        <v>107.096</v>
      </c>
      <c r="O105" s="7">
        <v>95.748999999999995</v>
      </c>
      <c r="P105" s="8">
        <f t="shared" si="3"/>
        <v>1560.7760000000001</v>
      </c>
    </row>
    <row r="106" spans="1:16" x14ac:dyDescent="0.3">
      <c r="A106" s="2" t="s">
        <v>71</v>
      </c>
      <c r="B106" s="2" t="s">
        <v>44</v>
      </c>
      <c r="C106" s="2" t="s">
        <v>30</v>
      </c>
      <c r="D106" s="7">
        <v>103.735</v>
      </c>
      <c r="E106" s="7">
        <v>96.632000000000005</v>
      </c>
      <c r="F106" s="7">
        <v>101.379</v>
      </c>
      <c r="G106" s="7">
        <v>142.30600000000001</v>
      </c>
      <c r="H106" s="7">
        <v>177.327</v>
      </c>
      <c r="I106" s="7">
        <v>217.86099999999999</v>
      </c>
      <c r="J106" s="7">
        <v>82.277999999999992</v>
      </c>
      <c r="K106" s="7">
        <v>67.915999999999997</v>
      </c>
      <c r="L106" s="7">
        <v>129.41</v>
      </c>
      <c r="M106" s="7">
        <v>124.699</v>
      </c>
      <c r="N106" s="7">
        <v>148.41499999999999</v>
      </c>
      <c r="O106" s="7">
        <v>124.56699999999999</v>
      </c>
      <c r="P106" s="8">
        <f t="shared" si="3"/>
        <v>1516.5250000000001</v>
      </c>
    </row>
    <row r="107" spans="1:16" x14ac:dyDescent="0.3">
      <c r="A107" s="2" t="s">
        <v>71</v>
      </c>
      <c r="B107" s="2" t="s">
        <v>44</v>
      </c>
      <c r="C107" s="2" t="s">
        <v>31</v>
      </c>
      <c r="D107" s="7">
        <v>27.295000000000002</v>
      </c>
      <c r="E107" s="7">
        <v>42.900000000000013</v>
      </c>
      <c r="F107" s="7">
        <v>122.10599999999999</v>
      </c>
      <c r="G107" s="7">
        <v>105.89</v>
      </c>
      <c r="H107" s="7">
        <v>120.01600000000001</v>
      </c>
      <c r="I107" s="7">
        <v>286.98700000000002</v>
      </c>
      <c r="J107" s="7">
        <v>108.898</v>
      </c>
      <c r="K107" s="7">
        <v>104.72499999999999</v>
      </c>
      <c r="L107" s="7">
        <v>131.99299999999999</v>
      </c>
      <c r="M107" s="7">
        <v>78.369</v>
      </c>
      <c r="N107" s="7">
        <v>26.928000000000001</v>
      </c>
      <c r="O107" s="7">
        <v>38.485999999999997</v>
      </c>
      <c r="P107" s="8">
        <f t="shared" si="3"/>
        <v>1194.5930000000003</v>
      </c>
    </row>
    <row r="108" spans="1:16" x14ac:dyDescent="0.3">
      <c r="A108" s="2" t="s">
        <v>71</v>
      </c>
      <c r="B108" s="2" t="s">
        <v>44</v>
      </c>
      <c r="C108" s="2" t="s">
        <v>32</v>
      </c>
      <c r="D108" s="7">
        <v>13.292</v>
      </c>
      <c r="E108" s="7">
        <v>9.7609999999999992</v>
      </c>
      <c r="F108" s="7">
        <v>99.566999999999993</v>
      </c>
      <c r="G108" s="7">
        <v>166.71</v>
      </c>
      <c r="H108" s="7">
        <v>141.60900000000001</v>
      </c>
      <c r="I108" s="7">
        <v>83.960999999999999</v>
      </c>
      <c r="J108" s="7">
        <v>141.48500000000001</v>
      </c>
      <c r="K108" s="7">
        <v>160.08099999999999</v>
      </c>
      <c r="L108" s="7">
        <v>175.12200000000001</v>
      </c>
      <c r="M108" s="7">
        <v>137.661</v>
      </c>
      <c r="N108" s="7">
        <v>152.35300000000001</v>
      </c>
      <c r="O108" s="7">
        <v>264.70600000000002</v>
      </c>
      <c r="P108" s="8">
        <f t="shared" si="3"/>
        <v>1546.308</v>
      </c>
    </row>
    <row r="109" spans="1:16" x14ac:dyDescent="0.3">
      <c r="A109" s="2" t="s">
        <v>71</v>
      </c>
      <c r="B109" s="2" t="s">
        <v>44</v>
      </c>
      <c r="C109" s="2" t="s">
        <v>33</v>
      </c>
      <c r="D109" s="7">
        <v>200.25399999999999</v>
      </c>
      <c r="E109" s="7">
        <v>85.97</v>
      </c>
      <c r="F109" s="7">
        <v>162.97800000000001</v>
      </c>
      <c r="G109" s="7">
        <v>184.47200000000001</v>
      </c>
      <c r="H109" s="7">
        <v>168.36600000000001</v>
      </c>
      <c r="I109" s="7">
        <v>213.934</v>
      </c>
      <c r="J109" s="7">
        <v>184.755</v>
      </c>
      <c r="K109" s="7">
        <v>185.48599999999999</v>
      </c>
      <c r="L109" s="7">
        <v>261.78100000000001</v>
      </c>
      <c r="M109" s="7">
        <v>183.90700000000001</v>
      </c>
      <c r="N109" s="7">
        <v>21.863</v>
      </c>
      <c r="O109" s="7">
        <v>166.83199999999999</v>
      </c>
      <c r="P109" s="8">
        <f t="shared" si="3"/>
        <v>2020.5979999999995</v>
      </c>
    </row>
    <row r="110" spans="1:16" x14ac:dyDescent="0.3">
      <c r="A110" s="2" t="s">
        <v>71</v>
      </c>
      <c r="B110" s="2" t="s">
        <v>44</v>
      </c>
      <c r="C110" s="2" t="s">
        <v>34</v>
      </c>
      <c r="D110" s="7">
        <v>67.247</v>
      </c>
      <c r="E110" s="7">
        <v>66.025000000000006</v>
      </c>
      <c r="F110" s="7">
        <v>331.92099999999999</v>
      </c>
      <c r="G110" s="7">
        <v>256.68</v>
      </c>
      <c r="H110" s="7">
        <v>298.23500000000001</v>
      </c>
      <c r="I110" s="7">
        <v>216.82400000000001</v>
      </c>
      <c r="J110" s="7">
        <v>197.922</v>
      </c>
      <c r="K110" s="7">
        <v>353.70400000000001</v>
      </c>
      <c r="L110" s="7">
        <v>235.239</v>
      </c>
      <c r="M110" s="7">
        <v>81.369</v>
      </c>
      <c r="N110" s="7">
        <v>106.041</v>
      </c>
      <c r="O110" s="7">
        <v>60.906999999999996</v>
      </c>
      <c r="P110" s="8">
        <f t="shared" si="3"/>
        <v>2272.1140000000005</v>
      </c>
    </row>
    <row r="111" spans="1:16" x14ac:dyDescent="0.3">
      <c r="A111" s="2" t="s">
        <v>71</v>
      </c>
      <c r="B111" s="2" t="s">
        <v>44</v>
      </c>
      <c r="C111" s="2" t="s">
        <v>35</v>
      </c>
      <c r="D111" s="7">
        <v>31.591999999999999</v>
      </c>
      <c r="E111" s="7">
        <v>75.131999999999991</v>
      </c>
      <c r="F111" s="7">
        <v>203.571</v>
      </c>
      <c r="G111" s="7">
        <v>267.834</v>
      </c>
      <c r="H111" s="7">
        <v>329.87200000000001</v>
      </c>
      <c r="I111" s="7">
        <v>222.74799999999999</v>
      </c>
      <c r="J111" s="7">
        <v>130.22800000000001</v>
      </c>
      <c r="K111" s="7">
        <v>207.922</v>
      </c>
      <c r="L111" s="7">
        <v>115.288</v>
      </c>
      <c r="M111" s="7">
        <v>226.774</v>
      </c>
      <c r="N111" s="7">
        <v>184.999</v>
      </c>
      <c r="O111" s="7">
        <v>248.11799999999999</v>
      </c>
      <c r="P111" s="8">
        <f t="shared" si="3"/>
        <v>2244.0780000000004</v>
      </c>
    </row>
    <row r="112" spans="1:16" x14ac:dyDescent="0.3">
      <c r="A112" s="2" t="s">
        <v>71</v>
      </c>
      <c r="B112" s="2" t="s">
        <v>44</v>
      </c>
      <c r="C112" s="2" t="s">
        <v>36</v>
      </c>
      <c r="D112" s="7">
        <v>173.10900000000001</v>
      </c>
      <c r="E112" s="7">
        <v>209.50700000000001</v>
      </c>
      <c r="F112" s="7">
        <v>364.22500000000002</v>
      </c>
      <c r="G112" s="7">
        <v>436.03800000000001</v>
      </c>
      <c r="H112" s="7">
        <v>288.34399999999999</v>
      </c>
      <c r="I112" s="7">
        <v>314.62700000000001</v>
      </c>
      <c r="J112" s="7">
        <v>328.12700000000001</v>
      </c>
      <c r="K112" s="7">
        <v>338.63</v>
      </c>
      <c r="L112" s="7">
        <v>533.54100000000005</v>
      </c>
      <c r="M112" s="7">
        <v>379.29500000000002</v>
      </c>
      <c r="N112" s="7">
        <v>124.51300000000001</v>
      </c>
      <c r="O112" s="7">
        <v>44.16</v>
      </c>
      <c r="P112" s="8">
        <f t="shared" si="3"/>
        <v>3534.116</v>
      </c>
    </row>
    <row r="113" spans="1:16" x14ac:dyDescent="0.3">
      <c r="A113" s="2" t="s">
        <v>71</v>
      </c>
      <c r="B113" s="2" t="s">
        <v>44</v>
      </c>
      <c r="C113" s="2" t="s">
        <v>37</v>
      </c>
      <c r="D113" s="7">
        <v>11.401</v>
      </c>
      <c r="E113" s="7">
        <v>366.20299999999997</v>
      </c>
      <c r="F113" s="7">
        <v>611.51900000000001</v>
      </c>
      <c r="G113" s="7">
        <v>222.71199999999999</v>
      </c>
      <c r="H113" s="7">
        <v>237.25299999999999</v>
      </c>
      <c r="I113" s="7">
        <v>69.617999999999995</v>
      </c>
      <c r="J113" s="7">
        <v>96.596999999999994</v>
      </c>
      <c r="K113" s="7">
        <v>89.317999999999998</v>
      </c>
      <c r="L113" s="7">
        <v>40.545000000000002</v>
      </c>
      <c r="M113" s="7">
        <v>29.744</v>
      </c>
      <c r="N113" s="7">
        <v>91.33</v>
      </c>
      <c r="O113" s="7">
        <v>115.18300000000001</v>
      </c>
      <c r="P113" s="8">
        <f t="shared" si="3"/>
        <v>1981.4229999999998</v>
      </c>
    </row>
    <row r="114" spans="1:16" x14ac:dyDescent="0.3">
      <c r="A114" s="2" t="s">
        <v>71</v>
      </c>
      <c r="B114" s="2" t="s">
        <v>44</v>
      </c>
      <c r="C114" s="2" t="s">
        <v>38</v>
      </c>
      <c r="D114" s="7">
        <v>92.05</v>
      </c>
      <c r="E114" s="7">
        <v>277.23500000000001</v>
      </c>
      <c r="F114" s="7">
        <v>449.40100000000001</v>
      </c>
      <c r="G114" s="7">
        <v>476.791</v>
      </c>
      <c r="H114" s="7">
        <v>304.06299999999999</v>
      </c>
      <c r="I114" s="7">
        <v>219.07499999999999</v>
      </c>
      <c r="J114" s="7">
        <v>306.06799999999998</v>
      </c>
      <c r="K114" s="7">
        <v>277.375</v>
      </c>
      <c r="L114" s="7">
        <v>188.78</v>
      </c>
      <c r="M114" s="7">
        <v>296.70299999999997</v>
      </c>
      <c r="N114" s="7">
        <v>192.572</v>
      </c>
      <c r="O114" s="7">
        <v>67.555000000000007</v>
      </c>
      <c r="P114" s="8">
        <f t="shared" si="3"/>
        <v>3147.6680000000001</v>
      </c>
    </row>
    <row r="115" spans="1:16" x14ac:dyDescent="0.3">
      <c r="A115" s="2" t="s">
        <v>71</v>
      </c>
      <c r="B115" s="2" t="s">
        <v>44</v>
      </c>
      <c r="C115" s="2" t="s">
        <v>39</v>
      </c>
      <c r="D115" s="7">
        <v>13.765000000000001</v>
      </c>
      <c r="E115" s="7">
        <v>106.931</v>
      </c>
      <c r="F115" s="7">
        <v>276.22000000000003</v>
      </c>
      <c r="G115" s="7">
        <v>389.613</v>
      </c>
      <c r="H115" s="7">
        <v>96.495000000000005</v>
      </c>
      <c r="I115" s="7">
        <v>69.930000000000007</v>
      </c>
      <c r="J115" s="7">
        <v>238.51400000000001</v>
      </c>
      <c r="K115" s="7">
        <v>167.25899999999999</v>
      </c>
      <c r="L115" s="7">
        <v>332.49</v>
      </c>
      <c r="M115" s="7">
        <v>195.774</v>
      </c>
      <c r="N115" s="7">
        <v>378.93099999999998</v>
      </c>
      <c r="O115" s="7">
        <v>44.750999999999998</v>
      </c>
      <c r="P115" s="8">
        <f t="shared" si="3"/>
        <v>2310.6730000000002</v>
      </c>
    </row>
    <row r="116" spans="1:16" x14ac:dyDescent="0.3">
      <c r="A116" s="2" t="s">
        <v>71</v>
      </c>
      <c r="B116" s="2" t="s">
        <v>44</v>
      </c>
      <c r="C116" s="2" t="s">
        <v>40</v>
      </c>
      <c r="D116" s="7">
        <v>119.033</v>
      </c>
      <c r="E116" s="7">
        <v>160.51499999999999</v>
      </c>
      <c r="F116" s="7">
        <v>378.74400000000003</v>
      </c>
      <c r="G116" s="7">
        <v>305.5</v>
      </c>
      <c r="H116" s="7">
        <v>179.39500000000001</v>
      </c>
      <c r="I116" s="7">
        <v>47.045000000000002</v>
      </c>
      <c r="J116" s="7">
        <v>121.964</v>
      </c>
      <c r="K116" s="7">
        <v>214.346</v>
      </c>
      <c r="L116" s="7">
        <v>182.602</v>
      </c>
      <c r="M116" s="7">
        <v>207.92</v>
      </c>
      <c r="N116" s="7">
        <v>133.17599999999999</v>
      </c>
      <c r="O116" s="7">
        <v>52.046999999999997</v>
      </c>
      <c r="P116" s="8">
        <f t="shared" si="3"/>
        <v>2102.2870000000003</v>
      </c>
    </row>
    <row r="117" spans="1:16" x14ac:dyDescent="0.3">
      <c r="A117" s="2" t="s">
        <v>71</v>
      </c>
      <c r="B117" s="2" t="s">
        <v>45</v>
      </c>
      <c r="C117" s="2" t="s">
        <v>18</v>
      </c>
      <c r="D117" s="7">
        <v>33.975999999999999</v>
      </c>
      <c r="E117" s="7">
        <v>24.545999999999999</v>
      </c>
      <c r="F117" s="7">
        <v>12.532</v>
      </c>
      <c r="G117" s="7">
        <v>32.700000000000003</v>
      </c>
      <c r="H117" s="7">
        <v>14.894</v>
      </c>
      <c r="I117" s="7">
        <v>15.542</v>
      </c>
      <c r="J117" s="7">
        <v>22.917999999999999</v>
      </c>
      <c r="K117" s="7">
        <v>20.792000000000002</v>
      </c>
      <c r="L117" s="7">
        <v>31.108000000000001</v>
      </c>
      <c r="M117" s="7">
        <v>16.782</v>
      </c>
      <c r="N117" s="7">
        <v>8.5220000000000002</v>
      </c>
      <c r="O117" s="7">
        <v>24.547999999999998</v>
      </c>
      <c r="P117" s="8">
        <f t="shared" si="3"/>
        <v>258.86</v>
      </c>
    </row>
    <row r="118" spans="1:16" x14ac:dyDescent="0.3">
      <c r="A118" s="2" t="s">
        <v>71</v>
      </c>
      <c r="B118" s="2" t="s">
        <v>45</v>
      </c>
      <c r="C118" s="2" t="s">
        <v>19</v>
      </c>
      <c r="D118" s="7">
        <v>8.5940000000000012</v>
      </c>
      <c r="E118" s="7">
        <v>6.0439999999999996</v>
      </c>
      <c r="F118" s="7">
        <v>3.2</v>
      </c>
      <c r="G118" s="7">
        <v>0.57200000000000006</v>
      </c>
      <c r="H118" s="7">
        <v>0.12</v>
      </c>
      <c r="I118" s="7">
        <v>0.95199999999999996</v>
      </c>
      <c r="J118" s="7">
        <v>1.266</v>
      </c>
      <c r="K118" s="7">
        <v>0.84399999999999997</v>
      </c>
      <c r="L118" s="7">
        <v>3.22</v>
      </c>
      <c r="M118" s="7">
        <v>3.8879999999999999</v>
      </c>
      <c r="N118" s="7">
        <v>5.3840000000000003</v>
      </c>
      <c r="O118" s="7">
        <v>1.3939999999999999</v>
      </c>
      <c r="P118" s="8">
        <f t="shared" si="3"/>
        <v>35.477999999999994</v>
      </c>
    </row>
    <row r="119" spans="1:16" x14ac:dyDescent="0.3">
      <c r="A119" s="2" t="s">
        <v>71</v>
      </c>
      <c r="B119" s="2" t="s">
        <v>45</v>
      </c>
      <c r="C119" s="2" t="s">
        <v>20</v>
      </c>
      <c r="D119" s="7">
        <v>4.5879999999999992</v>
      </c>
      <c r="E119" s="7">
        <v>5.0279999999999996</v>
      </c>
      <c r="F119" s="7">
        <v>5.7080000000000002</v>
      </c>
      <c r="G119" s="7">
        <v>13.916</v>
      </c>
      <c r="H119" s="7">
        <v>8.6579999999999995</v>
      </c>
      <c r="I119" s="7">
        <v>11.304</v>
      </c>
      <c r="J119" s="7">
        <v>8.3440000000000012</v>
      </c>
      <c r="K119" s="7">
        <v>7.1840000000000002</v>
      </c>
      <c r="L119" s="7">
        <v>7.1120000000000001</v>
      </c>
      <c r="M119" s="7">
        <v>2.2240000000000002</v>
      </c>
      <c r="N119" s="7">
        <v>4.476</v>
      </c>
      <c r="O119" s="7">
        <v>4.1180000000000003</v>
      </c>
      <c r="P119" s="8">
        <f t="shared" si="3"/>
        <v>82.66</v>
      </c>
    </row>
    <row r="120" spans="1:16" x14ac:dyDescent="0.3">
      <c r="A120" s="2" t="s">
        <v>71</v>
      </c>
      <c r="B120" s="2" t="s">
        <v>45</v>
      </c>
      <c r="C120" s="2" t="s">
        <v>21</v>
      </c>
      <c r="D120" s="7">
        <v>10.662000000000001</v>
      </c>
      <c r="E120" s="7">
        <v>2.782</v>
      </c>
      <c r="F120" s="7">
        <v>1.6879999999999999</v>
      </c>
      <c r="G120" s="7">
        <v>4.2300000000000004</v>
      </c>
      <c r="H120" s="7">
        <v>3.2</v>
      </c>
      <c r="I120" s="7">
        <v>1.218</v>
      </c>
      <c r="J120" s="7">
        <v>5.992</v>
      </c>
      <c r="K120" s="7">
        <v>3.6640000000000001</v>
      </c>
      <c r="L120" s="7">
        <v>3.72</v>
      </c>
      <c r="M120" s="7">
        <v>4.4180000000000001</v>
      </c>
      <c r="N120" s="7">
        <v>1.022</v>
      </c>
      <c r="O120" s="7">
        <v>3.2240000000000002</v>
      </c>
      <c r="P120" s="8">
        <f t="shared" si="3"/>
        <v>45.819999999999993</v>
      </c>
    </row>
    <row r="121" spans="1:16" x14ac:dyDescent="0.3">
      <c r="A121" s="2" t="s">
        <v>71</v>
      </c>
      <c r="B121" s="2" t="s">
        <v>45</v>
      </c>
      <c r="C121" s="2" t="s">
        <v>22</v>
      </c>
      <c r="D121" s="7">
        <v>7.2320000000000002</v>
      </c>
      <c r="E121" s="7">
        <v>6.6359999999999992</v>
      </c>
      <c r="F121" s="7">
        <v>0.82</v>
      </c>
      <c r="G121" s="7">
        <v>2.1179999999999999</v>
      </c>
      <c r="H121" s="7">
        <v>1.552</v>
      </c>
      <c r="I121" s="7">
        <v>7.3579999999999997</v>
      </c>
      <c r="J121" s="7">
        <v>6.7160000000000002</v>
      </c>
      <c r="K121" s="7">
        <v>1.3979999999999999</v>
      </c>
      <c r="L121" s="7">
        <v>1.736</v>
      </c>
      <c r="M121" s="7">
        <v>0.45200000000000001</v>
      </c>
      <c r="N121" s="7">
        <v>2.8380000000000001</v>
      </c>
      <c r="O121" s="7">
        <v>4.76</v>
      </c>
      <c r="P121" s="8">
        <f t="shared" si="3"/>
        <v>43.615999999999993</v>
      </c>
    </row>
    <row r="122" spans="1:16" x14ac:dyDescent="0.3">
      <c r="A122" s="2" t="s">
        <v>71</v>
      </c>
      <c r="B122" s="2" t="s">
        <v>45</v>
      </c>
      <c r="C122" s="2" t="s">
        <v>23</v>
      </c>
      <c r="D122" s="7">
        <v>5.75</v>
      </c>
      <c r="E122" s="7">
        <v>6.3760000000000003</v>
      </c>
      <c r="F122" s="7">
        <v>5.6859999999999999</v>
      </c>
      <c r="G122" s="7">
        <v>7.4160000000000004</v>
      </c>
      <c r="H122" s="7">
        <v>2.702</v>
      </c>
      <c r="I122" s="7">
        <v>6.1340000000000003</v>
      </c>
      <c r="J122" s="7">
        <v>2.1360000000000001</v>
      </c>
      <c r="K122" s="7">
        <v>5.3719999999999999</v>
      </c>
      <c r="L122" s="7">
        <v>5.15</v>
      </c>
      <c r="M122" s="7">
        <v>2.4740000000000002</v>
      </c>
      <c r="N122" s="7">
        <v>3.996</v>
      </c>
      <c r="O122" s="7">
        <v>4.5860000000000003</v>
      </c>
      <c r="P122" s="8">
        <f t="shared" si="3"/>
        <v>57.777999999999999</v>
      </c>
    </row>
    <row r="123" spans="1:16" x14ac:dyDescent="0.3">
      <c r="A123" s="2" t="s">
        <v>71</v>
      </c>
      <c r="B123" s="2" t="s">
        <v>45</v>
      </c>
      <c r="C123" s="2" t="s">
        <v>24</v>
      </c>
      <c r="D123" s="7">
        <v>2.218</v>
      </c>
      <c r="E123" s="7">
        <v>7.4980000000000002</v>
      </c>
      <c r="F123" s="7">
        <v>7.863999999999999</v>
      </c>
      <c r="G123" s="7">
        <v>2.254</v>
      </c>
      <c r="H123" s="7">
        <v>1.21</v>
      </c>
      <c r="I123" s="7">
        <v>1.696</v>
      </c>
      <c r="J123" s="7">
        <v>3.9820000000000002</v>
      </c>
      <c r="K123" s="7">
        <v>3.706</v>
      </c>
      <c r="L123" s="7">
        <v>2.8180000000000001</v>
      </c>
      <c r="M123" s="7">
        <v>1.272</v>
      </c>
      <c r="N123" s="7">
        <v>1.6639999999999999</v>
      </c>
      <c r="O123" s="7">
        <v>5.5399999999999991</v>
      </c>
      <c r="P123" s="8">
        <f t="shared" si="3"/>
        <v>41.722000000000001</v>
      </c>
    </row>
    <row r="124" spans="1:16" x14ac:dyDescent="0.3">
      <c r="A124" s="2" t="s">
        <v>71</v>
      </c>
      <c r="B124" s="2" t="s">
        <v>45</v>
      </c>
      <c r="C124" s="2" t="s">
        <v>25</v>
      </c>
      <c r="D124" s="7">
        <v>5.4659999999999993</v>
      </c>
      <c r="E124" s="7">
        <v>4.694</v>
      </c>
      <c r="F124" s="7">
        <v>2.298</v>
      </c>
      <c r="G124" s="7">
        <v>2.2759999999999998</v>
      </c>
      <c r="H124" s="7">
        <v>2.9060000000000001</v>
      </c>
      <c r="I124" s="7">
        <v>4.5199999999999996</v>
      </c>
      <c r="J124" s="7">
        <v>3.0779999999999998</v>
      </c>
      <c r="K124" s="7">
        <v>5.6920000000000002</v>
      </c>
      <c r="L124" s="7">
        <v>5.4379999999999997</v>
      </c>
      <c r="M124" s="7">
        <v>1.488</v>
      </c>
      <c r="N124" s="7">
        <v>3.1680000000000001</v>
      </c>
      <c r="O124" s="7">
        <v>1.3879999999999999</v>
      </c>
      <c r="P124" s="8">
        <f t="shared" si="3"/>
        <v>42.411999999999999</v>
      </c>
    </row>
    <row r="125" spans="1:16" x14ac:dyDescent="0.3">
      <c r="A125" s="2" t="s">
        <v>71</v>
      </c>
      <c r="B125" s="2" t="s">
        <v>45</v>
      </c>
      <c r="C125" s="2" t="s">
        <v>26</v>
      </c>
      <c r="D125" s="7">
        <v>1.1040000000000001</v>
      </c>
      <c r="E125" s="7">
        <v>2.448</v>
      </c>
      <c r="F125" s="7">
        <v>3.4460000000000002</v>
      </c>
      <c r="G125" s="7">
        <v>0.42</v>
      </c>
      <c r="H125" s="7">
        <v>1.3280000000000001</v>
      </c>
      <c r="I125" s="7">
        <v>1.998</v>
      </c>
      <c r="J125" s="7">
        <v>4.2220000000000004</v>
      </c>
      <c r="K125" s="7">
        <v>7.9279999999999999</v>
      </c>
      <c r="L125" s="7">
        <v>7.9980000000000002</v>
      </c>
      <c r="M125" s="7">
        <v>2.302</v>
      </c>
      <c r="N125" s="7">
        <v>1.6160000000000001</v>
      </c>
      <c r="O125" s="7">
        <v>7.93</v>
      </c>
      <c r="P125" s="8">
        <f t="shared" si="3"/>
        <v>42.74</v>
      </c>
    </row>
    <row r="126" spans="1:16" x14ac:dyDescent="0.3">
      <c r="A126" s="2" t="s">
        <v>71</v>
      </c>
      <c r="B126" s="2" t="s">
        <v>45</v>
      </c>
      <c r="C126" s="2" t="s">
        <v>27</v>
      </c>
      <c r="D126" s="7">
        <v>7.452</v>
      </c>
      <c r="E126" s="7">
        <v>2.3319999999999999</v>
      </c>
      <c r="F126" s="7">
        <v>0.69600000000000006</v>
      </c>
      <c r="G126" s="7">
        <v>0.89</v>
      </c>
      <c r="H126" s="7">
        <v>0.61599999999999999</v>
      </c>
      <c r="I126" s="7">
        <v>0.18</v>
      </c>
      <c r="J126" s="7">
        <v>0.11600000000000001</v>
      </c>
      <c r="K126" s="7">
        <v>0.2</v>
      </c>
      <c r="L126" s="7">
        <v>8.4999999999999895E-2</v>
      </c>
      <c r="M126" s="7">
        <v>0.53800000000000003</v>
      </c>
      <c r="N126" s="7">
        <v>0.28399999999999997</v>
      </c>
      <c r="O126" s="7">
        <v>0.122</v>
      </c>
      <c r="P126" s="8">
        <f t="shared" ref="P126:P157" si="4">SUM(D126:O126)</f>
        <v>13.510999999999997</v>
      </c>
    </row>
    <row r="127" spans="1:16" x14ac:dyDescent="0.3">
      <c r="A127" s="2" t="s">
        <v>71</v>
      </c>
      <c r="B127" s="2" t="s">
        <v>45</v>
      </c>
      <c r="C127" s="2" t="s">
        <v>28</v>
      </c>
      <c r="D127" s="7">
        <v>1.085</v>
      </c>
      <c r="E127" s="7">
        <v>0.30599999999999999</v>
      </c>
      <c r="F127" s="7">
        <v>0.378</v>
      </c>
      <c r="G127" s="7">
        <v>8.7999999999999995E-2</v>
      </c>
      <c r="H127" s="7">
        <v>0.92800000000000005</v>
      </c>
      <c r="I127" s="7">
        <v>0.91800000000000004</v>
      </c>
      <c r="J127" s="7">
        <v>0.65</v>
      </c>
      <c r="K127" s="7">
        <v>1.0469999999999999</v>
      </c>
      <c r="L127" s="7">
        <v>1.619</v>
      </c>
      <c r="M127" s="7">
        <v>0.90700000000000003</v>
      </c>
      <c r="N127" s="7">
        <v>11.052</v>
      </c>
      <c r="O127" s="7">
        <v>6.3E-2</v>
      </c>
      <c r="P127" s="8">
        <f t="shared" si="4"/>
        <v>19.041</v>
      </c>
    </row>
    <row r="128" spans="1:16" x14ac:dyDescent="0.3">
      <c r="A128" s="2" t="s">
        <v>71</v>
      </c>
      <c r="B128" s="2" t="s">
        <v>45</v>
      </c>
      <c r="C128" s="2" t="s">
        <v>29</v>
      </c>
      <c r="D128" s="7">
        <v>2.5779999999999998</v>
      </c>
      <c r="E128" s="7">
        <v>0.34100000000000003</v>
      </c>
      <c r="F128" s="7">
        <v>0.122</v>
      </c>
      <c r="G128" s="7">
        <v>0</v>
      </c>
      <c r="H128" s="7">
        <v>0.58699999999999997</v>
      </c>
      <c r="I128" s="7">
        <v>0.31900000000000001</v>
      </c>
      <c r="J128" s="7">
        <v>0.104</v>
      </c>
      <c r="K128" s="7">
        <v>0.183</v>
      </c>
      <c r="L128" s="7">
        <v>0.31900000000000001</v>
      </c>
      <c r="M128" s="7">
        <v>0.48299999999999998</v>
      </c>
      <c r="N128" s="7">
        <v>2.1840000000000002</v>
      </c>
      <c r="O128" s="7">
        <v>1.7529999999999999</v>
      </c>
      <c r="P128" s="8">
        <f t="shared" si="4"/>
        <v>8.972999999999999</v>
      </c>
    </row>
    <row r="129" spans="1:16" x14ac:dyDescent="0.3">
      <c r="A129" s="2" t="s">
        <v>71</v>
      </c>
      <c r="B129" s="2" t="s">
        <v>45</v>
      </c>
      <c r="C129" s="2" t="s">
        <v>30</v>
      </c>
      <c r="D129" s="7">
        <v>2.052</v>
      </c>
      <c r="E129" s="7">
        <v>1.5289999999999999</v>
      </c>
      <c r="F129" s="7">
        <v>4.2810000000000006</v>
      </c>
      <c r="G129" s="7">
        <v>2.351</v>
      </c>
      <c r="H129" s="7">
        <v>15.696</v>
      </c>
      <c r="I129" s="7">
        <v>3.1269999999999998</v>
      </c>
      <c r="J129" s="7">
        <v>17.98</v>
      </c>
      <c r="K129" s="7">
        <v>9.32</v>
      </c>
      <c r="L129" s="7">
        <v>52.41</v>
      </c>
      <c r="M129" s="7">
        <v>6.6180000000000003</v>
      </c>
      <c r="N129" s="7">
        <v>9.548</v>
      </c>
      <c r="O129" s="7">
        <v>11.164</v>
      </c>
      <c r="P129" s="8">
        <f t="shared" si="4"/>
        <v>136.07599999999999</v>
      </c>
    </row>
    <row r="130" spans="1:16" x14ac:dyDescent="0.3">
      <c r="A130" s="2" t="s">
        <v>71</v>
      </c>
      <c r="B130" s="2" t="s">
        <v>45</v>
      </c>
      <c r="C130" s="2" t="s">
        <v>31</v>
      </c>
      <c r="D130" s="7">
        <v>29.206</v>
      </c>
      <c r="E130" s="7">
        <v>3.8780000000000001</v>
      </c>
      <c r="F130" s="7">
        <v>3.585</v>
      </c>
      <c r="G130" s="7">
        <v>3.7770000000000001</v>
      </c>
      <c r="H130" s="7">
        <v>3.887</v>
      </c>
      <c r="I130" s="7">
        <v>26.082000000000001</v>
      </c>
      <c r="J130" s="7">
        <v>1.653</v>
      </c>
      <c r="K130" s="7">
        <v>2.4550000000000001</v>
      </c>
      <c r="L130" s="7">
        <v>27.603000000000002</v>
      </c>
      <c r="M130" s="7">
        <v>2.6850000000000001</v>
      </c>
      <c r="N130" s="7">
        <v>4.9809999999999999</v>
      </c>
      <c r="O130" s="7">
        <v>31.324999999999999</v>
      </c>
      <c r="P130" s="8">
        <f t="shared" si="4"/>
        <v>141.11699999999999</v>
      </c>
    </row>
    <row r="131" spans="1:16" x14ac:dyDescent="0.3">
      <c r="A131" s="2" t="s">
        <v>71</v>
      </c>
      <c r="B131" s="2" t="s">
        <v>45</v>
      </c>
      <c r="C131" s="2" t="s">
        <v>32</v>
      </c>
      <c r="D131" s="7">
        <v>2.0529999999999999</v>
      </c>
      <c r="E131" s="7">
        <v>1.665</v>
      </c>
      <c r="F131" s="7">
        <v>2.649</v>
      </c>
      <c r="G131" s="7">
        <v>3.077</v>
      </c>
      <c r="H131" s="7">
        <v>3.931</v>
      </c>
      <c r="I131" s="7">
        <v>5.7060000000000004</v>
      </c>
      <c r="J131" s="7">
        <v>12.012</v>
      </c>
      <c r="K131" s="7">
        <v>8.3699999999999992</v>
      </c>
      <c r="L131" s="7">
        <v>4.9860000000000007</v>
      </c>
      <c r="M131" s="7">
        <v>7.657</v>
      </c>
      <c r="N131" s="7">
        <v>6.6660000000000004</v>
      </c>
      <c r="O131" s="7">
        <v>5.173</v>
      </c>
      <c r="P131" s="8">
        <f t="shared" si="4"/>
        <v>63.944999999999993</v>
      </c>
    </row>
    <row r="132" spans="1:16" x14ac:dyDescent="0.3">
      <c r="A132" s="2" t="s">
        <v>71</v>
      </c>
      <c r="B132" s="2" t="s">
        <v>45</v>
      </c>
      <c r="C132" s="2" t="s">
        <v>33</v>
      </c>
      <c r="D132" s="7">
        <v>7.79</v>
      </c>
      <c r="E132" s="7">
        <v>6.0880000000000001</v>
      </c>
      <c r="F132" s="7">
        <v>4.8689999999999998</v>
      </c>
      <c r="G132" s="7">
        <v>8.0779999999999994</v>
      </c>
      <c r="H132" s="7">
        <v>5.9630000000000001</v>
      </c>
      <c r="I132" s="7">
        <v>3.9279999999999999</v>
      </c>
      <c r="J132" s="7">
        <v>5.4720000000000004</v>
      </c>
      <c r="K132" s="7">
        <v>3.8460000000000001</v>
      </c>
      <c r="L132" s="7">
        <v>2.6469999999999998</v>
      </c>
      <c r="M132" s="7">
        <v>3.1309999999999998</v>
      </c>
      <c r="N132" s="7">
        <v>2.2320000000000002</v>
      </c>
      <c r="O132" s="7">
        <v>4.8730000000000002</v>
      </c>
      <c r="P132" s="8">
        <f t="shared" si="4"/>
        <v>58.916999999999987</v>
      </c>
    </row>
    <row r="133" spans="1:16" x14ac:dyDescent="0.3">
      <c r="A133" s="2" t="s">
        <v>71</v>
      </c>
      <c r="B133" s="2" t="s">
        <v>45</v>
      </c>
      <c r="C133" s="2" t="s">
        <v>34</v>
      </c>
      <c r="D133" s="7">
        <v>5.71</v>
      </c>
      <c r="E133" s="7">
        <v>5.258</v>
      </c>
      <c r="F133" s="7">
        <v>1.891</v>
      </c>
      <c r="G133" s="7">
        <v>2.9649999999999999</v>
      </c>
      <c r="H133" s="7">
        <v>1.7</v>
      </c>
      <c r="I133" s="7">
        <v>3.1179999999999999</v>
      </c>
      <c r="J133" s="7">
        <v>3.0790000000000002</v>
      </c>
      <c r="K133" s="7">
        <v>4.5759999999999996</v>
      </c>
      <c r="L133" s="7">
        <v>4.6520000000000001</v>
      </c>
      <c r="M133" s="7">
        <v>6.2610000000000001</v>
      </c>
      <c r="N133" s="7">
        <v>1.891</v>
      </c>
      <c r="O133" s="7">
        <v>1.804</v>
      </c>
      <c r="P133" s="8">
        <f t="shared" si="4"/>
        <v>42.905000000000001</v>
      </c>
    </row>
    <row r="134" spans="1:16" x14ac:dyDescent="0.3">
      <c r="A134" s="2" t="s">
        <v>71</v>
      </c>
      <c r="B134" s="2" t="s">
        <v>45</v>
      </c>
      <c r="C134" s="2" t="s">
        <v>35</v>
      </c>
      <c r="D134" s="7">
        <v>3.3759999999999999</v>
      </c>
      <c r="E134" s="7">
        <v>2.27</v>
      </c>
      <c r="F134" s="7">
        <v>2.7850000000000001</v>
      </c>
      <c r="G134" s="7">
        <v>2.9820000000000002</v>
      </c>
      <c r="H134" s="7">
        <v>5.0959999999999992</v>
      </c>
      <c r="I134" s="7">
        <v>6.15</v>
      </c>
      <c r="J134" s="7">
        <v>5.5149999999999997</v>
      </c>
      <c r="K134" s="7">
        <v>7.85</v>
      </c>
      <c r="L134" s="7">
        <v>3.3260000000000001</v>
      </c>
      <c r="M134" s="7">
        <v>4.3150000000000004</v>
      </c>
      <c r="N134" s="7">
        <v>6.4769999999999994</v>
      </c>
      <c r="O134" s="7">
        <v>13.138</v>
      </c>
      <c r="P134" s="8">
        <f t="shared" si="4"/>
        <v>63.279999999999994</v>
      </c>
    </row>
    <row r="135" spans="1:16" x14ac:dyDescent="0.3">
      <c r="A135" s="2" t="s">
        <v>71</v>
      </c>
      <c r="B135" s="2" t="s">
        <v>45</v>
      </c>
      <c r="C135" s="2" t="s">
        <v>36</v>
      </c>
      <c r="D135" s="7">
        <v>16.707999999999998</v>
      </c>
      <c r="E135" s="7">
        <v>11.21</v>
      </c>
      <c r="F135" s="7">
        <v>13.343</v>
      </c>
      <c r="G135" s="7">
        <v>16.178000000000001</v>
      </c>
      <c r="H135" s="7">
        <v>20.54</v>
      </c>
      <c r="I135" s="7">
        <v>22.416</v>
      </c>
      <c r="J135" s="7">
        <v>28.413</v>
      </c>
      <c r="K135" s="7">
        <v>37.19</v>
      </c>
      <c r="L135" s="7">
        <v>31.527000000000001</v>
      </c>
      <c r="M135" s="7">
        <v>32.079000000000001</v>
      </c>
      <c r="N135" s="7">
        <v>33.018999999999998</v>
      </c>
      <c r="O135" s="7">
        <v>31.597000000000001</v>
      </c>
      <c r="P135" s="8">
        <f t="shared" si="4"/>
        <v>294.21999999999997</v>
      </c>
    </row>
    <row r="136" spans="1:16" x14ac:dyDescent="0.3">
      <c r="A136" s="2" t="s">
        <v>71</v>
      </c>
      <c r="B136" s="2" t="s">
        <v>45</v>
      </c>
      <c r="C136" s="2" t="s">
        <v>37</v>
      </c>
      <c r="D136" s="7">
        <v>19.635999999999999</v>
      </c>
      <c r="E136" s="7">
        <v>14.629</v>
      </c>
      <c r="F136" s="7">
        <v>10.545</v>
      </c>
      <c r="G136" s="7">
        <v>20.751000000000001</v>
      </c>
      <c r="H136" s="7">
        <v>3.851</v>
      </c>
      <c r="I136" s="7">
        <v>26.622</v>
      </c>
      <c r="J136" s="7">
        <v>30.753</v>
      </c>
      <c r="K136" s="7">
        <v>0.98199999999999998</v>
      </c>
      <c r="L136" s="7">
        <v>34.774999999999999</v>
      </c>
      <c r="M136" s="7">
        <v>1.3819999999999999</v>
      </c>
      <c r="N136" s="7">
        <v>33.313000000000002</v>
      </c>
      <c r="O136" s="7">
        <v>30.881</v>
      </c>
      <c r="P136" s="8">
        <f t="shared" si="4"/>
        <v>228.12000000000003</v>
      </c>
    </row>
    <row r="137" spans="1:16" x14ac:dyDescent="0.3">
      <c r="A137" s="2" t="s">
        <v>71</v>
      </c>
      <c r="B137" s="2" t="s">
        <v>45</v>
      </c>
      <c r="C137" s="2" t="s">
        <v>38</v>
      </c>
      <c r="D137" s="7">
        <v>4.7530000000000001</v>
      </c>
      <c r="E137" s="7">
        <v>4.26</v>
      </c>
      <c r="F137" s="7">
        <v>2.0630000000000002</v>
      </c>
      <c r="G137" s="7">
        <v>1.391</v>
      </c>
      <c r="H137" s="7">
        <v>1.014</v>
      </c>
      <c r="I137" s="7">
        <v>0.78</v>
      </c>
      <c r="J137" s="7">
        <v>2.2589999999999999</v>
      </c>
      <c r="K137" s="7">
        <v>1.0640000000000001</v>
      </c>
      <c r="L137" s="7">
        <v>1.542</v>
      </c>
      <c r="M137" s="7">
        <v>2.0449999999999999</v>
      </c>
      <c r="N137" s="7">
        <v>1.1839999999999999</v>
      </c>
      <c r="O137" s="7">
        <v>3.0539999999999998</v>
      </c>
      <c r="P137" s="8">
        <f t="shared" si="4"/>
        <v>25.408999999999999</v>
      </c>
    </row>
    <row r="138" spans="1:16" x14ac:dyDescent="0.3">
      <c r="A138" s="2" t="s">
        <v>71</v>
      </c>
      <c r="B138" s="2" t="s">
        <v>45</v>
      </c>
      <c r="C138" s="2" t="s">
        <v>39</v>
      </c>
      <c r="D138" s="7">
        <v>12.504</v>
      </c>
      <c r="E138" s="7">
        <v>7.3520000000000003</v>
      </c>
      <c r="F138" s="7">
        <v>5.6590000000000007</v>
      </c>
      <c r="G138" s="7">
        <v>7.8109999999999999</v>
      </c>
      <c r="H138" s="7">
        <v>5.7169999999999996</v>
      </c>
      <c r="I138" s="7">
        <v>5.4880000000000004</v>
      </c>
      <c r="J138" s="7">
        <v>4.2719999999999994</v>
      </c>
      <c r="K138" s="7">
        <v>8.7969999999999988</v>
      </c>
      <c r="L138" s="7">
        <v>12.000999999999999</v>
      </c>
      <c r="M138" s="7">
        <v>9.7690000000000001</v>
      </c>
      <c r="N138" s="7">
        <v>14.827</v>
      </c>
      <c r="O138" s="7">
        <v>23.404</v>
      </c>
      <c r="P138" s="8">
        <f t="shared" si="4"/>
        <v>117.601</v>
      </c>
    </row>
    <row r="139" spans="1:16" x14ac:dyDescent="0.3">
      <c r="A139" s="2" t="s">
        <v>71</v>
      </c>
      <c r="B139" s="2" t="s">
        <v>45</v>
      </c>
      <c r="C139" s="2" t="s">
        <v>40</v>
      </c>
      <c r="D139" s="7">
        <v>15.977</v>
      </c>
      <c r="E139" s="7">
        <v>8.8520000000000003</v>
      </c>
      <c r="F139" s="7">
        <v>11.677</v>
      </c>
      <c r="G139" s="7">
        <v>14.476000000000001</v>
      </c>
      <c r="H139" s="7">
        <v>12.141</v>
      </c>
      <c r="I139" s="7">
        <v>12.78</v>
      </c>
      <c r="J139" s="7">
        <v>19.382999999999999</v>
      </c>
      <c r="K139" s="7">
        <v>2.31</v>
      </c>
      <c r="L139" s="7">
        <v>2.8860000000000001</v>
      </c>
      <c r="M139" s="7">
        <v>5.7839999999999998</v>
      </c>
      <c r="N139" s="7">
        <v>20.937000000000001</v>
      </c>
      <c r="O139" s="7">
        <v>41.731000000000002</v>
      </c>
      <c r="P139" s="8">
        <f t="shared" si="4"/>
        <v>168.934</v>
      </c>
    </row>
    <row r="140" spans="1:16" x14ac:dyDescent="0.3">
      <c r="A140" s="2" t="s">
        <v>71</v>
      </c>
      <c r="B140" s="2" t="s">
        <v>46</v>
      </c>
      <c r="C140" s="2" t="s">
        <v>18</v>
      </c>
      <c r="D140" s="7">
        <v>0.5083333333333333</v>
      </c>
      <c r="E140" s="7">
        <v>0.5083333333333333</v>
      </c>
      <c r="F140" s="7">
        <v>0.5083333333333333</v>
      </c>
      <c r="G140" s="7">
        <v>0.5083333333333333</v>
      </c>
      <c r="H140" s="7">
        <v>0.5083333333333333</v>
      </c>
      <c r="I140" s="7">
        <v>0.5083333333333333</v>
      </c>
      <c r="J140" s="7">
        <v>0.5083333333333333</v>
      </c>
      <c r="K140" s="7">
        <v>0.5083333333333333</v>
      </c>
      <c r="L140" s="7">
        <v>0.5083333333333333</v>
      </c>
      <c r="M140" s="7">
        <v>0.5083333333333333</v>
      </c>
      <c r="N140" s="7">
        <v>0.5083333333333333</v>
      </c>
      <c r="O140" s="7">
        <v>0.5083333333333333</v>
      </c>
      <c r="P140" s="8">
        <f t="shared" si="4"/>
        <v>6.0999999999999979</v>
      </c>
    </row>
    <row r="141" spans="1:16" x14ac:dyDescent="0.3">
      <c r="A141" s="2" t="s">
        <v>71</v>
      </c>
      <c r="B141" s="2" t="s">
        <v>46</v>
      </c>
      <c r="C141" s="2" t="s">
        <v>19</v>
      </c>
      <c r="D141" s="7">
        <v>0.75</v>
      </c>
      <c r="E141" s="7">
        <v>0.75</v>
      </c>
      <c r="F141" s="7">
        <v>0.75</v>
      </c>
      <c r="G141" s="7">
        <v>0.75</v>
      </c>
      <c r="H141" s="7">
        <v>0.75</v>
      </c>
      <c r="I141" s="7">
        <v>0.75</v>
      </c>
      <c r="J141" s="7">
        <v>0.75</v>
      </c>
      <c r="K141" s="7">
        <v>0.75</v>
      </c>
      <c r="L141" s="7">
        <v>0.75</v>
      </c>
      <c r="M141" s="7">
        <v>0.75</v>
      </c>
      <c r="N141" s="7">
        <v>0.75</v>
      </c>
      <c r="O141" s="7">
        <v>0.75</v>
      </c>
      <c r="P141" s="8">
        <f t="shared" si="4"/>
        <v>9</v>
      </c>
    </row>
    <row r="142" spans="1:16" x14ac:dyDescent="0.3">
      <c r="A142" s="2" t="s">
        <v>71</v>
      </c>
      <c r="B142" s="2" t="s">
        <v>46</v>
      </c>
      <c r="C142" s="2" t="s">
        <v>20</v>
      </c>
      <c r="D142" s="7">
        <v>0.79166666666666663</v>
      </c>
      <c r="E142" s="7">
        <v>0.79166666666666663</v>
      </c>
      <c r="F142" s="7">
        <v>0.79166666666666663</v>
      </c>
      <c r="G142" s="7">
        <v>0.79166666666666663</v>
      </c>
      <c r="H142" s="7">
        <v>0.79166666666666663</v>
      </c>
      <c r="I142" s="7">
        <v>0.79166666666666663</v>
      </c>
      <c r="J142" s="7">
        <v>0.79166666666666663</v>
      </c>
      <c r="K142" s="7">
        <v>0.79166666666666663</v>
      </c>
      <c r="L142" s="7">
        <v>0.79166666666666663</v>
      </c>
      <c r="M142" s="7">
        <v>0.79166666666666663</v>
      </c>
      <c r="N142" s="7">
        <v>0.79166666666666663</v>
      </c>
      <c r="O142" s="7">
        <v>0.79166666666666663</v>
      </c>
      <c r="P142" s="8">
        <f t="shared" si="4"/>
        <v>9.5</v>
      </c>
    </row>
    <row r="143" spans="1:16" x14ac:dyDescent="0.3">
      <c r="A143" s="2" t="s">
        <v>71</v>
      </c>
      <c r="B143" s="2" t="s">
        <v>46</v>
      </c>
      <c r="C143" s="2" t="s">
        <v>21</v>
      </c>
      <c r="D143" s="7">
        <v>1.125</v>
      </c>
      <c r="E143" s="7">
        <v>1.125</v>
      </c>
      <c r="F143" s="7">
        <v>1.125</v>
      </c>
      <c r="G143" s="7">
        <v>1.125</v>
      </c>
      <c r="H143" s="7">
        <v>1.125</v>
      </c>
      <c r="I143" s="7">
        <v>1.125</v>
      </c>
      <c r="J143" s="7">
        <v>1.125</v>
      </c>
      <c r="K143" s="7">
        <v>1.125</v>
      </c>
      <c r="L143" s="7">
        <v>1.125</v>
      </c>
      <c r="M143" s="7">
        <v>1.125</v>
      </c>
      <c r="N143" s="7">
        <v>1.125</v>
      </c>
      <c r="O143" s="7">
        <v>1.125</v>
      </c>
      <c r="P143" s="8">
        <f t="shared" si="4"/>
        <v>13.5</v>
      </c>
    </row>
    <row r="144" spans="1:16" x14ac:dyDescent="0.3">
      <c r="A144" s="2" t="s">
        <v>71</v>
      </c>
      <c r="B144" s="2" t="s">
        <v>46</v>
      </c>
      <c r="C144" s="2" t="s">
        <v>22</v>
      </c>
      <c r="D144" s="7">
        <v>1.791666666666667</v>
      </c>
      <c r="E144" s="7">
        <v>1.791666666666667</v>
      </c>
      <c r="F144" s="7">
        <v>1.791666666666667</v>
      </c>
      <c r="G144" s="7">
        <v>1.791666666666667</v>
      </c>
      <c r="H144" s="7">
        <v>1.791666666666667</v>
      </c>
      <c r="I144" s="7">
        <v>1.791666666666667</v>
      </c>
      <c r="J144" s="7">
        <v>1.791666666666667</v>
      </c>
      <c r="K144" s="7">
        <v>1.791666666666667</v>
      </c>
      <c r="L144" s="7">
        <v>1.791666666666667</v>
      </c>
      <c r="M144" s="7">
        <v>1.791666666666667</v>
      </c>
      <c r="N144" s="7">
        <v>1.791666666666667</v>
      </c>
      <c r="O144" s="7">
        <v>1.791666666666667</v>
      </c>
      <c r="P144" s="8">
        <f t="shared" si="4"/>
        <v>21.500000000000011</v>
      </c>
    </row>
    <row r="145" spans="1:16" x14ac:dyDescent="0.3">
      <c r="A145" s="2" t="s">
        <v>71</v>
      </c>
      <c r="B145" s="2" t="s">
        <v>46</v>
      </c>
      <c r="C145" s="2" t="s">
        <v>23</v>
      </c>
      <c r="D145" s="7">
        <v>1.3083333333333329</v>
      </c>
      <c r="E145" s="7">
        <v>1.3083333333333329</v>
      </c>
      <c r="F145" s="7">
        <v>1.3083333333333329</v>
      </c>
      <c r="G145" s="7">
        <v>1.3083333333333329</v>
      </c>
      <c r="H145" s="7">
        <v>1.3083333333333329</v>
      </c>
      <c r="I145" s="7">
        <v>1.3083333333333329</v>
      </c>
      <c r="J145" s="7">
        <v>1.3083333333333329</v>
      </c>
      <c r="K145" s="7">
        <v>1.3083333333333329</v>
      </c>
      <c r="L145" s="7">
        <v>1.3083333333333329</v>
      </c>
      <c r="M145" s="7">
        <v>1.3083333333333329</v>
      </c>
      <c r="N145" s="7">
        <v>1.3083333333333329</v>
      </c>
      <c r="O145" s="7">
        <v>1.3083333333333329</v>
      </c>
      <c r="P145" s="8">
        <f t="shared" si="4"/>
        <v>15.699999999999998</v>
      </c>
    </row>
    <row r="146" spans="1:16" x14ac:dyDescent="0.3">
      <c r="A146" s="2" t="s">
        <v>71</v>
      </c>
      <c r="B146" s="2" t="s">
        <v>46</v>
      </c>
      <c r="C146" s="2" t="s">
        <v>24</v>
      </c>
      <c r="D146" s="7">
        <v>1.3</v>
      </c>
      <c r="E146" s="7">
        <v>1.3</v>
      </c>
      <c r="F146" s="7">
        <v>1.3</v>
      </c>
      <c r="G146" s="7">
        <v>1.3</v>
      </c>
      <c r="H146" s="7">
        <v>1.3</v>
      </c>
      <c r="I146" s="7">
        <v>1.3</v>
      </c>
      <c r="J146" s="7">
        <v>1.3</v>
      </c>
      <c r="K146" s="7">
        <v>1.3</v>
      </c>
      <c r="L146" s="7">
        <v>1.3</v>
      </c>
      <c r="M146" s="7">
        <v>1.3</v>
      </c>
      <c r="N146" s="7">
        <v>1.3</v>
      </c>
      <c r="O146" s="7">
        <v>1.3</v>
      </c>
      <c r="P146" s="8">
        <f t="shared" si="4"/>
        <v>15.600000000000003</v>
      </c>
    </row>
    <row r="147" spans="1:16" x14ac:dyDescent="0.3">
      <c r="A147" s="2" t="s">
        <v>71</v>
      </c>
      <c r="B147" s="2" t="s">
        <v>46</v>
      </c>
      <c r="C147" s="2" t="s">
        <v>25</v>
      </c>
      <c r="D147" s="7">
        <v>0.84166666666666667</v>
      </c>
      <c r="E147" s="7">
        <v>0.84166666666666667</v>
      </c>
      <c r="F147" s="7">
        <v>0.84166666666666667</v>
      </c>
      <c r="G147" s="7">
        <v>0.84166666666666667</v>
      </c>
      <c r="H147" s="7">
        <v>0.84166666666666667</v>
      </c>
      <c r="I147" s="7">
        <v>0.84166666666666667</v>
      </c>
      <c r="J147" s="7">
        <v>0.84166666666666667</v>
      </c>
      <c r="K147" s="7">
        <v>0.84166666666666667</v>
      </c>
      <c r="L147" s="7">
        <v>0.84166666666666667</v>
      </c>
      <c r="M147" s="7">
        <v>0.84166666666666667</v>
      </c>
      <c r="N147" s="7">
        <v>0.84166666666666667</v>
      </c>
      <c r="O147" s="7">
        <v>0.84166666666666667</v>
      </c>
      <c r="P147" s="8">
        <f t="shared" si="4"/>
        <v>10.1</v>
      </c>
    </row>
    <row r="148" spans="1:16" x14ac:dyDescent="0.3">
      <c r="A148" s="2" t="s">
        <v>71</v>
      </c>
      <c r="B148" s="2" t="s">
        <v>46</v>
      </c>
      <c r="C148" s="2" t="s">
        <v>26</v>
      </c>
      <c r="D148" s="7">
        <v>2.3250000000000002</v>
      </c>
      <c r="E148" s="7">
        <v>2.3250000000000002</v>
      </c>
      <c r="F148" s="7">
        <v>2.3250000000000002</v>
      </c>
      <c r="G148" s="7">
        <v>2.3250000000000002</v>
      </c>
      <c r="H148" s="7">
        <v>2.3250000000000002</v>
      </c>
      <c r="I148" s="7">
        <v>2.3250000000000002</v>
      </c>
      <c r="J148" s="7">
        <v>2.3250000000000002</v>
      </c>
      <c r="K148" s="7">
        <v>2.3250000000000002</v>
      </c>
      <c r="L148" s="7">
        <v>2.3250000000000002</v>
      </c>
      <c r="M148" s="7">
        <v>2.3250000000000002</v>
      </c>
      <c r="N148" s="7">
        <v>2.3250000000000002</v>
      </c>
      <c r="O148" s="7">
        <v>2.3250000000000002</v>
      </c>
      <c r="P148" s="8">
        <f t="shared" si="4"/>
        <v>27.899999999999995</v>
      </c>
    </row>
    <row r="149" spans="1:16" x14ac:dyDescent="0.3">
      <c r="A149" s="2" t="s">
        <v>71</v>
      </c>
      <c r="B149" s="2" t="s">
        <v>46</v>
      </c>
      <c r="C149" s="2" t="s">
        <v>27</v>
      </c>
      <c r="D149" s="7">
        <v>1.966666666666667</v>
      </c>
      <c r="E149" s="7">
        <v>1.966666666666667</v>
      </c>
      <c r="F149" s="7">
        <v>1.966666666666667</v>
      </c>
      <c r="G149" s="7">
        <v>1.966666666666667</v>
      </c>
      <c r="H149" s="7">
        <v>1.966666666666667</v>
      </c>
      <c r="I149" s="7">
        <v>1.966666666666667</v>
      </c>
      <c r="J149" s="7">
        <v>1.966666666666667</v>
      </c>
      <c r="K149" s="7">
        <v>1.966666666666667</v>
      </c>
      <c r="L149" s="7">
        <v>1.966666666666667</v>
      </c>
      <c r="M149" s="7">
        <v>1.966666666666667</v>
      </c>
      <c r="N149" s="7">
        <v>1.966666666666667</v>
      </c>
      <c r="O149" s="7">
        <v>1.966666666666667</v>
      </c>
      <c r="P149" s="8">
        <f t="shared" si="4"/>
        <v>23.600000000000009</v>
      </c>
    </row>
    <row r="150" spans="1:16" x14ac:dyDescent="0.3">
      <c r="A150" s="2" t="s">
        <v>71</v>
      </c>
      <c r="B150" s="2" t="s">
        <v>46</v>
      </c>
      <c r="C150" s="2" t="s">
        <v>28</v>
      </c>
      <c r="D150" s="7">
        <v>2.0750000000000002</v>
      </c>
      <c r="E150" s="7">
        <v>2.0750000000000002</v>
      </c>
      <c r="F150" s="7">
        <v>2.0750000000000002</v>
      </c>
      <c r="G150" s="7">
        <v>2.0750000000000002</v>
      </c>
      <c r="H150" s="7">
        <v>2.0750000000000002</v>
      </c>
      <c r="I150" s="7">
        <v>2.0750000000000002</v>
      </c>
      <c r="J150" s="7">
        <v>2.0750000000000002</v>
      </c>
      <c r="K150" s="7">
        <v>2.0750000000000002</v>
      </c>
      <c r="L150" s="7">
        <v>2.0750000000000002</v>
      </c>
      <c r="M150" s="7">
        <v>2.0750000000000002</v>
      </c>
      <c r="N150" s="7">
        <v>2.0750000000000002</v>
      </c>
      <c r="O150" s="7">
        <v>2.0750000000000002</v>
      </c>
      <c r="P150" s="8">
        <f t="shared" si="4"/>
        <v>24.899999999999995</v>
      </c>
    </row>
    <row r="151" spans="1:16" x14ac:dyDescent="0.3">
      <c r="A151" s="2" t="s">
        <v>71</v>
      </c>
      <c r="B151" s="2" t="s">
        <v>46</v>
      </c>
      <c r="C151" s="2" t="s">
        <v>29</v>
      </c>
      <c r="D151" s="7">
        <v>1.991666666666666</v>
      </c>
      <c r="E151" s="7">
        <v>1.991666666666666</v>
      </c>
      <c r="F151" s="7">
        <v>1.991666666666666</v>
      </c>
      <c r="G151" s="7">
        <v>1.991666666666666</v>
      </c>
      <c r="H151" s="7">
        <v>1.991666666666666</v>
      </c>
      <c r="I151" s="7">
        <v>1.991666666666666</v>
      </c>
      <c r="J151" s="7">
        <v>1.991666666666666</v>
      </c>
      <c r="K151" s="7">
        <v>1.991666666666666</v>
      </c>
      <c r="L151" s="7">
        <v>1.991666666666666</v>
      </c>
      <c r="M151" s="7">
        <v>1.991666666666666</v>
      </c>
      <c r="N151" s="7">
        <v>1.991666666666666</v>
      </c>
      <c r="O151" s="7">
        <v>1.991666666666666</v>
      </c>
      <c r="P151" s="8">
        <f t="shared" si="4"/>
        <v>23.899999999999995</v>
      </c>
    </row>
    <row r="152" spans="1:16" x14ac:dyDescent="0.3">
      <c r="A152" s="2" t="s">
        <v>71</v>
      </c>
      <c r="B152" s="2" t="s">
        <v>46</v>
      </c>
      <c r="C152" s="2" t="s">
        <v>30</v>
      </c>
      <c r="D152" s="7">
        <v>1.533333333333333</v>
      </c>
      <c r="E152" s="7">
        <v>1.533333333333333</v>
      </c>
      <c r="F152" s="7">
        <v>1.533333333333333</v>
      </c>
      <c r="G152" s="7">
        <v>1.533333333333333</v>
      </c>
      <c r="H152" s="7">
        <v>1.533333333333333</v>
      </c>
      <c r="I152" s="7">
        <v>1.533333333333333</v>
      </c>
      <c r="J152" s="7">
        <v>1.533333333333333</v>
      </c>
      <c r="K152" s="7">
        <v>1.533333333333333</v>
      </c>
      <c r="L152" s="7">
        <v>1.533333333333333</v>
      </c>
      <c r="M152" s="7">
        <v>1.533333333333333</v>
      </c>
      <c r="N152" s="7">
        <v>1.533333333333333</v>
      </c>
      <c r="O152" s="7">
        <v>1.533333333333333</v>
      </c>
      <c r="P152" s="8">
        <f t="shared" si="4"/>
        <v>18.399999999999995</v>
      </c>
    </row>
    <row r="153" spans="1:16" x14ac:dyDescent="0.3">
      <c r="A153" s="2" t="s">
        <v>71</v>
      </c>
      <c r="B153" s="2" t="s">
        <v>46</v>
      </c>
      <c r="C153" s="2" t="s">
        <v>31</v>
      </c>
      <c r="D153" s="7">
        <v>0.85</v>
      </c>
      <c r="E153" s="7">
        <v>0.85</v>
      </c>
      <c r="F153" s="7">
        <v>0.85</v>
      </c>
      <c r="G153" s="7">
        <v>0.85</v>
      </c>
      <c r="H153" s="7">
        <v>0.85</v>
      </c>
      <c r="I153" s="7">
        <v>0.85</v>
      </c>
      <c r="J153" s="7">
        <v>0.85</v>
      </c>
      <c r="K153" s="7">
        <v>0.85</v>
      </c>
      <c r="L153" s="7">
        <v>0.85</v>
      </c>
      <c r="M153" s="7">
        <v>0.85</v>
      </c>
      <c r="N153" s="7">
        <v>0.85</v>
      </c>
      <c r="O153" s="7">
        <v>0.85</v>
      </c>
      <c r="P153" s="8">
        <f t="shared" si="4"/>
        <v>10.199999999999998</v>
      </c>
    </row>
    <row r="154" spans="1:16" x14ac:dyDescent="0.3">
      <c r="A154" s="2" t="s">
        <v>71</v>
      </c>
      <c r="B154" s="2" t="s">
        <v>46</v>
      </c>
      <c r="C154" s="2" t="s">
        <v>32</v>
      </c>
      <c r="D154" s="7">
        <v>1.458333333333333</v>
      </c>
      <c r="E154" s="7">
        <v>1.458333333333333</v>
      </c>
      <c r="F154" s="7">
        <v>1.458333333333333</v>
      </c>
      <c r="G154" s="7">
        <v>1.458333333333333</v>
      </c>
      <c r="H154" s="7">
        <v>1.458333333333333</v>
      </c>
      <c r="I154" s="7">
        <v>1.458333333333333</v>
      </c>
      <c r="J154" s="7">
        <v>1.458333333333333</v>
      </c>
      <c r="K154" s="7">
        <v>1.458333333333333</v>
      </c>
      <c r="L154" s="7">
        <v>1.458333333333333</v>
      </c>
      <c r="M154" s="7">
        <v>1.458333333333333</v>
      </c>
      <c r="N154" s="7">
        <v>1.458333333333333</v>
      </c>
      <c r="O154" s="7">
        <v>1.458333333333333</v>
      </c>
      <c r="P154" s="8">
        <f t="shared" si="4"/>
        <v>17.499999999999993</v>
      </c>
    </row>
    <row r="155" spans="1:16" x14ac:dyDescent="0.3">
      <c r="A155" s="2" t="s">
        <v>71</v>
      </c>
      <c r="B155" s="2" t="s">
        <v>46</v>
      </c>
      <c r="C155" s="2" t="s">
        <v>33</v>
      </c>
      <c r="D155" s="7">
        <v>1.758333333333334</v>
      </c>
      <c r="E155" s="7">
        <v>1.758333333333334</v>
      </c>
      <c r="F155" s="7">
        <v>1.758333333333334</v>
      </c>
      <c r="G155" s="7">
        <v>1.758333333333334</v>
      </c>
      <c r="H155" s="7">
        <v>1.758333333333334</v>
      </c>
      <c r="I155" s="7">
        <v>1.758333333333334</v>
      </c>
      <c r="J155" s="7">
        <v>1.758333333333334</v>
      </c>
      <c r="K155" s="7">
        <v>1.758333333333334</v>
      </c>
      <c r="L155" s="7">
        <v>1.758333333333334</v>
      </c>
      <c r="M155" s="7">
        <v>1.758333333333334</v>
      </c>
      <c r="N155" s="7">
        <v>1.758333333333334</v>
      </c>
      <c r="O155" s="7">
        <v>1.758333333333334</v>
      </c>
      <c r="P155" s="8">
        <f t="shared" si="4"/>
        <v>21.100000000000009</v>
      </c>
    </row>
    <row r="156" spans="1:16" x14ac:dyDescent="0.3">
      <c r="A156" s="2" t="s">
        <v>71</v>
      </c>
      <c r="B156" s="2" t="s">
        <v>46</v>
      </c>
      <c r="C156" s="2" t="s">
        <v>34</v>
      </c>
      <c r="D156" s="7">
        <v>1.3583333333333329</v>
      </c>
      <c r="E156" s="7">
        <v>1.3583333333333329</v>
      </c>
      <c r="F156" s="7">
        <v>1.3583333333333329</v>
      </c>
      <c r="G156" s="7">
        <v>1.3583333333333329</v>
      </c>
      <c r="H156" s="7">
        <v>1.3583333333333329</v>
      </c>
      <c r="I156" s="7">
        <v>1.3583333333333329</v>
      </c>
      <c r="J156" s="7">
        <v>1.3583333333333329</v>
      </c>
      <c r="K156" s="7">
        <v>1.3583333333333329</v>
      </c>
      <c r="L156" s="7">
        <v>1.3583333333333329</v>
      </c>
      <c r="M156" s="7">
        <v>1.3583333333333329</v>
      </c>
      <c r="N156" s="7">
        <v>1.3583333333333329</v>
      </c>
      <c r="O156" s="7">
        <v>1.3583333333333329</v>
      </c>
      <c r="P156" s="8">
        <f t="shared" si="4"/>
        <v>16.299999999999994</v>
      </c>
    </row>
    <row r="157" spans="1:16" x14ac:dyDescent="0.3">
      <c r="A157" s="2" t="s">
        <v>71</v>
      </c>
      <c r="B157" s="2" t="s">
        <v>46</v>
      </c>
      <c r="C157" s="2" t="s">
        <v>35</v>
      </c>
      <c r="D157" s="7">
        <v>1.5249999999999999</v>
      </c>
      <c r="E157" s="7">
        <v>1.5249999999999999</v>
      </c>
      <c r="F157" s="7">
        <v>1.5249999999999999</v>
      </c>
      <c r="G157" s="7">
        <v>1.5249999999999999</v>
      </c>
      <c r="H157" s="7">
        <v>1.5249999999999999</v>
      </c>
      <c r="I157" s="7">
        <v>1.5249999999999999</v>
      </c>
      <c r="J157" s="7">
        <v>1.5249999999999999</v>
      </c>
      <c r="K157" s="7">
        <v>1.5249999999999999</v>
      </c>
      <c r="L157" s="7">
        <v>1.5249999999999999</v>
      </c>
      <c r="M157" s="7">
        <v>1.5249999999999999</v>
      </c>
      <c r="N157" s="7">
        <v>1.5249999999999999</v>
      </c>
      <c r="O157" s="7">
        <v>1.5249999999999999</v>
      </c>
      <c r="P157" s="8">
        <f t="shared" si="4"/>
        <v>18.3</v>
      </c>
    </row>
    <row r="158" spans="1:16" x14ac:dyDescent="0.3">
      <c r="A158" s="2" t="s">
        <v>71</v>
      </c>
      <c r="B158" s="2" t="s">
        <v>46</v>
      </c>
      <c r="C158" s="2" t="s">
        <v>36</v>
      </c>
      <c r="D158" s="7">
        <v>1.55</v>
      </c>
      <c r="E158" s="7">
        <v>1.55</v>
      </c>
      <c r="F158" s="7">
        <v>1.55</v>
      </c>
      <c r="G158" s="7">
        <v>1.55</v>
      </c>
      <c r="H158" s="7">
        <v>1.55</v>
      </c>
      <c r="I158" s="7">
        <v>1.55</v>
      </c>
      <c r="J158" s="7">
        <v>1.55</v>
      </c>
      <c r="K158" s="7">
        <v>1.55</v>
      </c>
      <c r="L158" s="7">
        <v>1.55</v>
      </c>
      <c r="M158" s="7">
        <v>1.55</v>
      </c>
      <c r="N158" s="7">
        <v>1.55</v>
      </c>
      <c r="O158" s="7">
        <v>1.55</v>
      </c>
      <c r="P158" s="8">
        <f t="shared" ref="P158:P189" si="5">SUM(D158:O158)</f>
        <v>18.600000000000005</v>
      </c>
    </row>
    <row r="159" spans="1:16" x14ac:dyDescent="0.3">
      <c r="A159" s="2" t="s">
        <v>71</v>
      </c>
      <c r="B159" s="2" t="s">
        <v>46</v>
      </c>
      <c r="C159" s="2" t="s">
        <v>37</v>
      </c>
      <c r="D159" s="7">
        <v>1.4750000000000001</v>
      </c>
      <c r="E159" s="7">
        <v>1.4750000000000001</v>
      </c>
      <c r="F159" s="7">
        <v>1.4750000000000001</v>
      </c>
      <c r="G159" s="7">
        <v>1.4750000000000001</v>
      </c>
      <c r="H159" s="7">
        <v>1.4750000000000001</v>
      </c>
      <c r="I159" s="7">
        <v>1.4750000000000001</v>
      </c>
      <c r="J159" s="7">
        <v>1.4750000000000001</v>
      </c>
      <c r="K159" s="7">
        <v>1.4750000000000001</v>
      </c>
      <c r="L159" s="7">
        <v>1.4750000000000001</v>
      </c>
      <c r="M159" s="7">
        <v>1.4750000000000001</v>
      </c>
      <c r="N159" s="7">
        <v>1.4750000000000001</v>
      </c>
      <c r="O159" s="7">
        <v>1.4750000000000001</v>
      </c>
      <c r="P159" s="8">
        <f t="shared" si="5"/>
        <v>17.7</v>
      </c>
    </row>
    <row r="160" spans="1:16" x14ac:dyDescent="0.3">
      <c r="A160" s="2" t="s">
        <v>71</v>
      </c>
      <c r="B160" s="2" t="s">
        <v>46</v>
      </c>
      <c r="C160" s="2" t="s">
        <v>38</v>
      </c>
      <c r="D160" s="7">
        <v>1.541666666666667</v>
      </c>
      <c r="E160" s="7">
        <v>1.541666666666667</v>
      </c>
      <c r="F160" s="7">
        <v>1.541666666666667</v>
      </c>
      <c r="G160" s="7">
        <v>1.541666666666667</v>
      </c>
      <c r="H160" s="7">
        <v>1.541666666666667</v>
      </c>
      <c r="I160" s="7">
        <v>1.541666666666667</v>
      </c>
      <c r="J160" s="7">
        <v>1.541666666666667</v>
      </c>
      <c r="K160" s="7">
        <v>1.541666666666667</v>
      </c>
      <c r="L160" s="7">
        <v>1.541666666666667</v>
      </c>
      <c r="M160" s="7">
        <v>1.541666666666667</v>
      </c>
      <c r="N160" s="7">
        <v>1.541666666666667</v>
      </c>
      <c r="O160" s="7">
        <v>1.541666666666667</v>
      </c>
      <c r="P160" s="8">
        <f t="shared" si="5"/>
        <v>18.500000000000007</v>
      </c>
    </row>
    <row r="161" spans="1:16" x14ac:dyDescent="0.3">
      <c r="A161" s="2" t="s">
        <v>71</v>
      </c>
      <c r="B161" s="2" t="s">
        <v>46</v>
      </c>
      <c r="C161" s="2" t="s">
        <v>39</v>
      </c>
      <c r="D161" s="7">
        <v>1.55</v>
      </c>
      <c r="E161" s="7">
        <v>1.55</v>
      </c>
      <c r="F161" s="7">
        <v>1.55</v>
      </c>
      <c r="G161" s="7">
        <v>1.55</v>
      </c>
      <c r="H161" s="7">
        <v>1.55</v>
      </c>
      <c r="I161" s="7">
        <v>1.55</v>
      </c>
      <c r="J161" s="7">
        <v>1.55</v>
      </c>
      <c r="K161" s="7">
        <v>1.55</v>
      </c>
      <c r="L161" s="7">
        <v>1.55</v>
      </c>
      <c r="M161" s="7">
        <v>1.55</v>
      </c>
      <c r="N161" s="7">
        <v>1.55</v>
      </c>
      <c r="O161" s="7">
        <v>1.55</v>
      </c>
      <c r="P161" s="8">
        <f t="shared" si="5"/>
        <v>18.600000000000005</v>
      </c>
    </row>
    <row r="162" spans="1:16" x14ac:dyDescent="0.3">
      <c r="A162" s="2" t="s">
        <v>71</v>
      </c>
      <c r="B162" s="2" t="s">
        <v>46</v>
      </c>
      <c r="C162" s="2" t="s">
        <v>40</v>
      </c>
      <c r="D162" s="7">
        <v>1.55</v>
      </c>
      <c r="E162" s="7">
        <v>1.55</v>
      </c>
      <c r="F162" s="7">
        <v>1.55</v>
      </c>
      <c r="G162" s="7">
        <v>1.55</v>
      </c>
      <c r="H162" s="7">
        <v>1.55</v>
      </c>
      <c r="I162" s="7">
        <v>1.55</v>
      </c>
      <c r="J162" s="7">
        <v>1.55</v>
      </c>
      <c r="K162" s="7">
        <v>1.55</v>
      </c>
      <c r="L162" s="7">
        <v>1.55</v>
      </c>
      <c r="M162" s="7">
        <v>1.55</v>
      </c>
      <c r="N162" s="7">
        <v>1.55</v>
      </c>
      <c r="O162" s="7">
        <v>1.55</v>
      </c>
      <c r="P162" s="8">
        <f t="shared" si="5"/>
        <v>18.600000000000005</v>
      </c>
    </row>
    <row r="163" spans="1:16" x14ac:dyDescent="0.3">
      <c r="A163" s="2" t="s">
        <v>71</v>
      </c>
      <c r="B163" s="2" t="s">
        <v>47</v>
      </c>
      <c r="C163" s="2" t="s">
        <v>18</v>
      </c>
      <c r="D163" s="7">
        <v>25.958333333333329</v>
      </c>
      <c r="E163" s="7">
        <v>25.958333333333329</v>
      </c>
      <c r="F163" s="7">
        <v>25.958333333333329</v>
      </c>
      <c r="G163" s="7">
        <v>25.958333333333329</v>
      </c>
      <c r="H163" s="7">
        <v>25.958333333333329</v>
      </c>
      <c r="I163" s="7">
        <v>25.958333333333329</v>
      </c>
      <c r="J163" s="7">
        <v>25.958333333333329</v>
      </c>
      <c r="K163" s="7">
        <v>25.958333333333329</v>
      </c>
      <c r="L163" s="7">
        <v>25.958333333333329</v>
      </c>
      <c r="M163" s="7">
        <v>25.958333333333329</v>
      </c>
      <c r="N163" s="7">
        <v>25.958333333333329</v>
      </c>
      <c r="O163" s="7">
        <v>25.958333333333329</v>
      </c>
      <c r="P163" s="8">
        <f t="shared" si="5"/>
        <v>311.49999999999983</v>
      </c>
    </row>
    <row r="164" spans="1:16" x14ac:dyDescent="0.3">
      <c r="A164" s="2" t="s">
        <v>71</v>
      </c>
      <c r="B164" s="2" t="s">
        <v>47</v>
      </c>
      <c r="C164" s="2" t="s">
        <v>19</v>
      </c>
      <c r="D164" s="7">
        <v>23.158333333333331</v>
      </c>
      <c r="E164" s="7">
        <v>23.158333333333331</v>
      </c>
      <c r="F164" s="7">
        <v>23.158333333333331</v>
      </c>
      <c r="G164" s="7">
        <v>23.158333333333331</v>
      </c>
      <c r="H164" s="7">
        <v>23.158333333333331</v>
      </c>
      <c r="I164" s="7">
        <v>23.158333333333331</v>
      </c>
      <c r="J164" s="7">
        <v>23.158333333333331</v>
      </c>
      <c r="K164" s="7">
        <v>23.158333333333331</v>
      </c>
      <c r="L164" s="7">
        <v>23.158333333333331</v>
      </c>
      <c r="M164" s="7">
        <v>23.158333333333331</v>
      </c>
      <c r="N164" s="7">
        <v>23.158333333333331</v>
      </c>
      <c r="O164" s="7">
        <v>23.158333333333331</v>
      </c>
      <c r="P164" s="8">
        <f t="shared" si="5"/>
        <v>277.89999999999998</v>
      </c>
    </row>
    <row r="165" spans="1:16" x14ac:dyDescent="0.3">
      <c r="A165" s="2" t="s">
        <v>71</v>
      </c>
      <c r="B165" s="2" t="s">
        <v>47</v>
      </c>
      <c r="C165" s="2" t="s">
        <v>20</v>
      </c>
      <c r="D165" s="7">
        <v>21.466666666666669</v>
      </c>
      <c r="E165" s="7">
        <v>21.466666666666669</v>
      </c>
      <c r="F165" s="7">
        <v>21.466666666666669</v>
      </c>
      <c r="G165" s="7">
        <v>21.466666666666669</v>
      </c>
      <c r="H165" s="7">
        <v>21.466666666666669</v>
      </c>
      <c r="I165" s="7">
        <v>21.466666666666669</v>
      </c>
      <c r="J165" s="7">
        <v>21.466666666666669</v>
      </c>
      <c r="K165" s="7">
        <v>21.466666666666669</v>
      </c>
      <c r="L165" s="7">
        <v>21.466666666666669</v>
      </c>
      <c r="M165" s="7">
        <v>21.466666666666669</v>
      </c>
      <c r="N165" s="7">
        <v>21.466666666666669</v>
      </c>
      <c r="O165" s="7">
        <v>21.466666666666669</v>
      </c>
      <c r="P165" s="8">
        <f t="shared" si="5"/>
        <v>257.60000000000002</v>
      </c>
    </row>
    <row r="166" spans="1:16" x14ac:dyDescent="0.3">
      <c r="A166" s="2" t="s">
        <v>71</v>
      </c>
      <c r="B166" s="2" t="s">
        <v>47</v>
      </c>
      <c r="C166" s="2" t="s">
        <v>21</v>
      </c>
      <c r="D166" s="7">
        <v>12.775</v>
      </c>
      <c r="E166" s="7">
        <v>12.775</v>
      </c>
      <c r="F166" s="7">
        <v>12.775</v>
      </c>
      <c r="G166" s="7">
        <v>12.775</v>
      </c>
      <c r="H166" s="7">
        <v>12.775</v>
      </c>
      <c r="I166" s="7">
        <v>12.775</v>
      </c>
      <c r="J166" s="7">
        <v>12.775</v>
      </c>
      <c r="K166" s="7">
        <v>12.775</v>
      </c>
      <c r="L166" s="7">
        <v>12.775</v>
      </c>
      <c r="M166" s="7">
        <v>12.775</v>
      </c>
      <c r="N166" s="7">
        <v>12.775</v>
      </c>
      <c r="O166" s="7">
        <v>12.775</v>
      </c>
      <c r="P166" s="8">
        <f t="shared" si="5"/>
        <v>153.30000000000004</v>
      </c>
    </row>
    <row r="167" spans="1:16" x14ac:dyDescent="0.3">
      <c r="A167" s="2" t="s">
        <v>71</v>
      </c>
      <c r="B167" s="2" t="s">
        <v>47</v>
      </c>
      <c r="C167" s="2" t="s">
        <v>22</v>
      </c>
      <c r="D167" s="7">
        <v>14.15</v>
      </c>
      <c r="E167" s="7">
        <v>14.15</v>
      </c>
      <c r="F167" s="7">
        <v>14.15</v>
      </c>
      <c r="G167" s="7">
        <v>14.15</v>
      </c>
      <c r="H167" s="7">
        <v>14.15</v>
      </c>
      <c r="I167" s="7">
        <v>14.15</v>
      </c>
      <c r="J167" s="7">
        <v>14.15</v>
      </c>
      <c r="K167" s="7">
        <v>14.15</v>
      </c>
      <c r="L167" s="7">
        <v>14.15</v>
      </c>
      <c r="M167" s="7">
        <v>14.15</v>
      </c>
      <c r="N167" s="7">
        <v>14.15</v>
      </c>
      <c r="O167" s="7">
        <v>14.15</v>
      </c>
      <c r="P167" s="8">
        <f t="shared" si="5"/>
        <v>169.80000000000004</v>
      </c>
    </row>
    <row r="168" spans="1:16" x14ac:dyDescent="0.3">
      <c r="A168" s="2" t="s">
        <v>71</v>
      </c>
      <c r="B168" s="2" t="s">
        <v>47</v>
      </c>
      <c r="C168" s="2" t="s">
        <v>23</v>
      </c>
      <c r="D168" s="7">
        <v>11.69166666666667</v>
      </c>
      <c r="E168" s="7">
        <v>11.69166666666667</v>
      </c>
      <c r="F168" s="7">
        <v>11.69166666666667</v>
      </c>
      <c r="G168" s="7">
        <v>11.69166666666667</v>
      </c>
      <c r="H168" s="7">
        <v>11.69166666666667</v>
      </c>
      <c r="I168" s="7">
        <v>11.69166666666667</v>
      </c>
      <c r="J168" s="7">
        <v>11.69166666666667</v>
      </c>
      <c r="K168" s="7">
        <v>11.69166666666667</v>
      </c>
      <c r="L168" s="7">
        <v>11.69166666666667</v>
      </c>
      <c r="M168" s="7">
        <v>11.69166666666667</v>
      </c>
      <c r="N168" s="7">
        <v>11.69166666666667</v>
      </c>
      <c r="O168" s="7">
        <v>11.69166666666667</v>
      </c>
      <c r="P168" s="8">
        <f t="shared" si="5"/>
        <v>140.30000000000001</v>
      </c>
    </row>
    <row r="169" spans="1:16" x14ac:dyDescent="0.3">
      <c r="A169" s="2" t="s">
        <v>71</v>
      </c>
      <c r="B169" s="2" t="s">
        <v>47</v>
      </c>
      <c r="C169" s="2" t="s">
        <v>24</v>
      </c>
      <c r="D169" s="7">
        <v>11.983333333333331</v>
      </c>
      <c r="E169" s="7">
        <v>11.983333333333331</v>
      </c>
      <c r="F169" s="7">
        <v>11.983333333333331</v>
      </c>
      <c r="G169" s="7">
        <v>11.983333333333331</v>
      </c>
      <c r="H169" s="7">
        <v>11.983333333333331</v>
      </c>
      <c r="I169" s="7">
        <v>11.983333333333331</v>
      </c>
      <c r="J169" s="7">
        <v>11.983333333333331</v>
      </c>
      <c r="K169" s="7">
        <v>11.983333333333331</v>
      </c>
      <c r="L169" s="7">
        <v>11.983333333333331</v>
      </c>
      <c r="M169" s="7">
        <v>11.983333333333331</v>
      </c>
      <c r="N169" s="7">
        <v>11.983333333333331</v>
      </c>
      <c r="O169" s="7">
        <v>11.983333333333331</v>
      </c>
      <c r="P169" s="8">
        <f t="shared" si="5"/>
        <v>143.79999999999998</v>
      </c>
    </row>
    <row r="170" spans="1:16" x14ac:dyDescent="0.3">
      <c r="A170" s="2" t="s">
        <v>71</v>
      </c>
      <c r="B170" s="2" t="s">
        <v>47</v>
      </c>
      <c r="C170" s="2" t="s">
        <v>25</v>
      </c>
      <c r="D170" s="7">
        <v>10.41666666666667</v>
      </c>
      <c r="E170" s="7">
        <v>10.41666666666667</v>
      </c>
      <c r="F170" s="7">
        <v>10.41666666666667</v>
      </c>
      <c r="G170" s="7">
        <v>10.41666666666667</v>
      </c>
      <c r="H170" s="7">
        <v>10.41666666666667</v>
      </c>
      <c r="I170" s="7">
        <v>10.41666666666667</v>
      </c>
      <c r="J170" s="7">
        <v>10.41666666666667</v>
      </c>
      <c r="K170" s="7">
        <v>10.41666666666667</v>
      </c>
      <c r="L170" s="7">
        <v>10.41666666666667</v>
      </c>
      <c r="M170" s="7">
        <v>10.41666666666667</v>
      </c>
      <c r="N170" s="7">
        <v>10.41666666666667</v>
      </c>
      <c r="O170" s="7">
        <v>10.41666666666667</v>
      </c>
      <c r="P170" s="8">
        <f t="shared" si="5"/>
        <v>125.00000000000004</v>
      </c>
    </row>
    <row r="171" spans="1:16" x14ac:dyDescent="0.3">
      <c r="A171" s="2" t="s">
        <v>71</v>
      </c>
      <c r="B171" s="2" t="s">
        <v>47</v>
      </c>
      <c r="C171" s="2" t="s">
        <v>26</v>
      </c>
      <c r="D171" s="7">
        <v>10.59166666666667</v>
      </c>
      <c r="E171" s="7">
        <v>10.59166666666667</v>
      </c>
      <c r="F171" s="7">
        <v>10.59166666666667</v>
      </c>
      <c r="G171" s="7">
        <v>10.59166666666667</v>
      </c>
      <c r="H171" s="7">
        <v>10.59166666666667</v>
      </c>
      <c r="I171" s="7">
        <v>10.59166666666667</v>
      </c>
      <c r="J171" s="7">
        <v>10.59166666666667</v>
      </c>
      <c r="K171" s="7">
        <v>10.59166666666667</v>
      </c>
      <c r="L171" s="7">
        <v>10.59166666666667</v>
      </c>
      <c r="M171" s="7">
        <v>10.59166666666667</v>
      </c>
      <c r="N171" s="7">
        <v>10.59166666666667</v>
      </c>
      <c r="O171" s="7">
        <v>10.59166666666667</v>
      </c>
      <c r="P171" s="8">
        <f t="shared" si="5"/>
        <v>127.10000000000004</v>
      </c>
    </row>
    <row r="172" spans="1:16" x14ac:dyDescent="0.3">
      <c r="A172" s="2" t="s">
        <v>71</v>
      </c>
      <c r="B172" s="2" t="s">
        <v>47</v>
      </c>
      <c r="C172" s="2" t="s">
        <v>27</v>
      </c>
      <c r="D172" s="7">
        <v>8.0250000000000004</v>
      </c>
      <c r="E172" s="7">
        <v>8.0250000000000004</v>
      </c>
      <c r="F172" s="7">
        <v>8.0250000000000004</v>
      </c>
      <c r="G172" s="7">
        <v>8.0250000000000004</v>
      </c>
      <c r="H172" s="7">
        <v>8.0250000000000004</v>
      </c>
      <c r="I172" s="7">
        <v>8.0250000000000004</v>
      </c>
      <c r="J172" s="7">
        <v>8.0250000000000004</v>
      </c>
      <c r="K172" s="7">
        <v>8.0250000000000004</v>
      </c>
      <c r="L172" s="7">
        <v>8.0250000000000004</v>
      </c>
      <c r="M172" s="7">
        <v>8.0250000000000004</v>
      </c>
      <c r="N172" s="7">
        <v>8.0250000000000004</v>
      </c>
      <c r="O172" s="7">
        <v>8.0250000000000004</v>
      </c>
      <c r="P172" s="8">
        <f t="shared" si="5"/>
        <v>96.300000000000026</v>
      </c>
    </row>
    <row r="173" spans="1:16" x14ac:dyDescent="0.3">
      <c r="A173" s="2" t="s">
        <v>71</v>
      </c>
      <c r="B173" s="2" t="s">
        <v>47</v>
      </c>
      <c r="C173" s="2" t="s">
        <v>28</v>
      </c>
      <c r="D173" s="7">
        <v>9.0916666666666686</v>
      </c>
      <c r="E173" s="7">
        <v>9.0916666666666686</v>
      </c>
      <c r="F173" s="7">
        <v>9.0916666666666686</v>
      </c>
      <c r="G173" s="7">
        <v>9.0916666666666686</v>
      </c>
      <c r="H173" s="7">
        <v>9.0916666666666686</v>
      </c>
      <c r="I173" s="7">
        <v>9.0916666666666686</v>
      </c>
      <c r="J173" s="7">
        <v>9.0916666666666686</v>
      </c>
      <c r="K173" s="7">
        <v>9.0916666666666686</v>
      </c>
      <c r="L173" s="7">
        <v>9.0916666666666686</v>
      </c>
      <c r="M173" s="7">
        <v>9.0916666666666686</v>
      </c>
      <c r="N173" s="7">
        <v>9.0916666666666686</v>
      </c>
      <c r="O173" s="7">
        <v>9.0916666666666686</v>
      </c>
      <c r="P173" s="8">
        <f t="shared" si="5"/>
        <v>109.10000000000002</v>
      </c>
    </row>
    <row r="174" spans="1:16" x14ac:dyDescent="0.3">
      <c r="A174" s="2" t="s">
        <v>71</v>
      </c>
      <c r="B174" s="2" t="s">
        <v>47</v>
      </c>
      <c r="C174" s="2" t="s">
        <v>29</v>
      </c>
      <c r="D174" s="7">
        <v>7.5166666666666666</v>
      </c>
      <c r="E174" s="7">
        <v>7.5166666666666666</v>
      </c>
      <c r="F174" s="7">
        <v>7.5166666666666666</v>
      </c>
      <c r="G174" s="7">
        <v>7.5166666666666666</v>
      </c>
      <c r="H174" s="7">
        <v>7.5166666666666666</v>
      </c>
      <c r="I174" s="7">
        <v>7.5166666666666666</v>
      </c>
      <c r="J174" s="7">
        <v>7.5166666666666666</v>
      </c>
      <c r="K174" s="7">
        <v>7.5166666666666666</v>
      </c>
      <c r="L174" s="7">
        <v>7.5166666666666666</v>
      </c>
      <c r="M174" s="7">
        <v>7.5166666666666666</v>
      </c>
      <c r="N174" s="7">
        <v>7.5166666666666666</v>
      </c>
      <c r="O174" s="7">
        <v>7.5166666666666666</v>
      </c>
      <c r="P174" s="8">
        <f t="shared" si="5"/>
        <v>90.2</v>
      </c>
    </row>
    <row r="175" spans="1:16" x14ac:dyDescent="0.3">
      <c r="A175" s="2" t="s">
        <v>71</v>
      </c>
      <c r="B175" s="2" t="s">
        <v>47</v>
      </c>
      <c r="C175" s="2" t="s">
        <v>30</v>
      </c>
      <c r="D175" s="7">
        <v>13.391666666666669</v>
      </c>
      <c r="E175" s="7">
        <v>13.391666666666669</v>
      </c>
      <c r="F175" s="7">
        <v>13.391666666666669</v>
      </c>
      <c r="G175" s="7">
        <v>13.391666666666669</v>
      </c>
      <c r="H175" s="7">
        <v>13.391666666666669</v>
      </c>
      <c r="I175" s="7">
        <v>13.391666666666669</v>
      </c>
      <c r="J175" s="7">
        <v>13.391666666666669</v>
      </c>
      <c r="K175" s="7">
        <v>13.391666666666669</v>
      </c>
      <c r="L175" s="7">
        <v>13.391666666666669</v>
      </c>
      <c r="M175" s="7">
        <v>13.391666666666669</v>
      </c>
      <c r="N175" s="7">
        <v>13.391666666666669</v>
      </c>
      <c r="O175" s="7">
        <v>13.391666666666669</v>
      </c>
      <c r="P175" s="8">
        <f t="shared" si="5"/>
        <v>160.70000000000005</v>
      </c>
    </row>
    <row r="176" spans="1:16" x14ac:dyDescent="0.3">
      <c r="A176" s="2" t="s">
        <v>71</v>
      </c>
      <c r="B176" s="2" t="s">
        <v>47</v>
      </c>
      <c r="C176" s="2" t="s">
        <v>31</v>
      </c>
      <c r="D176" s="7">
        <v>10.508333333333329</v>
      </c>
      <c r="E176" s="7">
        <v>10.508333333333329</v>
      </c>
      <c r="F176" s="7">
        <v>10.508333333333329</v>
      </c>
      <c r="G176" s="7">
        <v>10.508333333333329</v>
      </c>
      <c r="H176" s="7">
        <v>10.508333333333329</v>
      </c>
      <c r="I176" s="7">
        <v>10.508333333333329</v>
      </c>
      <c r="J176" s="7">
        <v>10.508333333333329</v>
      </c>
      <c r="K176" s="7">
        <v>10.508333333333329</v>
      </c>
      <c r="L176" s="7">
        <v>10.508333333333329</v>
      </c>
      <c r="M176" s="7">
        <v>10.508333333333329</v>
      </c>
      <c r="N176" s="7">
        <v>10.508333333333329</v>
      </c>
      <c r="O176" s="7">
        <v>10.508333333333329</v>
      </c>
      <c r="P176" s="8">
        <f t="shared" si="5"/>
        <v>126.09999999999992</v>
      </c>
    </row>
    <row r="177" spans="1:16" x14ac:dyDescent="0.3">
      <c r="A177" s="2" t="s">
        <v>71</v>
      </c>
      <c r="B177" s="2" t="s">
        <v>47</v>
      </c>
      <c r="C177" s="2" t="s">
        <v>32</v>
      </c>
      <c r="D177" s="7">
        <v>6.1833333333333336</v>
      </c>
      <c r="E177" s="7">
        <v>6.1833333333333336</v>
      </c>
      <c r="F177" s="7">
        <v>6.1833333333333336</v>
      </c>
      <c r="G177" s="7">
        <v>6.1833333333333336</v>
      </c>
      <c r="H177" s="7">
        <v>6.1833333333333336</v>
      </c>
      <c r="I177" s="7">
        <v>6.1833333333333336</v>
      </c>
      <c r="J177" s="7">
        <v>6.1833333333333336</v>
      </c>
      <c r="K177" s="7">
        <v>6.1833333333333336</v>
      </c>
      <c r="L177" s="7">
        <v>6.1833333333333336</v>
      </c>
      <c r="M177" s="7">
        <v>6.1833333333333336</v>
      </c>
      <c r="N177" s="7">
        <v>6.1833333333333336</v>
      </c>
      <c r="O177" s="7">
        <v>6.1833333333333336</v>
      </c>
      <c r="P177" s="8">
        <f t="shared" si="5"/>
        <v>74.200000000000017</v>
      </c>
    </row>
    <row r="178" spans="1:16" x14ac:dyDescent="0.3">
      <c r="A178" s="2" t="s">
        <v>71</v>
      </c>
      <c r="B178" s="2" t="s">
        <v>47</v>
      </c>
      <c r="C178" s="2" t="s">
        <v>33</v>
      </c>
      <c r="D178" s="7">
        <v>3.375</v>
      </c>
      <c r="E178" s="7">
        <v>3.375</v>
      </c>
      <c r="F178" s="7">
        <v>3.375</v>
      </c>
      <c r="G178" s="7">
        <v>3.375</v>
      </c>
      <c r="H178" s="7">
        <v>3.375</v>
      </c>
      <c r="I178" s="7">
        <v>3.375</v>
      </c>
      <c r="J178" s="7">
        <v>3.375</v>
      </c>
      <c r="K178" s="7">
        <v>3.375</v>
      </c>
      <c r="L178" s="7">
        <v>3.375</v>
      </c>
      <c r="M178" s="7">
        <v>3.375</v>
      </c>
      <c r="N178" s="7">
        <v>3.375</v>
      </c>
      <c r="O178" s="7">
        <v>3.375</v>
      </c>
      <c r="P178" s="8">
        <f t="shared" si="5"/>
        <v>40.5</v>
      </c>
    </row>
    <row r="179" spans="1:16" x14ac:dyDescent="0.3">
      <c r="A179" s="2" t="s">
        <v>71</v>
      </c>
      <c r="B179" s="2" t="s">
        <v>47</v>
      </c>
      <c r="C179" s="2" t="s">
        <v>34</v>
      </c>
      <c r="D179" s="7">
        <v>25.074999999999999</v>
      </c>
      <c r="E179" s="7">
        <v>25.074999999999999</v>
      </c>
      <c r="F179" s="7">
        <v>25.074999999999999</v>
      </c>
      <c r="G179" s="7">
        <v>25.074999999999999</v>
      </c>
      <c r="H179" s="7">
        <v>25.074999999999999</v>
      </c>
      <c r="I179" s="7">
        <v>25.074999999999999</v>
      </c>
      <c r="J179" s="7">
        <v>25.074999999999999</v>
      </c>
      <c r="K179" s="7">
        <v>25.074999999999999</v>
      </c>
      <c r="L179" s="7">
        <v>25.074999999999999</v>
      </c>
      <c r="M179" s="7">
        <v>25.074999999999999</v>
      </c>
      <c r="N179" s="7">
        <v>25.074999999999999</v>
      </c>
      <c r="O179" s="7">
        <v>25.074999999999999</v>
      </c>
      <c r="P179" s="8">
        <f t="shared" si="5"/>
        <v>300.89999999999992</v>
      </c>
    </row>
    <row r="180" spans="1:16" x14ac:dyDescent="0.3">
      <c r="A180" s="2" t="s">
        <v>71</v>
      </c>
      <c r="B180" s="2" t="s">
        <v>47</v>
      </c>
      <c r="C180" s="2" t="s">
        <v>35</v>
      </c>
      <c r="D180" s="7">
        <v>21.641666666666669</v>
      </c>
      <c r="E180" s="7">
        <v>21.641666666666669</v>
      </c>
      <c r="F180" s="7">
        <v>21.641666666666669</v>
      </c>
      <c r="G180" s="7">
        <v>21.641666666666669</v>
      </c>
      <c r="H180" s="7">
        <v>21.641666666666669</v>
      </c>
      <c r="I180" s="7">
        <v>21.641666666666669</v>
      </c>
      <c r="J180" s="7">
        <v>21.641666666666669</v>
      </c>
      <c r="K180" s="7">
        <v>21.641666666666669</v>
      </c>
      <c r="L180" s="7">
        <v>21.641666666666669</v>
      </c>
      <c r="M180" s="7">
        <v>21.641666666666669</v>
      </c>
      <c r="N180" s="7">
        <v>21.641666666666669</v>
      </c>
      <c r="O180" s="7">
        <v>21.641666666666669</v>
      </c>
      <c r="P180" s="8">
        <f t="shared" si="5"/>
        <v>259.7000000000001</v>
      </c>
    </row>
    <row r="181" spans="1:16" x14ac:dyDescent="0.3">
      <c r="A181" s="2" t="s">
        <v>71</v>
      </c>
      <c r="B181" s="2" t="s">
        <v>47</v>
      </c>
      <c r="C181" s="2" t="s">
        <v>36</v>
      </c>
      <c r="D181" s="7">
        <v>23.324999999999999</v>
      </c>
      <c r="E181" s="7">
        <v>23.324999999999999</v>
      </c>
      <c r="F181" s="7">
        <v>23.324999999999999</v>
      </c>
      <c r="G181" s="7">
        <v>23.324999999999999</v>
      </c>
      <c r="H181" s="7">
        <v>23.324999999999999</v>
      </c>
      <c r="I181" s="7">
        <v>23.324999999999999</v>
      </c>
      <c r="J181" s="7">
        <v>23.324999999999999</v>
      </c>
      <c r="K181" s="7">
        <v>23.324999999999999</v>
      </c>
      <c r="L181" s="7">
        <v>23.324999999999999</v>
      </c>
      <c r="M181" s="7">
        <v>23.324999999999999</v>
      </c>
      <c r="N181" s="7">
        <v>23.324999999999999</v>
      </c>
      <c r="O181" s="7">
        <v>23.324999999999999</v>
      </c>
      <c r="P181" s="8">
        <f t="shared" si="5"/>
        <v>279.89999999999992</v>
      </c>
    </row>
    <row r="182" spans="1:16" x14ac:dyDescent="0.3">
      <c r="A182" s="2" t="s">
        <v>71</v>
      </c>
      <c r="B182" s="2" t="s">
        <v>47</v>
      </c>
      <c r="C182" s="2" t="s">
        <v>37</v>
      </c>
      <c r="D182" s="7">
        <v>22.216666666666669</v>
      </c>
      <c r="E182" s="7">
        <v>22.216666666666669</v>
      </c>
      <c r="F182" s="7">
        <v>22.216666666666669</v>
      </c>
      <c r="G182" s="7">
        <v>22.216666666666669</v>
      </c>
      <c r="H182" s="7">
        <v>22.216666666666669</v>
      </c>
      <c r="I182" s="7">
        <v>22.216666666666669</v>
      </c>
      <c r="J182" s="7">
        <v>22.216666666666669</v>
      </c>
      <c r="K182" s="7">
        <v>22.216666666666669</v>
      </c>
      <c r="L182" s="7">
        <v>22.216666666666669</v>
      </c>
      <c r="M182" s="7">
        <v>22.216666666666669</v>
      </c>
      <c r="N182" s="7">
        <v>22.216666666666669</v>
      </c>
      <c r="O182" s="7">
        <v>22.216666666666669</v>
      </c>
      <c r="P182" s="8">
        <f t="shared" si="5"/>
        <v>266.60000000000002</v>
      </c>
    </row>
    <row r="183" spans="1:16" x14ac:dyDescent="0.3">
      <c r="A183" s="2" t="s">
        <v>71</v>
      </c>
      <c r="B183" s="2" t="s">
        <v>47</v>
      </c>
      <c r="C183" s="2" t="s">
        <v>38</v>
      </c>
      <c r="D183" s="7">
        <v>7.1749999999999998</v>
      </c>
      <c r="E183" s="7">
        <v>7.1749999999999998</v>
      </c>
      <c r="F183" s="7">
        <v>7.1749999999999998</v>
      </c>
      <c r="G183" s="7">
        <v>7.1749999999999998</v>
      </c>
      <c r="H183" s="7">
        <v>7.1749999999999998</v>
      </c>
      <c r="I183" s="7">
        <v>7.1749999999999998</v>
      </c>
      <c r="J183" s="7">
        <v>7.1749999999999998</v>
      </c>
      <c r="K183" s="7">
        <v>7.1749999999999998</v>
      </c>
      <c r="L183" s="7">
        <v>7.1749999999999998</v>
      </c>
      <c r="M183" s="7">
        <v>7.1749999999999998</v>
      </c>
      <c r="N183" s="7">
        <v>7.1749999999999998</v>
      </c>
      <c r="O183" s="7">
        <v>7.1749999999999998</v>
      </c>
      <c r="P183" s="8">
        <f t="shared" si="5"/>
        <v>86.09999999999998</v>
      </c>
    </row>
    <row r="184" spans="1:16" x14ac:dyDescent="0.3">
      <c r="A184" s="2" t="s">
        <v>71</v>
      </c>
      <c r="B184" s="2" t="s">
        <v>47</v>
      </c>
      <c r="C184" s="2" t="s">
        <v>39</v>
      </c>
      <c r="D184" s="7">
        <v>5.9249999999999998</v>
      </c>
      <c r="E184" s="7">
        <v>5.9249999999999998</v>
      </c>
      <c r="F184" s="7">
        <v>5.9249999999999998</v>
      </c>
      <c r="G184" s="7">
        <v>5.9249999999999998</v>
      </c>
      <c r="H184" s="7">
        <v>5.9249999999999998</v>
      </c>
      <c r="I184" s="7">
        <v>5.9249999999999998</v>
      </c>
      <c r="J184" s="7">
        <v>5.9249999999999998</v>
      </c>
      <c r="K184" s="7">
        <v>5.9249999999999998</v>
      </c>
      <c r="L184" s="7">
        <v>5.9249999999999998</v>
      </c>
      <c r="M184" s="7">
        <v>5.9249999999999998</v>
      </c>
      <c r="N184" s="7">
        <v>5.9249999999999998</v>
      </c>
      <c r="O184" s="7">
        <v>5.9249999999999998</v>
      </c>
      <c r="P184" s="8">
        <f t="shared" si="5"/>
        <v>71.09999999999998</v>
      </c>
    </row>
    <row r="185" spans="1:16" x14ac:dyDescent="0.3">
      <c r="A185" s="2" t="s">
        <v>71</v>
      </c>
      <c r="B185" s="2" t="s">
        <v>47</v>
      </c>
      <c r="C185" s="2" t="s">
        <v>40</v>
      </c>
      <c r="D185" s="7">
        <v>6.1916666666666664</v>
      </c>
      <c r="E185" s="7">
        <v>6.1916666666666664</v>
      </c>
      <c r="F185" s="7">
        <v>6.1916666666666664</v>
      </c>
      <c r="G185" s="7">
        <v>6.1916666666666664</v>
      </c>
      <c r="H185" s="7">
        <v>6.1916666666666664</v>
      </c>
      <c r="I185" s="7">
        <v>6.1916666666666664</v>
      </c>
      <c r="J185" s="7">
        <v>6.1916666666666664</v>
      </c>
      <c r="K185" s="7">
        <v>6.1916666666666664</v>
      </c>
      <c r="L185" s="7">
        <v>6.1916666666666664</v>
      </c>
      <c r="M185" s="7">
        <v>6.1916666666666664</v>
      </c>
      <c r="N185" s="7">
        <v>6.1916666666666664</v>
      </c>
      <c r="O185" s="7">
        <v>6.1916666666666664</v>
      </c>
      <c r="P185" s="8">
        <f t="shared" si="5"/>
        <v>74.299999999999983</v>
      </c>
    </row>
    <row r="186" spans="1:16" x14ac:dyDescent="0.3">
      <c r="A186" s="2" t="s">
        <v>71</v>
      </c>
      <c r="B186" s="2" t="s">
        <v>48</v>
      </c>
      <c r="C186" s="2" t="s">
        <v>18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8">
        <f t="shared" si="5"/>
        <v>0</v>
      </c>
    </row>
    <row r="187" spans="1:16" x14ac:dyDescent="0.3">
      <c r="A187" s="2" t="s">
        <v>71</v>
      </c>
      <c r="B187" s="2" t="s">
        <v>48</v>
      </c>
      <c r="C187" s="2" t="s">
        <v>19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8">
        <f t="shared" si="5"/>
        <v>0</v>
      </c>
    </row>
    <row r="188" spans="1:16" x14ac:dyDescent="0.3">
      <c r="A188" s="2" t="s">
        <v>71</v>
      </c>
      <c r="B188" s="2" t="s">
        <v>48</v>
      </c>
      <c r="C188" s="2" t="s">
        <v>20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8">
        <f t="shared" si="5"/>
        <v>0</v>
      </c>
    </row>
    <row r="189" spans="1:16" x14ac:dyDescent="0.3">
      <c r="A189" s="2" t="s">
        <v>71</v>
      </c>
      <c r="B189" s="2" t="s">
        <v>48</v>
      </c>
      <c r="C189" s="2" t="s">
        <v>21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8">
        <f t="shared" si="5"/>
        <v>0</v>
      </c>
    </row>
    <row r="190" spans="1:16" x14ac:dyDescent="0.3">
      <c r="A190" s="2" t="s">
        <v>71</v>
      </c>
      <c r="B190" s="2" t="s">
        <v>48</v>
      </c>
      <c r="C190" s="2" t="s">
        <v>22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8">
        <f t="shared" ref="P190:P221" si="6">SUM(D190:O190)</f>
        <v>0</v>
      </c>
    </row>
    <row r="191" spans="1:16" x14ac:dyDescent="0.3">
      <c r="A191" s="2" t="s">
        <v>71</v>
      </c>
      <c r="B191" s="2" t="s">
        <v>48</v>
      </c>
      <c r="C191" s="2" t="s">
        <v>23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8">
        <f t="shared" si="6"/>
        <v>0</v>
      </c>
    </row>
    <row r="192" spans="1:16" x14ac:dyDescent="0.3">
      <c r="A192" s="2" t="s">
        <v>71</v>
      </c>
      <c r="B192" s="2" t="s">
        <v>48</v>
      </c>
      <c r="C192" s="2" t="s">
        <v>24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8">
        <f t="shared" si="6"/>
        <v>0</v>
      </c>
    </row>
    <row r="193" spans="1:16" x14ac:dyDescent="0.3">
      <c r="A193" s="2" t="s">
        <v>71</v>
      </c>
      <c r="B193" s="2" t="s">
        <v>48</v>
      </c>
      <c r="C193" s="2" t="s">
        <v>25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8">
        <f t="shared" si="6"/>
        <v>0</v>
      </c>
    </row>
    <row r="194" spans="1:16" x14ac:dyDescent="0.3">
      <c r="A194" s="2" t="s">
        <v>71</v>
      </c>
      <c r="B194" s="2" t="s">
        <v>48</v>
      </c>
      <c r="C194" s="2" t="s">
        <v>26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8">
        <f t="shared" si="6"/>
        <v>0</v>
      </c>
    </row>
    <row r="195" spans="1:16" x14ac:dyDescent="0.3">
      <c r="A195" s="2" t="s">
        <v>71</v>
      </c>
      <c r="B195" s="2" t="s">
        <v>48</v>
      </c>
      <c r="C195" s="2" t="s">
        <v>27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8">
        <f t="shared" si="6"/>
        <v>0</v>
      </c>
    </row>
    <row r="196" spans="1:16" x14ac:dyDescent="0.3">
      <c r="A196" s="2" t="s">
        <v>71</v>
      </c>
      <c r="B196" s="2" t="s">
        <v>48</v>
      </c>
      <c r="C196" s="2" t="s">
        <v>28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8">
        <f t="shared" si="6"/>
        <v>0</v>
      </c>
    </row>
    <row r="197" spans="1:16" x14ac:dyDescent="0.3">
      <c r="A197" s="2" t="s">
        <v>71</v>
      </c>
      <c r="B197" s="2" t="s">
        <v>48</v>
      </c>
      <c r="C197" s="2" t="s">
        <v>29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8">
        <f t="shared" si="6"/>
        <v>0</v>
      </c>
    </row>
    <row r="198" spans="1:16" x14ac:dyDescent="0.3">
      <c r="A198" s="2" t="s">
        <v>71</v>
      </c>
      <c r="B198" s="2" t="s">
        <v>48</v>
      </c>
      <c r="C198" s="2" t="s">
        <v>30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8">
        <f t="shared" si="6"/>
        <v>0</v>
      </c>
    </row>
    <row r="199" spans="1:16" x14ac:dyDescent="0.3">
      <c r="A199" s="2" t="s">
        <v>71</v>
      </c>
      <c r="B199" s="2" t="s">
        <v>48</v>
      </c>
      <c r="C199" s="2" t="s">
        <v>31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8">
        <f t="shared" si="6"/>
        <v>0</v>
      </c>
    </row>
    <row r="200" spans="1:16" x14ac:dyDescent="0.3">
      <c r="A200" s="2" t="s">
        <v>71</v>
      </c>
      <c r="B200" s="2" t="s">
        <v>48</v>
      </c>
      <c r="C200" s="2" t="s">
        <v>32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8">
        <f t="shared" si="6"/>
        <v>0</v>
      </c>
    </row>
    <row r="201" spans="1:16" x14ac:dyDescent="0.3">
      <c r="A201" s="2" t="s">
        <v>71</v>
      </c>
      <c r="B201" s="2" t="s">
        <v>48</v>
      </c>
      <c r="C201" s="2" t="s">
        <v>33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8">
        <f t="shared" si="6"/>
        <v>0</v>
      </c>
    </row>
    <row r="202" spans="1:16" x14ac:dyDescent="0.3">
      <c r="A202" s="2" t="s">
        <v>71</v>
      </c>
      <c r="B202" s="2" t="s">
        <v>48</v>
      </c>
      <c r="C202" s="2" t="s">
        <v>34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8">
        <f t="shared" si="6"/>
        <v>0</v>
      </c>
    </row>
    <row r="203" spans="1:16" x14ac:dyDescent="0.3">
      <c r="A203" s="2" t="s">
        <v>71</v>
      </c>
      <c r="B203" s="2" t="s">
        <v>48</v>
      </c>
      <c r="C203" s="2" t="s">
        <v>35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8">
        <f t="shared" si="6"/>
        <v>0</v>
      </c>
    </row>
    <row r="204" spans="1:16" x14ac:dyDescent="0.3">
      <c r="A204" s="2" t="s">
        <v>71</v>
      </c>
      <c r="B204" s="2" t="s">
        <v>48</v>
      </c>
      <c r="C204" s="2" t="s">
        <v>36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8">
        <f t="shared" si="6"/>
        <v>0</v>
      </c>
    </row>
    <row r="205" spans="1:16" x14ac:dyDescent="0.3">
      <c r="A205" s="2" t="s">
        <v>71</v>
      </c>
      <c r="B205" s="2" t="s">
        <v>48</v>
      </c>
      <c r="C205" s="2" t="s">
        <v>37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8">
        <f t="shared" si="6"/>
        <v>0</v>
      </c>
    </row>
    <row r="206" spans="1:16" x14ac:dyDescent="0.3">
      <c r="A206" s="2" t="s">
        <v>71</v>
      </c>
      <c r="B206" s="2" t="s">
        <v>48</v>
      </c>
      <c r="C206" s="2" t="s">
        <v>38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8">
        <f t="shared" si="6"/>
        <v>0</v>
      </c>
    </row>
    <row r="207" spans="1:16" x14ac:dyDescent="0.3">
      <c r="A207" s="2" t="s">
        <v>71</v>
      </c>
      <c r="B207" s="2" t="s">
        <v>48</v>
      </c>
      <c r="C207" s="2" t="s">
        <v>39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8">
        <f t="shared" si="6"/>
        <v>0</v>
      </c>
    </row>
    <row r="208" spans="1:16" x14ac:dyDescent="0.3">
      <c r="A208" s="2" t="s">
        <v>71</v>
      </c>
      <c r="B208" s="2" t="s">
        <v>48</v>
      </c>
      <c r="C208" s="2" t="s">
        <v>40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8">
        <f t="shared" si="6"/>
        <v>0</v>
      </c>
    </row>
    <row r="209" spans="1:16" x14ac:dyDescent="0.3">
      <c r="A209" s="2" t="s">
        <v>71</v>
      </c>
      <c r="B209" s="2" t="s">
        <v>49</v>
      </c>
      <c r="C209" s="2" t="s">
        <v>18</v>
      </c>
      <c r="D209" s="7">
        <f t="shared" ref="D209:O209" si="7">D140+D163</f>
        <v>26.466666666666661</v>
      </c>
      <c r="E209" s="7">
        <f t="shared" si="7"/>
        <v>26.466666666666661</v>
      </c>
      <c r="F209" s="7">
        <f t="shared" si="7"/>
        <v>26.466666666666661</v>
      </c>
      <c r="G209" s="7">
        <f t="shared" si="7"/>
        <v>26.466666666666661</v>
      </c>
      <c r="H209" s="7">
        <f t="shared" si="7"/>
        <v>26.466666666666661</v>
      </c>
      <c r="I209" s="7">
        <f t="shared" si="7"/>
        <v>26.466666666666661</v>
      </c>
      <c r="J209" s="7">
        <f t="shared" si="7"/>
        <v>26.466666666666661</v>
      </c>
      <c r="K209" s="7">
        <f t="shared" si="7"/>
        <v>26.466666666666661</v>
      </c>
      <c r="L209" s="7">
        <f t="shared" si="7"/>
        <v>26.466666666666661</v>
      </c>
      <c r="M209" s="7">
        <f t="shared" si="7"/>
        <v>26.466666666666661</v>
      </c>
      <c r="N209" s="7">
        <f t="shared" si="7"/>
        <v>26.466666666666661</v>
      </c>
      <c r="O209" s="7">
        <f t="shared" si="7"/>
        <v>26.466666666666661</v>
      </c>
      <c r="P209" s="8">
        <f t="shared" si="6"/>
        <v>317.59999999999991</v>
      </c>
    </row>
    <row r="210" spans="1:16" x14ac:dyDescent="0.3">
      <c r="A210" s="2" t="s">
        <v>71</v>
      </c>
      <c r="B210" s="2" t="s">
        <v>49</v>
      </c>
      <c r="C210" s="2" t="s">
        <v>19</v>
      </c>
      <c r="D210" s="7">
        <f t="shared" ref="D210:O210" si="8">D141+D164</f>
        <v>23.908333333333331</v>
      </c>
      <c r="E210" s="7">
        <f t="shared" si="8"/>
        <v>23.908333333333331</v>
      </c>
      <c r="F210" s="7">
        <f t="shared" si="8"/>
        <v>23.908333333333331</v>
      </c>
      <c r="G210" s="7">
        <f t="shared" si="8"/>
        <v>23.908333333333331</v>
      </c>
      <c r="H210" s="7">
        <f t="shared" si="8"/>
        <v>23.908333333333331</v>
      </c>
      <c r="I210" s="7">
        <f t="shared" si="8"/>
        <v>23.908333333333331</v>
      </c>
      <c r="J210" s="7">
        <f t="shared" si="8"/>
        <v>23.908333333333331</v>
      </c>
      <c r="K210" s="7">
        <f t="shared" si="8"/>
        <v>23.908333333333331</v>
      </c>
      <c r="L210" s="7">
        <f t="shared" si="8"/>
        <v>23.908333333333331</v>
      </c>
      <c r="M210" s="7">
        <f t="shared" si="8"/>
        <v>23.908333333333331</v>
      </c>
      <c r="N210" s="7">
        <f t="shared" si="8"/>
        <v>23.908333333333331</v>
      </c>
      <c r="O210" s="7">
        <f t="shared" si="8"/>
        <v>23.908333333333331</v>
      </c>
      <c r="P210" s="8">
        <f t="shared" si="6"/>
        <v>286.89999999999998</v>
      </c>
    </row>
    <row r="211" spans="1:16" x14ac:dyDescent="0.3">
      <c r="A211" s="2" t="s">
        <v>71</v>
      </c>
      <c r="B211" s="2" t="s">
        <v>49</v>
      </c>
      <c r="C211" s="2" t="s">
        <v>20</v>
      </c>
      <c r="D211" s="7">
        <f t="shared" ref="D211:O211" si="9">D142+D165</f>
        <v>22.258333333333336</v>
      </c>
      <c r="E211" s="7">
        <f t="shared" si="9"/>
        <v>22.258333333333336</v>
      </c>
      <c r="F211" s="7">
        <f t="shared" si="9"/>
        <v>22.258333333333336</v>
      </c>
      <c r="G211" s="7">
        <f t="shared" si="9"/>
        <v>22.258333333333336</v>
      </c>
      <c r="H211" s="7">
        <f t="shared" si="9"/>
        <v>22.258333333333336</v>
      </c>
      <c r="I211" s="7">
        <f t="shared" si="9"/>
        <v>22.258333333333336</v>
      </c>
      <c r="J211" s="7">
        <f t="shared" si="9"/>
        <v>22.258333333333336</v>
      </c>
      <c r="K211" s="7">
        <f t="shared" si="9"/>
        <v>22.258333333333336</v>
      </c>
      <c r="L211" s="7">
        <f t="shared" si="9"/>
        <v>22.258333333333336</v>
      </c>
      <c r="M211" s="7">
        <f t="shared" si="9"/>
        <v>22.258333333333336</v>
      </c>
      <c r="N211" s="7">
        <f t="shared" si="9"/>
        <v>22.258333333333336</v>
      </c>
      <c r="O211" s="7">
        <f t="shared" si="9"/>
        <v>22.258333333333336</v>
      </c>
      <c r="P211" s="8">
        <f t="shared" si="6"/>
        <v>267.09999999999997</v>
      </c>
    </row>
    <row r="212" spans="1:16" x14ac:dyDescent="0.3">
      <c r="A212" s="2" t="s">
        <v>71</v>
      </c>
      <c r="B212" s="2" t="s">
        <v>49</v>
      </c>
      <c r="C212" s="2" t="s">
        <v>21</v>
      </c>
      <c r="D212" s="7">
        <f t="shared" ref="D212:O212" si="10">D143+D166</f>
        <v>13.9</v>
      </c>
      <c r="E212" s="7">
        <f t="shared" si="10"/>
        <v>13.9</v>
      </c>
      <c r="F212" s="7">
        <f t="shared" si="10"/>
        <v>13.9</v>
      </c>
      <c r="G212" s="7">
        <f t="shared" si="10"/>
        <v>13.9</v>
      </c>
      <c r="H212" s="7">
        <f t="shared" si="10"/>
        <v>13.9</v>
      </c>
      <c r="I212" s="7">
        <f t="shared" si="10"/>
        <v>13.9</v>
      </c>
      <c r="J212" s="7">
        <f t="shared" si="10"/>
        <v>13.9</v>
      </c>
      <c r="K212" s="7">
        <f t="shared" si="10"/>
        <v>13.9</v>
      </c>
      <c r="L212" s="7">
        <f t="shared" si="10"/>
        <v>13.9</v>
      </c>
      <c r="M212" s="7">
        <f t="shared" si="10"/>
        <v>13.9</v>
      </c>
      <c r="N212" s="7">
        <f t="shared" si="10"/>
        <v>13.9</v>
      </c>
      <c r="O212" s="7">
        <f t="shared" si="10"/>
        <v>13.9</v>
      </c>
      <c r="P212" s="8">
        <f t="shared" si="6"/>
        <v>166.80000000000004</v>
      </c>
    </row>
    <row r="213" spans="1:16" x14ac:dyDescent="0.3">
      <c r="A213" s="2" t="s">
        <v>71</v>
      </c>
      <c r="B213" s="2" t="s">
        <v>49</v>
      </c>
      <c r="C213" s="2" t="s">
        <v>22</v>
      </c>
      <c r="D213" s="7">
        <f t="shared" ref="D213:O213" si="11">D144+D167</f>
        <v>15.941666666666666</v>
      </c>
      <c r="E213" s="7">
        <f t="shared" si="11"/>
        <v>15.941666666666666</v>
      </c>
      <c r="F213" s="7">
        <f t="shared" si="11"/>
        <v>15.941666666666666</v>
      </c>
      <c r="G213" s="7">
        <f t="shared" si="11"/>
        <v>15.941666666666666</v>
      </c>
      <c r="H213" s="7">
        <f t="shared" si="11"/>
        <v>15.941666666666666</v>
      </c>
      <c r="I213" s="7">
        <f t="shared" si="11"/>
        <v>15.941666666666666</v>
      </c>
      <c r="J213" s="7">
        <f t="shared" si="11"/>
        <v>15.941666666666666</v>
      </c>
      <c r="K213" s="7">
        <f t="shared" si="11"/>
        <v>15.941666666666666</v>
      </c>
      <c r="L213" s="7">
        <f t="shared" si="11"/>
        <v>15.941666666666666</v>
      </c>
      <c r="M213" s="7">
        <f t="shared" si="11"/>
        <v>15.941666666666666</v>
      </c>
      <c r="N213" s="7">
        <f t="shared" si="11"/>
        <v>15.941666666666666</v>
      </c>
      <c r="O213" s="7">
        <f t="shared" si="11"/>
        <v>15.941666666666666</v>
      </c>
      <c r="P213" s="8">
        <f t="shared" si="6"/>
        <v>191.29999999999998</v>
      </c>
    </row>
    <row r="214" spans="1:16" x14ac:dyDescent="0.3">
      <c r="A214" s="2" t="s">
        <v>71</v>
      </c>
      <c r="B214" s="2" t="s">
        <v>49</v>
      </c>
      <c r="C214" s="2" t="s">
        <v>23</v>
      </c>
      <c r="D214" s="7">
        <f t="shared" ref="D214:O214" si="12">D145+D168</f>
        <v>13.000000000000004</v>
      </c>
      <c r="E214" s="7">
        <f t="shared" si="12"/>
        <v>13.000000000000004</v>
      </c>
      <c r="F214" s="7">
        <f t="shared" si="12"/>
        <v>13.000000000000004</v>
      </c>
      <c r="G214" s="7">
        <f t="shared" si="12"/>
        <v>13.000000000000004</v>
      </c>
      <c r="H214" s="7">
        <f t="shared" si="12"/>
        <v>13.000000000000004</v>
      </c>
      <c r="I214" s="7">
        <f t="shared" si="12"/>
        <v>13.000000000000004</v>
      </c>
      <c r="J214" s="7">
        <f t="shared" si="12"/>
        <v>13.000000000000004</v>
      </c>
      <c r="K214" s="7">
        <f t="shared" si="12"/>
        <v>13.000000000000004</v>
      </c>
      <c r="L214" s="7">
        <f t="shared" si="12"/>
        <v>13.000000000000004</v>
      </c>
      <c r="M214" s="7">
        <f t="shared" si="12"/>
        <v>13.000000000000004</v>
      </c>
      <c r="N214" s="7">
        <f t="shared" si="12"/>
        <v>13.000000000000004</v>
      </c>
      <c r="O214" s="7">
        <f t="shared" si="12"/>
        <v>13.000000000000004</v>
      </c>
      <c r="P214" s="8">
        <f t="shared" si="6"/>
        <v>156.00000000000003</v>
      </c>
    </row>
    <row r="215" spans="1:16" x14ac:dyDescent="0.3">
      <c r="A215" s="2" t="s">
        <v>71</v>
      </c>
      <c r="B215" s="2" t="s">
        <v>49</v>
      </c>
      <c r="C215" s="2" t="s">
        <v>24</v>
      </c>
      <c r="D215" s="7">
        <f t="shared" ref="D215:O215" si="13">D146+D169</f>
        <v>13.283333333333331</v>
      </c>
      <c r="E215" s="7">
        <f t="shared" si="13"/>
        <v>13.283333333333331</v>
      </c>
      <c r="F215" s="7">
        <f t="shared" si="13"/>
        <v>13.283333333333331</v>
      </c>
      <c r="G215" s="7">
        <f t="shared" si="13"/>
        <v>13.283333333333331</v>
      </c>
      <c r="H215" s="7">
        <f t="shared" si="13"/>
        <v>13.283333333333331</v>
      </c>
      <c r="I215" s="7">
        <f t="shared" si="13"/>
        <v>13.283333333333331</v>
      </c>
      <c r="J215" s="7">
        <f t="shared" si="13"/>
        <v>13.283333333333331</v>
      </c>
      <c r="K215" s="7">
        <f t="shared" si="13"/>
        <v>13.283333333333331</v>
      </c>
      <c r="L215" s="7">
        <f t="shared" si="13"/>
        <v>13.283333333333331</v>
      </c>
      <c r="M215" s="7">
        <f t="shared" si="13"/>
        <v>13.283333333333331</v>
      </c>
      <c r="N215" s="7">
        <f t="shared" si="13"/>
        <v>13.283333333333331</v>
      </c>
      <c r="O215" s="7">
        <f t="shared" si="13"/>
        <v>13.283333333333331</v>
      </c>
      <c r="P215" s="8">
        <f t="shared" si="6"/>
        <v>159.39999999999998</v>
      </c>
    </row>
    <row r="216" spans="1:16" x14ac:dyDescent="0.3">
      <c r="A216" s="2" t="s">
        <v>71</v>
      </c>
      <c r="B216" s="2" t="s">
        <v>49</v>
      </c>
      <c r="C216" s="2" t="s">
        <v>25</v>
      </c>
      <c r="D216" s="7">
        <f t="shared" ref="D216:O216" si="14">D147+D170</f>
        <v>11.258333333333336</v>
      </c>
      <c r="E216" s="7">
        <f t="shared" si="14"/>
        <v>11.258333333333336</v>
      </c>
      <c r="F216" s="7">
        <f t="shared" si="14"/>
        <v>11.258333333333336</v>
      </c>
      <c r="G216" s="7">
        <f t="shared" si="14"/>
        <v>11.258333333333336</v>
      </c>
      <c r="H216" s="7">
        <f t="shared" si="14"/>
        <v>11.258333333333336</v>
      </c>
      <c r="I216" s="7">
        <f t="shared" si="14"/>
        <v>11.258333333333336</v>
      </c>
      <c r="J216" s="7">
        <f t="shared" si="14"/>
        <v>11.258333333333336</v>
      </c>
      <c r="K216" s="7">
        <f t="shared" si="14"/>
        <v>11.258333333333336</v>
      </c>
      <c r="L216" s="7">
        <f t="shared" si="14"/>
        <v>11.258333333333336</v>
      </c>
      <c r="M216" s="7">
        <f t="shared" si="14"/>
        <v>11.258333333333336</v>
      </c>
      <c r="N216" s="7">
        <f t="shared" si="14"/>
        <v>11.258333333333336</v>
      </c>
      <c r="O216" s="7">
        <f t="shared" si="14"/>
        <v>11.258333333333336</v>
      </c>
      <c r="P216" s="8">
        <f t="shared" si="6"/>
        <v>135.10000000000005</v>
      </c>
    </row>
    <row r="217" spans="1:16" x14ac:dyDescent="0.3">
      <c r="A217" s="2" t="s">
        <v>71</v>
      </c>
      <c r="B217" s="2" t="s">
        <v>49</v>
      </c>
      <c r="C217" s="2" t="s">
        <v>26</v>
      </c>
      <c r="D217" s="7">
        <f t="shared" ref="D217:O217" si="15">D148+D171</f>
        <v>12.916666666666671</v>
      </c>
      <c r="E217" s="7">
        <f t="shared" si="15"/>
        <v>12.916666666666671</v>
      </c>
      <c r="F217" s="7">
        <f t="shared" si="15"/>
        <v>12.916666666666671</v>
      </c>
      <c r="G217" s="7">
        <f t="shared" si="15"/>
        <v>12.916666666666671</v>
      </c>
      <c r="H217" s="7">
        <f t="shared" si="15"/>
        <v>12.916666666666671</v>
      </c>
      <c r="I217" s="7">
        <f t="shared" si="15"/>
        <v>12.916666666666671</v>
      </c>
      <c r="J217" s="7">
        <f t="shared" si="15"/>
        <v>12.916666666666671</v>
      </c>
      <c r="K217" s="7">
        <f t="shared" si="15"/>
        <v>12.916666666666671</v>
      </c>
      <c r="L217" s="7">
        <f t="shared" si="15"/>
        <v>12.916666666666671</v>
      </c>
      <c r="M217" s="7">
        <f t="shared" si="15"/>
        <v>12.916666666666671</v>
      </c>
      <c r="N217" s="7">
        <f t="shared" si="15"/>
        <v>12.916666666666671</v>
      </c>
      <c r="O217" s="7">
        <f t="shared" si="15"/>
        <v>12.916666666666671</v>
      </c>
      <c r="P217" s="8">
        <f t="shared" si="6"/>
        <v>155.00000000000006</v>
      </c>
    </row>
    <row r="218" spans="1:16" x14ac:dyDescent="0.3">
      <c r="A218" s="2" t="s">
        <v>71</v>
      </c>
      <c r="B218" s="2" t="s">
        <v>49</v>
      </c>
      <c r="C218" s="2" t="s">
        <v>27</v>
      </c>
      <c r="D218" s="7">
        <f t="shared" ref="D218:O218" si="16">D149+D172</f>
        <v>9.9916666666666671</v>
      </c>
      <c r="E218" s="7">
        <f t="shared" si="16"/>
        <v>9.9916666666666671</v>
      </c>
      <c r="F218" s="7">
        <f t="shared" si="16"/>
        <v>9.9916666666666671</v>
      </c>
      <c r="G218" s="7">
        <f t="shared" si="16"/>
        <v>9.9916666666666671</v>
      </c>
      <c r="H218" s="7">
        <f t="shared" si="16"/>
        <v>9.9916666666666671</v>
      </c>
      <c r="I218" s="7">
        <f t="shared" si="16"/>
        <v>9.9916666666666671</v>
      </c>
      <c r="J218" s="7">
        <f t="shared" si="16"/>
        <v>9.9916666666666671</v>
      </c>
      <c r="K218" s="7">
        <f t="shared" si="16"/>
        <v>9.9916666666666671</v>
      </c>
      <c r="L218" s="7">
        <f t="shared" si="16"/>
        <v>9.9916666666666671</v>
      </c>
      <c r="M218" s="7">
        <f t="shared" si="16"/>
        <v>9.9916666666666671</v>
      </c>
      <c r="N218" s="7">
        <f t="shared" si="16"/>
        <v>9.9916666666666671</v>
      </c>
      <c r="O218" s="7">
        <f t="shared" si="16"/>
        <v>9.9916666666666671</v>
      </c>
      <c r="P218" s="8">
        <f t="shared" si="6"/>
        <v>119.90000000000003</v>
      </c>
    </row>
    <row r="219" spans="1:16" x14ac:dyDescent="0.3">
      <c r="A219" s="2" t="s">
        <v>71</v>
      </c>
      <c r="B219" s="2" t="s">
        <v>49</v>
      </c>
      <c r="C219" s="2" t="s">
        <v>28</v>
      </c>
      <c r="D219" s="7">
        <f t="shared" ref="D219:O219" si="17">D150+D173</f>
        <v>11.166666666666668</v>
      </c>
      <c r="E219" s="7">
        <f t="shared" si="17"/>
        <v>11.166666666666668</v>
      </c>
      <c r="F219" s="7">
        <f t="shared" si="17"/>
        <v>11.166666666666668</v>
      </c>
      <c r="G219" s="7">
        <f t="shared" si="17"/>
        <v>11.166666666666668</v>
      </c>
      <c r="H219" s="7">
        <f t="shared" si="17"/>
        <v>11.166666666666668</v>
      </c>
      <c r="I219" s="7">
        <f t="shared" si="17"/>
        <v>11.166666666666668</v>
      </c>
      <c r="J219" s="7">
        <f t="shared" si="17"/>
        <v>11.166666666666668</v>
      </c>
      <c r="K219" s="7">
        <f t="shared" si="17"/>
        <v>11.166666666666668</v>
      </c>
      <c r="L219" s="7">
        <f t="shared" si="17"/>
        <v>11.166666666666668</v>
      </c>
      <c r="M219" s="7">
        <f t="shared" si="17"/>
        <v>11.166666666666668</v>
      </c>
      <c r="N219" s="7">
        <f t="shared" si="17"/>
        <v>11.166666666666668</v>
      </c>
      <c r="O219" s="7">
        <f t="shared" si="17"/>
        <v>11.166666666666668</v>
      </c>
      <c r="P219" s="8">
        <f t="shared" si="6"/>
        <v>134.00000000000003</v>
      </c>
    </row>
    <row r="220" spans="1:16" x14ac:dyDescent="0.3">
      <c r="A220" s="2" t="s">
        <v>71</v>
      </c>
      <c r="B220" s="2" t="s">
        <v>49</v>
      </c>
      <c r="C220" s="2" t="s">
        <v>29</v>
      </c>
      <c r="D220" s="7">
        <f t="shared" ref="D220:O220" si="18">D151+D174</f>
        <v>9.5083333333333329</v>
      </c>
      <c r="E220" s="7">
        <f t="shared" si="18"/>
        <v>9.5083333333333329</v>
      </c>
      <c r="F220" s="7">
        <f t="shared" si="18"/>
        <v>9.5083333333333329</v>
      </c>
      <c r="G220" s="7">
        <f t="shared" si="18"/>
        <v>9.5083333333333329</v>
      </c>
      <c r="H220" s="7">
        <f t="shared" si="18"/>
        <v>9.5083333333333329</v>
      </c>
      <c r="I220" s="7">
        <f t="shared" si="18"/>
        <v>9.5083333333333329</v>
      </c>
      <c r="J220" s="7">
        <f t="shared" si="18"/>
        <v>9.5083333333333329</v>
      </c>
      <c r="K220" s="7">
        <f t="shared" si="18"/>
        <v>9.5083333333333329</v>
      </c>
      <c r="L220" s="7">
        <f t="shared" si="18"/>
        <v>9.5083333333333329</v>
      </c>
      <c r="M220" s="7">
        <f t="shared" si="18"/>
        <v>9.5083333333333329</v>
      </c>
      <c r="N220" s="7">
        <f t="shared" si="18"/>
        <v>9.5083333333333329</v>
      </c>
      <c r="O220" s="7">
        <f t="shared" si="18"/>
        <v>9.5083333333333329</v>
      </c>
      <c r="P220" s="8">
        <f t="shared" si="6"/>
        <v>114.09999999999997</v>
      </c>
    </row>
    <row r="221" spans="1:16" x14ac:dyDescent="0.3">
      <c r="A221" s="2" t="s">
        <v>71</v>
      </c>
      <c r="B221" s="2" t="s">
        <v>49</v>
      </c>
      <c r="C221" s="2" t="s">
        <v>30</v>
      </c>
      <c r="D221" s="7">
        <f t="shared" ref="D221:O221" si="19">D152+D175</f>
        <v>14.925000000000002</v>
      </c>
      <c r="E221" s="7">
        <f t="shared" si="19"/>
        <v>14.925000000000002</v>
      </c>
      <c r="F221" s="7">
        <f t="shared" si="19"/>
        <v>14.925000000000002</v>
      </c>
      <c r="G221" s="7">
        <f t="shared" si="19"/>
        <v>14.925000000000002</v>
      </c>
      <c r="H221" s="7">
        <f t="shared" si="19"/>
        <v>14.925000000000002</v>
      </c>
      <c r="I221" s="7">
        <f t="shared" si="19"/>
        <v>14.925000000000002</v>
      </c>
      <c r="J221" s="7">
        <f t="shared" si="19"/>
        <v>14.925000000000002</v>
      </c>
      <c r="K221" s="7">
        <f t="shared" si="19"/>
        <v>14.925000000000002</v>
      </c>
      <c r="L221" s="7">
        <f t="shared" si="19"/>
        <v>14.925000000000002</v>
      </c>
      <c r="M221" s="7">
        <f t="shared" si="19"/>
        <v>14.925000000000002</v>
      </c>
      <c r="N221" s="7">
        <f t="shared" si="19"/>
        <v>14.925000000000002</v>
      </c>
      <c r="O221" s="7">
        <f t="shared" si="19"/>
        <v>14.925000000000002</v>
      </c>
      <c r="P221" s="8">
        <f t="shared" si="6"/>
        <v>179.10000000000005</v>
      </c>
    </row>
    <row r="222" spans="1:16" x14ac:dyDescent="0.3">
      <c r="A222" s="2" t="s">
        <v>71</v>
      </c>
      <c r="B222" s="2" t="s">
        <v>49</v>
      </c>
      <c r="C222" s="2" t="s">
        <v>31</v>
      </c>
      <c r="D222" s="7">
        <f t="shared" ref="D222:O222" si="20">D153+D176</f>
        <v>11.358333333333329</v>
      </c>
      <c r="E222" s="7">
        <f t="shared" si="20"/>
        <v>11.358333333333329</v>
      </c>
      <c r="F222" s="7">
        <f t="shared" si="20"/>
        <v>11.358333333333329</v>
      </c>
      <c r="G222" s="7">
        <f t="shared" si="20"/>
        <v>11.358333333333329</v>
      </c>
      <c r="H222" s="7">
        <f t="shared" si="20"/>
        <v>11.358333333333329</v>
      </c>
      <c r="I222" s="7">
        <f t="shared" si="20"/>
        <v>11.358333333333329</v>
      </c>
      <c r="J222" s="7">
        <f t="shared" si="20"/>
        <v>11.358333333333329</v>
      </c>
      <c r="K222" s="7">
        <f t="shared" si="20"/>
        <v>11.358333333333329</v>
      </c>
      <c r="L222" s="7">
        <f t="shared" si="20"/>
        <v>11.358333333333329</v>
      </c>
      <c r="M222" s="7">
        <f t="shared" si="20"/>
        <v>11.358333333333329</v>
      </c>
      <c r="N222" s="7">
        <f t="shared" si="20"/>
        <v>11.358333333333329</v>
      </c>
      <c r="O222" s="7">
        <f t="shared" si="20"/>
        <v>11.358333333333329</v>
      </c>
      <c r="P222" s="8">
        <f t="shared" ref="P222:P253" si="21">SUM(D222:O222)</f>
        <v>136.29999999999998</v>
      </c>
    </row>
    <row r="223" spans="1:16" x14ac:dyDescent="0.3">
      <c r="A223" s="2" t="s">
        <v>71</v>
      </c>
      <c r="B223" s="2" t="s">
        <v>49</v>
      </c>
      <c r="C223" s="2" t="s">
        <v>32</v>
      </c>
      <c r="D223" s="7">
        <f t="shared" ref="D223:O223" si="22">D154+D177</f>
        <v>7.6416666666666666</v>
      </c>
      <c r="E223" s="7">
        <f t="shared" si="22"/>
        <v>7.6416666666666666</v>
      </c>
      <c r="F223" s="7">
        <f t="shared" si="22"/>
        <v>7.6416666666666666</v>
      </c>
      <c r="G223" s="7">
        <f t="shared" si="22"/>
        <v>7.6416666666666666</v>
      </c>
      <c r="H223" s="7">
        <f t="shared" si="22"/>
        <v>7.6416666666666666</v>
      </c>
      <c r="I223" s="7">
        <f t="shared" si="22"/>
        <v>7.6416666666666666</v>
      </c>
      <c r="J223" s="7">
        <f t="shared" si="22"/>
        <v>7.6416666666666666</v>
      </c>
      <c r="K223" s="7">
        <f t="shared" si="22"/>
        <v>7.6416666666666666</v>
      </c>
      <c r="L223" s="7">
        <f t="shared" si="22"/>
        <v>7.6416666666666666</v>
      </c>
      <c r="M223" s="7">
        <f t="shared" si="22"/>
        <v>7.6416666666666666</v>
      </c>
      <c r="N223" s="7">
        <f t="shared" si="22"/>
        <v>7.6416666666666666</v>
      </c>
      <c r="O223" s="7">
        <f t="shared" si="22"/>
        <v>7.6416666666666666</v>
      </c>
      <c r="P223" s="8">
        <f t="shared" si="21"/>
        <v>91.7</v>
      </c>
    </row>
    <row r="224" spans="1:16" x14ac:dyDescent="0.3">
      <c r="A224" s="2" t="s">
        <v>71</v>
      </c>
      <c r="B224" s="2" t="s">
        <v>49</v>
      </c>
      <c r="C224" s="2" t="s">
        <v>33</v>
      </c>
      <c r="D224" s="7">
        <f t="shared" ref="D224:O224" si="23">D155+D178</f>
        <v>5.1333333333333337</v>
      </c>
      <c r="E224" s="7">
        <f t="shared" si="23"/>
        <v>5.1333333333333337</v>
      </c>
      <c r="F224" s="7">
        <f t="shared" si="23"/>
        <v>5.1333333333333337</v>
      </c>
      <c r="G224" s="7">
        <f t="shared" si="23"/>
        <v>5.1333333333333337</v>
      </c>
      <c r="H224" s="7">
        <f t="shared" si="23"/>
        <v>5.1333333333333337</v>
      </c>
      <c r="I224" s="7">
        <f t="shared" si="23"/>
        <v>5.1333333333333337</v>
      </c>
      <c r="J224" s="7">
        <f t="shared" si="23"/>
        <v>5.1333333333333337</v>
      </c>
      <c r="K224" s="7">
        <f t="shared" si="23"/>
        <v>5.1333333333333337</v>
      </c>
      <c r="L224" s="7">
        <f t="shared" si="23"/>
        <v>5.1333333333333337</v>
      </c>
      <c r="M224" s="7">
        <f t="shared" si="23"/>
        <v>5.1333333333333337</v>
      </c>
      <c r="N224" s="7">
        <f t="shared" si="23"/>
        <v>5.1333333333333337</v>
      </c>
      <c r="O224" s="7">
        <f t="shared" si="23"/>
        <v>5.1333333333333337</v>
      </c>
      <c r="P224" s="8">
        <f t="shared" si="21"/>
        <v>61.6</v>
      </c>
    </row>
    <row r="225" spans="1:16" x14ac:dyDescent="0.3">
      <c r="A225" s="2" t="s">
        <v>71</v>
      </c>
      <c r="B225" s="2" t="s">
        <v>49</v>
      </c>
      <c r="C225" s="2" t="s">
        <v>34</v>
      </c>
      <c r="D225" s="7">
        <f t="shared" ref="D225:O225" si="24">D156+D179</f>
        <v>26.433333333333334</v>
      </c>
      <c r="E225" s="7">
        <f t="shared" si="24"/>
        <v>26.433333333333334</v>
      </c>
      <c r="F225" s="7">
        <f t="shared" si="24"/>
        <v>26.433333333333334</v>
      </c>
      <c r="G225" s="7">
        <f t="shared" si="24"/>
        <v>26.433333333333334</v>
      </c>
      <c r="H225" s="7">
        <f t="shared" si="24"/>
        <v>26.433333333333334</v>
      </c>
      <c r="I225" s="7">
        <f t="shared" si="24"/>
        <v>26.433333333333334</v>
      </c>
      <c r="J225" s="7">
        <f t="shared" si="24"/>
        <v>26.433333333333334</v>
      </c>
      <c r="K225" s="7">
        <f t="shared" si="24"/>
        <v>26.433333333333334</v>
      </c>
      <c r="L225" s="7">
        <f t="shared" si="24"/>
        <v>26.433333333333334</v>
      </c>
      <c r="M225" s="7">
        <f t="shared" si="24"/>
        <v>26.433333333333334</v>
      </c>
      <c r="N225" s="7">
        <f t="shared" si="24"/>
        <v>26.433333333333334</v>
      </c>
      <c r="O225" s="7">
        <f t="shared" si="24"/>
        <v>26.433333333333334</v>
      </c>
      <c r="P225" s="8">
        <f t="shared" si="21"/>
        <v>317.2</v>
      </c>
    </row>
    <row r="226" spans="1:16" x14ac:dyDescent="0.3">
      <c r="A226" s="2" t="s">
        <v>71</v>
      </c>
      <c r="B226" s="2" t="s">
        <v>49</v>
      </c>
      <c r="C226" s="2" t="s">
        <v>35</v>
      </c>
      <c r="D226" s="7">
        <f t="shared" ref="D226:O226" si="25">D157+D180</f>
        <v>23.166666666666668</v>
      </c>
      <c r="E226" s="7">
        <f t="shared" si="25"/>
        <v>23.166666666666668</v>
      </c>
      <c r="F226" s="7">
        <f t="shared" si="25"/>
        <v>23.166666666666668</v>
      </c>
      <c r="G226" s="7">
        <f t="shared" si="25"/>
        <v>23.166666666666668</v>
      </c>
      <c r="H226" s="7">
        <f t="shared" si="25"/>
        <v>23.166666666666668</v>
      </c>
      <c r="I226" s="7">
        <f t="shared" si="25"/>
        <v>23.166666666666668</v>
      </c>
      <c r="J226" s="7">
        <f t="shared" si="25"/>
        <v>23.166666666666668</v>
      </c>
      <c r="K226" s="7">
        <f t="shared" si="25"/>
        <v>23.166666666666668</v>
      </c>
      <c r="L226" s="7">
        <f t="shared" si="25"/>
        <v>23.166666666666668</v>
      </c>
      <c r="M226" s="7">
        <f t="shared" si="25"/>
        <v>23.166666666666668</v>
      </c>
      <c r="N226" s="7">
        <f t="shared" si="25"/>
        <v>23.166666666666668</v>
      </c>
      <c r="O226" s="7">
        <f t="shared" si="25"/>
        <v>23.166666666666668</v>
      </c>
      <c r="P226" s="8">
        <f t="shared" si="21"/>
        <v>277.99999999999994</v>
      </c>
    </row>
    <row r="227" spans="1:16" x14ac:dyDescent="0.3">
      <c r="A227" s="2" t="s">
        <v>71</v>
      </c>
      <c r="B227" s="2" t="s">
        <v>49</v>
      </c>
      <c r="C227" s="2" t="s">
        <v>36</v>
      </c>
      <c r="D227" s="7">
        <f t="shared" ref="D227:O227" si="26">D158+D181</f>
        <v>24.875</v>
      </c>
      <c r="E227" s="7">
        <f t="shared" si="26"/>
        <v>24.875</v>
      </c>
      <c r="F227" s="7">
        <f t="shared" si="26"/>
        <v>24.875</v>
      </c>
      <c r="G227" s="7">
        <f t="shared" si="26"/>
        <v>24.875</v>
      </c>
      <c r="H227" s="7">
        <f t="shared" si="26"/>
        <v>24.875</v>
      </c>
      <c r="I227" s="7">
        <f t="shared" si="26"/>
        <v>24.875</v>
      </c>
      <c r="J227" s="7">
        <f t="shared" si="26"/>
        <v>24.875</v>
      </c>
      <c r="K227" s="7">
        <f t="shared" si="26"/>
        <v>24.875</v>
      </c>
      <c r="L227" s="7">
        <f t="shared" si="26"/>
        <v>24.875</v>
      </c>
      <c r="M227" s="7">
        <f t="shared" si="26"/>
        <v>24.875</v>
      </c>
      <c r="N227" s="7">
        <f t="shared" si="26"/>
        <v>24.875</v>
      </c>
      <c r="O227" s="7">
        <f t="shared" si="26"/>
        <v>24.875</v>
      </c>
      <c r="P227" s="8">
        <f t="shared" si="21"/>
        <v>298.5</v>
      </c>
    </row>
    <row r="228" spans="1:16" x14ac:dyDescent="0.3">
      <c r="A228" s="2" t="s">
        <v>71</v>
      </c>
      <c r="B228" s="2" t="s">
        <v>49</v>
      </c>
      <c r="C228" s="2" t="s">
        <v>37</v>
      </c>
      <c r="D228" s="7">
        <f t="shared" ref="D228:O228" si="27">D159+D182</f>
        <v>23.69166666666667</v>
      </c>
      <c r="E228" s="7">
        <f t="shared" si="27"/>
        <v>23.69166666666667</v>
      </c>
      <c r="F228" s="7">
        <f t="shared" si="27"/>
        <v>23.69166666666667</v>
      </c>
      <c r="G228" s="7">
        <f t="shared" si="27"/>
        <v>23.69166666666667</v>
      </c>
      <c r="H228" s="7">
        <f t="shared" si="27"/>
        <v>23.69166666666667</v>
      </c>
      <c r="I228" s="7">
        <f t="shared" si="27"/>
        <v>23.69166666666667</v>
      </c>
      <c r="J228" s="7">
        <f t="shared" si="27"/>
        <v>23.69166666666667</v>
      </c>
      <c r="K228" s="7">
        <f t="shared" si="27"/>
        <v>23.69166666666667</v>
      </c>
      <c r="L228" s="7">
        <f t="shared" si="27"/>
        <v>23.69166666666667</v>
      </c>
      <c r="M228" s="7">
        <f t="shared" si="27"/>
        <v>23.69166666666667</v>
      </c>
      <c r="N228" s="7">
        <f t="shared" si="27"/>
        <v>23.69166666666667</v>
      </c>
      <c r="O228" s="7">
        <f t="shared" si="27"/>
        <v>23.69166666666667</v>
      </c>
      <c r="P228" s="8">
        <f t="shared" si="21"/>
        <v>284.3</v>
      </c>
    </row>
    <row r="229" spans="1:16" x14ac:dyDescent="0.3">
      <c r="A229" s="2" t="s">
        <v>71</v>
      </c>
      <c r="B229" s="2" t="s">
        <v>49</v>
      </c>
      <c r="C229" s="2" t="s">
        <v>38</v>
      </c>
      <c r="D229" s="7">
        <f t="shared" ref="D229:O229" si="28">D160+D183</f>
        <v>8.7166666666666668</v>
      </c>
      <c r="E229" s="7">
        <f t="shared" si="28"/>
        <v>8.7166666666666668</v>
      </c>
      <c r="F229" s="7">
        <f t="shared" si="28"/>
        <v>8.7166666666666668</v>
      </c>
      <c r="G229" s="7">
        <f t="shared" si="28"/>
        <v>8.7166666666666668</v>
      </c>
      <c r="H229" s="7">
        <f t="shared" si="28"/>
        <v>8.7166666666666668</v>
      </c>
      <c r="I229" s="7">
        <f t="shared" si="28"/>
        <v>8.7166666666666668</v>
      </c>
      <c r="J229" s="7">
        <f t="shared" si="28"/>
        <v>8.7166666666666668</v>
      </c>
      <c r="K229" s="7">
        <f t="shared" si="28"/>
        <v>8.7166666666666668</v>
      </c>
      <c r="L229" s="7">
        <f t="shared" si="28"/>
        <v>8.7166666666666668</v>
      </c>
      <c r="M229" s="7">
        <f t="shared" si="28"/>
        <v>8.7166666666666668</v>
      </c>
      <c r="N229" s="7">
        <f t="shared" si="28"/>
        <v>8.7166666666666668</v>
      </c>
      <c r="O229" s="7">
        <f t="shared" si="28"/>
        <v>8.7166666666666668</v>
      </c>
      <c r="P229" s="8">
        <f t="shared" si="21"/>
        <v>104.60000000000001</v>
      </c>
    </row>
    <row r="230" spans="1:16" x14ac:dyDescent="0.3">
      <c r="A230" s="2" t="s">
        <v>71</v>
      </c>
      <c r="B230" s="2" t="s">
        <v>49</v>
      </c>
      <c r="C230" s="2" t="s">
        <v>39</v>
      </c>
      <c r="D230" s="7">
        <f t="shared" ref="D230:O230" si="29">D161+D184</f>
        <v>7.4749999999999996</v>
      </c>
      <c r="E230" s="7">
        <f t="shared" si="29"/>
        <v>7.4749999999999996</v>
      </c>
      <c r="F230" s="7">
        <f t="shared" si="29"/>
        <v>7.4749999999999996</v>
      </c>
      <c r="G230" s="7">
        <f t="shared" si="29"/>
        <v>7.4749999999999996</v>
      </c>
      <c r="H230" s="7">
        <f t="shared" si="29"/>
        <v>7.4749999999999996</v>
      </c>
      <c r="I230" s="7">
        <f t="shared" si="29"/>
        <v>7.4749999999999996</v>
      </c>
      <c r="J230" s="7">
        <f t="shared" si="29"/>
        <v>7.4749999999999996</v>
      </c>
      <c r="K230" s="7">
        <f t="shared" si="29"/>
        <v>7.4749999999999996</v>
      </c>
      <c r="L230" s="7">
        <f t="shared" si="29"/>
        <v>7.4749999999999996</v>
      </c>
      <c r="M230" s="7">
        <f t="shared" si="29"/>
        <v>7.4749999999999996</v>
      </c>
      <c r="N230" s="7">
        <f t="shared" si="29"/>
        <v>7.4749999999999996</v>
      </c>
      <c r="O230" s="7">
        <f t="shared" si="29"/>
        <v>7.4749999999999996</v>
      </c>
      <c r="P230" s="8">
        <f t="shared" si="21"/>
        <v>89.699999999999989</v>
      </c>
    </row>
    <row r="231" spans="1:16" x14ac:dyDescent="0.3">
      <c r="A231" s="2" t="s">
        <v>71</v>
      </c>
      <c r="B231" s="2" t="s">
        <v>49</v>
      </c>
      <c r="C231" s="2" t="s">
        <v>40</v>
      </c>
      <c r="D231" s="7">
        <f t="shared" ref="D231:O231" si="30">D162+D185</f>
        <v>7.7416666666666663</v>
      </c>
      <c r="E231" s="7">
        <f t="shared" si="30"/>
        <v>7.7416666666666663</v>
      </c>
      <c r="F231" s="7">
        <f t="shared" si="30"/>
        <v>7.7416666666666663</v>
      </c>
      <c r="G231" s="7">
        <f t="shared" si="30"/>
        <v>7.7416666666666663</v>
      </c>
      <c r="H231" s="7">
        <f t="shared" si="30"/>
        <v>7.7416666666666663</v>
      </c>
      <c r="I231" s="7">
        <f t="shared" si="30"/>
        <v>7.7416666666666663</v>
      </c>
      <c r="J231" s="7">
        <f t="shared" si="30"/>
        <v>7.7416666666666663</v>
      </c>
      <c r="K231" s="7">
        <f t="shared" si="30"/>
        <v>7.7416666666666663</v>
      </c>
      <c r="L231" s="7">
        <f t="shared" si="30"/>
        <v>7.7416666666666663</v>
      </c>
      <c r="M231" s="7">
        <f t="shared" si="30"/>
        <v>7.7416666666666663</v>
      </c>
      <c r="N231" s="7">
        <f t="shared" si="30"/>
        <v>7.7416666666666663</v>
      </c>
      <c r="O231" s="7">
        <f t="shared" si="30"/>
        <v>7.7416666666666663</v>
      </c>
      <c r="P231" s="8">
        <f t="shared" si="21"/>
        <v>92.899999999999977</v>
      </c>
    </row>
    <row r="232" spans="1:16" x14ac:dyDescent="0.3">
      <c r="A232" s="2" t="s">
        <v>71</v>
      </c>
      <c r="B232" s="2" t="s">
        <v>50</v>
      </c>
      <c r="C232" s="2" t="s">
        <v>18</v>
      </c>
      <c r="D232" s="7">
        <v>629.51850000000002</v>
      </c>
      <c r="E232" s="7">
        <v>629.51850000000002</v>
      </c>
      <c r="F232" s="7">
        <v>629.51850000000002</v>
      </c>
      <c r="G232" s="7">
        <v>629.51850000000002</v>
      </c>
      <c r="H232" s="7">
        <v>629.51850000000002</v>
      </c>
      <c r="I232" s="7">
        <v>629.51850000000002</v>
      </c>
      <c r="J232" s="7">
        <v>629.51850000000002</v>
      </c>
      <c r="K232" s="7">
        <v>629.51850000000002</v>
      </c>
      <c r="L232" s="7">
        <v>629.51850000000002</v>
      </c>
      <c r="M232" s="7">
        <v>629.51850000000002</v>
      </c>
      <c r="N232" s="7">
        <v>629.51850000000002</v>
      </c>
      <c r="O232" s="7">
        <v>629.51850000000002</v>
      </c>
      <c r="P232" s="8">
        <f t="shared" si="21"/>
        <v>7554.2220000000007</v>
      </c>
    </row>
    <row r="233" spans="1:16" x14ac:dyDescent="0.3">
      <c r="A233" s="2" t="s">
        <v>71</v>
      </c>
      <c r="B233" s="2" t="s">
        <v>50</v>
      </c>
      <c r="C233" s="2" t="s">
        <v>19</v>
      </c>
      <c r="D233" s="7">
        <v>785.9368333333332</v>
      </c>
      <c r="E233" s="7">
        <v>785.9368333333332</v>
      </c>
      <c r="F233" s="7">
        <v>785.9368333333332</v>
      </c>
      <c r="G233" s="7">
        <v>785.9368333333332</v>
      </c>
      <c r="H233" s="7">
        <v>785.9368333333332</v>
      </c>
      <c r="I233" s="7">
        <v>785.9368333333332</v>
      </c>
      <c r="J233" s="7">
        <v>785.9368333333332</v>
      </c>
      <c r="K233" s="7">
        <v>785.9368333333332</v>
      </c>
      <c r="L233" s="7">
        <v>785.9368333333332</v>
      </c>
      <c r="M233" s="7">
        <v>785.9368333333332</v>
      </c>
      <c r="N233" s="7">
        <v>785.9368333333332</v>
      </c>
      <c r="O233" s="7">
        <v>785.9368333333332</v>
      </c>
      <c r="P233" s="8">
        <f t="shared" si="21"/>
        <v>9431.2419999999984</v>
      </c>
    </row>
    <row r="234" spans="1:16" x14ac:dyDescent="0.3">
      <c r="A234" s="2" t="s">
        <v>71</v>
      </c>
      <c r="B234" s="2" t="s">
        <v>50</v>
      </c>
      <c r="C234" s="2" t="s">
        <v>20</v>
      </c>
      <c r="D234" s="7">
        <v>822.00300000000004</v>
      </c>
      <c r="E234" s="7">
        <v>822.00300000000004</v>
      </c>
      <c r="F234" s="7">
        <v>822.00300000000004</v>
      </c>
      <c r="G234" s="7">
        <v>822.00300000000004</v>
      </c>
      <c r="H234" s="7">
        <v>822.00300000000004</v>
      </c>
      <c r="I234" s="7">
        <v>822.00300000000004</v>
      </c>
      <c r="J234" s="7">
        <v>822.00300000000004</v>
      </c>
      <c r="K234" s="7">
        <v>822.00300000000004</v>
      </c>
      <c r="L234" s="7">
        <v>822.00300000000004</v>
      </c>
      <c r="M234" s="7">
        <v>822.00300000000004</v>
      </c>
      <c r="N234" s="7">
        <v>822.00300000000004</v>
      </c>
      <c r="O234" s="7">
        <v>822.00300000000004</v>
      </c>
      <c r="P234" s="8">
        <f t="shared" si="21"/>
        <v>9864.0360000000001</v>
      </c>
    </row>
    <row r="235" spans="1:16" x14ac:dyDescent="0.3">
      <c r="A235" s="2" t="s">
        <v>71</v>
      </c>
      <c r="B235" s="2" t="s">
        <v>50</v>
      </c>
      <c r="C235" s="2" t="s">
        <v>21</v>
      </c>
      <c r="D235" s="7">
        <v>789.25149999999996</v>
      </c>
      <c r="E235" s="7">
        <v>789.25149999999996</v>
      </c>
      <c r="F235" s="7">
        <v>789.25149999999996</v>
      </c>
      <c r="G235" s="7">
        <v>789.25149999999996</v>
      </c>
      <c r="H235" s="7">
        <v>789.25149999999996</v>
      </c>
      <c r="I235" s="7">
        <v>789.25149999999996</v>
      </c>
      <c r="J235" s="7">
        <v>789.25149999999996</v>
      </c>
      <c r="K235" s="7">
        <v>789.25149999999996</v>
      </c>
      <c r="L235" s="7">
        <v>789.25149999999996</v>
      </c>
      <c r="M235" s="7">
        <v>789.25149999999996</v>
      </c>
      <c r="N235" s="7">
        <v>789.25149999999996</v>
      </c>
      <c r="O235" s="7">
        <v>789.25149999999996</v>
      </c>
      <c r="P235" s="8">
        <f t="shared" si="21"/>
        <v>9471.0180000000018</v>
      </c>
    </row>
    <row r="236" spans="1:16" x14ac:dyDescent="0.3">
      <c r="A236" s="2" t="s">
        <v>71</v>
      </c>
      <c r="B236" s="2" t="s">
        <v>50</v>
      </c>
      <c r="C236" s="2" t="s">
        <v>22</v>
      </c>
      <c r="D236" s="7">
        <v>832.63916666666648</v>
      </c>
      <c r="E236" s="7">
        <v>832.63916666666648</v>
      </c>
      <c r="F236" s="7">
        <v>832.63916666666648</v>
      </c>
      <c r="G236" s="7">
        <v>832.63916666666648</v>
      </c>
      <c r="H236" s="7">
        <v>832.63916666666648</v>
      </c>
      <c r="I236" s="7">
        <v>832.63916666666648</v>
      </c>
      <c r="J236" s="7">
        <v>832.63916666666648</v>
      </c>
      <c r="K236" s="7">
        <v>832.63916666666648</v>
      </c>
      <c r="L236" s="7">
        <v>832.63916666666648</v>
      </c>
      <c r="M236" s="7">
        <v>832.63916666666648</v>
      </c>
      <c r="N236" s="7">
        <v>832.63916666666648</v>
      </c>
      <c r="O236" s="7">
        <v>832.63916666666648</v>
      </c>
      <c r="P236" s="8">
        <f t="shared" si="21"/>
        <v>9991.6699999999983</v>
      </c>
    </row>
    <row r="237" spans="1:16" x14ac:dyDescent="0.3">
      <c r="A237" s="2" t="s">
        <v>71</v>
      </c>
      <c r="B237" s="2" t="s">
        <v>50</v>
      </c>
      <c r="C237" s="2" t="s">
        <v>23</v>
      </c>
      <c r="D237" s="7">
        <v>640.68716666666671</v>
      </c>
      <c r="E237" s="7">
        <v>640.68716666666671</v>
      </c>
      <c r="F237" s="7">
        <v>640.68716666666671</v>
      </c>
      <c r="G237" s="7">
        <v>640.68716666666671</v>
      </c>
      <c r="H237" s="7">
        <v>640.68716666666671</v>
      </c>
      <c r="I237" s="7">
        <v>640.68716666666671</v>
      </c>
      <c r="J237" s="7">
        <v>640.68716666666671</v>
      </c>
      <c r="K237" s="7">
        <v>640.68716666666671</v>
      </c>
      <c r="L237" s="7">
        <v>640.68716666666671</v>
      </c>
      <c r="M237" s="7">
        <v>640.68716666666671</v>
      </c>
      <c r="N237" s="7">
        <v>640.68716666666671</v>
      </c>
      <c r="O237" s="7">
        <v>640.68716666666671</v>
      </c>
      <c r="P237" s="8">
        <f t="shared" si="21"/>
        <v>7688.2460000000001</v>
      </c>
    </row>
    <row r="238" spans="1:16" x14ac:dyDescent="0.3">
      <c r="A238" s="2" t="s">
        <v>71</v>
      </c>
      <c r="B238" s="2" t="s">
        <v>50</v>
      </c>
      <c r="C238" s="2" t="s">
        <v>24</v>
      </c>
      <c r="D238" s="7">
        <v>732.49983333333319</v>
      </c>
      <c r="E238" s="7">
        <v>732.49983333333319</v>
      </c>
      <c r="F238" s="7">
        <v>732.49983333333319</v>
      </c>
      <c r="G238" s="7">
        <v>732.49983333333319</v>
      </c>
      <c r="H238" s="7">
        <v>732.49983333333319</v>
      </c>
      <c r="I238" s="7">
        <v>732.49983333333319</v>
      </c>
      <c r="J238" s="7">
        <v>732.49983333333319</v>
      </c>
      <c r="K238" s="7">
        <v>732.49983333333319</v>
      </c>
      <c r="L238" s="7">
        <v>732.49983333333319</v>
      </c>
      <c r="M238" s="7">
        <v>732.49983333333319</v>
      </c>
      <c r="N238" s="7">
        <v>732.49983333333319</v>
      </c>
      <c r="O238" s="7">
        <v>732.49983333333319</v>
      </c>
      <c r="P238" s="8">
        <f t="shared" si="21"/>
        <v>8789.9979999999978</v>
      </c>
    </row>
    <row r="239" spans="1:16" x14ac:dyDescent="0.3">
      <c r="A239" s="2" t="s">
        <v>71</v>
      </c>
      <c r="B239" s="2" t="s">
        <v>50</v>
      </c>
      <c r="C239" s="2" t="s">
        <v>25</v>
      </c>
      <c r="D239" s="7">
        <v>715.7266666666668</v>
      </c>
      <c r="E239" s="7">
        <v>715.7266666666668</v>
      </c>
      <c r="F239" s="7">
        <v>715.7266666666668</v>
      </c>
      <c r="G239" s="7">
        <v>715.7266666666668</v>
      </c>
      <c r="H239" s="7">
        <v>715.7266666666668</v>
      </c>
      <c r="I239" s="7">
        <v>715.7266666666668</v>
      </c>
      <c r="J239" s="7">
        <v>715.7266666666668</v>
      </c>
      <c r="K239" s="7">
        <v>715.7266666666668</v>
      </c>
      <c r="L239" s="7">
        <v>715.7266666666668</v>
      </c>
      <c r="M239" s="7">
        <v>715.7266666666668</v>
      </c>
      <c r="N239" s="7">
        <v>715.7266666666668</v>
      </c>
      <c r="O239" s="7">
        <v>715.7266666666668</v>
      </c>
      <c r="P239" s="8">
        <f t="shared" si="21"/>
        <v>8588.7199999999993</v>
      </c>
    </row>
    <row r="240" spans="1:16" x14ac:dyDescent="0.3">
      <c r="A240" s="2" t="s">
        <v>71</v>
      </c>
      <c r="B240" s="2" t="s">
        <v>50</v>
      </c>
      <c r="C240" s="2" t="s">
        <v>26</v>
      </c>
      <c r="D240" s="7">
        <v>608.94166666666661</v>
      </c>
      <c r="E240" s="7">
        <v>608.94166666666661</v>
      </c>
      <c r="F240" s="7">
        <v>608.94166666666661</v>
      </c>
      <c r="G240" s="7">
        <v>608.94166666666661</v>
      </c>
      <c r="H240" s="7">
        <v>608.94166666666661</v>
      </c>
      <c r="I240" s="7">
        <v>608.94166666666661</v>
      </c>
      <c r="J240" s="7">
        <v>608.94166666666661</v>
      </c>
      <c r="K240" s="7">
        <v>608.94166666666661</v>
      </c>
      <c r="L240" s="7">
        <v>608.94166666666661</v>
      </c>
      <c r="M240" s="7">
        <v>608.94166666666661</v>
      </c>
      <c r="N240" s="7">
        <v>608.94166666666661</v>
      </c>
      <c r="O240" s="7">
        <v>608.94166666666661</v>
      </c>
      <c r="P240" s="8">
        <f t="shared" si="21"/>
        <v>7307.2999999999993</v>
      </c>
    </row>
    <row r="241" spans="1:16" x14ac:dyDescent="0.3">
      <c r="A241" s="2" t="s">
        <v>71</v>
      </c>
      <c r="B241" s="2" t="s">
        <v>50</v>
      </c>
      <c r="C241" s="2" t="s">
        <v>27</v>
      </c>
      <c r="D241" s="7">
        <v>566.01575000000003</v>
      </c>
      <c r="E241" s="7">
        <v>566.01575000000003</v>
      </c>
      <c r="F241" s="7">
        <v>566.01575000000003</v>
      </c>
      <c r="G241" s="7">
        <v>566.01575000000003</v>
      </c>
      <c r="H241" s="7">
        <v>566.01575000000003</v>
      </c>
      <c r="I241" s="7">
        <v>566.01575000000003</v>
      </c>
      <c r="J241" s="7">
        <v>566.01575000000003</v>
      </c>
      <c r="K241" s="7">
        <v>566.01575000000003</v>
      </c>
      <c r="L241" s="7">
        <v>566.01575000000003</v>
      </c>
      <c r="M241" s="7">
        <v>566.01575000000003</v>
      </c>
      <c r="N241" s="7">
        <v>566.01575000000003</v>
      </c>
      <c r="O241" s="7">
        <v>566.01575000000003</v>
      </c>
      <c r="P241" s="8">
        <f t="shared" si="21"/>
        <v>6792.1890000000021</v>
      </c>
    </row>
    <row r="242" spans="1:16" x14ac:dyDescent="0.3">
      <c r="A242" s="2" t="s">
        <v>71</v>
      </c>
      <c r="B242" s="2" t="s">
        <v>50</v>
      </c>
      <c r="C242" s="2" t="s">
        <v>28</v>
      </c>
      <c r="D242" s="7">
        <v>556.4065833333334</v>
      </c>
      <c r="E242" s="7">
        <v>556.4065833333334</v>
      </c>
      <c r="F242" s="7">
        <v>556.4065833333334</v>
      </c>
      <c r="G242" s="7">
        <v>556.4065833333334</v>
      </c>
      <c r="H242" s="7">
        <v>556.4065833333334</v>
      </c>
      <c r="I242" s="7">
        <v>556.4065833333334</v>
      </c>
      <c r="J242" s="7">
        <v>556.4065833333334</v>
      </c>
      <c r="K242" s="7">
        <v>556.4065833333334</v>
      </c>
      <c r="L242" s="7">
        <v>556.4065833333334</v>
      </c>
      <c r="M242" s="7">
        <v>556.4065833333334</v>
      </c>
      <c r="N242" s="7">
        <v>556.4065833333334</v>
      </c>
      <c r="O242" s="7">
        <v>556.4065833333334</v>
      </c>
      <c r="P242" s="8">
        <f t="shared" si="21"/>
        <v>6676.8790000000008</v>
      </c>
    </row>
    <row r="243" spans="1:16" x14ac:dyDescent="0.3">
      <c r="A243" s="2" t="s">
        <v>71</v>
      </c>
      <c r="B243" s="2" t="s">
        <v>50</v>
      </c>
      <c r="C243" s="2" t="s">
        <v>29</v>
      </c>
      <c r="D243" s="7">
        <v>638.09141666666665</v>
      </c>
      <c r="E243" s="7">
        <v>638.09141666666665</v>
      </c>
      <c r="F243" s="7">
        <v>638.09141666666665</v>
      </c>
      <c r="G243" s="7">
        <v>638.09141666666665</v>
      </c>
      <c r="H243" s="7">
        <v>638.09141666666665</v>
      </c>
      <c r="I243" s="7">
        <v>638.09141666666665</v>
      </c>
      <c r="J243" s="7">
        <v>638.09141666666665</v>
      </c>
      <c r="K243" s="7">
        <v>638.09141666666665</v>
      </c>
      <c r="L243" s="7">
        <v>638.09141666666665</v>
      </c>
      <c r="M243" s="7">
        <v>638.09141666666665</v>
      </c>
      <c r="N243" s="7">
        <v>638.09141666666665</v>
      </c>
      <c r="O243" s="7">
        <v>638.09141666666665</v>
      </c>
      <c r="P243" s="8">
        <f t="shared" si="21"/>
        <v>7657.0969999999979</v>
      </c>
    </row>
    <row r="244" spans="1:16" x14ac:dyDescent="0.3">
      <c r="A244" s="2" t="s">
        <v>71</v>
      </c>
      <c r="B244" s="2" t="s">
        <v>50</v>
      </c>
      <c r="C244" s="2" t="s">
        <v>30</v>
      </c>
      <c r="D244" s="7">
        <v>523.49591666666663</v>
      </c>
      <c r="E244" s="7">
        <v>523.49591666666663</v>
      </c>
      <c r="F244" s="7">
        <v>523.49591666666663</v>
      </c>
      <c r="G244" s="7">
        <v>523.49591666666663</v>
      </c>
      <c r="H244" s="7">
        <v>523.49591666666663</v>
      </c>
      <c r="I244" s="7">
        <v>523.49591666666663</v>
      </c>
      <c r="J244" s="7">
        <v>523.49591666666663</v>
      </c>
      <c r="K244" s="7">
        <v>523.49591666666663</v>
      </c>
      <c r="L244" s="7">
        <v>523.49591666666663</v>
      </c>
      <c r="M244" s="7">
        <v>523.49591666666663</v>
      </c>
      <c r="N244" s="7">
        <v>523.49591666666663</v>
      </c>
      <c r="O244" s="7">
        <v>523.49591666666663</v>
      </c>
      <c r="P244" s="8">
        <f t="shared" si="21"/>
        <v>6281.951</v>
      </c>
    </row>
    <row r="245" spans="1:16" x14ac:dyDescent="0.3">
      <c r="A245" s="2" t="s">
        <v>71</v>
      </c>
      <c r="B245" s="2" t="s">
        <v>50</v>
      </c>
      <c r="C245" s="2" t="s">
        <v>31</v>
      </c>
      <c r="D245" s="7">
        <v>570.11866666666663</v>
      </c>
      <c r="E245" s="7">
        <v>570.11866666666663</v>
      </c>
      <c r="F245" s="7">
        <v>570.11866666666663</v>
      </c>
      <c r="G245" s="7">
        <v>570.11866666666663</v>
      </c>
      <c r="H245" s="7">
        <v>570.11866666666663</v>
      </c>
      <c r="I245" s="7">
        <v>570.11866666666663</v>
      </c>
      <c r="J245" s="7">
        <v>570.11866666666663</v>
      </c>
      <c r="K245" s="7">
        <v>570.11866666666663</v>
      </c>
      <c r="L245" s="7">
        <v>570.11866666666663</v>
      </c>
      <c r="M245" s="7">
        <v>570.11866666666663</v>
      </c>
      <c r="N245" s="7">
        <v>570.11866666666663</v>
      </c>
      <c r="O245" s="7">
        <v>570.11866666666663</v>
      </c>
      <c r="P245" s="8">
        <f t="shared" si="21"/>
        <v>6841.4239999999982</v>
      </c>
    </row>
    <row r="246" spans="1:16" x14ac:dyDescent="0.3">
      <c r="A246" s="2" t="s">
        <v>71</v>
      </c>
      <c r="B246" s="2" t="s">
        <v>50</v>
      </c>
      <c r="C246" s="2" t="s">
        <v>32</v>
      </c>
      <c r="D246" s="7">
        <v>548.8530833333333</v>
      </c>
      <c r="E246" s="7">
        <v>548.8530833333333</v>
      </c>
      <c r="F246" s="7">
        <v>548.8530833333333</v>
      </c>
      <c r="G246" s="7">
        <v>548.8530833333333</v>
      </c>
      <c r="H246" s="7">
        <v>548.8530833333333</v>
      </c>
      <c r="I246" s="7">
        <v>548.8530833333333</v>
      </c>
      <c r="J246" s="7">
        <v>548.8530833333333</v>
      </c>
      <c r="K246" s="7">
        <v>548.8530833333333</v>
      </c>
      <c r="L246" s="7">
        <v>548.8530833333333</v>
      </c>
      <c r="M246" s="7">
        <v>548.8530833333333</v>
      </c>
      <c r="N246" s="7">
        <v>548.8530833333333</v>
      </c>
      <c r="O246" s="7">
        <v>548.8530833333333</v>
      </c>
      <c r="P246" s="8">
        <f t="shared" si="21"/>
        <v>6586.2370000000001</v>
      </c>
    </row>
    <row r="247" spans="1:16" x14ac:dyDescent="0.3">
      <c r="A247" s="2" t="s">
        <v>71</v>
      </c>
      <c r="B247" s="2" t="s">
        <v>50</v>
      </c>
      <c r="C247" s="2" t="s">
        <v>33</v>
      </c>
      <c r="D247" s="7">
        <v>562.11824999999999</v>
      </c>
      <c r="E247" s="7">
        <v>562.11824999999999</v>
      </c>
      <c r="F247" s="7">
        <v>562.11824999999999</v>
      </c>
      <c r="G247" s="7">
        <v>562.11824999999999</v>
      </c>
      <c r="H247" s="7">
        <v>562.11824999999999</v>
      </c>
      <c r="I247" s="7">
        <v>562.11824999999999</v>
      </c>
      <c r="J247" s="7">
        <v>562.11824999999999</v>
      </c>
      <c r="K247" s="7">
        <v>562.11824999999999</v>
      </c>
      <c r="L247" s="7">
        <v>562.11824999999999</v>
      </c>
      <c r="M247" s="7">
        <v>562.11824999999999</v>
      </c>
      <c r="N247" s="7">
        <v>562.11824999999999</v>
      </c>
      <c r="O247" s="7">
        <v>562.11824999999999</v>
      </c>
      <c r="P247" s="8">
        <f t="shared" si="21"/>
        <v>6745.4189999999981</v>
      </c>
    </row>
    <row r="248" spans="1:16" x14ac:dyDescent="0.3">
      <c r="A248" s="2" t="s">
        <v>71</v>
      </c>
      <c r="B248" s="2" t="s">
        <v>50</v>
      </c>
      <c r="C248" s="2" t="s">
        <v>34</v>
      </c>
      <c r="D248" s="7">
        <v>517.92425000000003</v>
      </c>
      <c r="E248" s="7">
        <v>517.92425000000003</v>
      </c>
      <c r="F248" s="7">
        <v>517.92425000000003</v>
      </c>
      <c r="G248" s="7">
        <v>517.92425000000003</v>
      </c>
      <c r="H248" s="7">
        <v>517.92425000000003</v>
      </c>
      <c r="I248" s="7">
        <v>517.92425000000003</v>
      </c>
      <c r="J248" s="7">
        <v>517.92425000000003</v>
      </c>
      <c r="K248" s="7">
        <v>517.92425000000003</v>
      </c>
      <c r="L248" s="7">
        <v>517.92425000000003</v>
      </c>
      <c r="M248" s="7">
        <v>517.92425000000003</v>
      </c>
      <c r="N248" s="7">
        <v>517.92425000000003</v>
      </c>
      <c r="O248" s="7">
        <v>517.92425000000003</v>
      </c>
      <c r="P248" s="8">
        <f t="shared" si="21"/>
        <v>6215.0910000000003</v>
      </c>
    </row>
    <row r="249" spans="1:16" x14ac:dyDescent="0.3">
      <c r="A249" s="2" t="s">
        <v>71</v>
      </c>
      <c r="B249" s="2" t="s">
        <v>50</v>
      </c>
      <c r="C249" s="2" t="s">
        <v>35</v>
      </c>
      <c r="D249" s="7">
        <v>652.49183333333349</v>
      </c>
      <c r="E249" s="7">
        <v>652.49183333333349</v>
      </c>
      <c r="F249" s="7">
        <v>652.49183333333349</v>
      </c>
      <c r="G249" s="7">
        <v>652.49183333333349</v>
      </c>
      <c r="H249" s="7">
        <v>652.49183333333349</v>
      </c>
      <c r="I249" s="7">
        <v>652.49183333333349</v>
      </c>
      <c r="J249" s="7">
        <v>652.49183333333349</v>
      </c>
      <c r="K249" s="7">
        <v>652.49183333333349</v>
      </c>
      <c r="L249" s="7">
        <v>652.49183333333349</v>
      </c>
      <c r="M249" s="7">
        <v>652.49183333333349</v>
      </c>
      <c r="N249" s="7">
        <v>652.49183333333349</v>
      </c>
      <c r="O249" s="7">
        <v>652.49183333333349</v>
      </c>
      <c r="P249" s="8">
        <f t="shared" si="21"/>
        <v>7829.9020000000019</v>
      </c>
    </row>
    <row r="250" spans="1:16" x14ac:dyDescent="0.3">
      <c r="A250" s="2" t="s">
        <v>71</v>
      </c>
      <c r="B250" s="2" t="s">
        <v>50</v>
      </c>
      <c r="C250" s="2" t="s">
        <v>36</v>
      </c>
      <c r="D250" s="7">
        <v>620.65866666666659</v>
      </c>
      <c r="E250" s="7">
        <v>620.65866666666659</v>
      </c>
      <c r="F250" s="7">
        <v>620.65866666666659</v>
      </c>
      <c r="G250" s="7">
        <v>620.65866666666659</v>
      </c>
      <c r="H250" s="7">
        <v>620.65866666666659</v>
      </c>
      <c r="I250" s="7">
        <v>620.65866666666659</v>
      </c>
      <c r="J250" s="7">
        <v>620.65866666666659</v>
      </c>
      <c r="K250" s="7">
        <v>620.65866666666659</v>
      </c>
      <c r="L250" s="7">
        <v>620.65866666666659</v>
      </c>
      <c r="M250" s="7">
        <v>620.65866666666659</v>
      </c>
      <c r="N250" s="7">
        <v>620.65866666666659</v>
      </c>
      <c r="O250" s="7">
        <v>620.65866666666659</v>
      </c>
      <c r="P250" s="8">
        <f t="shared" si="21"/>
        <v>7447.9039999999977</v>
      </c>
    </row>
    <row r="251" spans="1:16" x14ac:dyDescent="0.3">
      <c r="A251" s="2" t="s">
        <v>71</v>
      </c>
      <c r="B251" s="2" t="s">
        <v>50</v>
      </c>
      <c r="C251" s="2" t="s">
        <v>37</v>
      </c>
      <c r="D251" s="7">
        <v>426.19141666666661</v>
      </c>
      <c r="E251" s="7">
        <v>426.19141666666661</v>
      </c>
      <c r="F251" s="7">
        <v>426.19141666666661</v>
      </c>
      <c r="G251" s="7">
        <v>426.19141666666661</v>
      </c>
      <c r="H251" s="7">
        <v>426.19141666666661</v>
      </c>
      <c r="I251" s="7">
        <v>426.19141666666661</v>
      </c>
      <c r="J251" s="7">
        <v>426.19141666666661</v>
      </c>
      <c r="K251" s="7">
        <v>426.19141666666661</v>
      </c>
      <c r="L251" s="7">
        <v>426.19141666666661</v>
      </c>
      <c r="M251" s="7">
        <v>426.19141666666661</v>
      </c>
      <c r="N251" s="7">
        <v>426.19141666666661</v>
      </c>
      <c r="O251" s="7">
        <v>426.19141666666661</v>
      </c>
      <c r="P251" s="8">
        <f t="shared" si="21"/>
        <v>5114.2969999999996</v>
      </c>
    </row>
    <row r="252" spans="1:16" x14ac:dyDescent="0.3">
      <c r="A252" s="2" t="s">
        <v>71</v>
      </c>
      <c r="B252" s="2" t="s">
        <v>50</v>
      </c>
      <c r="C252" s="2" t="s">
        <v>38</v>
      </c>
      <c r="D252" s="7">
        <v>549.51175000000001</v>
      </c>
      <c r="E252" s="7">
        <v>549.51175000000001</v>
      </c>
      <c r="F252" s="7">
        <v>549.51175000000001</v>
      </c>
      <c r="G252" s="7">
        <v>549.51175000000001</v>
      </c>
      <c r="H252" s="7">
        <v>549.51175000000001</v>
      </c>
      <c r="I252" s="7">
        <v>549.51175000000001</v>
      </c>
      <c r="J252" s="7">
        <v>549.51175000000001</v>
      </c>
      <c r="K252" s="7">
        <v>549.51175000000001</v>
      </c>
      <c r="L252" s="7">
        <v>549.51175000000001</v>
      </c>
      <c r="M252" s="7">
        <v>549.51175000000001</v>
      </c>
      <c r="N252" s="7">
        <v>549.51175000000001</v>
      </c>
      <c r="O252" s="7">
        <v>549.51175000000001</v>
      </c>
      <c r="P252" s="8">
        <f t="shared" si="21"/>
        <v>6594.1409999999987</v>
      </c>
    </row>
    <row r="253" spans="1:16" x14ac:dyDescent="0.3">
      <c r="A253" s="2" t="s">
        <v>71</v>
      </c>
      <c r="B253" s="2" t="s">
        <v>50</v>
      </c>
      <c r="C253" s="2" t="s">
        <v>39</v>
      </c>
      <c r="D253" s="7">
        <v>514.96066666666673</v>
      </c>
      <c r="E253" s="7">
        <v>514.96066666666673</v>
      </c>
      <c r="F253" s="7">
        <v>514.96066666666673</v>
      </c>
      <c r="G253" s="7">
        <v>514.96066666666673</v>
      </c>
      <c r="H253" s="7">
        <v>514.96066666666673</v>
      </c>
      <c r="I253" s="7">
        <v>514.96066666666673</v>
      </c>
      <c r="J253" s="7">
        <v>514.96066666666673</v>
      </c>
      <c r="K253" s="7">
        <v>514.96066666666673</v>
      </c>
      <c r="L253" s="7">
        <v>514.96066666666673</v>
      </c>
      <c r="M253" s="7">
        <v>514.96066666666673</v>
      </c>
      <c r="N253" s="7">
        <v>514.96066666666673</v>
      </c>
      <c r="O253" s="7">
        <v>514.96066666666673</v>
      </c>
      <c r="P253" s="8">
        <f t="shared" si="21"/>
        <v>6179.5280000000012</v>
      </c>
    </row>
    <row r="254" spans="1:16" x14ac:dyDescent="0.3">
      <c r="A254" s="2" t="s">
        <v>71</v>
      </c>
      <c r="B254" s="2" t="s">
        <v>50</v>
      </c>
      <c r="C254" s="2" t="s">
        <v>40</v>
      </c>
      <c r="D254" s="7">
        <v>501.71224999999998</v>
      </c>
      <c r="E254" s="7">
        <v>501.71224999999998</v>
      </c>
      <c r="F254" s="7">
        <v>501.71224999999998</v>
      </c>
      <c r="G254" s="7">
        <v>501.71224999999998</v>
      </c>
      <c r="H254" s="7">
        <v>501.71224999999998</v>
      </c>
      <c r="I254" s="7">
        <v>501.71224999999998</v>
      </c>
      <c r="J254" s="7">
        <v>501.71224999999998</v>
      </c>
      <c r="K254" s="7">
        <v>501.71224999999998</v>
      </c>
      <c r="L254" s="7">
        <v>501.71224999999998</v>
      </c>
      <c r="M254" s="7">
        <v>501.71224999999998</v>
      </c>
      <c r="N254" s="7">
        <v>501.71224999999998</v>
      </c>
      <c r="O254" s="7">
        <v>501.71224999999998</v>
      </c>
      <c r="P254" s="8">
        <f t="shared" ref="P254" si="31">SUM(D254:O254)</f>
        <v>6020.5469999999987</v>
      </c>
    </row>
    <row r="255" spans="1:16" x14ac:dyDescent="0.3">
      <c r="A255" s="2" t="s">
        <v>71</v>
      </c>
      <c r="B255" s="2" t="s">
        <v>51</v>
      </c>
      <c r="C255" s="2" t="s">
        <v>18</v>
      </c>
      <c r="D255" s="7">
        <f>2047.5+D71+D117-D94-D209-D232-D186</f>
        <v>8799.8308333333334</v>
      </c>
      <c r="E255" s="7">
        <f t="shared" ref="E255:O255" si="32">D255+E71+E117-E94-E209-E232-E186</f>
        <v>8116.1896666666671</v>
      </c>
      <c r="F255" s="7">
        <f t="shared" si="32"/>
        <v>7453.826500000001</v>
      </c>
      <c r="G255" s="7">
        <f t="shared" si="32"/>
        <v>6783.4013333333342</v>
      </c>
      <c r="H255" s="7">
        <f t="shared" si="32"/>
        <v>6074.5081666666683</v>
      </c>
      <c r="I255" s="7">
        <f t="shared" si="32"/>
        <v>5409.6650000000027</v>
      </c>
      <c r="J255" s="7">
        <f t="shared" si="32"/>
        <v>4741.2998333333362</v>
      </c>
      <c r="K255" s="7">
        <f t="shared" si="32"/>
        <v>4096.05666666667</v>
      </c>
      <c r="L255" s="7">
        <f t="shared" si="32"/>
        <v>3440.7255000000036</v>
      </c>
      <c r="M255" s="7">
        <f t="shared" si="32"/>
        <v>2786.9543333333368</v>
      </c>
      <c r="N255" s="7">
        <f t="shared" si="32"/>
        <v>2115.4051666666701</v>
      </c>
      <c r="O255" s="7">
        <f t="shared" si="32"/>
        <v>1474.8000000000029</v>
      </c>
      <c r="P255" s="8">
        <f t="shared" ref="P255:P277" si="33">O255</f>
        <v>1474.8000000000029</v>
      </c>
    </row>
    <row r="256" spans="1:16" x14ac:dyDescent="0.3">
      <c r="A256" s="2" t="s">
        <v>71</v>
      </c>
      <c r="B256" s="2" t="s">
        <v>51</v>
      </c>
      <c r="C256" s="2" t="s">
        <v>19</v>
      </c>
      <c r="D256" s="7">
        <f t="shared" ref="D256:D277" si="34">O255+D72+D118-D95-D210-D233-D187</f>
        <v>12833.024833333337</v>
      </c>
      <c r="E256" s="7">
        <f t="shared" ref="E256:O256" si="35">D256+E72+E118-E95-E210-E233-E187</f>
        <v>11987.29966666667</v>
      </c>
      <c r="F256" s="7">
        <f t="shared" si="35"/>
        <v>11040.412500000004</v>
      </c>
      <c r="G256" s="7">
        <f t="shared" si="35"/>
        <v>10024.165333333338</v>
      </c>
      <c r="H256" s="7">
        <f t="shared" si="35"/>
        <v>8971.8981666666732</v>
      </c>
      <c r="I256" s="7">
        <f t="shared" si="35"/>
        <v>8117.3270000000066</v>
      </c>
      <c r="J256" s="7">
        <f t="shared" si="35"/>
        <v>7081.9818333333396</v>
      </c>
      <c r="K256" s="7">
        <f t="shared" si="35"/>
        <v>6064.9446666666727</v>
      </c>
      <c r="L256" s="7">
        <f t="shared" si="35"/>
        <v>4967.3435000000063</v>
      </c>
      <c r="M256" s="7">
        <f t="shared" si="35"/>
        <v>3954.5083333333396</v>
      </c>
      <c r="N256" s="7">
        <f t="shared" si="35"/>
        <v>3019.2551666666732</v>
      </c>
      <c r="O256" s="7">
        <f t="shared" si="35"/>
        <v>2102.0000000000064</v>
      </c>
      <c r="P256" s="8">
        <f t="shared" si="33"/>
        <v>2102.0000000000064</v>
      </c>
    </row>
    <row r="257" spans="1:16" x14ac:dyDescent="0.3">
      <c r="A257" s="2" t="s">
        <v>71</v>
      </c>
      <c r="B257" s="2" t="s">
        <v>51</v>
      </c>
      <c r="C257" s="2" t="s">
        <v>20</v>
      </c>
      <c r="D257" s="7">
        <f t="shared" si="34"/>
        <v>13723.128666666675</v>
      </c>
      <c r="E257" s="7">
        <f t="shared" ref="E257:O257" si="36">D257+E73+E119-E96-E211-E234-E188</f>
        <v>12837.237333333342</v>
      </c>
      <c r="F257" s="7">
        <f t="shared" si="36"/>
        <v>11903.432000000008</v>
      </c>
      <c r="G257" s="7">
        <f t="shared" si="36"/>
        <v>10970.974666666674</v>
      </c>
      <c r="H257" s="7">
        <f t="shared" si="36"/>
        <v>10025.689333333339</v>
      </c>
      <c r="I257" s="7">
        <f t="shared" si="36"/>
        <v>9132.8100000000049</v>
      </c>
      <c r="J257" s="7">
        <f t="shared" si="36"/>
        <v>8121.5746666666719</v>
      </c>
      <c r="K257" s="7">
        <f t="shared" si="36"/>
        <v>7109.4613333333391</v>
      </c>
      <c r="L257" s="7">
        <f t="shared" si="36"/>
        <v>6162.0860000000066</v>
      </c>
      <c r="M257" s="7">
        <f t="shared" si="36"/>
        <v>5261.3466666666736</v>
      </c>
      <c r="N257" s="7">
        <f t="shared" si="36"/>
        <v>4384.5093333333407</v>
      </c>
      <c r="O257" s="7">
        <f t="shared" si="36"/>
        <v>3435.1000000000081</v>
      </c>
      <c r="P257" s="8">
        <f t="shared" si="33"/>
        <v>3435.1000000000081</v>
      </c>
    </row>
    <row r="258" spans="1:16" x14ac:dyDescent="0.3">
      <c r="A258" s="2" t="s">
        <v>71</v>
      </c>
      <c r="B258" s="2" t="s">
        <v>51</v>
      </c>
      <c r="C258" s="2" t="s">
        <v>21</v>
      </c>
      <c r="D258" s="7">
        <f t="shared" si="34"/>
        <v>14000.822500000007</v>
      </c>
      <c r="E258" s="7">
        <f t="shared" ref="E258:O258" si="37">D258+E74+E120-E97-E212-E235-E189</f>
        <v>13016.997000000007</v>
      </c>
      <c r="F258" s="7">
        <f t="shared" si="37"/>
        <v>11954.561500000007</v>
      </c>
      <c r="G258" s="7">
        <f t="shared" si="37"/>
        <v>10772.642000000007</v>
      </c>
      <c r="H258" s="7">
        <f t="shared" si="37"/>
        <v>9818.110500000008</v>
      </c>
      <c r="I258" s="7">
        <f t="shared" si="37"/>
        <v>8643.093000000008</v>
      </c>
      <c r="J258" s="7">
        <f t="shared" si="37"/>
        <v>7647.7275000000081</v>
      </c>
      <c r="K258" s="7">
        <f t="shared" si="37"/>
        <v>6749.124000000008</v>
      </c>
      <c r="L258" s="7">
        <f t="shared" si="37"/>
        <v>5915.8885000000082</v>
      </c>
      <c r="M258" s="7">
        <f t="shared" si="37"/>
        <v>5017.941000000008</v>
      </c>
      <c r="N258" s="7">
        <f t="shared" si="37"/>
        <v>4145.771500000008</v>
      </c>
      <c r="O258" s="7">
        <f t="shared" si="37"/>
        <v>3288.7000000000085</v>
      </c>
      <c r="P258" s="8">
        <f t="shared" si="33"/>
        <v>3288.7000000000085</v>
      </c>
    </row>
    <row r="259" spans="1:16" x14ac:dyDescent="0.3">
      <c r="A259" s="2" t="s">
        <v>71</v>
      </c>
      <c r="B259" s="2" t="s">
        <v>51</v>
      </c>
      <c r="C259" s="2" t="s">
        <v>22</v>
      </c>
      <c r="D259" s="7">
        <f t="shared" si="34"/>
        <v>11941.013166666675</v>
      </c>
      <c r="E259" s="7">
        <f t="shared" ref="E259:O259" si="38">D259+E75+E121-E98-E213-E236-E190</f>
        <v>11032.024333333342</v>
      </c>
      <c r="F259" s="7">
        <f t="shared" si="38"/>
        <v>10027.355500000009</v>
      </c>
      <c r="G259" s="7">
        <f t="shared" si="38"/>
        <v>9034.0566666666764</v>
      </c>
      <c r="H259" s="7">
        <f t="shared" si="38"/>
        <v>8053.8178333333426</v>
      </c>
      <c r="I259" s="7">
        <f t="shared" si="38"/>
        <v>7117.3090000000093</v>
      </c>
      <c r="J259" s="7">
        <f t="shared" si="38"/>
        <v>6136.7161666666761</v>
      </c>
      <c r="K259" s="7">
        <f t="shared" si="38"/>
        <v>5195.641333333343</v>
      </c>
      <c r="L259" s="7">
        <f t="shared" si="38"/>
        <v>4249.5245000000095</v>
      </c>
      <c r="M259" s="7">
        <f t="shared" si="38"/>
        <v>3270.9116666666764</v>
      </c>
      <c r="N259" s="7">
        <f t="shared" si="38"/>
        <v>2388.3268333333435</v>
      </c>
      <c r="O259" s="7">
        <f t="shared" si="38"/>
        <v>1490.7000000000107</v>
      </c>
      <c r="P259" s="8">
        <f t="shared" si="33"/>
        <v>1490.7000000000107</v>
      </c>
    </row>
    <row r="260" spans="1:16" x14ac:dyDescent="0.3">
      <c r="A260" s="2" t="s">
        <v>71</v>
      </c>
      <c r="B260" s="2" t="s">
        <v>51</v>
      </c>
      <c r="C260" s="2" t="s">
        <v>23</v>
      </c>
      <c r="D260" s="7">
        <f t="shared" si="34"/>
        <v>11732.430833333345</v>
      </c>
      <c r="E260" s="7">
        <f t="shared" ref="E260:O260" si="39">D260+E76+E122-E99-E214-E237-E191</f>
        <v>10853.867666666678</v>
      </c>
      <c r="F260" s="7">
        <f t="shared" si="39"/>
        <v>9849.7265000000116</v>
      </c>
      <c r="G260" s="7">
        <f t="shared" si="39"/>
        <v>8829.8973333333452</v>
      </c>
      <c r="H260" s="7">
        <f t="shared" si="39"/>
        <v>7858.386166666678</v>
      </c>
      <c r="I260" s="7">
        <f t="shared" si="39"/>
        <v>6809.5830000000115</v>
      </c>
      <c r="J260" s="7">
        <f t="shared" si="39"/>
        <v>5857.3778333333448</v>
      </c>
      <c r="K260" s="7">
        <f t="shared" si="39"/>
        <v>5009.1786666666785</v>
      </c>
      <c r="L260" s="7">
        <f t="shared" si="39"/>
        <v>4156.7015000000119</v>
      </c>
      <c r="M260" s="7">
        <f t="shared" si="39"/>
        <v>3118.9483333333455</v>
      </c>
      <c r="N260" s="7">
        <f t="shared" si="39"/>
        <v>2265.1711666666788</v>
      </c>
      <c r="O260" s="7">
        <f t="shared" si="39"/>
        <v>1568.4000000000119</v>
      </c>
      <c r="P260" s="8">
        <f t="shared" si="33"/>
        <v>1568.4000000000119</v>
      </c>
    </row>
    <row r="261" spans="1:16" x14ac:dyDescent="0.3">
      <c r="A261" s="2" t="s">
        <v>71</v>
      </c>
      <c r="B261" s="2" t="s">
        <v>51</v>
      </c>
      <c r="C261" s="2" t="s">
        <v>24</v>
      </c>
      <c r="D261" s="7">
        <f t="shared" si="34"/>
        <v>12553.716833333347</v>
      </c>
      <c r="E261" s="7">
        <f t="shared" ref="E261:O261" si="40">D261+E77+E123-E100-E215-E238-E192</f>
        <v>11719.56766666668</v>
      </c>
      <c r="F261" s="7">
        <f t="shared" si="40"/>
        <v>10859.174500000014</v>
      </c>
      <c r="G261" s="7">
        <f t="shared" si="40"/>
        <v>9960.6093333333483</v>
      </c>
      <c r="H261" s="7">
        <f t="shared" si="40"/>
        <v>9113.740166666681</v>
      </c>
      <c r="I261" s="7">
        <f t="shared" si="40"/>
        <v>8206.0830000000151</v>
      </c>
      <c r="J261" s="7">
        <f t="shared" si="40"/>
        <v>7300.3158333333477</v>
      </c>
      <c r="K261" s="7">
        <f t="shared" si="40"/>
        <v>6411.5326666666806</v>
      </c>
      <c r="L261" s="7">
        <f t="shared" si="40"/>
        <v>5548.7215000000133</v>
      </c>
      <c r="M261" s="7">
        <f t="shared" si="40"/>
        <v>4694.2643333333463</v>
      </c>
      <c r="N261" s="7">
        <f t="shared" si="40"/>
        <v>3834.2811666666794</v>
      </c>
      <c r="O261" s="7">
        <f t="shared" si="40"/>
        <v>2963.6000000000126</v>
      </c>
      <c r="P261" s="8">
        <f t="shared" si="33"/>
        <v>2963.6000000000126</v>
      </c>
    </row>
    <row r="262" spans="1:16" x14ac:dyDescent="0.3">
      <c r="A262" s="2" t="s">
        <v>71</v>
      </c>
      <c r="B262" s="2" t="s">
        <v>51</v>
      </c>
      <c r="C262" s="2" t="s">
        <v>25</v>
      </c>
      <c r="D262" s="7">
        <f t="shared" si="34"/>
        <v>11608.471000000014</v>
      </c>
      <c r="E262" s="7">
        <f t="shared" ref="E262:O262" si="41">D262+E78+E124-E101-E216-E239-E193</f>
        <v>10759.756000000012</v>
      </c>
      <c r="F262" s="7">
        <f t="shared" si="41"/>
        <v>9938.4010000000126</v>
      </c>
      <c r="G262" s="7">
        <f t="shared" si="41"/>
        <v>9069.0880000000125</v>
      </c>
      <c r="H262" s="7">
        <f t="shared" si="41"/>
        <v>8251.6310000000121</v>
      </c>
      <c r="I262" s="7">
        <f t="shared" si="41"/>
        <v>7464.6720000000132</v>
      </c>
      <c r="J262" s="7">
        <f t="shared" si="41"/>
        <v>6679.5270000000137</v>
      </c>
      <c r="K262" s="7">
        <f t="shared" si="41"/>
        <v>5796.7280000000137</v>
      </c>
      <c r="L262" s="7">
        <f t="shared" si="41"/>
        <v>4938.9690000000146</v>
      </c>
      <c r="M262" s="7">
        <f t="shared" si="41"/>
        <v>4155.4500000000153</v>
      </c>
      <c r="N262" s="7">
        <f t="shared" si="41"/>
        <v>3316.9570000000149</v>
      </c>
      <c r="O262" s="7">
        <f t="shared" si="41"/>
        <v>2501.6000000000145</v>
      </c>
      <c r="P262" s="8">
        <f t="shared" si="33"/>
        <v>2501.6000000000145</v>
      </c>
    </row>
    <row r="263" spans="1:16" x14ac:dyDescent="0.3">
      <c r="A263" s="2" t="s">
        <v>71</v>
      </c>
      <c r="B263" s="2" t="s">
        <v>51</v>
      </c>
      <c r="C263" s="2" t="s">
        <v>26</v>
      </c>
      <c r="D263" s="7">
        <f t="shared" si="34"/>
        <v>9400.789666666682</v>
      </c>
      <c r="E263" s="7">
        <f t="shared" ref="E263:O263" si="42">D263+E79+E125-E102-E217-E240-E194</f>
        <v>8706.4053333333504</v>
      </c>
      <c r="F263" s="7">
        <f t="shared" si="42"/>
        <v>7959.0130000000181</v>
      </c>
      <c r="G263" s="7">
        <f t="shared" si="42"/>
        <v>7116.8286666666845</v>
      </c>
      <c r="H263" s="7">
        <f t="shared" si="42"/>
        <v>6365.5543333333517</v>
      </c>
      <c r="I263" s="7">
        <f t="shared" si="42"/>
        <v>5629.2640000000174</v>
      </c>
      <c r="J263" s="7">
        <f t="shared" si="42"/>
        <v>4961.0156666666835</v>
      </c>
      <c r="K263" s="7">
        <f t="shared" si="42"/>
        <v>4147.5713333333497</v>
      </c>
      <c r="L263" s="7">
        <f t="shared" si="42"/>
        <v>3453.275000000016</v>
      </c>
      <c r="M263" s="7">
        <f t="shared" si="42"/>
        <v>2797.9466666666831</v>
      </c>
      <c r="N263" s="7">
        <f t="shared" si="42"/>
        <v>2142.28033333335</v>
      </c>
      <c r="O263" s="7">
        <f t="shared" si="42"/>
        <v>1501.9000000000165</v>
      </c>
      <c r="P263" s="8">
        <f t="shared" si="33"/>
        <v>1501.9000000000165</v>
      </c>
    </row>
    <row r="264" spans="1:16" x14ac:dyDescent="0.3">
      <c r="A264" s="2" t="s">
        <v>71</v>
      </c>
      <c r="B264" s="2" t="s">
        <v>51</v>
      </c>
      <c r="C264" s="2" t="s">
        <v>27</v>
      </c>
      <c r="D264" s="7">
        <f t="shared" si="34"/>
        <v>8817.4365833333486</v>
      </c>
      <c r="E264" s="7">
        <f t="shared" ref="E264:O264" si="43">D264+E80+E126-E103-E218-E241-E195</f>
        <v>8224.2591666666813</v>
      </c>
      <c r="F264" s="7">
        <f t="shared" si="43"/>
        <v>7472.9657500000139</v>
      </c>
      <c r="G264" s="7">
        <f t="shared" si="43"/>
        <v>6684.4183333333476</v>
      </c>
      <c r="H264" s="7">
        <f t="shared" si="43"/>
        <v>6014.5129166666811</v>
      </c>
      <c r="I264" s="7">
        <f t="shared" si="43"/>
        <v>5318.0905000000148</v>
      </c>
      <c r="J264" s="7">
        <f t="shared" si="43"/>
        <v>4584.0040833333478</v>
      </c>
      <c r="K264" s="7">
        <f t="shared" si="43"/>
        <v>3827.7526666666804</v>
      </c>
      <c r="L264" s="7">
        <f t="shared" si="43"/>
        <v>3135.2652500000136</v>
      </c>
      <c r="M264" s="7">
        <f t="shared" si="43"/>
        <v>2519.6878333333466</v>
      </c>
      <c r="N264" s="7">
        <f t="shared" si="43"/>
        <v>1838.85541666668</v>
      </c>
      <c r="O264" s="7">
        <f t="shared" si="43"/>
        <v>1195.4000000000135</v>
      </c>
      <c r="P264" s="8">
        <f t="shared" si="33"/>
        <v>1195.4000000000135</v>
      </c>
    </row>
    <row r="265" spans="1:16" x14ac:dyDescent="0.3">
      <c r="A265" s="2" t="s">
        <v>71</v>
      </c>
      <c r="B265" s="2" t="s">
        <v>51</v>
      </c>
      <c r="C265" s="2" t="s">
        <v>28</v>
      </c>
      <c r="D265" s="7">
        <f t="shared" si="34"/>
        <v>8596.3527500000127</v>
      </c>
      <c r="E265" s="7">
        <f t="shared" ref="E265:O265" si="44">D265+E81+E127-E104-E219-E242-E196</f>
        <v>7909.5605000000141</v>
      </c>
      <c r="F265" s="7">
        <f t="shared" si="44"/>
        <v>7153.8002500000139</v>
      </c>
      <c r="G265" s="7">
        <f t="shared" si="44"/>
        <v>6279.5660000000134</v>
      </c>
      <c r="H265" s="7">
        <f t="shared" si="44"/>
        <v>5615.2427500000131</v>
      </c>
      <c r="I265" s="7">
        <f t="shared" si="44"/>
        <v>4895.8795000000127</v>
      </c>
      <c r="J265" s="7">
        <f t="shared" si="44"/>
        <v>4174.7012500000119</v>
      </c>
      <c r="K265" s="7">
        <f t="shared" si="44"/>
        <v>3477.9960000000115</v>
      </c>
      <c r="L265" s="7">
        <f t="shared" si="44"/>
        <v>2799.7807500000117</v>
      </c>
      <c r="M265" s="7">
        <f t="shared" si="44"/>
        <v>2156.0955000000117</v>
      </c>
      <c r="N265" s="7">
        <f t="shared" si="44"/>
        <v>1570.391250000012</v>
      </c>
      <c r="O265" s="7">
        <f t="shared" si="44"/>
        <v>983.40000000001191</v>
      </c>
      <c r="P265" s="8">
        <f t="shared" si="33"/>
        <v>983.40000000001191</v>
      </c>
    </row>
    <row r="266" spans="1:16" x14ac:dyDescent="0.3">
      <c r="A266" s="2" t="s">
        <v>71</v>
      </c>
      <c r="B266" s="2" t="s">
        <v>51</v>
      </c>
      <c r="C266" s="2" t="s">
        <v>29</v>
      </c>
      <c r="D266" s="7">
        <f t="shared" si="34"/>
        <v>10605.508250000014</v>
      </c>
      <c r="E266" s="7">
        <f t="shared" ref="E266:O266" si="45">D266+E82+E128-E105-E220-E243-E197</f>
        <v>9925.1765000000141</v>
      </c>
      <c r="F266" s="7">
        <f t="shared" si="45"/>
        <v>9142.9077500000149</v>
      </c>
      <c r="G266" s="7">
        <f t="shared" si="45"/>
        <v>8222.5640000000149</v>
      </c>
      <c r="H266" s="7">
        <f t="shared" si="45"/>
        <v>7441.2222500000153</v>
      </c>
      <c r="I266" s="7">
        <f t="shared" si="45"/>
        <v>6743.8875000000153</v>
      </c>
      <c r="J266" s="7">
        <f t="shared" si="45"/>
        <v>5929.2537500000162</v>
      </c>
      <c r="K266" s="7">
        <f t="shared" si="45"/>
        <v>5137.132000000016</v>
      </c>
      <c r="L266" s="7">
        <f t="shared" si="45"/>
        <v>4227.4302500000158</v>
      </c>
      <c r="M266" s="7">
        <f t="shared" si="45"/>
        <v>3436.107500000016</v>
      </c>
      <c r="N266" s="7">
        <f t="shared" si="45"/>
        <v>2683.5957500000163</v>
      </c>
      <c r="O266" s="7">
        <f t="shared" si="45"/>
        <v>1942.0000000000168</v>
      </c>
      <c r="P266" s="8">
        <f t="shared" si="33"/>
        <v>1942.0000000000168</v>
      </c>
    </row>
    <row r="267" spans="1:16" x14ac:dyDescent="0.3">
      <c r="A267" s="2" t="s">
        <v>71</v>
      </c>
      <c r="B267" s="2" t="s">
        <v>51</v>
      </c>
      <c r="C267" s="2" t="s">
        <v>30</v>
      </c>
      <c r="D267" s="7">
        <f t="shared" si="34"/>
        <v>8418.6960833333505</v>
      </c>
      <c r="E267" s="7">
        <f t="shared" ref="E267:O267" si="46">D267+E83+E129-E106-E221-E244-E198</f>
        <v>7785.1721666666854</v>
      </c>
      <c r="F267" s="7">
        <f t="shared" si="46"/>
        <v>7149.6532500000185</v>
      </c>
      <c r="G267" s="7">
        <f t="shared" si="46"/>
        <v>6471.2773333333516</v>
      </c>
      <c r="H267" s="7">
        <f t="shared" si="46"/>
        <v>5771.2254166666844</v>
      </c>
      <c r="I267" s="7">
        <f t="shared" si="46"/>
        <v>5018.070500000018</v>
      </c>
      <c r="J267" s="7">
        <f t="shared" si="46"/>
        <v>4415.3515833333504</v>
      </c>
      <c r="K267" s="7">
        <f t="shared" si="46"/>
        <v>3818.334666666683</v>
      </c>
      <c r="L267" s="7">
        <f t="shared" si="46"/>
        <v>3202.9137500000161</v>
      </c>
      <c r="M267" s="7">
        <f t="shared" si="46"/>
        <v>2546.411833333349</v>
      </c>
      <c r="N267" s="7">
        <f t="shared" si="46"/>
        <v>1869.1239166666819</v>
      </c>
      <c r="O267" s="7">
        <f t="shared" si="46"/>
        <v>1217.3000000000152</v>
      </c>
      <c r="P267" s="8">
        <f t="shared" si="33"/>
        <v>1217.3000000000152</v>
      </c>
    </row>
    <row r="268" spans="1:16" x14ac:dyDescent="0.3">
      <c r="A268" s="2" t="s">
        <v>71</v>
      </c>
      <c r="B268" s="2" t="s">
        <v>51</v>
      </c>
      <c r="C268" s="2" t="s">
        <v>31</v>
      </c>
      <c r="D268" s="7">
        <f t="shared" si="34"/>
        <v>8894.3340000000153</v>
      </c>
      <c r="E268" s="7">
        <f t="shared" ref="E268:O268" si="47">D268+E84+E130-E107-E222-E245-E199</f>
        <v>8273.8350000000155</v>
      </c>
      <c r="F268" s="7">
        <f t="shared" si="47"/>
        <v>7573.837000000015</v>
      </c>
      <c r="G268" s="7">
        <f t="shared" si="47"/>
        <v>6890.2470000000149</v>
      </c>
      <c r="H268" s="7">
        <f t="shared" si="47"/>
        <v>6192.6410000000151</v>
      </c>
      <c r="I268" s="7">
        <f t="shared" si="47"/>
        <v>5350.2590000000155</v>
      </c>
      <c r="J268" s="7">
        <f t="shared" si="47"/>
        <v>4661.5370000000157</v>
      </c>
      <c r="K268" s="7">
        <f t="shared" si="47"/>
        <v>3977.790000000015</v>
      </c>
      <c r="L268" s="7">
        <f t="shared" si="47"/>
        <v>3291.9230000000152</v>
      </c>
      <c r="M268" s="7">
        <f t="shared" si="47"/>
        <v>2634.7620000000152</v>
      </c>
      <c r="N268" s="7">
        <f t="shared" si="47"/>
        <v>2031.3380000000157</v>
      </c>
      <c r="O268" s="7">
        <f t="shared" si="47"/>
        <v>1442.7000000000153</v>
      </c>
      <c r="P268" s="8">
        <f t="shared" si="33"/>
        <v>1442.7000000000153</v>
      </c>
    </row>
    <row r="269" spans="1:16" x14ac:dyDescent="0.3">
      <c r="A269" s="2" t="s">
        <v>71</v>
      </c>
      <c r="B269" s="2" t="s">
        <v>51</v>
      </c>
      <c r="C269" s="2" t="s">
        <v>32</v>
      </c>
      <c r="D269" s="7">
        <f t="shared" si="34"/>
        <v>9714.3662500000155</v>
      </c>
      <c r="E269" s="7">
        <f t="shared" ref="E269:O269" si="48">D269+E85+E131-E108-E223-E246-E200</f>
        <v>9149.7755000000161</v>
      </c>
      <c r="F269" s="7">
        <f t="shared" si="48"/>
        <v>8496.3627500000166</v>
      </c>
      <c r="G269" s="7">
        <f t="shared" si="48"/>
        <v>7776.235000000017</v>
      </c>
      <c r="H269" s="7">
        <f t="shared" si="48"/>
        <v>7082.0622500000163</v>
      </c>
      <c r="I269" s="7">
        <f t="shared" si="48"/>
        <v>6447.3125000000164</v>
      </c>
      <c r="J269" s="7">
        <f t="shared" si="48"/>
        <v>5761.3447500000166</v>
      </c>
      <c r="K269" s="7">
        <f t="shared" si="48"/>
        <v>5053.1390000000165</v>
      </c>
      <c r="L269" s="7">
        <f t="shared" si="48"/>
        <v>4326.5082500000162</v>
      </c>
      <c r="M269" s="7">
        <f t="shared" si="48"/>
        <v>3640.0095000000165</v>
      </c>
      <c r="N269" s="7">
        <f t="shared" si="48"/>
        <v>2937.8277500000163</v>
      </c>
      <c r="O269" s="7">
        <f t="shared" si="48"/>
        <v>2121.8000000000156</v>
      </c>
      <c r="P269" s="8">
        <f t="shared" si="33"/>
        <v>2121.8000000000156</v>
      </c>
    </row>
    <row r="270" spans="1:16" x14ac:dyDescent="0.3">
      <c r="A270" s="2" t="s">
        <v>71</v>
      </c>
      <c r="B270" s="2" t="s">
        <v>51</v>
      </c>
      <c r="C270" s="2" t="s">
        <v>33</v>
      </c>
      <c r="D270" s="7">
        <f t="shared" si="34"/>
        <v>9253.384416666684</v>
      </c>
      <c r="E270" s="7">
        <f t="shared" ref="E270:O270" si="49">D270+E86+E132-E109-E224-E247-E201</f>
        <v>8606.2508333333517</v>
      </c>
      <c r="F270" s="7">
        <f t="shared" si="49"/>
        <v>7880.8902500000204</v>
      </c>
      <c r="G270" s="7">
        <f t="shared" si="49"/>
        <v>7137.2446666666874</v>
      </c>
      <c r="H270" s="7">
        <f t="shared" si="49"/>
        <v>6407.5900833333544</v>
      </c>
      <c r="I270" s="7">
        <f t="shared" si="49"/>
        <v>5630.3325000000204</v>
      </c>
      <c r="J270" s="7">
        <f t="shared" si="49"/>
        <v>4883.7979166666864</v>
      </c>
      <c r="K270" s="7">
        <f t="shared" si="49"/>
        <v>4134.9063333333524</v>
      </c>
      <c r="L270" s="7">
        <f t="shared" si="49"/>
        <v>3308.5207500000192</v>
      </c>
      <c r="M270" s="7">
        <f t="shared" si="49"/>
        <v>2560.4931666666857</v>
      </c>
      <c r="N270" s="7">
        <f t="shared" si="49"/>
        <v>1973.6105833333527</v>
      </c>
      <c r="O270" s="7">
        <f t="shared" si="49"/>
        <v>1244.4000000000194</v>
      </c>
      <c r="P270" s="8">
        <f t="shared" si="33"/>
        <v>1244.4000000000194</v>
      </c>
    </row>
    <row r="271" spans="1:16" x14ac:dyDescent="0.3">
      <c r="A271" s="2" t="s">
        <v>71</v>
      </c>
      <c r="B271" s="2" t="s">
        <v>51</v>
      </c>
      <c r="C271" s="2" t="s">
        <v>34</v>
      </c>
      <c r="D271" s="7">
        <f t="shared" si="34"/>
        <v>9018.2054166666876</v>
      </c>
      <c r="E271" s="7">
        <f t="shared" ref="E271:O271" si="50">D271+E87+E133-E110-E225-E248-E202</f>
        <v>8413.0808333333553</v>
      </c>
      <c r="F271" s="7">
        <f t="shared" si="50"/>
        <v>7538.6932500000212</v>
      </c>
      <c r="G271" s="7">
        <f t="shared" si="50"/>
        <v>6740.6206666666876</v>
      </c>
      <c r="H271" s="7">
        <f t="shared" si="50"/>
        <v>5899.7280833333543</v>
      </c>
      <c r="I271" s="7">
        <f t="shared" si="50"/>
        <v>5141.6645000000217</v>
      </c>
      <c r="J271" s="7">
        <f t="shared" si="50"/>
        <v>4402.4639166666884</v>
      </c>
      <c r="K271" s="7">
        <f t="shared" si="50"/>
        <v>3508.9783333333548</v>
      </c>
      <c r="L271" s="7">
        <f t="shared" si="50"/>
        <v>2734.0337500000214</v>
      </c>
      <c r="M271" s="7">
        <f t="shared" si="50"/>
        <v>2114.5681666666878</v>
      </c>
      <c r="N271" s="7">
        <f t="shared" si="50"/>
        <v>1466.0605833333545</v>
      </c>
      <c r="O271" s="7">
        <f t="shared" si="50"/>
        <v>862.60000000002128</v>
      </c>
      <c r="P271" s="8">
        <f t="shared" si="33"/>
        <v>862.60000000002128</v>
      </c>
    </row>
    <row r="272" spans="1:16" x14ac:dyDescent="0.3">
      <c r="A272" s="2" t="s">
        <v>71</v>
      </c>
      <c r="B272" s="2" t="s">
        <v>51</v>
      </c>
      <c r="C272" s="2" t="s">
        <v>35</v>
      </c>
      <c r="D272" s="7">
        <f t="shared" si="34"/>
        <v>10541.325500000023</v>
      </c>
      <c r="E272" s="7">
        <f t="shared" ref="E272:O272" si="51">D272+E88+E134-E111-E226-E249-E203</f>
        <v>9792.8050000000239</v>
      </c>
      <c r="F272" s="7">
        <f t="shared" si="51"/>
        <v>8916.3605000000243</v>
      </c>
      <c r="G272" s="7">
        <f t="shared" si="51"/>
        <v>7975.850000000024</v>
      </c>
      <c r="H272" s="7">
        <f t="shared" si="51"/>
        <v>6975.4155000000228</v>
      </c>
      <c r="I272" s="7">
        <f t="shared" si="51"/>
        <v>6083.1590000000224</v>
      </c>
      <c r="J272" s="7">
        <f t="shared" si="51"/>
        <v>5282.7875000000222</v>
      </c>
      <c r="K272" s="7">
        <f t="shared" si="51"/>
        <v>4407.0570000000225</v>
      </c>
      <c r="L272" s="7">
        <f t="shared" si="51"/>
        <v>3619.4365000000225</v>
      </c>
      <c r="M272" s="7">
        <f t="shared" si="51"/>
        <v>2721.3190000000227</v>
      </c>
      <c r="N272" s="7">
        <f t="shared" si="51"/>
        <v>1867.1385000000228</v>
      </c>
      <c r="O272" s="7">
        <f t="shared" si="51"/>
        <v>956.50000000002251</v>
      </c>
      <c r="P272" s="8">
        <f t="shared" si="33"/>
        <v>956.50000000002251</v>
      </c>
    </row>
    <row r="273" spans="1:16" x14ac:dyDescent="0.3">
      <c r="A273" s="2" t="s">
        <v>71</v>
      </c>
      <c r="B273" s="2" t="s">
        <v>51</v>
      </c>
      <c r="C273" s="2" t="s">
        <v>36</v>
      </c>
      <c r="D273" s="7">
        <f t="shared" si="34"/>
        <v>10895.165333333356</v>
      </c>
      <c r="E273" s="7">
        <f t="shared" ref="E273:O273" si="52">D273+E89+E135-E112-E227-E250-E204</f>
        <v>10051.334666666689</v>
      </c>
      <c r="F273" s="7">
        <f t="shared" si="52"/>
        <v>9054.9190000000235</v>
      </c>
      <c r="G273" s="7">
        <f t="shared" si="52"/>
        <v>7989.5253333333567</v>
      </c>
      <c r="H273" s="7">
        <f t="shared" si="52"/>
        <v>7076.1876666666903</v>
      </c>
      <c r="I273" s="7">
        <f t="shared" si="52"/>
        <v>6138.4430000000239</v>
      </c>
      <c r="J273" s="7">
        <f t="shared" si="52"/>
        <v>5193.1953333333568</v>
      </c>
      <c r="K273" s="7">
        <f t="shared" si="52"/>
        <v>4246.22166666669</v>
      </c>
      <c r="L273" s="7">
        <f t="shared" si="52"/>
        <v>3098.6740000000232</v>
      </c>
      <c r="M273" s="7">
        <f t="shared" si="52"/>
        <v>2105.9243333333566</v>
      </c>
      <c r="N273" s="7">
        <f t="shared" si="52"/>
        <v>1368.8966666666897</v>
      </c>
      <c r="O273" s="7">
        <f t="shared" si="52"/>
        <v>710.80000000002303</v>
      </c>
      <c r="P273" s="8">
        <f t="shared" si="33"/>
        <v>710.80000000002303</v>
      </c>
    </row>
    <row r="274" spans="1:16" x14ac:dyDescent="0.3">
      <c r="A274" s="2" t="s">
        <v>71</v>
      </c>
      <c r="B274" s="2" t="s">
        <v>51</v>
      </c>
      <c r="C274" s="2" t="s">
        <v>37</v>
      </c>
      <c r="D274" s="7">
        <f t="shared" si="34"/>
        <v>7253.05191666669</v>
      </c>
      <c r="E274" s="7">
        <f t="shared" ref="E274:O274" si="53">D274+E90+E136-E113-E228-E251-E205</f>
        <v>6451.5948333333572</v>
      </c>
      <c r="F274" s="7">
        <f t="shared" si="53"/>
        <v>5400.7377500000239</v>
      </c>
      <c r="G274" s="7">
        <f t="shared" si="53"/>
        <v>4748.8936666666914</v>
      </c>
      <c r="H274" s="7">
        <f t="shared" si="53"/>
        <v>4065.6085833333582</v>
      </c>
      <c r="I274" s="7">
        <f t="shared" si="53"/>
        <v>3572.7295000000249</v>
      </c>
      <c r="J274" s="7">
        <f t="shared" si="53"/>
        <v>3057.0024166666917</v>
      </c>
      <c r="K274" s="7">
        <f t="shared" si="53"/>
        <v>2518.7833333333583</v>
      </c>
      <c r="L274" s="7">
        <f t="shared" si="53"/>
        <v>2063.1302500000252</v>
      </c>
      <c r="M274" s="7">
        <f t="shared" si="53"/>
        <v>1584.8851666666922</v>
      </c>
      <c r="N274" s="7">
        <f t="shared" si="53"/>
        <v>1076.9850833333592</v>
      </c>
      <c r="O274" s="7">
        <f t="shared" si="53"/>
        <v>542.80000000002588</v>
      </c>
      <c r="P274" s="8">
        <f t="shared" si="33"/>
        <v>542.80000000002588</v>
      </c>
    </row>
    <row r="275" spans="1:16" x14ac:dyDescent="0.3">
      <c r="A275" s="2" t="s">
        <v>71</v>
      </c>
      <c r="B275" s="2" t="s">
        <v>51</v>
      </c>
      <c r="C275" s="2" t="s">
        <v>38</v>
      </c>
      <c r="D275" s="7">
        <f t="shared" si="34"/>
        <v>9883.9745833333618</v>
      </c>
      <c r="E275" s="7">
        <f t="shared" ref="E275:O275" si="54">D275+E91+E137-E114-E229-E252-E206</f>
        <v>9052.7711666666946</v>
      </c>
      <c r="F275" s="7">
        <f t="shared" si="54"/>
        <v>8047.2047500000281</v>
      </c>
      <c r="G275" s="7">
        <f t="shared" si="54"/>
        <v>7013.5763333333616</v>
      </c>
      <c r="H275" s="7">
        <f t="shared" si="54"/>
        <v>6152.2989166666957</v>
      </c>
      <c r="I275" s="7">
        <f t="shared" si="54"/>
        <v>5375.7755000000298</v>
      </c>
      <c r="J275" s="7">
        <f t="shared" si="54"/>
        <v>4513.7380833333636</v>
      </c>
      <c r="K275" s="7">
        <f t="shared" si="54"/>
        <v>3679.1986666666976</v>
      </c>
      <c r="L275" s="7">
        <f t="shared" si="54"/>
        <v>2933.7322500000305</v>
      </c>
      <c r="M275" s="7">
        <f t="shared" si="54"/>
        <v>2080.8458333333638</v>
      </c>
      <c r="N275" s="7">
        <f t="shared" si="54"/>
        <v>1331.229416666697</v>
      </c>
      <c r="O275" s="7">
        <f t="shared" si="54"/>
        <v>708.50000000003035</v>
      </c>
      <c r="P275" s="8">
        <f t="shared" si="33"/>
        <v>708.50000000003035</v>
      </c>
    </row>
    <row r="276" spans="1:16" x14ac:dyDescent="0.3">
      <c r="A276" s="2" t="s">
        <v>71</v>
      </c>
      <c r="B276" s="2" t="s">
        <v>51</v>
      </c>
      <c r="C276" s="2" t="s">
        <v>39</v>
      </c>
      <c r="D276" s="7">
        <f t="shared" si="34"/>
        <v>9090.2033333333657</v>
      </c>
      <c r="E276" s="7">
        <f t="shared" ref="E276:O276" si="55">D276+E92+E138-E115-E230-E253-E207</f>
        <v>8468.1886666666996</v>
      </c>
      <c r="F276" s="7">
        <f t="shared" si="55"/>
        <v>7675.1920000000327</v>
      </c>
      <c r="G276" s="7">
        <f t="shared" si="55"/>
        <v>6770.954333333365</v>
      </c>
      <c r="H276" s="7">
        <f t="shared" si="55"/>
        <v>6157.7406666666975</v>
      </c>
      <c r="I276" s="7">
        <f t="shared" si="55"/>
        <v>5570.8630000000303</v>
      </c>
      <c r="J276" s="7">
        <f t="shared" si="55"/>
        <v>4814.1853333333629</v>
      </c>
      <c r="K276" s="7">
        <f t="shared" si="55"/>
        <v>4133.2876666666953</v>
      </c>
      <c r="L276" s="7">
        <f t="shared" si="55"/>
        <v>3290.3630000000289</v>
      </c>
      <c r="M276" s="7">
        <f t="shared" si="55"/>
        <v>2581.9223333333621</v>
      </c>
      <c r="N276" s="7">
        <f t="shared" si="55"/>
        <v>1695.3826666666955</v>
      </c>
      <c r="O276" s="7">
        <f t="shared" si="55"/>
        <v>1151.600000000029</v>
      </c>
      <c r="P276" s="8">
        <f t="shared" si="33"/>
        <v>1151.600000000029</v>
      </c>
    </row>
    <row r="277" spans="1:16" x14ac:dyDescent="0.3">
      <c r="A277" s="2" t="s">
        <v>71</v>
      </c>
      <c r="B277" s="2" t="s">
        <v>51</v>
      </c>
      <c r="C277" s="2" t="s">
        <v>40</v>
      </c>
      <c r="D277" s="7">
        <f t="shared" si="34"/>
        <v>8682.9900833333631</v>
      </c>
      <c r="E277" s="7">
        <f t="shared" ref="E277:O277" si="56">D277+E93+E139-E116-E231-E254-E208</f>
        <v>8021.8731666666981</v>
      </c>
      <c r="F277" s="7">
        <f t="shared" si="56"/>
        <v>7145.3522500000317</v>
      </c>
      <c r="G277" s="7">
        <f t="shared" si="56"/>
        <v>6344.874333333365</v>
      </c>
      <c r="H277" s="7">
        <f t="shared" si="56"/>
        <v>5668.1664166666978</v>
      </c>
      <c r="I277" s="7">
        <f t="shared" si="56"/>
        <v>5124.4475000000311</v>
      </c>
      <c r="J277" s="7">
        <f t="shared" si="56"/>
        <v>4512.4125833333646</v>
      </c>
      <c r="K277" s="7">
        <f t="shared" si="56"/>
        <v>3790.9226666666987</v>
      </c>
      <c r="L277" s="7">
        <f t="shared" si="56"/>
        <v>3101.7527500000319</v>
      </c>
      <c r="M277" s="7">
        <f t="shared" si="56"/>
        <v>2390.1628333333651</v>
      </c>
      <c r="N277" s="7">
        <f t="shared" si="56"/>
        <v>1768.4699166666983</v>
      </c>
      <c r="O277" s="7">
        <f t="shared" si="56"/>
        <v>1248.7000000000317</v>
      </c>
      <c r="P277" s="8">
        <f t="shared" si="33"/>
        <v>1248.7000000000317</v>
      </c>
    </row>
  </sheetData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2"/>
  <sheetViews>
    <sheetView workbookViewId="0">
      <pane xSplit="3" ySplit="2" topLeftCell="D3" activePane="bottomRight" state="frozen"/>
      <selection pane="topRight"/>
      <selection pane="bottomLeft"/>
      <selection pane="bottomRight" activeCell="A25" sqref="A25:XFD32"/>
    </sheetView>
  </sheetViews>
  <sheetFormatPr defaultRowHeight="14.4" x14ac:dyDescent="0.3"/>
  <cols>
    <col min="1" max="1" width="18" customWidth="1"/>
    <col min="2" max="2" width="22" customWidth="1"/>
    <col min="3" max="3" width="9" customWidth="1"/>
    <col min="4" max="26" width="10" customWidth="1"/>
  </cols>
  <sheetData>
    <row r="1" spans="1:26" ht="25.8" x14ac:dyDescent="0.5">
      <c r="A1" s="9" t="s">
        <v>71</v>
      </c>
    </row>
    <row r="2" spans="1:26" x14ac:dyDescent="0.3">
      <c r="A2" s="10" t="s">
        <v>0</v>
      </c>
      <c r="B2" s="10" t="s">
        <v>1</v>
      </c>
      <c r="C2" s="10" t="s">
        <v>53</v>
      </c>
      <c r="D2" s="10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10" t="s">
        <v>23</v>
      </c>
      <c r="J2" s="10" t="s">
        <v>24</v>
      </c>
      <c r="K2" s="10" t="s">
        <v>25</v>
      </c>
      <c r="L2" s="10" t="s">
        <v>26</v>
      </c>
      <c r="M2" s="10" t="s">
        <v>27</v>
      </c>
      <c r="N2" s="10" t="s">
        <v>28</v>
      </c>
      <c r="O2" s="10" t="s">
        <v>29</v>
      </c>
      <c r="P2" s="10" t="s">
        <v>30</v>
      </c>
      <c r="Q2" s="10" t="s">
        <v>31</v>
      </c>
      <c r="R2" s="10" t="s">
        <v>32</v>
      </c>
      <c r="S2" s="10" t="s">
        <v>33</v>
      </c>
      <c r="T2" s="10" t="s">
        <v>34</v>
      </c>
      <c r="U2" s="10" t="s">
        <v>35</v>
      </c>
      <c r="V2" s="10" t="s">
        <v>36</v>
      </c>
      <c r="W2" s="10" t="s">
        <v>37</v>
      </c>
      <c r="X2" s="10" t="s">
        <v>38</v>
      </c>
      <c r="Y2" s="10" t="s">
        <v>39</v>
      </c>
      <c r="Z2" s="10" t="s">
        <v>40</v>
      </c>
    </row>
    <row r="3" spans="1:26" x14ac:dyDescent="0.3">
      <c r="A3" s="11" t="s">
        <v>71</v>
      </c>
      <c r="B3" s="11" t="s">
        <v>17</v>
      </c>
      <c r="C3" s="12" t="s">
        <v>54</v>
      </c>
      <c r="D3" s="13">
        <f>SUMIFS(Barley_Mo!$P:$P,Barley_Mo!$B:$B,"Planted Area",Barley_Mo!$C:$C,RIGHT(D$2,5))</f>
        <v>12.528700000000001</v>
      </c>
      <c r="E3" s="13">
        <f>SUMIFS(Barley_Mo!$P:$P,Barley_Mo!$B:$B,"Planted Area",Barley_Mo!$C:$C,RIGHT(E$2,5))</f>
        <v>12.3294</v>
      </c>
      <c r="F3" s="13">
        <f>SUMIFS(Barley_Mo!$P:$P,Barley_Mo!$B:$B,"Planted Area",Barley_Mo!$C:$C,RIGHT(F$2,5))</f>
        <v>10.952199999999999</v>
      </c>
      <c r="G3" s="13">
        <f>SUMIFS(Barley_Mo!$P:$P,Barley_Mo!$B:$B,"Planted Area",Barley_Mo!$C:$C,RIGHT(G$2,5))</f>
        <v>10.236800000000001</v>
      </c>
      <c r="H3" s="13">
        <f>SUMIFS(Barley_Mo!$P:$P,Barley_Mo!$B:$B,"Planted Area",Barley_Mo!$C:$C,RIGHT(H$2,5))</f>
        <v>9.1180000000000003</v>
      </c>
      <c r="I3" s="13">
        <f>SUMIFS(Barley_Mo!$P:$P,Barley_Mo!$B:$B,"Planted Area",Barley_Mo!$C:$C,RIGHT(I$2,5))</f>
        <v>10.784800000000001</v>
      </c>
      <c r="J3" s="13">
        <f>SUMIFS(Barley_Mo!$P:$P,Barley_Mo!$B:$B,"Planted Area",Barley_Mo!$C:$C,RIGHT(J$2,5))</f>
        <v>9.2971000000000004</v>
      </c>
      <c r="K3" s="13">
        <f>SUMIFS(Barley_Mo!$P:$P,Barley_Mo!$B:$B,"Planted Area",Barley_Mo!$C:$C,RIGHT(K$2,5))</f>
        <v>8.6481999999999992</v>
      </c>
      <c r="L3" s="13">
        <f>SUMIFS(Barley_Mo!$P:$P,Barley_Mo!$B:$B,"Planted Area",Barley_Mo!$C:$C,RIGHT(L$2,5))</f>
        <v>6.9154</v>
      </c>
      <c r="M3" s="13">
        <f>SUMIFS(Barley_Mo!$P:$P,Barley_Mo!$B:$B,"Planted Area",Barley_Mo!$C:$C,RIGHT(M$2,5))</f>
        <v>6.5888450000000001</v>
      </c>
      <c r="N3" s="13">
        <f>SUMIFS(Barley_Mo!$P:$P,Barley_Mo!$B:$B,"Planted Area",Barley_Mo!$C:$C,RIGHT(N$2,5))</f>
        <v>7.4499000000000004</v>
      </c>
      <c r="O3" s="13">
        <f>SUMIFS(Barley_Mo!$P:$P,Barley_Mo!$B:$B,"Planted Area",Barley_Mo!$C:$C,RIGHT(O$2,5))</f>
        <v>7.1986999999999997</v>
      </c>
      <c r="P3" s="13">
        <f>SUMIFS(Barley_Mo!$P:$P,Barley_Mo!$B:$B,"Planted Area",Barley_Mo!$C:$C,RIGHT(P$2,5))</f>
        <v>5.9726999999999997</v>
      </c>
      <c r="Q3" s="13">
        <f>SUMIFS(Barley_Mo!$P:$P,Barley_Mo!$B:$B,"Planted Area",Barley_Mo!$C:$C,RIGHT(Q$2,5))</f>
        <v>6.67</v>
      </c>
      <c r="R3" s="13">
        <f>SUMIFS(Barley_Mo!$P:$P,Barley_Mo!$B:$B,"Planted Area",Barley_Mo!$C:$C,RIGHT(R$2,5))</f>
        <v>6.6762220000000001</v>
      </c>
      <c r="S3" s="13">
        <f>SUMIFS(Barley_Mo!$P:$P,Barley_Mo!$B:$B,"Planted Area",Barley_Mo!$C:$C,RIGHT(S$2,5))</f>
        <v>5.766</v>
      </c>
      <c r="T3" s="13">
        <f>SUMIFS(Barley_Mo!$P:$P,Barley_Mo!$B:$B,"Planted Area",Barley_Mo!$C:$C,RIGHT(T$2,5))</f>
        <v>6.4931999999999999</v>
      </c>
      <c r="U3" s="13">
        <f>SUMIFS(Barley_Mo!$P:$P,Barley_Mo!$B:$B,"Planted Area",Barley_Mo!$C:$C,RIGHT(U$2,5))</f>
        <v>7.4020999999999999</v>
      </c>
      <c r="V3" s="13">
        <f>SUMIFS(Barley_Mo!$P:$P,Barley_Mo!$B:$B,"Planted Area",Barley_Mo!$C:$C,RIGHT(V$2,5))</f>
        <v>7.5612000000000004</v>
      </c>
      <c r="W3" s="13">
        <f>SUMIFS(Barley_Mo!$P:$P,Barley_Mo!$B:$B,"Planted Area",Barley_Mo!$C:$C,RIGHT(W$2,5))</f>
        <v>8.322139</v>
      </c>
      <c r="X3" s="13">
        <f>SUMIFS(Barley_Mo!$P:$P,Barley_Mo!$B:$B,"Planted Area",Barley_Mo!$C:$C,RIGHT(X$2,5))</f>
        <v>7.0446999999999997</v>
      </c>
      <c r="Y3" s="13">
        <f>SUMIFS(Barley_Mo!$P:$P,Barley_Mo!$B:$B,"Planted Area",Barley_Mo!$C:$C,RIGHT(Y$2,5))</f>
        <v>7.3305999999999996</v>
      </c>
      <c r="Z3" s="13">
        <f>SUMIFS(Barley_Mo!$P:$P,Barley_Mo!$B:$B,"Planted Area",Barley_Mo!$C:$C,RIGHT(Z$2,5))</f>
        <v>6.4054000000000002</v>
      </c>
    </row>
    <row r="4" spans="1:26" x14ac:dyDescent="0.3">
      <c r="A4" s="11" t="s">
        <v>71</v>
      </c>
      <c r="B4" s="11" t="s">
        <v>41</v>
      </c>
      <c r="C4" s="12" t="s">
        <v>54</v>
      </c>
      <c r="D4" s="13">
        <f>SUMIFS(Barley_Mo!$P:$P,Barley_Mo!$B:$B,"Harvested Area",Barley_Mo!$C:$C,RIGHT(D$2,5))</f>
        <v>8.2578999999999994</v>
      </c>
      <c r="E4" s="13">
        <f>SUMIFS(Barley_Mo!$P:$P,Barley_Mo!$B:$B,"Harvested Area",Barley_Mo!$C:$C,RIGHT(E$2,5))</f>
        <v>10.865500000000001</v>
      </c>
      <c r="F4" s="13">
        <f>SUMIFS(Barley_Mo!$P:$P,Barley_Mo!$B:$B,"Harvested Area",Barley_Mo!$C:$C,RIGHT(F$2,5))</f>
        <v>9.4907000000000004</v>
      </c>
      <c r="G4" s="13">
        <f>SUMIFS(Barley_Mo!$P:$P,Barley_Mo!$B:$B,"Harvested Area",Barley_Mo!$C:$C,RIGHT(G$2,5))</f>
        <v>8.9795999999999996</v>
      </c>
      <c r="H4" s="13">
        <f>SUMIFS(Barley_Mo!$P:$P,Barley_Mo!$B:$B,"Harvested Area",Barley_Mo!$C:$C,RIGHT(H$2,5))</f>
        <v>7.9640000000000004</v>
      </c>
      <c r="I4" s="13">
        <f>SUMIFS(Barley_Mo!$P:$P,Barley_Mo!$B:$B,"Harvested Area",Barley_Mo!$C:$C,RIGHT(I$2,5))</f>
        <v>9.7934999999999999</v>
      </c>
      <c r="J4" s="13">
        <f>SUMIFS(Barley_Mo!$P:$P,Barley_Mo!$B:$B,"Harvested Area",Barley_Mo!$C:$C,RIGHT(J$2,5))</f>
        <v>8.6574000000000009</v>
      </c>
      <c r="K4" s="13">
        <f>SUMIFS(Barley_Mo!$P:$P,Barley_Mo!$B:$B,"Harvested Area",Barley_Mo!$C:$C,RIGHT(K$2,5))</f>
        <v>7.2195</v>
      </c>
      <c r="L4" s="13">
        <f>SUMIFS(Barley_Mo!$P:$P,Barley_Mo!$B:$B,"Harvested Area",Barley_Mo!$C:$C,RIGHT(L$2,5))</f>
        <v>5.9158999999999997</v>
      </c>
      <c r="M4" s="13">
        <f>SUMIFS(Barley_Mo!$P:$P,Barley_Mo!$B:$B,"Harvested Area",Barley_Mo!$C:$C,RIGHT(M$2,5))</f>
        <v>5.9339000000000004</v>
      </c>
      <c r="N4" s="13">
        <f>SUMIFS(Barley_Mo!$P:$P,Barley_Mo!$B:$B,"Harvested Area",Barley_Mo!$C:$C,RIGHT(N$2,5))</f>
        <v>6.8319000000000001</v>
      </c>
      <c r="O4" s="13">
        <f>SUMIFS(Barley_Mo!$P:$P,Barley_Mo!$B:$B,"Harvested Area",Barley_Mo!$C:$C,RIGHT(O$2,5))</f>
        <v>6.6406999999999998</v>
      </c>
      <c r="P4" s="13">
        <f>SUMIFS(Barley_Mo!$P:$P,Barley_Mo!$B:$B,"Harvested Area",Barley_Mo!$C:$C,RIGHT(P$2,5))</f>
        <v>5.3552</v>
      </c>
      <c r="Q4" s="13">
        <f>SUMIFS(Barley_Mo!$P:$P,Barley_Mo!$B:$B,"Harvested Area",Barley_Mo!$C:$C,RIGHT(Q$2,5))</f>
        <v>5.8129</v>
      </c>
      <c r="R4" s="13">
        <f>SUMIFS(Barley_Mo!$P:$P,Barley_Mo!$B:$B,"Harvested Area",Barley_Mo!$C:$C,RIGHT(R$2,5))</f>
        <v>5.5984999999999996</v>
      </c>
      <c r="S4" s="13">
        <f>SUMIFS(Barley_Mo!$P:$P,Barley_Mo!$B:$B,"Harvested Area",Barley_Mo!$C:$C,RIGHT(S$2,5))</f>
        <v>5.2222999999999997</v>
      </c>
      <c r="T4" s="13">
        <f>SUMIFS(Barley_Mo!$P:$P,Barley_Mo!$B:$B,"Harvested Area",Barley_Mo!$C:$C,RIGHT(T$2,5))</f>
        <v>5.9185999999999996</v>
      </c>
      <c r="U4" s="13">
        <f>SUMIFS(Barley_Mo!$P:$P,Barley_Mo!$B:$B,"Harvested Area",Barley_Mo!$C:$C,RIGHT(U$2,5))</f>
        <v>6.74</v>
      </c>
      <c r="V4" s="13">
        <f>SUMIFS(Barley_Mo!$P:$P,Barley_Mo!$B:$B,"Harvested Area",Barley_Mo!$C:$C,RIGHT(V$2,5))</f>
        <v>6.9405999999999999</v>
      </c>
      <c r="W4" s="13">
        <f>SUMIFS(Barley_Mo!$P:$P,Barley_Mo!$B:$B,"Harvested Area",Barley_Mo!$C:$C,RIGHT(W$2,5))</f>
        <v>7.4408570000000003</v>
      </c>
      <c r="X4" s="13">
        <f>SUMIFS(Barley_Mo!$P:$P,Barley_Mo!$B:$B,"Harvested Area",Barley_Mo!$C:$C,RIGHT(X$2,5))</f>
        <v>6.5130999999999997</v>
      </c>
      <c r="Y4" s="13">
        <f>SUMIFS(Barley_Mo!$P:$P,Barley_Mo!$B:$B,"Harvested Area",Barley_Mo!$C:$C,RIGHT(Y$2,5))</f>
        <v>6.6786000000000003</v>
      </c>
      <c r="Z4" s="13">
        <f>SUMIFS(Barley_Mo!$P:$P,Barley_Mo!$B:$B,"Harvested Area",Barley_Mo!$C:$C,RIGHT(Z$2,5))</f>
        <v>5.9156000000000004</v>
      </c>
    </row>
    <row r="5" spans="1:26" x14ac:dyDescent="0.3">
      <c r="A5" s="11" t="s">
        <v>71</v>
      </c>
      <c r="B5" s="11" t="s">
        <v>55</v>
      </c>
      <c r="C5" s="12" t="s">
        <v>56</v>
      </c>
      <c r="D5" s="14">
        <f t="shared" ref="D5:Z5" si="0">IF(D3&lt;&gt;0,D4/D3,"")</f>
        <v>0.65911866354849258</v>
      </c>
      <c r="E5" s="14">
        <f t="shared" si="0"/>
        <v>0.88126753937742319</v>
      </c>
      <c r="F5" s="14">
        <f t="shared" si="0"/>
        <v>0.86655649093332854</v>
      </c>
      <c r="G5" s="14">
        <f t="shared" si="0"/>
        <v>0.87718818380743968</v>
      </c>
      <c r="H5" s="14">
        <f t="shared" si="0"/>
        <v>0.87343715727133142</v>
      </c>
      <c r="I5" s="14">
        <f t="shared" si="0"/>
        <v>0.90808359913952963</v>
      </c>
      <c r="J5" s="14">
        <f t="shared" si="0"/>
        <v>0.93119359800367862</v>
      </c>
      <c r="K5" s="14">
        <f t="shared" si="0"/>
        <v>0.83479799264586863</v>
      </c>
      <c r="L5" s="14">
        <f t="shared" si="0"/>
        <v>0.85546750730254206</v>
      </c>
      <c r="M5" s="14">
        <f t="shared" si="0"/>
        <v>0.90059790448857124</v>
      </c>
      <c r="N5" s="14">
        <f t="shared" si="0"/>
        <v>0.91704586638746821</v>
      </c>
      <c r="O5" s="14">
        <f t="shared" si="0"/>
        <v>0.92248600441746431</v>
      </c>
      <c r="P5" s="14">
        <f t="shared" si="0"/>
        <v>0.89661292212902044</v>
      </c>
      <c r="Q5" s="14">
        <f t="shared" si="0"/>
        <v>0.87149925037481257</v>
      </c>
      <c r="R5" s="14">
        <f t="shared" si="0"/>
        <v>0.83857307321416208</v>
      </c>
      <c r="S5" s="14">
        <f t="shared" si="0"/>
        <v>0.9057058619493582</v>
      </c>
      <c r="T5" s="14">
        <f t="shared" si="0"/>
        <v>0.9115074231503727</v>
      </c>
      <c r="U5" s="14">
        <f t="shared" si="0"/>
        <v>0.91055241080233995</v>
      </c>
      <c r="V5" s="14">
        <f t="shared" si="0"/>
        <v>0.91792308099243503</v>
      </c>
      <c r="W5" s="14">
        <f t="shared" si="0"/>
        <v>0.89410390766123948</v>
      </c>
      <c r="X5" s="14">
        <f t="shared" si="0"/>
        <v>0.92453901514613823</v>
      </c>
      <c r="Y5" s="14">
        <f t="shared" si="0"/>
        <v>0.91105775789157784</v>
      </c>
      <c r="Z5" s="14">
        <f t="shared" si="0"/>
        <v>0.92353326880444631</v>
      </c>
    </row>
    <row r="6" spans="1:26" x14ac:dyDescent="0.3">
      <c r="A6" s="11" t="s">
        <v>71</v>
      </c>
      <c r="B6" s="11" t="s">
        <v>42</v>
      </c>
      <c r="C6" s="12" t="s">
        <v>57</v>
      </c>
      <c r="D6" s="15">
        <f>SUMIFS(Barley_Mo!$P:$P,Barley_Mo!$B:$B,"Yield",Barley_Mo!$C:$C,RIGHT(D$2,5))</f>
        <v>41.534587960619533</v>
      </c>
      <c r="E6" s="15">
        <f>SUMIFS(Barley_Mo!$P:$P,Barley_Mo!$B:$B,"Yield",Barley_Mo!$C:$C,RIGHT(E$2,5))</f>
        <v>51.419340142653361</v>
      </c>
      <c r="F6" s="15">
        <f>SUMIFS(Barley_Mo!$P:$P,Barley_Mo!$B:$B,"Yield",Barley_Mo!$C:$C,RIGHT(F$2,5))</f>
        <v>60.767299389929093</v>
      </c>
      <c r="G6" s="15">
        <f>SUMIFS(Barley_Mo!$P:$P,Barley_Mo!$B:$B,"Yield",Barley_Mo!$C:$C,RIGHT(G$2,5))</f>
        <v>59.729553316406083</v>
      </c>
      <c r="H6" s="15">
        <f>SUMIFS(Barley_Mo!$P:$P,Barley_Mo!$B:$B,"Yield",Barley_Mo!$C:$C,RIGHT(H$2,5))</f>
        <v>55.209524580612758</v>
      </c>
      <c r="I6" s="15">
        <f>SUMIFS(Barley_Mo!$P:$P,Barley_Mo!$B:$B,"Yield",Barley_Mo!$C:$C,RIGHT(I$2,5))</f>
        <v>51.164828721090522</v>
      </c>
      <c r="J6" s="15">
        <f>SUMIFS(Barley_Mo!$P:$P,Barley_Mo!$B:$B,"Yield",Barley_Mo!$C:$C,RIGHT(J$2,5))</f>
        <v>62.526518317277699</v>
      </c>
      <c r="K6" s="15">
        <f>SUMIFS(Barley_Mo!$P:$P,Barley_Mo!$B:$B,"Yield",Barley_Mo!$C:$C,RIGHT(K$2,5))</f>
        <v>60.617274703234301</v>
      </c>
      <c r="L6" s="15">
        <f>SUMIFS(Barley_Mo!$P:$P,Barley_Mo!$B:$B,"Yield",Barley_Mo!$C:$C,RIGHT(L$2,5))</f>
        <v>59.215714450886601</v>
      </c>
      <c r="M6" s="15">
        <f>SUMIFS(Barley_Mo!$P:$P,Barley_Mo!$B:$B,"Yield",Barley_Mo!$C:$C,RIGHT(M$2,5))</f>
        <v>61.081824499907313</v>
      </c>
      <c r="N6" s="15">
        <f>SUMIFS(Barley_Mo!$P:$P,Barley_Mo!$B:$B,"Yield",Barley_Mo!$C:$C,RIGHT(N$2,5))</f>
        <v>53.865210860814713</v>
      </c>
      <c r="O6" s="15">
        <f>SUMIFS(Barley_Mo!$P:$P,Barley_Mo!$B:$B,"Yield",Barley_Mo!$C:$C,RIGHT(O$2,5))</f>
        <v>71.111445383769791</v>
      </c>
      <c r="P6" s="15">
        <f>SUMIFS(Barley_Mo!$P:$P,Barley_Mo!$B:$B,"Yield",Barley_Mo!$C:$C,RIGHT(P$2,5))</f>
        <v>61.038201613385127</v>
      </c>
      <c r="Q6" s="15">
        <f>SUMIFS(Barley_Mo!$P:$P,Barley_Mo!$B:$B,"Yield",Barley_Mo!$C:$C,RIGHT(Q$2,5))</f>
        <v>65.23806281890279</v>
      </c>
      <c r="R6" s="15">
        <f>SUMIFS(Barley_Mo!$P:$P,Barley_Mo!$B:$B,"Yield",Barley_Mo!$C:$C,RIGHT(R$2,5))</f>
        <v>72.517657629722237</v>
      </c>
      <c r="S6" s="15">
        <f>SUMIFS(Barley_Mo!$P:$P,Barley_Mo!$B:$B,"Yield",Barley_Mo!$C:$C,RIGHT(S$2,5))</f>
        <v>69.403184895544115</v>
      </c>
      <c r="T6" s="15">
        <f>SUMIFS(Barley_Mo!$P:$P,Barley_Mo!$B:$B,"Yield",Barley_Mo!$C:$C,RIGHT(T$2,5))</f>
        <v>65.028261602405976</v>
      </c>
      <c r="U6" s="15">
        <f>SUMIFS(Barley_Mo!$P:$P,Barley_Mo!$B:$B,"Yield",Barley_Mo!$C:$C,RIGHT(U$2,5))</f>
        <v>70.752027442136509</v>
      </c>
      <c r="V6" s="15">
        <f>SUMIFS(Barley_Mo!$P:$P,Barley_Mo!$B:$B,"Yield",Barley_Mo!$C:$C,RIGHT(V$2,5))</f>
        <v>71.076198276806039</v>
      </c>
      <c r="W6" s="15">
        <f>SUMIFS(Barley_Mo!$P:$P,Barley_Mo!$B:$B,"Yield",Barley_Mo!$C:$C,RIGHT(W$2,5))</f>
        <v>43.108977022404822</v>
      </c>
      <c r="X6" s="15">
        <f>SUMIFS(Barley_Mo!$P:$P,Barley_Mo!$B:$B,"Yield",Barley_Mo!$C:$C,RIGHT(X$2,5))</f>
        <v>70.425010566396949</v>
      </c>
      <c r="Y6" s="15">
        <f>SUMIFS(Barley_Mo!$P:$P,Barley_Mo!$B:$B,"Yield",Barley_Mo!$C:$C,RIGHT(Y$2,5))</f>
        <v>61.243592944629121</v>
      </c>
      <c r="Z6" s="15">
        <f>SUMIFS(Barley_Mo!$P:$P,Barley_Mo!$B:$B,"Yield",Barley_Mo!$C:$C,RIGHT(Z$2,5))</f>
        <v>63.23045328284536</v>
      </c>
    </row>
    <row r="8" spans="1:26" x14ac:dyDescent="0.3">
      <c r="A8" s="11" t="s">
        <v>71</v>
      </c>
      <c r="B8" s="11" t="s">
        <v>58</v>
      </c>
      <c r="C8" s="12" t="s">
        <v>59</v>
      </c>
      <c r="D8" s="16">
        <f>SUMIFS(Barley_Mo!$D:$D,Barley_Mo!$B:$B,"STOCKS",Barley_Mo!$C:$C,RIGHT(D$2,5))-SUMIFS(Barley_Mo!$D:$D,Barley_Mo!$B:$B,"Production",Barley_Mo!$C:$C,RIGHT(D$2,5))-SUMIFS(Barley_Mo!$D:$D,Barley_Mo!$B:$B,"Imports",Barley_Mo!$C:$C,RIGHT(D$2,5))+SUMIFS(Barley_Mo!$D:$D,Barley_Mo!$B:$B,"Exports",Barley_Mo!$C:$C,RIGHT(D$2,5))+SUMIFS(Barley_Mo!$D:$D,Barley_Mo!$B:$B,"Food &amp; Processing",Barley_Mo!$C:$C,RIGHT(D$2,5))+SUMIFS(Barley_Mo!$D:$D,Barley_Mo!$B:$B,"FSR",Barley_Mo!$C:$C,RIGHT(D$2,5))+SUMIFS(Barley_Mo!$D:$D,Barley_Mo!$B:$B,"Seed",Barley_Mo!$C:$C,RIGHT(D$2,5))</f>
        <v>2047.5</v>
      </c>
      <c r="E8" s="16">
        <f t="shared" ref="E8:Z8" si="1">D19</f>
        <v>1474.7999999999993</v>
      </c>
      <c r="F8" s="16">
        <f t="shared" si="1"/>
        <v>2102.0000000000018</v>
      </c>
      <c r="G8" s="16">
        <f t="shared" si="1"/>
        <v>3435.1000000000022</v>
      </c>
      <c r="H8" s="16">
        <f t="shared" si="1"/>
        <v>3288.7000000000025</v>
      </c>
      <c r="I8" s="16">
        <f t="shared" si="1"/>
        <v>1490.7000000000044</v>
      </c>
      <c r="J8" s="16">
        <f t="shared" si="1"/>
        <v>1568.4000000000033</v>
      </c>
      <c r="K8" s="16">
        <f t="shared" si="1"/>
        <v>2963.6000000000058</v>
      </c>
      <c r="L8" s="16">
        <f t="shared" si="1"/>
        <v>2501.6000000000076</v>
      </c>
      <c r="M8" s="16">
        <f t="shared" si="1"/>
        <v>1501.9000000000087</v>
      </c>
      <c r="N8" s="16">
        <f t="shared" si="1"/>
        <v>1195.4000000000069</v>
      </c>
      <c r="O8" s="16">
        <f t="shared" si="1"/>
        <v>983.40000000000691</v>
      </c>
      <c r="P8" s="16">
        <f t="shared" si="1"/>
        <v>1942.0000000000091</v>
      </c>
      <c r="Q8" s="16">
        <f t="shared" si="1"/>
        <v>1217.3000000000084</v>
      </c>
      <c r="R8" s="16">
        <f t="shared" si="1"/>
        <v>1442.7000000000098</v>
      </c>
      <c r="S8" s="16">
        <f t="shared" si="1"/>
        <v>2121.8000000000102</v>
      </c>
      <c r="T8" s="16">
        <f t="shared" si="1"/>
        <v>1244.4000000000124</v>
      </c>
      <c r="U8" s="16">
        <f t="shared" si="1"/>
        <v>862.6000000000131</v>
      </c>
      <c r="V8" s="16">
        <f t="shared" si="1"/>
        <v>956.50000000001091</v>
      </c>
      <c r="W8" s="16">
        <f t="shared" si="1"/>
        <v>710.80000000001382</v>
      </c>
      <c r="X8" s="16">
        <f t="shared" si="1"/>
        <v>542.80000000001382</v>
      </c>
      <c r="Y8" s="16">
        <f t="shared" si="1"/>
        <v>708.50000000001455</v>
      </c>
      <c r="Z8" s="16">
        <f t="shared" si="1"/>
        <v>1151.6000000000131</v>
      </c>
    </row>
    <row r="9" spans="1:26" x14ac:dyDescent="0.3">
      <c r="A9" s="11" t="s">
        <v>71</v>
      </c>
      <c r="B9" s="11" t="s">
        <v>45</v>
      </c>
      <c r="C9" s="12" t="s">
        <v>59</v>
      </c>
      <c r="D9" s="16">
        <f>SUMIFS(Barley_Mo!$P:$P,Barley_Mo!$B:$B,"Imports",Barley_Mo!$C:$C,RIGHT(D$2,5))</f>
        <v>258.86</v>
      </c>
      <c r="E9" s="16">
        <f>SUMIFS(Barley_Mo!$P:$P,Barley_Mo!$B:$B,"Imports",Barley_Mo!$C:$C,RIGHT(E$2,5))</f>
        <v>35.477999999999994</v>
      </c>
      <c r="F9" s="16">
        <f>SUMIFS(Barley_Mo!$P:$P,Barley_Mo!$B:$B,"Imports",Barley_Mo!$C:$C,RIGHT(F$2,5))</f>
        <v>82.66</v>
      </c>
      <c r="G9" s="16">
        <f>SUMIFS(Barley_Mo!$P:$P,Barley_Mo!$B:$B,"Imports",Barley_Mo!$C:$C,RIGHT(G$2,5))</f>
        <v>45.819999999999993</v>
      </c>
      <c r="H9" s="16">
        <f>SUMIFS(Barley_Mo!$P:$P,Barley_Mo!$B:$B,"Imports",Barley_Mo!$C:$C,RIGHT(H$2,5))</f>
        <v>43.615999999999993</v>
      </c>
      <c r="I9" s="16">
        <f>SUMIFS(Barley_Mo!$P:$P,Barley_Mo!$B:$B,"Imports",Barley_Mo!$C:$C,RIGHT(I$2,5))</f>
        <v>57.777999999999999</v>
      </c>
      <c r="J9" s="16">
        <f>SUMIFS(Barley_Mo!$P:$P,Barley_Mo!$B:$B,"Imports",Barley_Mo!$C:$C,RIGHT(J$2,5))</f>
        <v>41.722000000000001</v>
      </c>
      <c r="K9" s="16">
        <f>SUMIFS(Barley_Mo!$P:$P,Barley_Mo!$B:$B,"Imports",Barley_Mo!$C:$C,RIGHT(K$2,5))</f>
        <v>42.411999999999999</v>
      </c>
      <c r="L9" s="16">
        <f>SUMIFS(Barley_Mo!$P:$P,Barley_Mo!$B:$B,"Imports",Barley_Mo!$C:$C,RIGHT(L$2,5))</f>
        <v>42.74</v>
      </c>
      <c r="M9" s="16">
        <f>SUMIFS(Barley_Mo!$P:$P,Barley_Mo!$B:$B,"Imports",Barley_Mo!$C:$C,RIGHT(M$2,5))</f>
        <v>13.510999999999997</v>
      </c>
      <c r="N9" s="16">
        <f>SUMIFS(Barley_Mo!$P:$P,Barley_Mo!$B:$B,"Imports",Barley_Mo!$C:$C,RIGHT(N$2,5))</f>
        <v>19.041</v>
      </c>
      <c r="O9" s="16">
        <f>SUMIFS(Barley_Mo!$P:$P,Barley_Mo!$B:$B,"Imports",Barley_Mo!$C:$C,RIGHT(O$2,5))</f>
        <v>8.972999999999999</v>
      </c>
      <c r="P9" s="16">
        <f>SUMIFS(Barley_Mo!$P:$P,Barley_Mo!$B:$B,"Imports",Barley_Mo!$C:$C,RIGHT(P$2,5))</f>
        <v>136.07599999999999</v>
      </c>
      <c r="Q9" s="16">
        <f>SUMIFS(Barley_Mo!$P:$P,Barley_Mo!$B:$B,"Imports",Barley_Mo!$C:$C,RIGHT(Q$2,5))</f>
        <v>141.11699999999999</v>
      </c>
      <c r="R9" s="16">
        <f>SUMIFS(Barley_Mo!$P:$P,Barley_Mo!$B:$B,"Imports",Barley_Mo!$C:$C,RIGHT(R$2,5))</f>
        <v>63.944999999999993</v>
      </c>
      <c r="S9" s="16">
        <f>SUMIFS(Barley_Mo!$P:$P,Barley_Mo!$B:$B,"Imports",Barley_Mo!$C:$C,RIGHT(S$2,5))</f>
        <v>58.916999999999987</v>
      </c>
      <c r="T9" s="16">
        <f>SUMIFS(Barley_Mo!$P:$P,Barley_Mo!$B:$B,"Imports",Barley_Mo!$C:$C,RIGHT(T$2,5))</f>
        <v>42.905000000000001</v>
      </c>
      <c r="U9" s="16">
        <f>SUMIFS(Barley_Mo!$P:$P,Barley_Mo!$B:$B,"Imports",Barley_Mo!$C:$C,RIGHT(U$2,5))</f>
        <v>63.279999999999994</v>
      </c>
      <c r="V9" s="16">
        <f>SUMIFS(Barley_Mo!$P:$P,Barley_Mo!$B:$B,"Imports",Barley_Mo!$C:$C,RIGHT(V$2,5))</f>
        <v>294.21999999999997</v>
      </c>
      <c r="W9" s="16">
        <f>SUMIFS(Barley_Mo!$P:$P,Barley_Mo!$B:$B,"Imports",Barley_Mo!$C:$C,RIGHT(W$2,5))</f>
        <v>228.12000000000003</v>
      </c>
      <c r="X9" s="16">
        <f>SUMIFS(Barley_Mo!$P:$P,Barley_Mo!$B:$B,"Imports",Barley_Mo!$C:$C,RIGHT(X$2,5))</f>
        <v>25.408999999999999</v>
      </c>
      <c r="Y9" s="16">
        <f>SUMIFS(Barley_Mo!$P:$P,Barley_Mo!$B:$B,"Imports",Barley_Mo!$C:$C,RIGHT(Y$2,5))</f>
        <v>117.601</v>
      </c>
      <c r="Z9" s="16">
        <f>SUMIFS(Barley_Mo!$P:$P,Barley_Mo!$B:$B,"Imports",Barley_Mo!$C:$C,RIGHT(Z$2,5))</f>
        <v>168.934</v>
      </c>
    </row>
    <row r="10" spans="1:26" x14ac:dyDescent="0.3">
      <c r="A10" s="11" t="s">
        <v>71</v>
      </c>
      <c r="B10" s="11" t="s">
        <v>43</v>
      </c>
      <c r="C10" s="12" t="s">
        <v>59</v>
      </c>
      <c r="D10" s="16">
        <f>SUMIFS(Barley_Mo!$P:$P,Barley_Mo!$B:$B,"Production",Barley_Mo!$C:$C,RIGHT(D$2,5))</f>
        <v>7467.7</v>
      </c>
      <c r="E10" s="16">
        <f>SUMIFS(Barley_Mo!$P:$P,Barley_Mo!$B:$B,"Production",Barley_Mo!$C:$C,RIGHT(E$2,5))</f>
        <v>12164.2</v>
      </c>
      <c r="F10" s="16">
        <f>SUMIFS(Barley_Mo!$P:$P,Barley_Mo!$B:$B,"Production",Barley_Mo!$C:$C,RIGHT(F$2,5))</f>
        <v>12556.7</v>
      </c>
      <c r="G10" s="16">
        <f>SUMIFS(Barley_Mo!$P:$P,Barley_Mo!$B:$B,"Production",Barley_Mo!$C:$C,RIGHT(G$2,5))</f>
        <v>11677.6</v>
      </c>
      <c r="H10" s="16">
        <f>SUMIFS(Barley_Mo!$P:$P,Barley_Mo!$B:$B,"Production",Barley_Mo!$C:$C,RIGHT(H$2,5))</f>
        <v>9573.1</v>
      </c>
      <c r="I10" s="16">
        <f>SUMIFS(Barley_Mo!$P:$P,Barley_Mo!$B:$B,"Production",Barley_Mo!$C:$C,RIGHT(I$2,5))</f>
        <v>10909.8</v>
      </c>
      <c r="J10" s="16">
        <f>SUMIFS(Barley_Mo!$P:$P,Barley_Mo!$B:$B,"Production",Barley_Mo!$C:$C,RIGHT(J$2,5))</f>
        <v>11785.8</v>
      </c>
      <c r="K10" s="16">
        <f>SUMIFS(Barley_Mo!$P:$P,Barley_Mo!$B:$B,"Production",Barley_Mo!$C:$C,RIGHT(K$2,5))</f>
        <v>9528.2000000000007</v>
      </c>
      <c r="L10" s="16">
        <f>SUMIFS(Barley_Mo!$P:$P,Barley_Mo!$B:$B,"Production",Barley_Mo!$C:$C,RIGHT(L$2,5))</f>
        <v>7627.2</v>
      </c>
      <c r="M10" s="16">
        <f>SUMIFS(Barley_Mo!$P:$P,Barley_Mo!$B:$B,"Production",Barley_Mo!$C:$C,RIGHT(M$2,5))</f>
        <v>7891.5</v>
      </c>
      <c r="N10" s="16">
        <f>SUMIFS(Barley_Mo!$P:$P,Barley_Mo!$B:$B,"Production",Barley_Mo!$C:$C,RIGHT(N$2,5))</f>
        <v>8012.3</v>
      </c>
      <c r="O10" s="16">
        <f>SUMIFS(Barley_Mo!$P:$P,Barley_Mo!$B:$B,"Production",Barley_Mo!$C:$C,RIGHT(O$2,5))</f>
        <v>10281.6</v>
      </c>
      <c r="P10" s="16">
        <f>SUMIFS(Barley_Mo!$P:$P,Barley_Mo!$B:$B,"Production",Barley_Mo!$C:$C,RIGHT(P$2,5))</f>
        <v>7116.8</v>
      </c>
      <c r="Q10" s="16">
        <f>SUMIFS(Barley_Mo!$P:$P,Barley_Mo!$B:$B,"Production",Barley_Mo!$C:$C,RIGHT(Q$2,5))</f>
        <v>8256.6</v>
      </c>
      <c r="R10" s="16">
        <f>SUMIFS(Barley_Mo!$P:$P,Barley_Mo!$B:$B,"Production",Barley_Mo!$C:$C,RIGHT(R$2,5))</f>
        <v>8839.4</v>
      </c>
      <c r="S10" s="16">
        <f>SUMIFS(Barley_Mo!$P:$P,Barley_Mo!$B:$B,"Production",Barley_Mo!$C:$C,RIGHT(S$2,5))</f>
        <v>7891.3</v>
      </c>
      <c r="T10" s="16">
        <f>SUMIFS(Barley_Mo!$P:$P,Barley_Mo!$B:$B,"Production",Barley_Mo!$C:$C,RIGHT(T$2,5))</f>
        <v>8379.7000000000007</v>
      </c>
      <c r="U10" s="16">
        <f>SUMIFS(Barley_Mo!$P:$P,Barley_Mo!$B:$B,"Production",Barley_Mo!$C:$C,RIGHT(U$2,5))</f>
        <v>10382.6</v>
      </c>
      <c r="V10" s="16">
        <f>SUMIFS(Barley_Mo!$P:$P,Barley_Mo!$B:$B,"Production",Barley_Mo!$C:$C,RIGHT(V$2,5))</f>
        <v>10740.6</v>
      </c>
      <c r="W10" s="16">
        <f>SUMIFS(Barley_Mo!$P:$P,Barley_Mo!$B:$B,"Production",Barley_Mo!$C:$C,RIGHT(W$2,5))</f>
        <v>6983.9</v>
      </c>
      <c r="X10" s="16">
        <f>SUMIFS(Barley_Mo!$P:$P,Barley_Mo!$B:$B,"Production",Barley_Mo!$C:$C,RIGHT(X$2,5))</f>
        <v>9986.7000000000007</v>
      </c>
      <c r="Y10" s="16">
        <f>SUMIFS(Barley_Mo!$P:$P,Barley_Mo!$B:$B,"Production",Barley_Mo!$C:$C,RIGHT(Y$2,5))</f>
        <v>8905.4</v>
      </c>
      <c r="Z10" s="16">
        <f>SUMIFS(Barley_Mo!$P:$P,Barley_Mo!$B:$B,"Production",Barley_Mo!$C:$C,RIGHT(Z$2,5))</f>
        <v>8143.9</v>
      </c>
    </row>
    <row r="11" spans="1:26" x14ac:dyDescent="0.3">
      <c r="A11" s="17" t="s">
        <v>71</v>
      </c>
      <c r="B11" s="17" t="s">
        <v>60</v>
      </c>
      <c r="C11" s="18" t="s">
        <v>59</v>
      </c>
      <c r="D11" s="19">
        <f t="shared" ref="D11:Z11" si="2">D8+D9+D10</f>
        <v>9774.06</v>
      </c>
      <c r="E11" s="19">
        <f t="shared" si="2"/>
        <v>13674.477999999999</v>
      </c>
      <c r="F11" s="19">
        <f t="shared" si="2"/>
        <v>14741.360000000002</v>
      </c>
      <c r="G11" s="19">
        <f t="shared" si="2"/>
        <v>15158.520000000002</v>
      </c>
      <c r="H11" s="19">
        <f t="shared" si="2"/>
        <v>12905.416000000003</v>
      </c>
      <c r="I11" s="19">
        <f t="shared" si="2"/>
        <v>12458.278000000004</v>
      </c>
      <c r="J11" s="19">
        <f t="shared" si="2"/>
        <v>13395.922000000002</v>
      </c>
      <c r="K11" s="19">
        <f t="shared" si="2"/>
        <v>12534.212000000007</v>
      </c>
      <c r="L11" s="19">
        <f t="shared" si="2"/>
        <v>10171.540000000008</v>
      </c>
      <c r="M11" s="19">
        <f t="shared" si="2"/>
        <v>9406.9110000000092</v>
      </c>
      <c r="N11" s="19">
        <f t="shared" si="2"/>
        <v>9226.7410000000073</v>
      </c>
      <c r="O11" s="19">
        <f t="shared" si="2"/>
        <v>11273.973000000007</v>
      </c>
      <c r="P11" s="19">
        <f t="shared" si="2"/>
        <v>9194.8760000000093</v>
      </c>
      <c r="Q11" s="19">
        <f t="shared" si="2"/>
        <v>9615.0170000000089</v>
      </c>
      <c r="R11" s="19">
        <f t="shared" si="2"/>
        <v>10346.045000000009</v>
      </c>
      <c r="S11" s="19">
        <f t="shared" si="2"/>
        <v>10072.017000000011</v>
      </c>
      <c r="T11" s="19">
        <f t="shared" si="2"/>
        <v>9667.0050000000138</v>
      </c>
      <c r="U11" s="19">
        <f t="shared" si="2"/>
        <v>11308.480000000014</v>
      </c>
      <c r="V11" s="19">
        <f t="shared" si="2"/>
        <v>11991.320000000011</v>
      </c>
      <c r="W11" s="19">
        <f t="shared" si="2"/>
        <v>7922.8200000000134</v>
      </c>
      <c r="X11" s="19">
        <f t="shared" si="2"/>
        <v>10554.909000000014</v>
      </c>
      <c r="Y11" s="19">
        <f t="shared" si="2"/>
        <v>9731.5010000000148</v>
      </c>
      <c r="Z11" s="19">
        <f t="shared" si="2"/>
        <v>9464.434000000012</v>
      </c>
    </row>
    <row r="13" spans="1:26" x14ac:dyDescent="0.3">
      <c r="A13" s="11" t="s">
        <v>71</v>
      </c>
      <c r="B13" s="11" t="s">
        <v>46</v>
      </c>
      <c r="C13" s="12" t="s">
        <v>59</v>
      </c>
      <c r="D13" s="16">
        <f>SUMIFS(Barley_Mo!$P:$P,Barley_Mo!$B:$B,"Food",Barley_Mo!$C:$C,RIGHT(D$2,5))</f>
        <v>6.0999999999999979</v>
      </c>
      <c r="E13" s="16">
        <f>SUMIFS(Barley_Mo!$P:$P,Barley_Mo!$B:$B,"Food",Barley_Mo!$C:$C,RIGHT(E$2,5))</f>
        <v>9</v>
      </c>
      <c r="F13" s="16">
        <f>SUMIFS(Barley_Mo!$P:$P,Barley_Mo!$B:$B,"Food",Barley_Mo!$C:$C,RIGHT(F$2,5))</f>
        <v>9.5</v>
      </c>
      <c r="G13" s="16">
        <f>SUMIFS(Barley_Mo!$P:$P,Barley_Mo!$B:$B,"Food",Barley_Mo!$C:$C,RIGHT(G$2,5))</f>
        <v>13.5</v>
      </c>
      <c r="H13" s="16">
        <f>SUMIFS(Barley_Mo!$P:$P,Barley_Mo!$B:$B,"Food",Barley_Mo!$C:$C,RIGHT(H$2,5))</f>
        <v>21.500000000000011</v>
      </c>
      <c r="I13" s="16">
        <f>SUMIFS(Barley_Mo!$P:$P,Barley_Mo!$B:$B,"Food",Barley_Mo!$C:$C,RIGHT(I$2,5))</f>
        <v>15.699999999999998</v>
      </c>
      <c r="J13" s="16">
        <f>SUMIFS(Barley_Mo!$P:$P,Barley_Mo!$B:$B,"Food",Barley_Mo!$C:$C,RIGHT(J$2,5))</f>
        <v>15.600000000000003</v>
      </c>
      <c r="K13" s="16">
        <f>SUMIFS(Barley_Mo!$P:$P,Barley_Mo!$B:$B,"Food",Barley_Mo!$C:$C,RIGHT(K$2,5))</f>
        <v>10.1</v>
      </c>
      <c r="L13" s="16">
        <f>SUMIFS(Barley_Mo!$P:$P,Barley_Mo!$B:$B,"Food",Barley_Mo!$C:$C,RIGHT(L$2,5))</f>
        <v>27.899999999999995</v>
      </c>
      <c r="M13" s="16">
        <f>SUMIFS(Barley_Mo!$P:$P,Barley_Mo!$B:$B,"Food",Barley_Mo!$C:$C,RIGHT(M$2,5))</f>
        <v>23.600000000000009</v>
      </c>
      <c r="N13" s="16">
        <f>SUMIFS(Barley_Mo!$P:$P,Barley_Mo!$B:$B,"Food",Barley_Mo!$C:$C,RIGHT(N$2,5))</f>
        <v>24.899999999999995</v>
      </c>
      <c r="O13" s="16">
        <f>SUMIFS(Barley_Mo!$P:$P,Barley_Mo!$B:$B,"Food",Barley_Mo!$C:$C,RIGHT(O$2,5))</f>
        <v>23.899999999999995</v>
      </c>
      <c r="P13" s="16">
        <f>SUMIFS(Barley_Mo!$P:$P,Barley_Mo!$B:$B,"Food",Barley_Mo!$C:$C,RIGHT(P$2,5))</f>
        <v>18.399999999999995</v>
      </c>
      <c r="Q13" s="16">
        <f>SUMIFS(Barley_Mo!$P:$P,Barley_Mo!$B:$B,"Food",Barley_Mo!$C:$C,RIGHT(Q$2,5))</f>
        <v>10.199999999999998</v>
      </c>
      <c r="R13" s="16">
        <f>SUMIFS(Barley_Mo!$P:$P,Barley_Mo!$B:$B,"Food",Barley_Mo!$C:$C,RIGHT(R$2,5))</f>
        <v>17.499999999999993</v>
      </c>
      <c r="S13" s="16">
        <f>SUMIFS(Barley_Mo!$P:$P,Barley_Mo!$B:$B,"Food",Barley_Mo!$C:$C,RIGHT(S$2,5))</f>
        <v>21.100000000000009</v>
      </c>
      <c r="T13" s="16">
        <f>SUMIFS(Barley_Mo!$P:$P,Barley_Mo!$B:$B,"Food",Barley_Mo!$C:$C,RIGHT(T$2,5))</f>
        <v>16.299999999999994</v>
      </c>
      <c r="U13" s="16">
        <f>SUMIFS(Barley_Mo!$P:$P,Barley_Mo!$B:$B,"Food",Barley_Mo!$C:$C,RIGHT(U$2,5))</f>
        <v>18.3</v>
      </c>
      <c r="V13" s="16">
        <f>SUMIFS(Barley_Mo!$P:$P,Barley_Mo!$B:$B,"Food",Barley_Mo!$C:$C,RIGHT(V$2,5))</f>
        <v>18.600000000000005</v>
      </c>
      <c r="W13" s="16">
        <f>SUMIFS(Barley_Mo!$P:$P,Barley_Mo!$B:$B,"Food",Barley_Mo!$C:$C,RIGHT(W$2,5))</f>
        <v>17.7</v>
      </c>
      <c r="X13" s="16">
        <f>SUMIFS(Barley_Mo!$P:$P,Barley_Mo!$B:$B,"Food",Barley_Mo!$C:$C,RIGHT(X$2,5))</f>
        <v>18.500000000000007</v>
      </c>
      <c r="Y13" s="16">
        <f>SUMIFS(Barley_Mo!$P:$P,Barley_Mo!$B:$B,"Food",Barley_Mo!$C:$C,RIGHT(Y$2,5))</f>
        <v>18.600000000000005</v>
      </c>
      <c r="Z13" s="16">
        <f>SUMIFS(Barley_Mo!$P:$P,Barley_Mo!$B:$B,"Food",Barley_Mo!$C:$C,RIGHT(Z$2,5))</f>
        <v>18.600000000000005</v>
      </c>
    </row>
    <row r="14" spans="1:26" x14ac:dyDescent="0.3">
      <c r="A14" s="11" t="s">
        <v>71</v>
      </c>
      <c r="B14" s="11" t="s">
        <v>47</v>
      </c>
      <c r="C14" s="12" t="s">
        <v>59</v>
      </c>
      <c r="D14" s="16">
        <f>SUMIFS(Barley_Mo!$P:$P,Barley_Mo!$B:$B,"Industrial",Barley_Mo!$C:$C,RIGHT(D$2,5))</f>
        <v>311.49999999999983</v>
      </c>
      <c r="E14" s="16">
        <f>SUMIFS(Barley_Mo!$P:$P,Barley_Mo!$B:$B,"Industrial",Barley_Mo!$C:$C,RIGHT(E$2,5))</f>
        <v>277.89999999999998</v>
      </c>
      <c r="F14" s="16">
        <f>SUMIFS(Barley_Mo!$P:$P,Barley_Mo!$B:$B,"Industrial",Barley_Mo!$C:$C,RIGHT(F$2,5))</f>
        <v>257.60000000000002</v>
      </c>
      <c r="G14" s="16">
        <f>SUMIFS(Barley_Mo!$P:$P,Barley_Mo!$B:$B,"Industrial",Barley_Mo!$C:$C,RIGHT(G$2,5))</f>
        <v>153.30000000000004</v>
      </c>
      <c r="H14" s="16">
        <f>SUMIFS(Barley_Mo!$P:$P,Barley_Mo!$B:$B,"Industrial",Barley_Mo!$C:$C,RIGHT(H$2,5))</f>
        <v>169.80000000000004</v>
      </c>
      <c r="I14" s="16">
        <f>SUMIFS(Barley_Mo!$P:$P,Barley_Mo!$B:$B,"Industrial",Barley_Mo!$C:$C,RIGHT(I$2,5))</f>
        <v>140.30000000000001</v>
      </c>
      <c r="J14" s="16">
        <f>SUMIFS(Barley_Mo!$P:$P,Barley_Mo!$B:$B,"Industrial",Barley_Mo!$C:$C,RIGHT(J$2,5))</f>
        <v>143.79999999999998</v>
      </c>
      <c r="K14" s="16">
        <f>SUMIFS(Barley_Mo!$P:$P,Barley_Mo!$B:$B,"Industrial",Barley_Mo!$C:$C,RIGHT(K$2,5))</f>
        <v>125.00000000000004</v>
      </c>
      <c r="L14" s="16">
        <f>SUMIFS(Barley_Mo!$P:$P,Barley_Mo!$B:$B,"Industrial",Barley_Mo!$C:$C,RIGHT(L$2,5))</f>
        <v>127.10000000000004</v>
      </c>
      <c r="M14" s="16">
        <f>SUMIFS(Barley_Mo!$P:$P,Barley_Mo!$B:$B,"Industrial",Barley_Mo!$C:$C,RIGHT(M$2,5))</f>
        <v>96.300000000000026</v>
      </c>
      <c r="N14" s="16">
        <f>SUMIFS(Barley_Mo!$P:$P,Barley_Mo!$B:$B,"Industrial",Barley_Mo!$C:$C,RIGHT(N$2,5))</f>
        <v>109.10000000000002</v>
      </c>
      <c r="O14" s="16">
        <f>SUMIFS(Barley_Mo!$P:$P,Barley_Mo!$B:$B,"Industrial",Barley_Mo!$C:$C,RIGHT(O$2,5))</f>
        <v>90.2</v>
      </c>
      <c r="P14" s="16">
        <f>SUMIFS(Barley_Mo!$P:$P,Barley_Mo!$B:$B,"Industrial",Barley_Mo!$C:$C,RIGHT(P$2,5))</f>
        <v>160.70000000000005</v>
      </c>
      <c r="Q14" s="16">
        <f>SUMIFS(Barley_Mo!$P:$P,Barley_Mo!$B:$B,"Industrial",Barley_Mo!$C:$C,RIGHT(Q$2,5))</f>
        <v>126.09999999999992</v>
      </c>
      <c r="R14" s="16">
        <f>SUMIFS(Barley_Mo!$P:$P,Barley_Mo!$B:$B,"Industrial",Barley_Mo!$C:$C,RIGHT(R$2,5))</f>
        <v>74.200000000000017</v>
      </c>
      <c r="S14" s="16">
        <f>SUMIFS(Barley_Mo!$P:$P,Barley_Mo!$B:$B,"Industrial",Barley_Mo!$C:$C,RIGHT(S$2,5))</f>
        <v>40.5</v>
      </c>
      <c r="T14" s="16">
        <f>SUMIFS(Barley_Mo!$P:$P,Barley_Mo!$B:$B,"Industrial",Barley_Mo!$C:$C,RIGHT(T$2,5))</f>
        <v>300.89999999999992</v>
      </c>
      <c r="U14" s="16">
        <f>SUMIFS(Barley_Mo!$P:$P,Barley_Mo!$B:$B,"Industrial",Barley_Mo!$C:$C,RIGHT(U$2,5))</f>
        <v>259.7000000000001</v>
      </c>
      <c r="V14" s="16">
        <f>SUMIFS(Barley_Mo!$P:$P,Barley_Mo!$B:$B,"Industrial",Barley_Mo!$C:$C,RIGHT(V$2,5))</f>
        <v>279.89999999999992</v>
      </c>
      <c r="W14" s="16">
        <f>SUMIFS(Barley_Mo!$P:$P,Barley_Mo!$B:$B,"Industrial",Barley_Mo!$C:$C,RIGHT(W$2,5))</f>
        <v>266.60000000000002</v>
      </c>
      <c r="X14" s="16">
        <f>SUMIFS(Barley_Mo!$P:$P,Barley_Mo!$B:$B,"Industrial",Barley_Mo!$C:$C,RIGHT(X$2,5))</f>
        <v>86.09999999999998</v>
      </c>
      <c r="Y14" s="16">
        <f>SUMIFS(Barley_Mo!$P:$P,Barley_Mo!$B:$B,"Industrial",Barley_Mo!$C:$C,RIGHT(Y$2,5))</f>
        <v>71.09999999999998</v>
      </c>
      <c r="Z14" s="16">
        <f>SUMIFS(Barley_Mo!$P:$P,Barley_Mo!$B:$B,"Industrial",Barley_Mo!$C:$C,RIGHT(Z$2,5))</f>
        <v>74.299999999999983</v>
      </c>
    </row>
    <row r="15" spans="1:26" x14ac:dyDescent="0.3">
      <c r="A15" s="11" t="s">
        <v>71</v>
      </c>
      <c r="B15" s="11" t="s">
        <v>50</v>
      </c>
      <c r="C15" s="12" t="s">
        <v>59</v>
      </c>
      <c r="D15" s="16">
        <f>SUMIFS(Barley_Mo!$P:$P,Barley_Mo!$B:$B,"FSR",Barley_Mo!$C:$C,RIGHT(D$2,5))+SUMIFS(Barley_Mo!$P:$P,Barley_Mo!$B:$B,"Seed",Barley_Mo!$C:$C,RIGHT(D$2,5))</f>
        <v>7554.2220000000007</v>
      </c>
      <c r="E15" s="16">
        <f>SUMIFS(Barley_Mo!$P:$P,Barley_Mo!$B:$B,"FSR",Barley_Mo!$C:$C,RIGHT(E$2,5))+SUMIFS(Barley_Mo!$P:$P,Barley_Mo!$B:$B,"Seed",Barley_Mo!$C:$C,RIGHT(E$2,5))</f>
        <v>9431.2419999999984</v>
      </c>
      <c r="F15" s="16">
        <f>SUMIFS(Barley_Mo!$P:$P,Barley_Mo!$B:$B,"FSR",Barley_Mo!$C:$C,RIGHT(F$2,5))+SUMIFS(Barley_Mo!$P:$P,Barley_Mo!$B:$B,"Seed",Barley_Mo!$C:$C,RIGHT(F$2,5))</f>
        <v>9864.0360000000001</v>
      </c>
      <c r="G15" s="16">
        <f>SUMIFS(Barley_Mo!$P:$P,Barley_Mo!$B:$B,"FSR",Barley_Mo!$C:$C,RIGHT(G$2,5))+SUMIFS(Barley_Mo!$P:$P,Barley_Mo!$B:$B,"Seed",Barley_Mo!$C:$C,RIGHT(G$2,5))</f>
        <v>9471.0180000000018</v>
      </c>
      <c r="H15" s="16">
        <f>SUMIFS(Barley_Mo!$P:$P,Barley_Mo!$B:$B,"FSR",Barley_Mo!$C:$C,RIGHT(H$2,5))+SUMIFS(Barley_Mo!$P:$P,Barley_Mo!$B:$B,"Seed",Barley_Mo!$C:$C,RIGHT(H$2,5))</f>
        <v>9991.6699999999983</v>
      </c>
      <c r="I15" s="16">
        <f>SUMIFS(Barley_Mo!$P:$P,Barley_Mo!$B:$B,"FSR",Barley_Mo!$C:$C,RIGHT(I$2,5))+SUMIFS(Barley_Mo!$P:$P,Barley_Mo!$B:$B,"Seed",Barley_Mo!$C:$C,RIGHT(I$2,5))</f>
        <v>7688.2460000000001</v>
      </c>
      <c r="J15" s="16">
        <f>SUMIFS(Barley_Mo!$P:$P,Barley_Mo!$B:$B,"FSR",Barley_Mo!$C:$C,RIGHT(J$2,5))+SUMIFS(Barley_Mo!$P:$P,Barley_Mo!$B:$B,"Seed",Barley_Mo!$C:$C,RIGHT(J$2,5))</f>
        <v>8789.9979999999978</v>
      </c>
      <c r="K15" s="16">
        <f>SUMIFS(Barley_Mo!$P:$P,Barley_Mo!$B:$B,"FSR",Barley_Mo!$C:$C,RIGHT(K$2,5))+SUMIFS(Barley_Mo!$P:$P,Barley_Mo!$B:$B,"Seed",Barley_Mo!$C:$C,RIGHT(K$2,5))</f>
        <v>8588.7199999999993</v>
      </c>
      <c r="L15" s="16">
        <f>SUMIFS(Barley_Mo!$P:$P,Barley_Mo!$B:$B,"FSR",Barley_Mo!$C:$C,RIGHT(L$2,5))+SUMIFS(Barley_Mo!$P:$P,Barley_Mo!$B:$B,"Seed",Barley_Mo!$C:$C,RIGHT(L$2,5))</f>
        <v>7307.2999999999993</v>
      </c>
      <c r="M15" s="16">
        <f>SUMIFS(Barley_Mo!$P:$P,Barley_Mo!$B:$B,"FSR",Barley_Mo!$C:$C,RIGHT(M$2,5))+SUMIFS(Barley_Mo!$P:$P,Barley_Mo!$B:$B,"Seed",Barley_Mo!$C:$C,RIGHT(M$2,5))</f>
        <v>6792.1890000000021</v>
      </c>
      <c r="N15" s="16">
        <f>SUMIFS(Barley_Mo!$P:$P,Barley_Mo!$B:$B,"FSR",Barley_Mo!$C:$C,RIGHT(N$2,5))+SUMIFS(Barley_Mo!$P:$P,Barley_Mo!$B:$B,"Seed",Barley_Mo!$C:$C,RIGHT(N$2,5))</f>
        <v>6676.8790000000008</v>
      </c>
      <c r="O15" s="16">
        <f>SUMIFS(Barley_Mo!$P:$P,Barley_Mo!$B:$B,"FSR",Barley_Mo!$C:$C,RIGHT(O$2,5))+SUMIFS(Barley_Mo!$P:$P,Barley_Mo!$B:$B,"Seed",Barley_Mo!$C:$C,RIGHT(O$2,5))</f>
        <v>7657.0969999999979</v>
      </c>
      <c r="P15" s="16">
        <f>SUMIFS(Barley_Mo!$P:$P,Barley_Mo!$B:$B,"FSR",Barley_Mo!$C:$C,RIGHT(P$2,5))+SUMIFS(Barley_Mo!$P:$P,Barley_Mo!$B:$B,"Seed",Barley_Mo!$C:$C,RIGHT(P$2,5))</f>
        <v>6281.951</v>
      </c>
      <c r="Q15" s="16">
        <f>SUMIFS(Barley_Mo!$P:$P,Barley_Mo!$B:$B,"FSR",Barley_Mo!$C:$C,RIGHT(Q$2,5))+SUMIFS(Barley_Mo!$P:$P,Barley_Mo!$B:$B,"Seed",Barley_Mo!$C:$C,RIGHT(Q$2,5))</f>
        <v>6841.4239999999982</v>
      </c>
      <c r="R15" s="16">
        <f>SUMIFS(Barley_Mo!$P:$P,Barley_Mo!$B:$B,"FSR",Barley_Mo!$C:$C,RIGHT(R$2,5))+SUMIFS(Barley_Mo!$P:$P,Barley_Mo!$B:$B,"Seed",Barley_Mo!$C:$C,RIGHT(R$2,5))</f>
        <v>6586.2370000000001</v>
      </c>
      <c r="S15" s="16">
        <f>SUMIFS(Barley_Mo!$P:$P,Barley_Mo!$B:$B,"FSR",Barley_Mo!$C:$C,RIGHT(S$2,5))+SUMIFS(Barley_Mo!$P:$P,Barley_Mo!$B:$B,"Seed",Barley_Mo!$C:$C,RIGHT(S$2,5))</f>
        <v>6745.4189999999981</v>
      </c>
      <c r="T15" s="16">
        <f>SUMIFS(Barley_Mo!$P:$P,Barley_Mo!$B:$B,"FSR",Barley_Mo!$C:$C,RIGHT(T$2,5))+SUMIFS(Barley_Mo!$P:$P,Barley_Mo!$B:$B,"Seed",Barley_Mo!$C:$C,RIGHT(T$2,5))</f>
        <v>6215.0910000000003</v>
      </c>
      <c r="U15" s="16">
        <f>SUMIFS(Barley_Mo!$P:$P,Barley_Mo!$B:$B,"FSR",Barley_Mo!$C:$C,RIGHT(U$2,5))+SUMIFS(Barley_Mo!$P:$P,Barley_Mo!$B:$B,"Seed",Barley_Mo!$C:$C,RIGHT(U$2,5))</f>
        <v>7829.9020000000019</v>
      </c>
      <c r="V15" s="16">
        <f>SUMIFS(Barley_Mo!$P:$P,Barley_Mo!$B:$B,"FSR",Barley_Mo!$C:$C,RIGHT(V$2,5))+SUMIFS(Barley_Mo!$P:$P,Barley_Mo!$B:$B,"Seed",Barley_Mo!$C:$C,RIGHT(V$2,5))</f>
        <v>7447.9039999999977</v>
      </c>
      <c r="W15" s="16">
        <f>SUMIFS(Barley_Mo!$P:$P,Barley_Mo!$B:$B,"FSR",Barley_Mo!$C:$C,RIGHT(W$2,5))+SUMIFS(Barley_Mo!$P:$P,Barley_Mo!$B:$B,"Seed",Barley_Mo!$C:$C,RIGHT(W$2,5))</f>
        <v>5114.2969999999996</v>
      </c>
      <c r="X15" s="16">
        <f>SUMIFS(Barley_Mo!$P:$P,Barley_Mo!$B:$B,"FSR",Barley_Mo!$C:$C,RIGHT(X$2,5))+SUMIFS(Barley_Mo!$P:$P,Barley_Mo!$B:$B,"Seed",Barley_Mo!$C:$C,RIGHT(X$2,5))</f>
        <v>6594.1409999999987</v>
      </c>
      <c r="Y15" s="16">
        <f>SUMIFS(Barley_Mo!$P:$P,Barley_Mo!$B:$B,"FSR",Barley_Mo!$C:$C,RIGHT(Y$2,5))+SUMIFS(Barley_Mo!$P:$P,Barley_Mo!$B:$B,"Seed",Barley_Mo!$C:$C,RIGHT(Y$2,5))</f>
        <v>6179.5280000000012</v>
      </c>
      <c r="Z15" s="16">
        <f>SUMIFS(Barley_Mo!$P:$P,Barley_Mo!$B:$B,"FSR",Barley_Mo!$C:$C,RIGHT(Z$2,5))+SUMIFS(Barley_Mo!$P:$P,Barley_Mo!$B:$B,"Seed",Barley_Mo!$C:$C,RIGHT(Z$2,5))</f>
        <v>6020.5469999999987</v>
      </c>
    </row>
    <row r="16" spans="1:26" x14ac:dyDescent="0.3">
      <c r="A16" s="11" t="s">
        <v>71</v>
      </c>
      <c r="B16" s="11" t="s">
        <v>44</v>
      </c>
      <c r="C16" s="12" t="s">
        <v>59</v>
      </c>
      <c r="D16" s="16">
        <f>SUMIFS(Barley_Mo!$P:$P,Barley_Mo!$B:$B,"Exports",Barley_Mo!$C:$C,RIGHT(D$2,5))</f>
        <v>427.43800000000005</v>
      </c>
      <c r="E16" s="16">
        <f>SUMIFS(Barley_Mo!$P:$P,Barley_Mo!$B:$B,"Exports",Barley_Mo!$C:$C,RIGHT(E$2,5))</f>
        <v>1854.336</v>
      </c>
      <c r="F16" s="16">
        <f>SUMIFS(Barley_Mo!$P:$P,Barley_Mo!$B:$B,"Exports",Barley_Mo!$C:$C,RIGHT(F$2,5))</f>
        <v>1175.124</v>
      </c>
      <c r="G16" s="16">
        <f>SUMIFS(Barley_Mo!$P:$P,Barley_Mo!$B:$B,"Exports",Barley_Mo!$C:$C,RIGHT(G$2,5))</f>
        <v>2232.0019999999995</v>
      </c>
      <c r="H16" s="16">
        <f>SUMIFS(Barley_Mo!$P:$P,Barley_Mo!$B:$B,"Exports",Barley_Mo!$C:$C,RIGHT(H$2,5))</f>
        <v>1231.7460000000003</v>
      </c>
      <c r="I16" s="16">
        <f>SUMIFS(Barley_Mo!$P:$P,Barley_Mo!$B:$B,"Exports",Barley_Mo!$C:$C,RIGHT(I$2,5))</f>
        <v>3045.6319999999996</v>
      </c>
      <c r="J16" s="16">
        <f>SUMIFS(Barley_Mo!$P:$P,Barley_Mo!$B:$B,"Exports",Barley_Mo!$C:$C,RIGHT(J$2,5))</f>
        <v>1482.924</v>
      </c>
      <c r="K16" s="16">
        <f>SUMIFS(Barley_Mo!$P:$P,Barley_Mo!$B:$B,"Exports",Barley_Mo!$C:$C,RIGHT(K$2,5))</f>
        <v>1308.7920000000001</v>
      </c>
      <c r="L16" s="16">
        <f>SUMIFS(Barley_Mo!$P:$P,Barley_Mo!$B:$B,"Exports",Barley_Mo!$C:$C,RIGHT(L$2,5))</f>
        <v>1207.3399999999999</v>
      </c>
      <c r="M16" s="16">
        <f>SUMIFS(Barley_Mo!$P:$P,Barley_Mo!$B:$B,"Exports",Barley_Mo!$C:$C,RIGHT(M$2,5))</f>
        <v>1299.4219999999998</v>
      </c>
      <c r="N16" s="16">
        <f>SUMIFS(Barley_Mo!$P:$P,Barley_Mo!$B:$B,"Exports",Barley_Mo!$C:$C,RIGHT(N$2,5))</f>
        <v>1432.462</v>
      </c>
      <c r="O16" s="16">
        <f>SUMIFS(Barley_Mo!$P:$P,Barley_Mo!$B:$B,"Exports",Barley_Mo!$C:$C,RIGHT(O$2,5))</f>
        <v>1560.7760000000001</v>
      </c>
      <c r="P16" s="16">
        <f>SUMIFS(Barley_Mo!$P:$P,Barley_Mo!$B:$B,"Exports",Barley_Mo!$C:$C,RIGHT(P$2,5))</f>
        <v>1516.5250000000001</v>
      </c>
      <c r="Q16" s="16">
        <f>SUMIFS(Barley_Mo!$P:$P,Barley_Mo!$B:$B,"Exports",Barley_Mo!$C:$C,RIGHT(Q$2,5))</f>
        <v>1194.5930000000003</v>
      </c>
      <c r="R16" s="16">
        <f>SUMIFS(Barley_Mo!$P:$P,Barley_Mo!$B:$B,"Exports",Barley_Mo!$C:$C,RIGHT(R$2,5))</f>
        <v>1546.308</v>
      </c>
      <c r="S16" s="16">
        <f>SUMIFS(Barley_Mo!$P:$P,Barley_Mo!$B:$B,"Exports",Barley_Mo!$C:$C,RIGHT(S$2,5))</f>
        <v>2020.5979999999995</v>
      </c>
      <c r="T16" s="16">
        <f>SUMIFS(Barley_Mo!$P:$P,Barley_Mo!$B:$B,"Exports",Barley_Mo!$C:$C,RIGHT(T$2,5))</f>
        <v>2272.1140000000005</v>
      </c>
      <c r="U16" s="16">
        <f>SUMIFS(Barley_Mo!$P:$P,Barley_Mo!$B:$B,"Exports",Barley_Mo!$C:$C,RIGHT(U$2,5))</f>
        <v>2244.0780000000004</v>
      </c>
      <c r="V16" s="16">
        <f>SUMIFS(Barley_Mo!$P:$P,Barley_Mo!$B:$B,"Exports",Barley_Mo!$C:$C,RIGHT(V$2,5))</f>
        <v>3534.116</v>
      </c>
      <c r="W16" s="16">
        <f>SUMIFS(Barley_Mo!$P:$P,Barley_Mo!$B:$B,"Exports",Barley_Mo!$C:$C,RIGHT(W$2,5))</f>
        <v>1981.4229999999998</v>
      </c>
      <c r="X16" s="16">
        <f>SUMIFS(Barley_Mo!$P:$P,Barley_Mo!$B:$B,"Exports",Barley_Mo!$C:$C,RIGHT(X$2,5))</f>
        <v>3147.6680000000001</v>
      </c>
      <c r="Y16" s="16">
        <f>SUMIFS(Barley_Mo!$P:$P,Barley_Mo!$B:$B,"Exports",Barley_Mo!$C:$C,RIGHT(Y$2,5))</f>
        <v>2310.6730000000002</v>
      </c>
      <c r="Z16" s="16">
        <f>SUMIFS(Barley_Mo!$P:$P,Barley_Mo!$B:$B,"Exports",Barley_Mo!$C:$C,RIGHT(Z$2,5))</f>
        <v>2102.2870000000003</v>
      </c>
    </row>
    <row r="17" spans="1:26" x14ac:dyDescent="0.3">
      <c r="A17" s="17" t="s">
        <v>71</v>
      </c>
      <c r="B17" s="17" t="s">
        <v>61</v>
      </c>
      <c r="C17" s="18" t="s">
        <v>59</v>
      </c>
      <c r="D17" s="19">
        <f t="shared" ref="D17:Z17" si="3">D13+D14+D15+D16</f>
        <v>8299.26</v>
      </c>
      <c r="E17" s="19">
        <f t="shared" si="3"/>
        <v>11572.477999999997</v>
      </c>
      <c r="F17" s="19">
        <f t="shared" si="3"/>
        <v>11306.26</v>
      </c>
      <c r="G17" s="19">
        <f t="shared" si="3"/>
        <v>11869.82</v>
      </c>
      <c r="H17" s="19">
        <f t="shared" si="3"/>
        <v>11414.715999999999</v>
      </c>
      <c r="I17" s="19">
        <f t="shared" si="3"/>
        <v>10889.878000000001</v>
      </c>
      <c r="J17" s="19">
        <f t="shared" si="3"/>
        <v>10432.321999999996</v>
      </c>
      <c r="K17" s="19">
        <f t="shared" si="3"/>
        <v>10032.611999999999</v>
      </c>
      <c r="L17" s="19">
        <f t="shared" si="3"/>
        <v>8669.64</v>
      </c>
      <c r="M17" s="19">
        <f t="shared" si="3"/>
        <v>8211.5110000000022</v>
      </c>
      <c r="N17" s="19">
        <f t="shared" si="3"/>
        <v>8243.3410000000003</v>
      </c>
      <c r="O17" s="19">
        <f t="shared" si="3"/>
        <v>9331.9729999999981</v>
      </c>
      <c r="P17" s="19">
        <f t="shared" si="3"/>
        <v>7977.5760000000009</v>
      </c>
      <c r="Q17" s="19">
        <f t="shared" si="3"/>
        <v>8172.3169999999991</v>
      </c>
      <c r="R17" s="19">
        <f t="shared" si="3"/>
        <v>8224.244999999999</v>
      </c>
      <c r="S17" s="19">
        <f t="shared" si="3"/>
        <v>8827.6169999999984</v>
      </c>
      <c r="T17" s="19">
        <f t="shared" si="3"/>
        <v>8804.4050000000007</v>
      </c>
      <c r="U17" s="19">
        <f t="shared" si="3"/>
        <v>10351.980000000003</v>
      </c>
      <c r="V17" s="19">
        <f t="shared" si="3"/>
        <v>11280.519999999997</v>
      </c>
      <c r="W17" s="19">
        <f t="shared" si="3"/>
        <v>7380.0199999999995</v>
      </c>
      <c r="X17" s="19">
        <f t="shared" si="3"/>
        <v>9846.4089999999997</v>
      </c>
      <c r="Y17" s="19">
        <f t="shared" si="3"/>
        <v>8579.9010000000017</v>
      </c>
      <c r="Z17" s="19">
        <f t="shared" si="3"/>
        <v>8215.7339999999986</v>
      </c>
    </row>
    <row r="19" spans="1:26" x14ac:dyDescent="0.3">
      <c r="A19" s="20" t="s">
        <v>71</v>
      </c>
      <c r="B19" s="20" t="s">
        <v>62</v>
      </c>
      <c r="C19" s="21" t="s">
        <v>59</v>
      </c>
      <c r="D19" s="22">
        <f t="shared" ref="D19:Z19" si="4">D11-D17</f>
        <v>1474.7999999999993</v>
      </c>
      <c r="E19" s="22">
        <f t="shared" si="4"/>
        <v>2102.0000000000018</v>
      </c>
      <c r="F19" s="22">
        <f t="shared" si="4"/>
        <v>3435.1000000000022</v>
      </c>
      <c r="G19" s="22">
        <f t="shared" si="4"/>
        <v>3288.7000000000025</v>
      </c>
      <c r="H19" s="22">
        <f t="shared" si="4"/>
        <v>1490.7000000000044</v>
      </c>
      <c r="I19" s="22">
        <f t="shared" si="4"/>
        <v>1568.4000000000033</v>
      </c>
      <c r="J19" s="22">
        <f t="shared" si="4"/>
        <v>2963.6000000000058</v>
      </c>
      <c r="K19" s="22">
        <f t="shared" si="4"/>
        <v>2501.6000000000076</v>
      </c>
      <c r="L19" s="22">
        <f t="shared" si="4"/>
        <v>1501.9000000000087</v>
      </c>
      <c r="M19" s="22">
        <f t="shared" si="4"/>
        <v>1195.4000000000069</v>
      </c>
      <c r="N19" s="22">
        <f t="shared" si="4"/>
        <v>983.40000000000691</v>
      </c>
      <c r="O19" s="22">
        <f t="shared" si="4"/>
        <v>1942.0000000000091</v>
      </c>
      <c r="P19" s="22">
        <f t="shared" si="4"/>
        <v>1217.3000000000084</v>
      </c>
      <c r="Q19" s="22">
        <f t="shared" si="4"/>
        <v>1442.7000000000098</v>
      </c>
      <c r="R19" s="22">
        <f t="shared" si="4"/>
        <v>2121.8000000000102</v>
      </c>
      <c r="S19" s="22">
        <f t="shared" si="4"/>
        <v>1244.4000000000124</v>
      </c>
      <c r="T19" s="22">
        <f t="shared" si="4"/>
        <v>862.6000000000131</v>
      </c>
      <c r="U19" s="22">
        <f t="shared" si="4"/>
        <v>956.50000000001091</v>
      </c>
      <c r="V19" s="22">
        <f t="shared" si="4"/>
        <v>710.80000000001382</v>
      </c>
      <c r="W19" s="22">
        <f t="shared" si="4"/>
        <v>542.80000000001382</v>
      </c>
      <c r="X19" s="22">
        <f t="shared" si="4"/>
        <v>708.50000000001455</v>
      </c>
      <c r="Y19" s="22">
        <f t="shared" si="4"/>
        <v>1151.6000000000131</v>
      </c>
      <c r="Z19" s="22">
        <f t="shared" si="4"/>
        <v>1248.7000000000135</v>
      </c>
    </row>
    <row r="20" spans="1:26" x14ac:dyDescent="0.3">
      <c r="A20" s="11" t="s">
        <v>71</v>
      </c>
      <c r="B20" s="11" t="s">
        <v>63</v>
      </c>
      <c r="C20" s="12" t="s">
        <v>56</v>
      </c>
      <c r="D20" s="14">
        <f t="shared" ref="D20:Z20" si="5">IF(D17&lt;&gt;0,D19/D17,"")</f>
        <v>0.17770259035142882</v>
      </c>
      <c r="E20" s="14">
        <f t="shared" si="5"/>
        <v>0.1816378480045503</v>
      </c>
      <c r="F20" s="14">
        <f t="shared" si="5"/>
        <v>0.30382283796763937</v>
      </c>
      <c r="G20" s="14">
        <f t="shared" si="5"/>
        <v>0.2770640161350385</v>
      </c>
      <c r="H20" s="14">
        <f t="shared" si="5"/>
        <v>0.13059457633461968</v>
      </c>
      <c r="I20" s="14">
        <f t="shared" si="5"/>
        <v>0.14402365205560644</v>
      </c>
      <c r="J20" s="14">
        <f t="shared" si="5"/>
        <v>0.28407865478078675</v>
      </c>
      <c r="K20" s="14">
        <f t="shared" si="5"/>
        <v>0.24934683011762121</v>
      </c>
      <c r="L20" s="14">
        <f t="shared" si="5"/>
        <v>0.17323672032518175</v>
      </c>
      <c r="M20" s="14">
        <f t="shared" si="5"/>
        <v>0.14557613087286939</v>
      </c>
      <c r="N20" s="14">
        <f t="shared" si="5"/>
        <v>0.11929629018137268</v>
      </c>
      <c r="O20" s="14">
        <f t="shared" si="5"/>
        <v>0.20810175940286255</v>
      </c>
      <c r="P20" s="14">
        <f t="shared" si="5"/>
        <v>0.1525902103596391</v>
      </c>
      <c r="Q20" s="14">
        <f t="shared" si="5"/>
        <v>0.17653500225211649</v>
      </c>
      <c r="R20" s="14">
        <f t="shared" si="5"/>
        <v>0.25799328692177947</v>
      </c>
      <c r="S20" s="14">
        <f t="shared" si="5"/>
        <v>0.1409666957685197</v>
      </c>
      <c r="T20" s="14">
        <f t="shared" si="5"/>
        <v>9.7973684763480673E-2</v>
      </c>
      <c r="U20" s="14">
        <f t="shared" si="5"/>
        <v>9.2397782839612391E-2</v>
      </c>
      <c r="V20" s="14">
        <f t="shared" si="5"/>
        <v>6.3011279621862648E-2</v>
      </c>
      <c r="W20" s="14">
        <f t="shared" si="5"/>
        <v>7.3549936179036629E-2</v>
      </c>
      <c r="X20" s="14">
        <f t="shared" si="5"/>
        <v>7.1955166599317028E-2</v>
      </c>
      <c r="Y20" s="14">
        <f t="shared" si="5"/>
        <v>0.13422066291907248</v>
      </c>
      <c r="Z20" s="14">
        <f t="shared" si="5"/>
        <v>0.1519888545563931</v>
      </c>
    </row>
    <row r="21" spans="1:26" x14ac:dyDescent="0.3">
      <c r="A21" s="11" t="s">
        <v>71</v>
      </c>
      <c r="B21" s="11" t="s">
        <v>64</v>
      </c>
      <c r="C21" s="12" t="s">
        <v>65</v>
      </c>
      <c r="D21" s="16">
        <f t="shared" ref="D21:Z21" si="6">IF(D17&lt;&gt;0,D19/D17*365,"")</f>
        <v>64.86144547827152</v>
      </c>
      <c r="E21" s="16">
        <f t="shared" si="6"/>
        <v>66.297814521660854</v>
      </c>
      <c r="F21" s="16">
        <f t="shared" si="6"/>
        <v>110.89533585818837</v>
      </c>
      <c r="G21" s="16">
        <f t="shared" si="6"/>
        <v>101.12836588928906</v>
      </c>
      <c r="H21" s="16">
        <f t="shared" si="6"/>
        <v>47.667020362136185</v>
      </c>
      <c r="I21" s="16">
        <f t="shared" si="6"/>
        <v>52.568633000296352</v>
      </c>
      <c r="J21" s="16">
        <f t="shared" si="6"/>
        <v>103.68870899498717</v>
      </c>
      <c r="K21" s="16">
        <f t="shared" si="6"/>
        <v>91.011592992931739</v>
      </c>
      <c r="L21" s="16">
        <f t="shared" si="6"/>
        <v>63.231402918691337</v>
      </c>
      <c r="M21" s="16">
        <f t="shared" si="6"/>
        <v>53.135287768597323</v>
      </c>
      <c r="N21" s="16">
        <f t="shared" si="6"/>
        <v>43.543145916201027</v>
      </c>
      <c r="O21" s="16">
        <f t="shared" si="6"/>
        <v>75.957142182044834</v>
      </c>
      <c r="P21" s="16">
        <f t="shared" si="6"/>
        <v>55.695426781268274</v>
      </c>
      <c r="Q21" s="16">
        <f t="shared" si="6"/>
        <v>64.435275822022518</v>
      </c>
      <c r="R21" s="16">
        <f t="shared" si="6"/>
        <v>94.167549726449508</v>
      </c>
      <c r="S21" s="16">
        <f t="shared" si="6"/>
        <v>51.452843955509685</v>
      </c>
      <c r="T21" s="16">
        <f t="shared" si="6"/>
        <v>35.760394938670444</v>
      </c>
      <c r="U21" s="16">
        <f t="shared" si="6"/>
        <v>33.725190736458522</v>
      </c>
      <c r="V21" s="16">
        <f t="shared" si="6"/>
        <v>22.999117061979867</v>
      </c>
      <c r="W21" s="16">
        <f t="shared" si="6"/>
        <v>26.845726705348369</v>
      </c>
      <c r="X21" s="16">
        <f t="shared" si="6"/>
        <v>26.263635808750713</v>
      </c>
      <c r="Y21" s="16">
        <f t="shared" si="6"/>
        <v>48.990541965461453</v>
      </c>
      <c r="Z21" s="16">
        <f t="shared" si="6"/>
        <v>55.475931913083485</v>
      </c>
    </row>
    <row r="22" spans="1:26" x14ac:dyDescent="0.3">
      <c r="A22" s="20" t="s">
        <v>71</v>
      </c>
      <c r="B22" s="20" t="s">
        <v>66</v>
      </c>
      <c r="C22" s="21" t="s">
        <v>59</v>
      </c>
      <c r="D22" s="22">
        <f>D19-SUMIFS(Barley_Mo!$P:$P,Barley_Mo!$B:$B,"STOCKS",Barley_Mo!$C:$C,RIGHT(D$2,5))</f>
        <v>-3.637978807091713E-12</v>
      </c>
      <c r="E22" s="22">
        <f>E19-SUMIFS(Barley_Mo!$P:$P,Barley_Mo!$B:$B,"STOCKS",Barley_Mo!$C:$C,RIGHT(E$2,5))</f>
        <v>-4.5474735088646412E-12</v>
      </c>
      <c r="F22" s="22">
        <f>F19-SUMIFS(Barley_Mo!$P:$P,Barley_Mo!$B:$B,"STOCKS",Barley_Mo!$C:$C,RIGHT(F$2,5))</f>
        <v>-5.9117155615240335E-12</v>
      </c>
      <c r="G22" s="22">
        <f>G19-SUMIFS(Barley_Mo!$P:$P,Barley_Mo!$B:$B,"STOCKS",Barley_Mo!$C:$C,RIGHT(G$2,5))</f>
        <v>-5.9117155615240335E-12</v>
      </c>
      <c r="H22" s="22">
        <f>H19-SUMIFS(Barley_Mo!$P:$P,Barley_Mo!$B:$B,"STOCKS",Barley_Mo!$C:$C,RIGHT(H$2,5))</f>
        <v>-6.3664629124104977E-12</v>
      </c>
      <c r="I22" s="22">
        <f>I19-SUMIFS(Barley_Mo!$P:$P,Barley_Mo!$B:$B,"STOCKS",Barley_Mo!$C:$C,RIGHT(I$2,5))</f>
        <v>-8.6401996668428183E-12</v>
      </c>
      <c r="J22" s="22">
        <f>J19-SUMIFS(Barley_Mo!$P:$P,Barley_Mo!$B:$B,"STOCKS",Barley_Mo!$C:$C,RIGHT(J$2,5))</f>
        <v>-6.8212102632969618E-12</v>
      </c>
      <c r="K22" s="22">
        <f>K19-SUMIFS(Barley_Mo!$P:$P,Barley_Mo!$B:$B,"STOCKS",Barley_Mo!$C:$C,RIGHT(K$2,5))</f>
        <v>-6.8212102632969618E-12</v>
      </c>
      <c r="L22" s="22">
        <f>L19-SUMIFS(Barley_Mo!$P:$P,Barley_Mo!$B:$B,"STOCKS",Barley_Mo!$C:$C,RIGHT(L$2,5))</f>
        <v>-7.73070496506989E-12</v>
      </c>
      <c r="M22" s="22">
        <f>M19-SUMIFS(Barley_Mo!$P:$P,Barley_Mo!$B:$B,"STOCKS",Barley_Mo!$C:$C,RIGHT(M$2,5))</f>
        <v>-6.5938365878537297E-12</v>
      </c>
      <c r="N22" s="22">
        <f>N19-SUMIFS(Barley_Mo!$P:$P,Barley_Mo!$B:$B,"STOCKS",Barley_Mo!$C:$C,RIGHT(N$2,5))</f>
        <v>-5.0022208597511053E-12</v>
      </c>
      <c r="O22" s="22">
        <f>O19-SUMIFS(Barley_Mo!$P:$P,Barley_Mo!$B:$B,"STOCKS",Barley_Mo!$C:$C,RIGHT(O$2,5))</f>
        <v>-7.73070496506989E-12</v>
      </c>
      <c r="P22" s="22">
        <f>P19-SUMIFS(Barley_Mo!$P:$P,Barley_Mo!$B:$B,"STOCKS",Barley_Mo!$C:$C,RIGHT(P$2,5))</f>
        <v>-6.8212102632969618E-12</v>
      </c>
      <c r="Q22" s="22">
        <f>Q19-SUMIFS(Barley_Mo!$P:$P,Barley_Mo!$B:$B,"STOCKS",Barley_Mo!$C:$C,RIGHT(Q$2,5))</f>
        <v>-5.4569682106375694E-12</v>
      </c>
      <c r="R22" s="22">
        <f>R19-SUMIFS(Barley_Mo!$P:$P,Barley_Mo!$B:$B,"STOCKS",Barley_Mo!$C:$C,RIGHT(R$2,5))</f>
        <v>-5.4569682106375694E-12</v>
      </c>
      <c r="S22" s="22">
        <f>S19-SUMIFS(Barley_Mo!$P:$P,Barley_Mo!$B:$B,"STOCKS",Barley_Mo!$C:$C,RIGHT(S$2,5))</f>
        <v>-7.0485839387401938E-12</v>
      </c>
      <c r="T22" s="22">
        <f>T19-SUMIFS(Barley_Mo!$P:$P,Barley_Mo!$B:$B,"STOCKS",Barley_Mo!$C:$C,RIGHT(T$2,5))</f>
        <v>-8.1854523159563541E-12</v>
      </c>
      <c r="U22" s="22">
        <f>U19-SUMIFS(Barley_Mo!$P:$P,Barley_Mo!$B:$B,"STOCKS",Barley_Mo!$C:$C,RIGHT(U$2,5))</f>
        <v>-1.1596057447604835E-11</v>
      </c>
      <c r="V22" s="22">
        <f>V19-SUMIFS(Barley_Mo!$P:$P,Barley_Mo!$B:$B,"STOCKS",Barley_Mo!$C:$C,RIGHT(V$2,5))</f>
        <v>-9.2086338554508984E-12</v>
      </c>
      <c r="W22" s="22">
        <f>W19-SUMIFS(Barley_Mo!$P:$P,Barley_Mo!$B:$B,"STOCKS",Barley_Mo!$C:$C,RIGHT(W$2,5))</f>
        <v>-1.2050804798491299E-11</v>
      </c>
      <c r="X22" s="22">
        <f>X19-SUMIFS(Barley_Mo!$P:$P,Barley_Mo!$B:$B,"STOCKS",Barley_Mo!$C:$C,RIGHT(X$2,5))</f>
        <v>-1.5802470443304628E-11</v>
      </c>
      <c r="Y22" s="22">
        <f>Y19-SUMIFS(Barley_Mo!$P:$P,Barley_Mo!$B:$B,"STOCKS",Barley_Mo!$C:$C,RIGHT(Y$2,5))</f>
        <v>-1.5916157281026244E-11</v>
      </c>
      <c r="Z22" s="22">
        <f>Z19-SUMIFS(Barley_Mo!$P:$P,Barley_Mo!$B:$B,"STOCKS",Barley_Mo!$C:$C,RIGHT(Z$2,5))</f>
        <v>-1.8189894035458565E-11</v>
      </c>
    </row>
    <row r="25" spans="1:26" s="25" customFormat="1" ht="13.8" x14ac:dyDescent="0.3">
      <c r="A25" s="25" t="str">
        <f>A22</f>
        <v>Barley</v>
      </c>
      <c r="B25" s="25" t="s">
        <v>81</v>
      </c>
      <c r="D25" s="40" cm="1">
        <f t="array" ref="D25">SUM(D13:D14/D$10)</f>
        <v>4.2529828461239719E-2</v>
      </c>
      <c r="E25" s="40" cm="1">
        <f t="array" ref="E25">SUM(E13:E14/E$10)</f>
        <v>2.3585603656631753E-2</v>
      </c>
      <c r="F25" s="40" cm="1">
        <f t="array" ref="F25">SUM(F13:F14/F$10)</f>
        <v>2.12715124196644E-2</v>
      </c>
      <c r="G25" s="40" cm="1">
        <f t="array" ref="G25">SUM(G13:G14/G$10)</f>
        <v>1.4283756936356789E-2</v>
      </c>
      <c r="H25" s="40" cm="1">
        <f t="array" ref="H25">SUM(H13:H14/H$10)</f>
        <v>1.9983077581974495E-2</v>
      </c>
      <c r="I25" s="40" cm="1">
        <f t="array" ref="I25">SUM(I13:I14/I$10)</f>
        <v>1.4299070560413574E-2</v>
      </c>
      <c r="J25" s="40" cm="1">
        <f t="array" ref="J25">SUM(J13:J14/J$10)</f>
        <v>1.3524750123029408E-2</v>
      </c>
      <c r="K25" s="40" cm="1">
        <f t="array" ref="K25">SUM(K13:K14/K$10)</f>
        <v>1.4178963497827506E-2</v>
      </c>
      <c r="L25" s="40" cm="1">
        <f t="array" ref="L25">SUM(L13:L14/L$10)</f>
        <v>2.0322005454164047E-2</v>
      </c>
      <c r="M25" s="40" cm="1">
        <f t="array" ref="M25">SUM(M13:M14/M$10)</f>
        <v>1.5193562694037894E-2</v>
      </c>
      <c r="N25" s="40" cm="1">
        <f t="array" ref="N25">SUM(N13:N14/N$10)</f>
        <v>1.6724286409645173E-2</v>
      </c>
      <c r="O25" s="40" cm="1">
        <f t="array" ref="O25">SUM(O13:O14/O$10)</f>
        <v>1.1097494553376906E-2</v>
      </c>
      <c r="P25" s="40" cm="1">
        <f t="array" ref="P25">SUM(P13:P14/P$10)</f>
        <v>2.5165804856115113E-2</v>
      </c>
      <c r="Q25" s="40" cm="1">
        <f t="array" ref="Q25">SUM(Q13:Q14/Q$10)</f>
        <v>1.65080057166388E-2</v>
      </c>
      <c r="R25" s="40" cm="1">
        <f t="array" ref="R25">SUM(R13:R14/R$10)</f>
        <v>1.037400728556237E-2</v>
      </c>
      <c r="S25" s="40" cm="1">
        <f t="array" ref="S25">SUM(S13:S14/S$10)</f>
        <v>7.8060649069228143E-3</v>
      </c>
      <c r="T25" s="40" cm="1">
        <f t="array" ref="T25">SUM(T13:T14/T$10)</f>
        <v>3.7853383772688751E-2</v>
      </c>
      <c r="U25" s="40" cm="1">
        <f t="array" ref="U25">SUM(U13:U14/U$10)</f>
        <v>2.6775566813707557E-2</v>
      </c>
      <c r="V25" s="40" cm="1">
        <f t="array" ref="V25">SUM(V13:V14/V$10)</f>
        <v>2.779174347801798E-2</v>
      </c>
      <c r="W25" s="40" cm="1">
        <f t="array" ref="W25">SUM(W13:W14/W$10)</f>
        <v>4.0707913916293192E-2</v>
      </c>
      <c r="X25" s="40" cm="1">
        <f t="array" ref="X25">SUM(X13:X14/X$10)</f>
        <v>1.0473930327335354E-2</v>
      </c>
      <c r="Y25" s="40" cm="1">
        <f t="array" ref="Y25">SUM(Y13:Y14/Y$10)</f>
        <v>1.0072540256473599E-2</v>
      </c>
      <c r="Z25" s="40" cm="1">
        <f t="array" ref="Z25">SUM(Z13:Z14/Z$10)</f>
        <v>1.140731099350434E-2</v>
      </c>
    </row>
    <row r="26" spans="1:26" s="25" customFormat="1" ht="13.8" x14ac:dyDescent="0.3">
      <c r="A26" s="25" t="str">
        <f>A25</f>
        <v>Barley</v>
      </c>
      <c r="B26" s="25" t="s">
        <v>82</v>
      </c>
      <c r="D26" s="40">
        <f t="shared" ref="D26:Z27" si="7">D15/D$10</f>
        <v>1.0115861644147464</v>
      </c>
      <c r="E26" s="40">
        <f t="shared" si="7"/>
        <v>0.77532776508113954</v>
      </c>
      <c r="F26" s="40">
        <f t="shared" si="7"/>
        <v>0.78555958173723983</v>
      </c>
      <c r="G26" s="40">
        <f t="shared" si="7"/>
        <v>0.81104148112625896</v>
      </c>
      <c r="H26" s="40">
        <f t="shared" si="7"/>
        <v>1.043723558721835</v>
      </c>
      <c r="I26" s="40">
        <f t="shared" si="7"/>
        <v>0.7047100771783168</v>
      </c>
      <c r="J26" s="40">
        <f t="shared" si="7"/>
        <v>0.74581258802966266</v>
      </c>
      <c r="K26" s="40">
        <f t="shared" si="7"/>
        <v>0.90140005457484085</v>
      </c>
      <c r="L26" s="40">
        <f t="shared" si="7"/>
        <v>0.9580580029368575</v>
      </c>
      <c r="M26" s="40">
        <f t="shared" si="7"/>
        <v>0.86069682569853667</v>
      </c>
      <c r="N26" s="40">
        <f t="shared" si="7"/>
        <v>0.83332863222794962</v>
      </c>
      <c r="O26" s="40">
        <f t="shared" si="7"/>
        <v>0.74473788126361629</v>
      </c>
      <c r="P26" s="40">
        <f t="shared" si="7"/>
        <v>0.8826932048111511</v>
      </c>
      <c r="Q26" s="40">
        <f t="shared" si="7"/>
        <v>0.82860063464379985</v>
      </c>
      <c r="R26" s="40">
        <f t="shared" si="7"/>
        <v>0.74510000678779109</v>
      </c>
      <c r="S26" s="40">
        <f t="shared" si="7"/>
        <v>0.8547918593894539</v>
      </c>
      <c r="T26" s="40">
        <f t="shared" si="7"/>
        <v>0.74168418917145007</v>
      </c>
      <c r="U26" s="40">
        <f t="shared" si="7"/>
        <v>0.75413692138770649</v>
      </c>
      <c r="V26" s="40">
        <f t="shared" si="7"/>
        <v>0.69343463121240878</v>
      </c>
      <c r="W26" s="40">
        <f t="shared" si="7"/>
        <v>0.73229814287146144</v>
      </c>
      <c r="X26" s="40">
        <f t="shared" si="7"/>
        <v>0.66029228874402934</v>
      </c>
      <c r="Y26" s="40">
        <f t="shared" si="7"/>
        <v>0.693907965953242</v>
      </c>
      <c r="Z26" s="40">
        <f t="shared" si="7"/>
        <v>0.73927074251894043</v>
      </c>
    </row>
    <row r="27" spans="1:26" s="25" customFormat="1" ht="13.8" x14ac:dyDescent="0.3">
      <c r="A27" s="25" t="str">
        <f>A26</f>
        <v>Barley</v>
      </c>
      <c r="B27" s="25" t="s">
        <v>83</v>
      </c>
      <c r="D27" s="40">
        <f t="shared" si="7"/>
        <v>5.7238239350804139E-2</v>
      </c>
      <c r="E27" s="40">
        <f t="shared" si="7"/>
        <v>0.15244208414856711</v>
      </c>
      <c r="F27" s="40">
        <f t="shared" si="7"/>
        <v>9.3585416550526809E-2</v>
      </c>
      <c r="G27" s="40">
        <f t="shared" si="7"/>
        <v>0.19113533602795091</v>
      </c>
      <c r="H27" s="40">
        <f t="shared" si="7"/>
        <v>0.12866741181017646</v>
      </c>
      <c r="I27" s="40">
        <f t="shared" si="7"/>
        <v>0.27916478762213787</v>
      </c>
      <c r="J27" s="40">
        <f t="shared" si="7"/>
        <v>0.12582293946953113</v>
      </c>
      <c r="K27" s="40">
        <f t="shared" si="7"/>
        <v>0.13735983711508995</v>
      </c>
      <c r="L27" s="40">
        <f t="shared" si="7"/>
        <v>0.15829400041955108</v>
      </c>
      <c r="M27" s="40">
        <f t="shared" si="7"/>
        <v>0.16466096432870808</v>
      </c>
      <c r="N27" s="40">
        <f t="shared" si="7"/>
        <v>0.17878287133532195</v>
      </c>
      <c r="O27" s="40">
        <f t="shared" si="7"/>
        <v>0.15180283224400873</v>
      </c>
      <c r="P27" s="40">
        <f t="shared" si="7"/>
        <v>0.21309085544064749</v>
      </c>
      <c r="Q27" s="40">
        <f t="shared" si="7"/>
        <v>0.1446834047913185</v>
      </c>
      <c r="R27" s="40">
        <f t="shared" si="7"/>
        <v>0.17493359277779036</v>
      </c>
      <c r="S27" s="40">
        <f t="shared" si="7"/>
        <v>0.25605388212335095</v>
      </c>
      <c r="T27" s="40">
        <f t="shared" si="7"/>
        <v>0.27114502905831955</v>
      </c>
      <c r="U27" s="40">
        <f t="shared" si="7"/>
        <v>0.21613834684953676</v>
      </c>
      <c r="V27" s="40">
        <f t="shared" si="7"/>
        <v>0.3290426978008677</v>
      </c>
      <c r="W27" s="40">
        <f t="shared" si="7"/>
        <v>0.28371296839874566</v>
      </c>
      <c r="X27" s="40">
        <f t="shared" si="7"/>
        <v>0.31518599737651076</v>
      </c>
      <c r="Y27" s="40">
        <f t="shared" si="7"/>
        <v>0.25946874929817865</v>
      </c>
      <c r="Z27" s="40">
        <f>Z16/Z$10</f>
        <v>0.25814253613133759</v>
      </c>
    </row>
    <row r="28" spans="1:26" s="25" customFormat="1" ht="13.8" x14ac:dyDescent="0.3"/>
    <row r="29" spans="1:26" s="25" customFormat="1" ht="13.8" x14ac:dyDescent="0.3">
      <c r="D29" s="39" t="e">
        <f t="shared" ref="D29:Y32" si="8">(D13-C13)/C13</f>
        <v>#VALUE!</v>
      </c>
      <c r="E29" s="39">
        <f t="shared" si="8"/>
        <v>0.4754098360655743</v>
      </c>
      <c r="F29" s="39">
        <f t="shared" si="8"/>
        <v>5.5555555555555552E-2</v>
      </c>
      <c r="G29" s="39">
        <f t="shared" si="8"/>
        <v>0.42105263157894735</v>
      </c>
      <c r="H29" s="39">
        <f t="shared" si="8"/>
        <v>0.59259259259259334</v>
      </c>
      <c r="I29" s="39">
        <f t="shared" si="8"/>
        <v>-0.26976744186046558</v>
      </c>
      <c r="J29" s="39">
        <f t="shared" si="8"/>
        <v>-6.3694267515919953E-3</v>
      </c>
      <c r="K29" s="39">
        <f t="shared" si="8"/>
        <v>-0.3525641025641027</v>
      </c>
      <c r="L29" s="39">
        <f t="shared" si="8"/>
        <v>1.7623762376237622</v>
      </c>
      <c r="M29" s="39">
        <f t="shared" si="8"/>
        <v>-0.15412186379928269</v>
      </c>
      <c r="N29" s="39">
        <f t="shared" si="8"/>
        <v>5.5084745762711274E-2</v>
      </c>
      <c r="O29" s="39">
        <f t="shared" si="8"/>
        <v>-4.0160642570281131E-2</v>
      </c>
      <c r="P29" s="39">
        <f t="shared" si="8"/>
        <v>-0.23012552301255235</v>
      </c>
      <c r="Q29" s="39">
        <f t="shared" si="8"/>
        <v>-0.44565217391304346</v>
      </c>
      <c r="R29" s="39">
        <f t="shared" si="8"/>
        <v>0.7156862745098036</v>
      </c>
      <c r="S29" s="39">
        <f t="shared" si="8"/>
        <v>0.20571428571428668</v>
      </c>
      <c r="T29" s="39">
        <f t="shared" si="8"/>
        <v>-0.2274881516587684</v>
      </c>
      <c r="U29" s="39">
        <f t="shared" si="8"/>
        <v>0.12269938650306797</v>
      </c>
      <c r="V29" s="39">
        <f t="shared" si="8"/>
        <v>1.6393442622951053E-2</v>
      </c>
      <c r="W29" s="39">
        <f t="shared" si="8"/>
        <v>-4.8387096774193838E-2</v>
      </c>
      <c r="X29" s="39">
        <f t="shared" si="8"/>
        <v>4.5197740112994794E-2</v>
      </c>
      <c r="Y29" s="39">
        <f t="shared" si="8"/>
        <v>5.4054054054052877E-3</v>
      </c>
      <c r="Z29" s="39">
        <f>(Z13-Y13)/Y13</f>
        <v>0</v>
      </c>
    </row>
    <row r="30" spans="1:26" s="25" customFormat="1" ht="13.8" x14ac:dyDescent="0.3">
      <c r="D30" s="39" t="e">
        <f t="shared" si="8"/>
        <v>#VALUE!</v>
      </c>
      <c r="E30" s="39">
        <f t="shared" si="8"/>
        <v>-0.10786516853932543</v>
      </c>
      <c r="F30" s="39">
        <f t="shared" si="8"/>
        <v>-7.3047858942065336E-2</v>
      </c>
      <c r="G30" s="39">
        <f t="shared" si="8"/>
        <v>-0.404891304347826</v>
      </c>
      <c r="H30" s="39">
        <f t="shared" si="8"/>
        <v>0.10763209393346376</v>
      </c>
      <c r="I30" s="39">
        <f t="shared" si="8"/>
        <v>-0.17373380447585407</v>
      </c>
      <c r="J30" s="39">
        <f t="shared" si="8"/>
        <v>2.4946543121881479E-2</v>
      </c>
      <c r="K30" s="39">
        <f t="shared" si="8"/>
        <v>-0.13073713490959626</v>
      </c>
      <c r="L30" s="39">
        <f t="shared" si="8"/>
        <v>1.679999999999995E-2</v>
      </c>
      <c r="M30" s="39">
        <f t="shared" si="8"/>
        <v>-0.24232887490165225</v>
      </c>
      <c r="N30" s="39">
        <f t="shared" si="8"/>
        <v>0.13291796469366557</v>
      </c>
      <c r="O30" s="39">
        <f t="shared" si="8"/>
        <v>-0.1732355637030249</v>
      </c>
      <c r="P30" s="39">
        <f t="shared" si="8"/>
        <v>0.78159645232816011</v>
      </c>
      <c r="Q30" s="39">
        <f t="shared" si="8"/>
        <v>-0.21530802738021226</v>
      </c>
      <c r="R30" s="39">
        <f t="shared" si="8"/>
        <v>-0.41157811260903993</v>
      </c>
      <c r="S30" s="39">
        <f t="shared" si="8"/>
        <v>-0.45417789757412413</v>
      </c>
      <c r="T30" s="39">
        <f t="shared" si="8"/>
        <v>6.4296296296296278</v>
      </c>
      <c r="U30" s="39">
        <f t="shared" si="8"/>
        <v>-0.13692256563642349</v>
      </c>
      <c r="V30" s="39">
        <f t="shared" si="8"/>
        <v>7.7782056218713175E-2</v>
      </c>
      <c r="W30" s="39">
        <f t="shared" si="8"/>
        <v>-4.7516970346551987E-2</v>
      </c>
      <c r="X30" s="39">
        <f t="shared" si="8"/>
        <v>-0.67704426106526649</v>
      </c>
      <c r="Y30" s="39">
        <f t="shared" si="8"/>
        <v>-0.1742160278745645</v>
      </c>
      <c r="Z30" s="39">
        <f t="shared" ref="Z30:Z32" si="9">(Z14-Y14)/Y14</f>
        <v>4.500703234880455E-2</v>
      </c>
    </row>
    <row r="31" spans="1:26" s="25" customFormat="1" ht="13.8" x14ac:dyDescent="0.3">
      <c r="D31" s="39" t="e">
        <f t="shared" si="8"/>
        <v>#VALUE!</v>
      </c>
      <c r="E31" s="39">
        <f t="shared" si="8"/>
        <v>0.24847297312681538</v>
      </c>
      <c r="F31" s="39">
        <f t="shared" si="8"/>
        <v>4.5889396115591327E-2</v>
      </c>
      <c r="G31" s="39">
        <f t="shared" si="8"/>
        <v>-3.9843528551598777E-2</v>
      </c>
      <c r="H31" s="39">
        <f t="shared" si="8"/>
        <v>5.4973182397076673E-2</v>
      </c>
      <c r="I31" s="39">
        <f t="shared" si="8"/>
        <v>-0.23053443518450856</v>
      </c>
      <c r="J31" s="39">
        <f t="shared" si="8"/>
        <v>0.14330342707556415</v>
      </c>
      <c r="K31" s="39">
        <f t="shared" si="8"/>
        <v>-2.2898526256774857E-2</v>
      </c>
      <c r="L31" s="39">
        <f t="shared" si="8"/>
        <v>-0.1491980178652931</v>
      </c>
      <c r="M31" s="39">
        <f t="shared" si="8"/>
        <v>-7.0492658026904215E-2</v>
      </c>
      <c r="N31" s="39">
        <f t="shared" si="8"/>
        <v>-1.6976853853743069E-2</v>
      </c>
      <c r="O31" s="39">
        <f t="shared" si="8"/>
        <v>0.14680781245249419</v>
      </c>
      <c r="P31" s="39">
        <f t="shared" si="8"/>
        <v>-0.17959103822244885</v>
      </c>
      <c r="Q31" s="39">
        <f t="shared" si="8"/>
        <v>8.9060389041557012E-2</v>
      </c>
      <c r="R31" s="39">
        <f t="shared" si="8"/>
        <v>-3.7300275498200107E-2</v>
      </c>
      <c r="S31" s="39">
        <f t="shared" si="8"/>
        <v>2.4168884296146338E-2</v>
      </c>
      <c r="T31" s="39">
        <f t="shared" si="8"/>
        <v>-7.8620468202197355E-2</v>
      </c>
      <c r="U31" s="39">
        <f t="shared" si="8"/>
        <v>0.25982097446360825</v>
      </c>
      <c r="V31" s="39">
        <f t="shared" si="8"/>
        <v>-4.8787072941654193E-2</v>
      </c>
      <c r="W31" s="39">
        <f t="shared" si="8"/>
        <v>-0.31332399021254825</v>
      </c>
      <c r="X31" s="39">
        <f t="shared" si="8"/>
        <v>0.28935433354769957</v>
      </c>
      <c r="Y31" s="39">
        <f t="shared" si="8"/>
        <v>-6.2875968226945356E-2</v>
      </c>
      <c r="Z31" s="39">
        <f t="shared" si="9"/>
        <v>-2.5727045819681126E-2</v>
      </c>
    </row>
    <row r="32" spans="1:26" s="25" customFormat="1" ht="13.8" x14ac:dyDescent="0.3">
      <c r="D32" s="39" t="e">
        <f t="shared" si="8"/>
        <v>#VALUE!</v>
      </c>
      <c r="E32" s="39">
        <f t="shared" si="8"/>
        <v>3.3382572443254923</v>
      </c>
      <c r="F32" s="39">
        <f t="shared" si="8"/>
        <v>-0.36628313315386207</v>
      </c>
      <c r="G32" s="39">
        <f t="shared" si="8"/>
        <v>0.89937572545535571</v>
      </c>
      <c r="H32" s="39">
        <f t="shared" si="8"/>
        <v>-0.44814296761382805</v>
      </c>
      <c r="I32" s="39">
        <f t="shared" si="8"/>
        <v>1.4726136719745782</v>
      </c>
      <c r="J32" s="39">
        <f t="shared" si="8"/>
        <v>-0.51309810246280574</v>
      </c>
      <c r="K32" s="39">
        <f t="shared" si="8"/>
        <v>-0.11742476350777237</v>
      </c>
      <c r="L32" s="39">
        <f t="shared" si="8"/>
        <v>-7.751575498627758E-2</v>
      </c>
      <c r="M32" s="39">
        <f t="shared" si="8"/>
        <v>7.6268491062997906E-2</v>
      </c>
      <c r="N32" s="39">
        <f t="shared" si="8"/>
        <v>0.10238398303245613</v>
      </c>
      <c r="O32" s="39">
        <f t="shared" si="8"/>
        <v>8.9575849132472685E-2</v>
      </c>
      <c r="P32" s="39">
        <f t="shared" si="8"/>
        <v>-2.8351922377073954E-2</v>
      </c>
      <c r="Q32" s="39">
        <f t="shared" si="8"/>
        <v>-0.21228268574537168</v>
      </c>
      <c r="R32" s="39">
        <f t="shared" si="8"/>
        <v>0.29442245183087429</v>
      </c>
      <c r="S32" s="39">
        <f t="shared" si="8"/>
        <v>0.30672414551305399</v>
      </c>
      <c r="T32" s="39">
        <f t="shared" si="8"/>
        <v>0.12447602145503511</v>
      </c>
      <c r="U32" s="39">
        <f t="shared" si="8"/>
        <v>-1.2339169601525299E-2</v>
      </c>
      <c r="V32" s="39">
        <f t="shared" si="8"/>
        <v>0.57486326232867102</v>
      </c>
      <c r="W32" s="39">
        <f t="shared" si="8"/>
        <v>-0.43934409623226861</v>
      </c>
      <c r="X32" s="39">
        <f t="shared" si="8"/>
        <v>0.58858961463554249</v>
      </c>
      <c r="Y32" s="39">
        <f t="shared" si="8"/>
        <v>-0.26590955589979626</v>
      </c>
      <c r="Z32" s="39">
        <f t="shared" si="9"/>
        <v>-9.0184115190682521E-2</v>
      </c>
    </row>
  </sheetData>
  <conditionalFormatting sqref="D22:Z22">
    <cfRule type="cellIs" dxfId="12" priority="3" operator="between">
      <formula>-0.0009</formula>
      <formula>0.0009</formula>
    </cfRule>
  </conditionalFormatting>
  <conditionalFormatting sqref="D25:Z25">
    <cfRule type="colorScale" priority="2">
      <colorScale>
        <cfvo type="min"/>
        <cfvo type="max"/>
        <color rgb="FFFCFCFF"/>
        <color rgb="FF63BE7B"/>
      </colorScale>
    </cfRule>
  </conditionalFormatting>
  <conditionalFormatting sqref="D27:Z27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77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20" customWidth="1"/>
    <col min="3" max="16" width="7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72</v>
      </c>
      <c r="B2" s="2" t="s">
        <v>17</v>
      </c>
      <c r="C2" s="2" t="s">
        <v>18</v>
      </c>
      <c r="D2" s="3">
        <v>5.7968000000000002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>
        <f t="shared" ref="P2:P33" si="0">D2</f>
        <v>5.7968000000000002</v>
      </c>
    </row>
    <row r="3" spans="1:16" x14ac:dyDescent="0.3">
      <c r="A3" s="2" t="s">
        <v>72</v>
      </c>
      <c r="B3" s="2" t="s">
        <v>17</v>
      </c>
      <c r="C3" s="2" t="s">
        <v>19</v>
      </c>
      <c r="D3" s="3">
        <v>5.0240999999999998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>
        <f t="shared" si="0"/>
        <v>5.0240999999999998</v>
      </c>
    </row>
    <row r="4" spans="1:16" x14ac:dyDescent="0.3">
      <c r="A4" s="2" t="s">
        <v>72</v>
      </c>
      <c r="B4" s="2" t="s">
        <v>17</v>
      </c>
      <c r="C4" s="2" t="s">
        <v>20</v>
      </c>
      <c r="D4" s="3">
        <v>4.7548000000000004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>
        <f t="shared" si="0"/>
        <v>4.7548000000000004</v>
      </c>
    </row>
    <row r="5" spans="1:16" x14ac:dyDescent="0.3">
      <c r="A5" s="2" t="s">
        <v>72</v>
      </c>
      <c r="B5" s="2" t="s">
        <v>17</v>
      </c>
      <c r="C5" s="2" t="s">
        <v>21</v>
      </c>
      <c r="D5" s="3">
        <v>4.3685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>
        <f t="shared" si="0"/>
        <v>4.3685</v>
      </c>
    </row>
    <row r="6" spans="1:16" x14ac:dyDescent="0.3">
      <c r="A6" s="2" t="s">
        <v>72</v>
      </c>
      <c r="B6" s="2" t="s">
        <v>17</v>
      </c>
      <c r="C6" s="2" t="s">
        <v>22</v>
      </c>
      <c r="D6" s="3">
        <v>5.0991289999999996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>
        <f t="shared" si="0"/>
        <v>5.0991289999999996</v>
      </c>
    </row>
    <row r="7" spans="1:16" x14ac:dyDescent="0.3">
      <c r="A7" s="2" t="s">
        <v>72</v>
      </c>
      <c r="B7" s="2" t="s">
        <v>17</v>
      </c>
      <c r="C7" s="2" t="s">
        <v>23</v>
      </c>
      <c r="D7" s="3">
        <v>5.3127000000000004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>
        <f t="shared" si="0"/>
        <v>5.3127000000000004</v>
      </c>
    </row>
    <row r="8" spans="1:16" x14ac:dyDescent="0.3">
      <c r="A8" s="2" t="s">
        <v>72</v>
      </c>
      <c r="B8" s="2" t="s">
        <v>17</v>
      </c>
      <c r="C8" s="2" t="s">
        <v>24</v>
      </c>
      <c r="D8" s="3">
        <v>4.3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>
        <f t="shared" si="0"/>
        <v>4.3</v>
      </c>
    </row>
    <row r="9" spans="1:16" x14ac:dyDescent="0.3">
      <c r="A9" s="2" t="s">
        <v>72</v>
      </c>
      <c r="B9" s="2" t="s">
        <v>17</v>
      </c>
      <c r="C9" s="2" t="s">
        <v>25</v>
      </c>
      <c r="D9" s="3">
        <v>3.6964999999999999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>
        <f t="shared" si="0"/>
        <v>3.6964999999999999</v>
      </c>
    </row>
    <row r="10" spans="1:16" x14ac:dyDescent="0.3">
      <c r="A10" s="2" t="s">
        <v>72</v>
      </c>
      <c r="B10" s="2" t="s">
        <v>17</v>
      </c>
      <c r="C10" s="2" t="s">
        <v>26</v>
      </c>
      <c r="D10" s="3">
        <v>2.9891999999999999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>
        <f t="shared" si="0"/>
        <v>2.9891999999999999</v>
      </c>
    </row>
    <row r="11" spans="1:16" x14ac:dyDescent="0.3">
      <c r="A11" s="2" t="s">
        <v>72</v>
      </c>
      <c r="B11" s="2" t="s">
        <v>17</v>
      </c>
      <c r="C11" s="2" t="s">
        <v>27</v>
      </c>
      <c r="D11" s="3">
        <v>3.2444009999999999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>
        <f t="shared" si="0"/>
        <v>3.2444009999999999</v>
      </c>
    </row>
    <row r="12" spans="1:16" x14ac:dyDescent="0.3">
      <c r="A12" s="2" t="s">
        <v>72</v>
      </c>
      <c r="B12" s="2" t="s">
        <v>17</v>
      </c>
      <c r="C12" s="2" t="s">
        <v>28</v>
      </c>
      <c r="D12" s="3">
        <v>2.9477000000000002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>
        <f t="shared" si="0"/>
        <v>2.9477000000000002</v>
      </c>
    </row>
    <row r="13" spans="1:16" x14ac:dyDescent="0.3">
      <c r="A13" s="2" t="s">
        <v>72</v>
      </c>
      <c r="B13" s="2" t="s">
        <v>17</v>
      </c>
      <c r="C13" s="2" t="s">
        <v>29</v>
      </c>
      <c r="D13" s="3">
        <v>3.2273000000000001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>
        <f t="shared" si="0"/>
        <v>3.2273000000000001</v>
      </c>
    </row>
    <row r="14" spans="1:16" x14ac:dyDescent="0.3">
      <c r="A14" s="2" t="s">
        <v>72</v>
      </c>
      <c r="B14" s="2" t="s">
        <v>17</v>
      </c>
      <c r="C14" s="2" t="s">
        <v>30</v>
      </c>
      <c r="D14" s="3">
        <v>2.8959000000000001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>
        <f t="shared" si="0"/>
        <v>2.8959000000000001</v>
      </c>
    </row>
    <row r="15" spans="1:16" x14ac:dyDescent="0.3">
      <c r="A15" s="2" t="s">
        <v>72</v>
      </c>
      <c r="B15" s="2" t="s">
        <v>17</v>
      </c>
      <c r="C15" s="2" t="s">
        <v>31</v>
      </c>
      <c r="D15" s="3">
        <v>3.3601999999999999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>
        <f t="shared" si="0"/>
        <v>3.3601999999999999</v>
      </c>
    </row>
    <row r="16" spans="1:16" x14ac:dyDescent="0.3">
      <c r="A16" s="2" t="s">
        <v>72</v>
      </c>
      <c r="B16" s="2" t="s">
        <v>17</v>
      </c>
      <c r="C16" s="2" t="s">
        <v>32</v>
      </c>
      <c r="D16" s="3">
        <v>3.0450590000000002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>
        <f t="shared" si="0"/>
        <v>3.0450590000000002</v>
      </c>
    </row>
    <row r="17" spans="1:16" x14ac:dyDescent="0.3">
      <c r="A17" s="2" t="s">
        <v>72</v>
      </c>
      <c r="B17" s="2" t="s">
        <v>17</v>
      </c>
      <c r="C17" s="2" t="s">
        <v>33</v>
      </c>
      <c r="D17" s="3">
        <v>3.2002999999999999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>
        <f t="shared" si="0"/>
        <v>3.2002999999999999</v>
      </c>
    </row>
    <row r="18" spans="1:16" x14ac:dyDescent="0.3">
      <c r="A18" s="2" t="s">
        <v>72</v>
      </c>
      <c r="B18" s="2" t="s">
        <v>17</v>
      </c>
      <c r="C18" s="2" t="s">
        <v>34</v>
      </c>
      <c r="D18" s="3">
        <v>3.0526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>
        <f t="shared" si="0"/>
        <v>3.0526</v>
      </c>
    </row>
    <row r="19" spans="1:16" x14ac:dyDescent="0.3">
      <c r="A19" s="2" t="s">
        <v>72</v>
      </c>
      <c r="B19" s="2" t="s">
        <v>17</v>
      </c>
      <c r="C19" s="2" t="s">
        <v>35</v>
      </c>
      <c r="D19" s="3">
        <v>3.5958000000000001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>
        <f t="shared" si="0"/>
        <v>3.5958000000000001</v>
      </c>
    </row>
    <row r="20" spans="1:16" x14ac:dyDescent="0.3">
      <c r="A20" s="2" t="s">
        <v>72</v>
      </c>
      <c r="B20" s="2" t="s">
        <v>17</v>
      </c>
      <c r="C20" s="2" t="s">
        <v>36</v>
      </c>
      <c r="D20" s="3">
        <v>3.8391000000000002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>
        <f t="shared" si="0"/>
        <v>3.8391000000000002</v>
      </c>
    </row>
    <row r="21" spans="1:16" x14ac:dyDescent="0.3">
      <c r="A21" s="2" t="s">
        <v>72</v>
      </c>
      <c r="B21" s="2" t="s">
        <v>17</v>
      </c>
      <c r="C21" s="2" t="s">
        <v>37</v>
      </c>
      <c r="D21" s="3">
        <v>3.711811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>
        <f t="shared" si="0"/>
        <v>3.711811</v>
      </c>
    </row>
    <row r="22" spans="1:16" x14ac:dyDescent="0.3">
      <c r="A22" s="2" t="s">
        <v>72</v>
      </c>
      <c r="B22" s="2" t="s">
        <v>17</v>
      </c>
      <c r="C22" s="2" t="s">
        <v>38</v>
      </c>
      <c r="D22" s="3">
        <v>3.9367000000000001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>
        <f t="shared" si="0"/>
        <v>3.9367000000000001</v>
      </c>
    </row>
    <row r="23" spans="1:16" x14ac:dyDescent="0.3">
      <c r="A23" s="2" t="s">
        <v>72</v>
      </c>
      <c r="B23" s="2" t="s">
        <v>17</v>
      </c>
      <c r="C23" s="2" t="s">
        <v>39</v>
      </c>
      <c r="D23" s="3">
        <v>2.5350999999999999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>
        <f t="shared" si="0"/>
        <v>2.5350999999999999</v>
      </c>
    </row>
    <row r="24" spans="1:16" x14ac:dyDescent="0.3">
      <c r="A24" s="2" t="s">
        <v>72</v>
      </c>
      <c r="B24" s="2" t="s">
        <v>17</v>
      </c>
      <c r="C24" s="2" t="s">
        <v>40</v>
      </c>
      <c r="D24" s="3">
        <v>2.8999000000000001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>
        <f t="shared" si="0"/>
        <v>2.8999000000000001</v>
      </c>
    </row>
    <row r="25" spans="1:16" x14ac:dyDescent="0.3">
      <c r="A25" s="2" t="s">
        <v>72</v>
      </c>
      <c r="B25" s="2" t="s">
        <v>41</v>
      </c>
      <c r="C25" s="2" t="s">
        <v>18</v>
      </c>
      <c r="D25" s="3">
        <v>3.4075000000000002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>
        <f t="shared" si="0"/>
        <v>3.4075000000000002</v>
      </c>
    </row>
    <row r="26" spans="1:16" x14ac:dyDescent="0.3">
      <c r="A26" s="2" t="s">
        <v>72</v>
      </c>
      <c r="B26" s="2" t="s">
        <v>41</v>
      </c>
      <c r="C26" s="2" t="s">
        <v>19</v>
      </c>
      <c r="D26" s="3">
        <v>3.4964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>
        <f t="shared" si="0"/>
        <v>3.4964</v>
      </c>
    </row>
    <row r="27" spans="1:16" x14ac:dyDescent="0.3">
      <c r="A27" s="2" t="s">
        <v>72</v>
      </c>
      <c r="B27" s="2" t="s">
        <v>41</v>
      </c>
      <c r="C27" s="2" t="s">
        <v>20</v>
      </c>
      <c r="D27" s="3">
        <v>3.05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>
        <f t="shared" si="0"/>
        <v>3.05</v>
      </c>
    </row>
    <row r="28" spans="1:16" x14ac:dyDescent="0.3">
      <c r="A28" s="2" t="s">
        <v>72</v>
      </c>
      <c r="B28" s="2" t="s">
        <v>41</v>
      </c>
      <c r="C28" s="2" t="s">
        <v>21</v>
      </c>
      <c r="D28" s="3">
        <v>3.1415000000000002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>
        <f t="shared" si="0"/>
        <v>3.1415000000000002</v>
      </c>
    </row>
    <row r="29" spans="1:16" x14ac:dyDescent="0.3">
      <c r="A29" s="2" t="s">
        <v>72</v>
      </c>
      <c r="B29" s="2" t="s">
        <v>41</v>
      </c>
      <c r="C29" s="2" t="s">
        <v>22</v>
      </c>
      <c r="D29" s="3">
        <v>3.7974999999999999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>
        <f t="shared" si="0"/>
        <v>3.7974999999999999</v>
      </c>
    </row>
    <row r="30" spans="1:16" x14ac:dyDescent="0.3">
      <c r="A30" s="2" t="s">
        <v>72</v>
      </c>
      <c r="B30" s="2" t="s">
        <v>41</v>
      </c>
      <c r="C30" s="2" t="s">
        <v>23</v>
      </c>
      <c r="D30" s="3">
        <v>4.4067999999999996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>
        <f t="shared" si="0"/>
        <v>4.4067999999999996</v>
      </c>
    </row>
    <row r="31" spans="1:16" x14ac:dyDescent="0.3">
      <c r="A31" s="2" t="s">
        <v>72</v>
      </c>
      <c r="B31" s="2" t="s">
        <v>41</v>
      </c>
      <c r="C31" s="2" t="s">
        <v>24</v>
      </c>
      <c r="D31" s="3">
        <v>3.5792999999999999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>
        <f t="shared" si="0"/>
        <v>3.5792999999999999</v>
      </c>
    </row>
    <row r="32" spans="1:16" x14ac:dyDescent="0.3">
      <c r="A32" s="2" t="s">
        <v>72</v>
      </c>
      <c r="B32" s="2" t="s">
        <v>41</v>
      </c>
      <c r="C32" s="2" t="s">
        <v>25</v>
      </c>
      <c r="D32" s="3">
        <v>2.4277000000000002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>
        <f t="shared" si="0"/>
        <v>2.4277000000000002</v>
      </c>
    </row>
    <row r="33" spans="1:16" x14ac:dyDescent="0.3">
      <c r="A33" s="2" t="s">
        <v>72</v>
      </c>
      <c r="B33" s="2" t="s">
        <v>41</v>
      </c>
      <c r="C33" s="2" t="s">
        <v>26</v>
      </c>
      <c r="D33" s="3">
        <v>2.2035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>
        <f t="shared" si="0"/>
        <v>2.2035</v>
      </c>
    </row>
    <row r="34" spans="1:16" x14ac:dyDescent="0.3">
      <c r="A34" s="2" t="s">
        <v>72</v>
      </c>
      <c r="B34" s="2" t="s">
        <v>41</v>
      </c>
      <c r="C34" s="2" t="s">
        <v>27</v>
      </c>
      <c r="D34" s="3">
        <v>2.6781999999999999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>
        <f t="shared" ref="P34:P65" si="1">D34</f>
        <v>2.6781999999999999</v>
      </c>
    </row>
    <row r="35" spans="1:16" x14ac:dyDescent="0.3">
      <c r="A35" s="2" t="s">
        <v>72</v>
      </c>
      <c r="B35" s="2" t="s">
        <v>41</v>
      </c>
      <c r="C35" s="2" t="s">
        <v>28</v>
      </c>
      <c r="D35" s="3">
        <v>2.4830999999999999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>
        <f t="shared" si="1"/>
        <v>2.4830999999999999</v>
      </c>
    </row>
    <row r="36" spans="1:16" x14ac:dyDescent="0.3">
      <c r="A36" s="2" t="s">
        <v>72</v>
      </c>
      <c r="B36" s="2" t="s">
        <v>41</v>
      </c>
      <c r="C36" s="2" t="s">
        <v>29</v>
      </c>
      <c r="D36" s="3">
        <v>2.7888999999999999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>
        <f t="shared" si="1"/>
        <v>2.7888999999999999</v>
      </c>
    </row>
    <row r="37" spans="1:16" x14ac:dyDescent="0.3">
      <c r="A37" s="2" t="s">
        <v>72</v>
      </c>
      <c r="B37" s="2" t="s">
        <v>41</v>
      </c>
      <c r="C37" s="2" t="s">
        <v>30</v>
      </c>
      <c r="D37" s="3">
        <v>2.3193999999999999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>
        <f t="shared" si="1"/>
        <v>2.3193999999999999</v>
      </c>
    </row>
    <row r="38" spans="1:16" x14ac:dyDescent="0.3">
      <c r="A38" s="2" t="s">
        <v>72</v>
      </c>
      <c r="B38" s="2" t="s">
        <v>41</v>
      </c>
      <c r="C38" s="2" t="s">
        <v>31</v>
      </c>
      <c r="D38" s="3">
        <v>2.5897999999999999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>
        <f t="shared" si="1"/>
        <v>2.5897999999999999</v>
      </c>
    </row>
    <row r="39" spans="1:16" x14ac:dyDescent="0.3">
      <c r="A39" s="2" t="s">
        <v>72</v>
      </c>
      <c r="B39" s="2" t="s">
        <v>41</v>
      </c>
      <c r="C39" s="2" t="s">
        <v>32</v>
      </c>
      <c r="D39" s="3">
        <v>2.2848999999999999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>
        <f t="shared" si="1"/>
        <v>2.2848999999999999</v>
      </c>
    </row>
    <row r="40" spans="1:16" x14ac:dyDescent="0.3">
      <c r="A40" s="2" t="s">
        <v>72</v>
      </c>
      <c r="B40" s="2" t="s">
        <v>41</v>
      </c>
      <c r="C40" s="2" t="s">
        <v>33</v>
      </c>
      <c r="D40" s="3">
        <v>2.5992000000000002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>
        <f t="shared" si="1"/>
        <v>2.5992000000000002</v>
      </c>
    </row>
    <row r="41" spans="1:16" x14ac:dyDescent="0.3">
      <c r="A41" s="2" t="s">
        <v>72</v>
      </c>
      <c r="B41" s="2" t="s">
        <v>41</v>
      </c>
      <c r="C41" s="2" t="s">
        <v>34</v>
      </c>
      <c r="D41" s="3">
        <v>2.4832000000000001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>
        <f t="shared" si="1"/>
        <v>2.4832000000000001</v>
      </c>
    </row>
    <row r="42" spans="1:16" x14ac:dyDescent="0.3">
      <c r="A42" s="2" t="s">
        <v>72</v>
      </c>
      <c r="B42" s="2" t="s">
        <v>41</v>
      </c>
      <c r="C42" s="2" t="s">
        <v>35</v>
      </c>
      <c r="D42" s="3">
        <v>2.8837999999999999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>
        <f t="shared" si="1"/>
        <v>2.8837999999999999</v>
      </c>
    </row>
    <row r="43" spans="1:16" x14ac:dyDescent="0.3">
      <c r="A43" s="2" t="s">
        <v>72</v>
      </c>
      <c r="B43" s="2" t="s">
        <v>41</v>
      </c>
      <c r="C43" s="2" t="s">
        <v>36</v>
      </c>
      <c r="D43" s="3">
        <v>3.2481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>
        <f t="shared" si="1"/>
        <v>3.2481</v>
      </c>
    </row>
    <row r="44" spans="1:16" x14ac:dyDescent="0.3">
      <c r="A44" s="2" t="s">
        <v>72</v>
      </c>
      <c r="B44" s="2" t="s">
        <v>41</v>
      </c>
      <c r="C44" s="2" t="s">
        <v>37</v>
      </c>
      <c r="D44" s="3">
        <v>2.9993110000000001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>
        <f t="shared" si="1"/>
        <v>2.9993110000000001</v>
      </c>
    </row>
    <row r="45" spans="1:16" x14ac:dyDescent="0.3">
      <c r="A45" s="2" t="s">
        <v>72</v>
      </c>
      <c r="B45" s="2" t="s">
        <v>41</v>
      </c>
      <c r="C45" s="2" t="s">
        <v>38</v>
      </c>
      <c r="D45" s="3">
        <v>3.4645000000000001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>
        <f t="shared" si="1"/>
        <v>3.4645000000000001</v>
      </c>
    </row>
    <row r="46" spans="1:16" x14ac:dyDescent="0.3">
      <c r="A46" s="2" t="s">
        <v>72</v>
      </c>
      <c r="B46" s="2" t="s">
        <v>41</v>
      </c>
      <c r="C46" s="2" t="s">
        <v>39</v>
      </c>
      <c r="D46" s="3">
        <v>2.0404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>
        <f t="shared" si="1"/>
        <v>2.0404</v>
      </c>
    </row>
    <row r="47" spans="1:16" x14ac:dyDescent="0.3">
      <c r="A47" s="2" t="s">
        <v>72</v>
      </c>
      <c r="B47" s="2" t="s">
        <v>41</v>
      </c>
      <c r="C47" s="2" t="s">
        <v>40</v>
      </c>
      <c r="D47" s="3">
        <v>2.4542999999999999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>
        <f t="shared" si="1"/>
        <v>2.4542999999999999</v>
      </c>
    </row>
    <row r="48" spans="1:16" x14ac:dyDescent="0.3">
      <c r="A48" s="2" t="s">
        <v>72</v>
      </c>
      <c r="B48" s="2" t="s">
        <v>42</v>
      </c>
      <c r="C48" s="2" t="s">
        <v>18</v>
      </c>
      <c r="D48" s="5">
        <v>55.388122453411597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6">
        <f t="shared" si="1"/>
        <v>55.388122453411597</v>
      </c>
    </row>
    <row r="49" spans="1:16" x14ac:dyDescent="0.3">
      <c r="A49" s="2" t="s">
        <v>72</v>
      </c>
      <c r="B49" s="2" t="s">
        <v>42</v>
      </c>
      <c r="C49" s="2" t="s">
        <v>19</v>
      </c>
      <c r="D49" s="5">
        <v>62.621927142203418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6">
        <f t="shared" si="1"/>
        <v>62.621927142203418</v>
      </c>
    </row>
    <row r="50" spans="1:16" x14ac:dyDescent="0.3">
      <c r="A50" s="2" t="s">
        <v>72</v>
      </c>
      <c r="B50" s="2" t="s">
        <v>42</v>
      </c>
      <c r="C50" s="2" t="s">
        <v>20</v>
      </c>
      <c r="D50" s="5">
        <v>73.711307855737701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">
        <f t="shared" si="1"/>
        <v>73.711307855737701</v>
      </c>
    </row>
    <row r="51" spans="1:16" x14ac:dyDescent="0.3">
      <c r="A51" s="2" t="s">
        <v>72</v>
      </c>
      <c r="B51" s="2" t="s">
        <v>42</v>
      </c>
      <c r="C51" s="2" t="s">
        <v>21</v>
      </c>
      <c r="D51" s="5">
        <v>67.756223733885093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6">
        <f t="shared" si="1"/>
        <v>67.756223733885093</v>
      </c>
    </row>
    <row r="52" spans="1:16" x14ac:dyDescent="0.3">
      <c r="A52" s="2" t="s">
        <v>72</v>
      </c>
      <c r="B52" s="2" t="s">
        <v>42</v>
      </c>
      <c r="C52" s="2" t="s">
        <v>22</v>
      </c>
      <c r="D52" s="5">
        <v>65.775795117840687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6">
        <f t="shared" si="1"/>
        <v>65.775795117840687</v>
      </c>
    </row>
    <row r="53" spans="1:16" x14ac:dyDescent="0.3">
      <c r="A53" s="2" t="s">
        <v>72</v>
      </c>
      <c r="B53" s="2" t="s">
        <v>42</v>
      </c>
      <c r="C53" s="2" t="s">
        <v>23</v>
      </c>
      <c r="D53" s="5">
        <v>67.955289352818383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6">
        <f t="shared" si="1"/>
        <v>67.955289352818383</v>
      </c>
    </row>
    <row r="54" spans="1:16" x14ac:dyDescent="0.3">
      <c r="A54" s="2" t="s">
        <v>72</v>
      </c>
      <c r="B54" s="2" t="s">
        <v>42</v>
      </c>
      <c r="C54" s="2" t="s">
        <v>24</v>
      </c>
      <c r="D54" s="5">
        <v>77.40146807476323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6">
        <f t="shared" si="1"/>
        <v>77.40146807476323</v>
      </c>
    </row>
    <row r="55" spans="1:16" x14ac:dyDescent="0.3">
      <c r="A55" s="2" t="s">
        <v>72</v>
      </c>
      <c r="B55" s="2" t="s">
        <v>42</v>
      </c>
      <c r="C55" s="2" t="s">
        <v>25</v>
      </c>
      <c r="D55" s="5">
        <v>77.763686081476308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6">
        <f t="shared" si="1"/>
        <v>77.763686081476308</v>
      </c>
    </row>
    <row r="56" spans="1:16" x14ac:dyDescent="0.3">
      <c r="A56" s="2" t="s">
        <v>72</v>
      </c>
      <c r="B56" s="2" t="s">
        <v>42</v>
      </c>
      <c r="C56" s="2" t="s">
        <v>26</v>
      </c>
      <c r="D56" s="5">
        <v>72.136686417063757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6">
        <f t="shared" si="1"/>
        <v>72.136686417063757</v>
      </c>
    </row>
    <row r="57" spans="1:16" x14ac:dyDescent="0.3">
      <c r="A57" s="2" t="s">
        <v>72</v>
      </c>
      <c r="B57" s="2" t="s">
        <v>42</v>
      </c>
      <c r="C57" s="2" t="s">
        <v>27</v>
      </c>
      <c r="D57" s="5">
        <v>76.448535464117697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>
        <f t="shared" si="1"/>
        <v>76.448535464117697</v>
      </c>
    </row>
    <row r="58" spans="1:16" x14ac:dyDescent="0.3">
      <c r="A58" s="2" t="s">
        <v>72</v>
      </c>
      <c r="B58" s="2" t="s">
        <v>42</v>
      </c>
      <c r="C58" s="2" t="s">
        <v>28</v>
      </c>
      <c r="D58" s="5">
        <v>73.890039579557822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6">
        <f t="shared" si="1"/>
        <v>73.890039579557822</v>
      </c>
    </row>
    <row r="59" spans="1:16" x14ac:dyDescent="0.3">
      <c r="A59" s="2" t="s">
        <v>72</v>
      </c>
      <c r="B59" s="2" t="s">
        <v>42</v>
      </c>
      <c r="C59" s="2" t="s">
        <v>29</v>
      </c>
      <c r="D59" s="5">
        <v>91.316523962852742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6">
        <f t="shared" si="1"/>
        <v>91.316523962852742</v>
      </c>
    </row>
    <row r="60" spans="1:16" x14ac:dyDescent="0.3">
      <c r="A60" s="2" t="s">
        <v>72</v>
      </c>
      <c r="B60" s="2" t="s">
        <v>42</v>
      </c>
      <c r="C60" s="2" t="s">
        <v>30</v>
      </c>
      <c r="D60" s="5">
        <v>83.220259653358639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6">
        <f t="shared" si="1"/>
        <v>83.220259653358639</v>
      </c>
    </row>
    <row r="61" spans="1:16" x14ac:dyDescent="0.3">
      <c r="A61" s="2" t="s">
        <v>72</v>
      </c>
      <c r="B61" s="2" t="s">
        <v>42</v>
      </c>
      <c r="C61" s="2" t="s">
        <v>31</v>
      </c>
      <c r="D61" s="5">
        <v>85.753017607537259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6">
        <f t="shared" si="1"/>
        <v>85.753017607537259</v>
      </c>
    </row>
    <row r="62" spans="1:16" x14ac:dyDescent="0.3">
      <c r="A62" s="2" t="s">
        <v>72</v>
      </c>
      <c r="B62" s="2" t="s">
        <v>42</v>
      </c>
      <c r="C62" s="2" t="s">
        <v>32</v>
      </c>
      <c r="D62" s="5">
        <v>91.696277368812645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6">
        <f t="shared" si="1"/>
        <v>91.696277368812645</v>
      </c>
    </row>
    <row r="63" spans="1:16" x14ac:dyDescent="0.3">
      <c r="A63" s="2" t="s">
        <v>72</v>
      </c>
      <c r="B63" s="2" t="s">
        <v>42</v>
      </c>
      <c r="C63" s="2" t="s">
        <v>33</v>
      </c>
      <c r="D63" s="5">
        <v>93.126515620190844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>
        <f t="shared" si="1"/>
        <v>93.126515620190844</v>
      </c>
    </row>
    <row r="64" spans="1:16" x14ac:dyDescent="0.3">
      <c r="A64" s="2" t="s">
        <v>72</v>
      </c>
      <c r="B64" s="2" t="s">
        <v>42</v>
      </c>
      <c r="C64" s="2" t="s">
        <v>34</v>
      </c>
      <c r="D64" s="5">
        <v>89.721498389175267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6">
        <f t="shared" si="1"/>
        <v>89.721498389175267</v>
      </c>
    </row>
    <row r="65" spans="1:16" x14ac:dyDescent="0.3">
      <c r="A65" s="2" t="s">
        <v>72</v>
      </c>
      <c r="B65" s="2" t="s">
        <v>42</v>
      </c>
      <c r="C65" s="2" t="s">
        <v>35</v>
      </c>
      <c r="D65" s="5">
        <v>95.050191115888765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>
        <f t="shared" si="1"/>
        <v>95.050191115888765</v>
      </c>
    </row>
    <row r="66" spans="1:16" x14ac:dyDescent="0.3">
      <c r="A66" s="2" t="s">
        <v>72</v>
      </c>
      <c r="B66" s="2" t="s">
        <v>42</v>
      </c>
      <c r="C66" s="2" t="s">
        <v>36</v>
      </c>
      <c r="D66" s="5">
        <v>91.346666802130486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>
        <f t="shared" ref="P66:P93" si="2">D66</f>
        <v>91.346666802130486</v>
      </c>
    </row>
    <row r="67" spans="1:16" x14ac:dyDescent="0.3">
      <c r="A67" s="2" t="s">
        <v>72</v>
      </c>
      <c r="B67" s="2" t="s">
        <v>42</v>
      </c>
      <c r="C67" s="2" t="s">
        <v>37</v>
      </c>
      <c r="D67" s="5">
        <v>62.664539115816943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6">
        <f t="shared" si="2"/>
        <v>62.664539115816943</v>
      </c>
    </row>
    <row r="68" spans="1:16" x14ac:dyDescent="0.3">
      <c r="A68" s="2" t="s">
        <v>72</v>
      </c>
      <c r="B68" s="2" t="s">
        <v>42</v>
      </c>
      <c r="C68" s="2" t="s">
        <v>38</v>
      </c>
      <c r="D68" s="5">
        <v>97.819502871987325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6">
        <f t="shared" si="2"/>
        <v>97.819502871987325</v>
      </c>
    </row>
    <row r="69" spans="1:16" x14ac:dyDescent="0.3">
      <c r="A69" s="2" t="s">
        <v>72</v>
      </c>
      <c r="B69" s="2" t="s">
        <v>42</v>
      </c>
      <c r="C69" s="2" t="s">
        <v>39</v>
      </c>
      <c r="D69" s="5">
        <v>83.994982150558712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6">
        <f t="shared" si="2"/>
        <v>83.994982150558712</v>
      </c>
    </row>
    <row r="70" spans="1:16" x14ac:dyDescent="0.3">
      <c r="A70" s="2" t="s">
        <v>72</v>
      </c>
      <c r="B70" s="2" t="s">
        <v>42</v>
      </c>
      <c r="C70" s="2" t="s">
        <v>40</v>
      </c>
      <c r="D70" s="5">
        <v>88.706689353379801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>
        <f t="shared" si="2"/>
        <v>88.706689353379801</v>
      </c>
    </row>
    <row r="71" spans="1:16" x14ac:dyDescent="0.3">
      <c r="A71" s="2" t="s">
        <v>72</v>
      </c>
      <c r="B71" s="2" t="s">
        <v>43</v>
      </c>
      <c r="C71" s="2" t="s">
        <v>18</v>
      </c>
      <c r="D71" s="7">
        <v>2910.7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8">
        <f t="shared" si="2"/>
        <v>2910.7</v>
      </c>
    </row>
    <row r="72" spans="1:16" x14ac:dyDescent="0.3">
      <c r="A72" s="2" t="s">
        <v>72</v>
      </c>
      <c r="B72" s="2" t="s">
        <v>43</v>
      </c>
      <c r="C72" s="2" t="s">
        <v>19</v>
      </c>
      <c r="D72" s="7">
        <v>3376.7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8">
        <f t="shared" si="2"/>
        <v>3376.7</v>
      </c>
    </row>
    <row r="73" spans="1:16" x14ac:dyDescent="0.3">
      <c r="A73" s="2" t="s">
        <v>72</v>
      </c>
      <c r="B73" s="2" t="s">
        <v>43</v>
      </c>
      <c r="C73" s="2" t="s">
        <v>20</v>
      </c>
      <c r="D73" s="7">
        <v>3467.2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8">
        <f t="shared" si="2"/>
        <v>3467.2</v>
      </c>
    </row>
    <row r="74" spans="1:16" x14ac:dyDescent="0.3">
      <c r="A74" s="2" t="s">
        <v>72</v>
      </c>
      <c r="B74" s="2" t="s">
        <v>43</v>
      </c>
      <c r="C74" s="2" t="s">
        <v>21</v>
      </c>
      <c r="D74" s="7">
        <v>3282.7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8">
        <f t="shared" si="2"/>
        <v>3282.7</v>
      </c>
    </row>
    <row r="75" spans="1:16" x14ac:dyDescent="0.3">
      <c r="A75" s="2" t="s">
        <v>72</v>
      </c>
      <c r="B75" s="2" t="s">
        <v>43</v>
      </c>
      <c r="C75" s="2" t="s">
        <v>22</v>
      </c>
      <c r="D75" s="7">
        <v>3852.2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8">
        <f t="shared" si="2"/>
        <v>3852.2</v>
      </c>
    </row>
    <row r="76" spans="1:16" x14ac:dyDescent="0.3">
      <c r="A76" s="2" t="s">
        <v>72</v>
      </c>
      <c r="B76" s="2" t="s">
        <v>43</v>
      </c>
      <c r="C76" s="2" t="s">
        <v>23</v>
      </c>
      <c r="D76" s="7">
        <v>4618.3999999999996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8">
        <f t="shared" si="2"/>
        <v>4618.3999999999996</v>
      </c>
    </row>
    <row r="77" spans="1:16" x14ac:dyDescent="0.3">
      <c r="A77" s="2" t="s">
        <v>72</v>
      </c>
      <c r="B77" s="2" t="s">
        <v>43</v>
      </c>
      <c r="C77" s="2" t="s">
        <v>24</v>
      </c>
      <c r="D77" s="7">
        <v>4272.6000000000004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8">
        <f t="shared" si="2"/>
        <v>4272.6000000000004</v>
      </c>
    </row>
    <row r="78" spans="1:16" x14ac:dyDescent="0.3">
      <c r="A78" s="2" t="s">
        <v>72</v>
      </c>
      <c r="B78" s="2" t="s">
        <v>43</v>
      </c>
      <c r="C78" s="2" t="s">
        <v>25</v>
      </c>
      <c r="D78" s="7">
        <v>2911.5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8">
        <f t="shared" si="2"/>
        <v>2911.5</v>
      </c>
    </row>
    <row r="79" spans="1:16" x14ac:dyDescent="0.3">
      <c r="A79" s="2" t="s">
        <v>72</v>
      </c>
      <c r="B79" s="2" t="s">
        <v>43</v>
      </c>
      <c r="C79" s="2" t="s">
        <v>26</v>
      </c>
      <c r="D79" s="7">
        <v>2451.4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8">
        <f t="shared" si="2"/>
        <v>2451.4</v>
      </c>
    </row>
    <row r="80" spans="1:16" x14ac:dyDescent="0.3">
      <c r="A80" s="2" t="s">
        <v>72</v>
      </c>
      <c r="B80" s="2" t="s">
        <v>43</v>
      </c>
      <c r="C80" s="2" t="s">
        <v>27</v>
      </c>
      <c r="D80" s="7">
        <v>3157.6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8">
        <f t="shared" si="2"/>
        <v>3157.6</v>
      </c>
    </row>
    <row r="81" spans="1:16" x14ac:dyDescent="0.3">
      <c r="A81" s="2" t="s">
        <v>72</v>
      </c>
      <c r="B81" s="2" t="s">
        <v>43</v>
      </c>
      <c r="C81" s="2" t="s">
        <v>28</v>
      </c>
      <c r="D81" s="7">
        <v>2829.6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8">
        <f t="shared" si="2"/>
        <v>2829.6</v>
      </c>
    </row>
    <row r="82" spans="1:16" x14ac:dyDescent="0.3">
      <c r="A82" s="2" t="s">
        <v>72</v>
      </c>
      <c r="B82" s="2" t="s">
        <v>43</v>
      </c>
      <c r="C82" s="2" t="s">
        <v>29</v>
      </c>
      <c r="D82" s="7">
        <v>3927.6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8">
        <f t="shared" si="2"/>
        <v>3927.6</v>
      </c>
    </row>
    <row r="83" spans="1:16" x14ac:dyDescent="0.3">
      <c r="A83" s="2" t="s">
        <v>72</v>
      </c>
      <c r="B83" s="2" t="s">
        <v>43</v>
      </c>
      <c r="C83" s="2" t="s">
        <v>30</v>
      </c>
      <c r="D83" s="7">
        <v>2976.8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8">
        <f t="shared" si="2"/>
        <v>2976.8</v>
      </c>
    </row>
    <row r="84" spans="1:16" x14ac:dyDescent="0.3">
      <c r="A84" s="2" t="s">
        <v>72</v>
      </c>
      <c r="B84" s="2" t="s">
        <v>43</v>
      </c>
      <c r="C84" s="2" t="s">
        <v>31</v>
      </c>
      <c r="D84" s="7">
        <v>3425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8">
        <f t="shared" si="2"/>
        <v>3425</v>
      </c>
    </row>
    <row r="85" spans="1:16" x14ac:dyDescent="0.3">
      <c r="A85" s="2" t="s">
        <v>72</v>
      </c>
      <c r="B85" s="2" t="s">
        <v>43</v>
      </c>
      <c r="C85" s="2" t="s">
        <v>32</v>
      </c>
      <c r="D85" s="7">
        <v>3231.2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8">
        <f t="shared" si="2"/>
        <v>3231.2</v>
      </c>
    </row>
    <row r="86" spans="1:16" x14ac:dyDescent="0.3">
      <c r="A86" s="2" t="s">
        <v>72</v>
      </c>
      <c r="B86" s="2" t="s">
        <v>43</v>
      </c>
      <c r="C86" s="2" t="s">
        <v>33</v>
      </c>
      <c r="D86" s="7">
        <v>3733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8">
        <f t="shared" si="2"/>
        <v>3733</v>
      </c>
    </row>
    <row r="87" spans="1:16" x14ac:dyDescent="0.3">
      <c r="A87" s="2" t="s">
        <v>72</v>
      </c>
      <c r="B87" s="2" t="s">
        <v>43</v>
      </c>
      <c r="C87" s="2" t="s">
        <v>34</v>
      </c>
      <c r="D87" s="7">
        <v>3436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8">
        <f t="shared" si="2"/>
        <v>3436</v>
      </c>
    </row>
    <row r="88" spans="1:16" x14ac:dyDescent="0.3">
      <c r="A88" s="2" t="s">
        <v>72</v>
      </c>
      <c r="B88" s="2" t="s">
        <v>43</v>
      </c>
      <c r="C88" s="2" t="s">
        <v>35</v>
      </c>
      <c r="D88" s="7">
        <v>4227.3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8">
        <f t="shared" si="2"/>
        <v>4227.3</v>
      </c>
    </row>
    <row r="89" spans="1:16" x14ac:dyDescent="0.3">
      <c r="A89" s="2" t="s">
        <v>72</v>
      </c>
      <c r="B89" s="2" t="s">
        <v>43</v>
      </c>
      <c r="C89" s="2" t="s">
        <v>36</v>
      </c>
      <c r="D89" s="7">
        <v>4575.8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8">
        <f t="shared" si="2"/>
        <v>4575.8</v>
      </c>
    </row>
    <row r="90" spans="1:16" x14ac:dyDescent="0.3">
      <c r="A90" s="2" t="s">
        <v>72</v>
      </c>
      <c r="B90" s="2" t="s">
        <v>43</v>
      </c>
      <c r="C90" s="2" t="s">
        <v>37</v>
      </c>
      <c r="D90" s="7">
        <v>2898.6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8">
        <f t="shared" si="2"/>
        <v>2898.6</v>
      </c>
    </row>
    <row r="91" spans="1:16" x14ac:dyDescent="0.3">
      <c r="A91" s="2" t="s">
        <v>72</v>
      </c>
      <c r="B91" s="2" t="s">
        <v>43</v>
      </c>
      <c r="C91" s="2" t="s">
        <v>38</v>
      </c>
      <c r="D91" s="7">
        <v>5226.5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8">
        <f t="shared" si="2"/>
        <v>5226.5</v>
      </c>
    </row>
    <row r="92" spans="1:16" x14ac:dyDescent="0.3">
      <c r="A92" s="2" t="s">
        <v>72</v>
      </c>
      <c r="B92" s="2" t="s">
        <v>43</v>
      </c>
      <c r="C92" s="2" t="s">
        <v>39</v>
      </c>
      <c r="D92" s="7">
        <v>2643.1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8">
        <f t="shared" si="2"/>
        <v>2643.1</v>
      </c>
    </row>
    <row r="93" spans="1:16" x14ac:dyDescent="0.3">
      <c r="A93" s="2" t="s">
        <v>72</v>
      </c>
      <c r="B93" s="2" t="s">
        <v>43</v>
      </c>
      <c r="C93" s="2" t="s">
        <v>40</v>
      </c>
      <c r="D93" s="7">
        <v>3357.6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8">
        <f t="shared" si="2"/>
        <v>3357.6</v>
      </c>
    </row>
    <row r="94" spans="1:16" x14ac:dyDescent="0.3">
      <c r="A94" s="2" t="s">
        <v>72</v>
      </c>
      <c r="B94" s="2" t="s">
        <v>44</v>
      </c>
      <c r="C94" s="2" t="s">
        <v>18</v>
      </c>
      <c r="D94" s="7">
        <v>49.168999999999997</v>
      </c>
      <c r="E94" s="7">
        <v>235.892</v>
      </c>
      <c r="F94" s="7">
        <v>194.113</v>
      </c>
      <c r="G94" s="7">
        <v>76.537000000000006</v>
      </c>
      <c r="H94" s="7">
        <v>43.88</v>
      </c>
      <c r="I94" s="7">
        <v>67.838999999999999</v>
      </c>
      <c r="J94" s="7">
        <v>88.856999999999999</v>
      </c>
      <c r="K94" s="7">
        <v>74.528999999999996</v>
      </c>
      <c r="L94" s="7">
        <v>54.898000000000003</v>
      </c>
      <c r="M94" s="7">
        <v>78.153999999999996</v>
      </c>
      <c r="N94" s="7">
        <v>59.011000000000003</v>
      </c>
      <c r="O94" s="7">
        <v>75.450999999999993</v>
      </c>
      <c r="P94" s="8">
        <f t="shared" ref="P94:P125" si="3">SUM(D94:O94)</f>
        <v>1098.33</v>
      </c>
    </row>
    <row r="95" spans="1:16" x14ac:dyDescent="0.3">
      <c r="A95" s="2" t="s">
        <v>72</v>
      </c>
      <c r="B95" s="2" t="s">
        <v>44</v>
      </c>
      <c r="C95" s="2" t="s">
        <v>19</v>
      </c>
      <c r="D95" s="7">
        <v>178.119</v>
      </c>
      <c r="E95" s="7">
        <v>244.40700000000001</v>
      </c>
      <c r="F95" s="7">
        <v>174.10300000000001</v>
      </c>
      <c r="G95" s="7">
        <v>99.588999999999999</v>
      </c>
      <c r="H95" s="7">
        <v>97.174000000000007</v>
      </c>
      <c r="I95" s="7">
        <v>100.99</v>
      </c>
      <c r="J95" s="7">
        <v>93.072999999999993</v>
      </c>
      <c r="K95" s="7">
        <v>113.102</v>
      </c>
      <c r="L95" s="7">
        <v>110.771</v>
      </c>
      <c r="M95" s="7">
        <v>91.933999999999997</v>
      </c>
      <c r="N95" s="7">
        <v>70.688000000000002</v>
      </c>
      <c r="O95" s="7">
        <v>65.808000000000007</v>
      </c>
      <c r="P95" s="8">
        <f t="shared" si="3"/>
        <v>1439.758</v>
      </c>
    </row>
    <row r="96" spans="1:16" x14ac:dyDescent="0.3">
      <c r="A96" s="2" t="s">
        <v>72</v>
      </c>
      <c r="B96" s="2" t="s">
        <v>44</v>
      </c>
      <c r="C96" s="2" t="s">
        <v>20</v>
      </c>
      <c r="D96" s="7">
        <v>65.924999999999997</v>
      </c>
      <c r="E96" s="7">
        <v>89.853999999999999</v>
      </c>
      <c r="F96" s="7">
        <v>197.529</v>
      </c>
      <c r="G96" s="7">
        <v>211.755</v>
      </c>
      <c r="H96" s="7">
        <v>132.63300000000001</v>
      </c>
      <c r="I96" s="7">
        <v>114.76300000000001</v>
      </c>
      <c r="J96" s="7">
        <v>120.194</v>
      </c>
      <c r="K96" s="7">
        <v>128.059</v>
      </c>
      <c r="L96" s="7">
        <v>160.60900000000001</v>
      </c>
      <c r="M96" s="7">
        <v>98.619</v>
      </c>
      <c r="N96" s="7">
        <v>98.61</v>
      </c>
      <c r="O96" s="7">
        <v>117.482</v>
      </c>
      <c r="P96" s="8">
        <f t="shared" si="3"/>
        <v>1536.0319999999997</v>
      </c>
    </row>
    <row r="97" spans="1:16" x14ac:dyDescent="0.3">
      <c r="A97" s="2" t="s">
        <v>72</v>
      </c>
      <c r="B97" s="2" t="s">
        <v>44</v>
      </c>
      <c r="C97" s="2" t="s">
        <v>21</v>
      </c>
      <c r="D97" s="7">
        <v>108.01300000000001</v>
      </c>
      <c r="E97" s="7">
        <v>112.643</v>
      </c>
      <c r="F97" s="7">
        <v>186.34100000000001</v>
      </c>
      <c r="G97" s="7">
        <v>159.31100000000001</v>
      </c>
      <c r="H97" s="7">
        <v>195.74700000000001</v>
      </c>
      <c r="I97" s="7">
        <v>161.648</v>
      </c>
      <c r="J97" s="7">
        <v>113.524</v>
      </c>
      <c r="K97" s="7">
        <v>150.07900000000001</v>
      </c>
      <c r="L97" s="7">
        <v>170.405</v>
      </c>
      <c r="M97" s="7">
        <v>95.593999999999994</v>
      </c>
      <c r="N97" s="7">
        <v>117.443</v>
      </c>
      <c r="O97" s="7">
        <v>150.995</v>
      </c>
      <c r="P97" s="8">
        <f t="shared" si="3"/>
        <v>1721.7429999999999</v>
      </c>
    </row>
    <row r="98" spans="1:16" x14ac:dyDescent="0.3">
      <c r="A98" s="2" t="s">
        <v>72</v>
      </c>
      <c r="B98" s="2" t="s">
        <v>44</v>
      </c>
      <c r="C98" s="2" t="s">
        <v>22</v>
      </c>
      <c r="D98" s="7">
        <v>296.54800000000012</v>
      </c>
      <c r="E98" s="7">
        <v>247.91499999999999</v>
      </c>
      <c r="F98" s="7">
        <v>227.34100000000001</v>
      </c>
      <c r="G98" s="7">
        <v>247.149</v>
      </c>
      <c r="H98" s="7">
        <v>171.47300000000001</v>
      </c>
      <c r="I98" s="7">
        <v>171.66399999999999</v>
      </c>
      <c r="J98" s="7">
        <v>144.40799999999999</v>
      </c>
      <c r="K98" s="7">
        <v>186.09200000000001</v>
      </c>
      <c r="L98" s="7">
        <v>159.90799999999999</v>
      </c>
      <c r="M98" s="7">
        <v>134.18899999999999</v>
      </c>
      <c r="N98" s="7">
        <v>88.643999999999991</v>
      </c>
      <c r="O98" s="7">
        <v>118.556</v>
      </c>
      <c r="P98" s="8">
        <f t="shared" si="3"/>
        <v>2193.8870000000002</v>
      </c>
    </row>
    <row r="99" spans="1:16" x14ac:dyDescent="0.3">
      <c r="A99" s="2" t="s">
        <v>72</v>
      </c>
      <c r="B99" s="2" t="s">
        <v>44</v>
      </c>
      <c r="C99" s="2" t="s">
        <v>23</v>
      </c>
      <c r="D99" s="7">
        <v>228.77600000000001</v>
      </c>
      <c r="E99" s="7">
        <v>328.40499999999997</v>
      </c>
      <c r="F99" s="7">
        <v>281.60599999999999</v>
      </c>
      <c r="G99" s="7">
        <v>248.833</v>
      </c>
      <c r="H99" s="7">
        <v>199.45099999999999</v>
      </c>
      <c r="I99" s="7">
        <v>190.58500000000001</v>
      </c>
      <c r="J99" s="7">
        <v>140.85499999999999</v>
      </c>
      <c r="K99" s="7">
        <v>145.79400000000001</v>
      </c>
      <c r="L99" s="7">
        <v>295.11700000000002</v>
      </c>
      <c r="M99" s="7">
        <v>173.99700000000001</v>
      </c>
      <c r="N99" s="7">
        <v>207.68100000000001</v>
      </c>
      <c r="O99" s="7">
        <v>191.864</v>
      </c>
      <c r="P99" s="8">
        <f t="shared" si="3"/>
        <v>2632.9640000000004</v>
      </c>
    </row>
    <row r="100" spans="1:16" x14ac:dyDescent="0.3">
      <c r="A100" s="2" t="s">
        <v>72</v>
      </c>
      <c r="B100" s="2" t="s">
        <v>44</v>
      </c>
      <c r="C100" s="2" t="s">
        <v>24</v>
      </c>
      <c r="D100" s="7">
        <v>230.66900000000001</v>
      </c>
      <c r="E100" s="7">
        <v>255.54300000000001</v>
      </c>
      <c r="F100" s="7">
        <v>249.458</v>
      </c>
      <c r="G100" s="7">
        <v>176.71100000000001</v>
      </c>
      <c r="H100" s="7">
        <v>144.83500000000001</v>
      </c>
      <c r="I100" s="7">
        <v>162.78800000000001</v>
      </c>
      <c r="J100" s="7">
        <v>139.69999999999999</v>
      </c>
      <c r="K100" s="7">
        <v>145.767</v>
      </c>
      <c r="L100" s="7">
        <v>187.40600000000001</v>
      </c>
      <c r="M100" s="7">
        <v>152.83699999999999</v>
      </c>
      <c r="N100" s="7">
        <v>160.708</v>
      </c>
      <c r="O100" s="7">
        <v>191.62799999999999</v>
      </c>
      <c r="P100" s="8">
        <f t="shared" si="3"/>
        <v>2198.0500000000002</v>
      </c>
    </row>
    <row r="101" spans="1:16" x14ac:dyDescent="0.3">
      <c r="A101" s="2" t="s">
        <v>72</v>
      </c>
      <c r="B101" s="2" t="s">
        <v>44</v>
      </c>
      <c r="C101" s="2" t="s">
        <v>25</v>
      </c>
      <c r="D101" s="7">
        <v>198.303</v>
      </c>
      <c r="E101" s="7">
        <v>141.148</v>
      </c>
      <c r="F101" s="7">
        <v>172.297</v>
      </c>
      <c r="G101" s="7">
        <v>128.006</v>
      </c>
      <c r="H101" s="7">
        <v>132.37200000000001</v>
      </c>
      <c r="I101" s="7">
        <v>160.98500000000001</v>
      </c>
      <c r="J101" s="7">
        <v>159.006</v>
      </c>
      <c r="K101" s="7">
        <v>216.124</v>
      </c>
      <c r="L101" s="7">
        <v>100.765</v>
      </c>
      <c r="M101" s="7">
        <v>120.804</v>
      </c>
      <c r="N101" s="7">
        <v>118.509</v>
      </c>
      <c r="O101" s="7">
        <v>144.23500000000001</v>
      </c>
      <c r="P101" s="8">
        <f t="shared" si="3"/>
        <v>1792.5540000000001</v>
      </c>
    </row>
    <row r="102" spans="1:16" x14ac:dyDescent="0.3">
      <c r="A102" s="2" t="s">
        <v>72</v>
      </c>
      <c r="B102" s="2" t="s">
        <v>44</v>
      </c>
      <c r="C102" s="2" t="s">
        <v>26</v>
      </c>
      <c r="D102" s="7">
        <v>173.053</v>
      </c>
      <c r="E102" s="7">
        <v>175.202</v>
      </c>
      <c r="F102" s="7">
        <v>179.381</v>
      </c>
      <c r="G102" s="7">
        <v>124.066</v>
      </c>
      <c r="H102" s="7">
        <v>145.82599999999999</v>
      </c>
      <c r="I102" s="7">
        <v>132.61699999999999</v>
      </c>
      <c r="J102" s="7">
        <v>123.291</v>
      </c>
      <c r="K102" s="7">
        <v>131.10499999999999</v>
      </c>
      <c r="L102" s="7">
        <v>148.72300000000001</v>
      </c>
      <c r="M102" s="7">
        <v>117.432</v>
      </c>
      <c r="N102" s="7">
        <v>97.364999999999995</v>
      </c>
      <c r="O102" s="7">
        <v>96.295000000000002</v>
      </c>
      <c r="P102" s="8">
        <f t="shared" si="3"/>
        <v>1644.356</v>
      </c>
    </row>
    <row r="103" spans="1:16" x14ac:dyDescent="0.3">
      <c r="A103" s="2" t="s">
        <v>72</v>
      </c>
      <c r="B103" s="2" t="s">
        <v>44</v>
      </c>
      <c r="C103" s="2" t="s">
        <v>27</v>
      </c>
      <c r="D103" s="7">
        <v>184.74799999999999</v>
      </c>
      <c r="E103" s="7">
        <v>286.92700000000002</v>
      </c>
      <c r="F103" s="7">
        <v>228.00299999999999</v>
      </c>
      <c r="G103" s="7">
        <v>190.16800000000001</v>
      </c>
      <c r="H103" s="7">
        <v>187.41900000000001</v>
      </c>
      <c r="I103" s="7">
        <v>163.12100000000001</v>
      </c>
      <c r="J103" s="7">
        <v>120.504</v>
      </c>
      <c r="K103" s="7">
        <v>124.968</v>
      </c>
      <c r="L103" s="7">
        <v>124.232</v>
      </c>
      <c r="M103" s="7">
        <v>111.69499999999999</v>
      </c>
      <c r="N103" s="7">
        <v>126.592</v>
      </c>
      <c r="O103" s="7">
        <v>173.01</v>
      </c>
      <c r="P103" s="8">
        <f t="shared" si="3"/>
        <v>2021.3870000000002</v>
      </c>
    </row>
    <row r="104" spans="1:16" x14ac:dyDescent="0.3">
      <c r="A104" s="2" t="s">
        <v>72</v>
      </c>
      <c r="B104" s="2" t="s">
        <v>44</v>
      </c>
      <c r="C104" s="2" t="s">
        <v>28</v>
      </c>
      <c r="D104" s="7">
        <v>306.71800000000002</v>
      </c>
      <c r="E104" s="7">
        <v>200.11799999999999</v>
      </c>
      <c r="F104" s="7">
        <v>183.48099999999999</v>
      </c>
      <c r="G104" s="7">
        <v>179.20099999999999</v>
      </c>
      <c r="H104" s="7">
        <v>128.26</v>
      </c>
      <c r="I104" s="7">
        <v>131.69999999999999</v>
      </c>
      <c r="J104" s="7">
        <v>120.592</v>
      </c>
      <c r="K104" s="7">
        <v>139.44999999999999</v>
      </c>
      <c r="L104" s="7">
        <v>160.10599999999999</v>
      </c>
      <c r="M104" s="7">
        <v>120.17700000000001</v>
      </c>
      <c r="N104" s="7">
        <v>87.240000000000009</v>
      </c>
      <c r="O104" s="7">
        <v>163.79599999999999</v>
      </c>
      <c r="P104" s="8">
        <f t="shared" si="3"/>
        <v>1920.8390000000002</v>
      </c>
    </row>
    <row r="105" spans="1:16" x14ac:dyDescent="0.3">
      <c r="A105" s="2" t="s">
        <v>72</v>
      </c>
      <c r="B105" s="2" t="s">
        <v>44</v>
      </c>
      <c r="C105" s="2" t="s">
        <v>29</v>
      </c>
      <c r="D105" s="7">
        <v>110.944</v>
      </c>
      <c r="E105" s="7">
        <v>138.47999999999999</v>
      </c>
      <c r="F105" s="7">
        <v>209.16499999999999</v>
      </c>
      <c r="G105" s="7">
        <v>186.274</v>
      </c>
      <c r="H105" s="7">
        <v>148.60499999999999</v>
      </c>
      <c r="I105" s="7">
        <v>120.32899999999999</v>
      </c>
      <c r="J105" s="7">
        <v>111.514</v>
      </c>
      <c r="K105" s="7">
        <v>178.65199999999999</v>
      </c>
      <c r="L105" s="7">
        <v>184.04900000000001</v>
      </c>
      <c r="M105" s="7">
        <v>203.57499999999999</v>
      </c>
      <c r="N105" s="7">
        <v>185.43</v>
      </c>
      <c r="O105" s="7">
        <v>200.11099999999999</v>
      </c>
      <c r="P105" s="8">
        <f t="shared" si="3"/>
        <v>1977.1280000000002</v>
      </c>
    </row>
    <row r="106" spans="1:16" x14ac:dyDescent="0.3">
      <c r="A106" s="2" t="s">
        <v>72</v>
      </c>
      <c r="B106" s="2" t="s">
        <v>44</v>
      </c>
      <c r="C106" s="2" t="s">
        <v>30</v>
      </c>
      <c r="D106" s="7">
        <v>152.672</v>
      </c>
      <c r="E106" s="7">
        <v>169.53100000000001</v>
      </c>
      <c r="F106" s="7">
        <v>199.108</v>
      </c>
      <c r="G106" s="7">
        <v>155.87100000000001</v>
      </c>
      <c r="H106" s="7">
        <v>180.59</v>
      </c>
      <c r="I106" s="7">
        <v>206.53399999999999</v>
      </c>
      <c r="J106" s="7">
        <v>155.81299999999999</v>
      </c>
      <c r="K106" s="7">
        <v>221.37899999999999</v>
      </c>
      <c r="L106" s="7">
        <v>179.64699999999999</v>
      </c>
      <c r="M106" s="7">
        <v>119.008</v>
      </c>
      <c r="N106" s="7">
        <v>151.57300000000001</v>
      </c>
      <c r="O106" s="7">
        <v>133.90899999999999</v>
      </c>
      <c r="P106" s="8">
        <f t="shared" si="3"/>
        <v>2025.6350000000002</v>
      </c>
    </row>
    <row r="107" spans="1:16" x14ac:dyDescent="0.3">
      <c r="A107" s="2" t="s">
        <v>72</v>
      </c>
      <c r="B107" s="2" t="s">
        <v>44</v>
      </c>
      <c r="C107" s="2" t="s">
        <v>31</v>
      </c>
      <c r="D107" s="7">
        <v>150.971</v>
      </c>
      <c r="E107" s="7">
        <v>212.91499999999999</v>
      </c>
      <c r="F107" s="7">
        <v>172.173</v>
      </c>
      <c r="G107" s="7">
        <v>167.203</v>
      </c>
      <c r="H107" s="7">
        <v>194.745</v>
      </c>
      <c r="I107" s="7">
        <v>164.67099999999999</v>
      </c>
      <c r="J107" s="7">
        <v>121.28</v>
      </c>
      <c r="K107" s="7">
        <v>190.59299999999999</v>
      </c>
      <c r="L107" s="7">
        <v>139.45500000000001</v>
      </c>
      <c r="M107" s="7">
        <v>104.857</v>
      </c>
      <c r="N107" s="7">
        <v>183.27500000000001</v>
      </c>
      <c r="O107" s="7">
        <v>114.126</v>
      </c>
      <c r="P107" s="8">
        <f t="shared" si="3"/>
        <v>1916.2639999999999</v>
      </c>
    </row>
    <row r="108" spans="1:16" x14ac:dyDescent="0.3">
      <c r="A108" s="2" t="s">
        <v>72</v>
      </c>
      <c r="B108" s="2" t="s">
        <v>44</v>
      </c>
      <c r="C108" s="2" t="s">
        <v>32</v>
      </c>
      <c r="D108" s="7">
        <v>221.73699999999999</v>
      </c>
      <c r="E108" s="7">
        <v>234.57400000000001</v>
      </c>
      <c r="F108" s="7">
        <v>200.15100000000001</v>
      </c>
      <c r="G108" s="7">
        <v>188.839</v>
      </c>
      <c r="H108" s="7">
        <v>164.77</v>
      </c>
      <c r="I108" s="7">
        <v>183.642</v>
      </c>
      <c r="J108" s="7">
        <v>145.381</v>
      </c>
      <c r="K108" s="7">
        <v>177.85</v>
      </c>
      <c r="L108" s="7">
        <v>122.48099999999999</v>
      </c>
      <c r="M108" s="7">
        <v>91.111000000000004</v>
      </c>
      <c r="N108" s="7">
        <v>108.07299999999999</v>
      </c>
      <c r="O108" s="7">
        <v>121.236</v>
      </c>
      <c r="P108" s="8">
        <f t="shared" si="3"/>
        <v>1959.8450000000003</v>
      </c>
    </row>
    <row r="109" spans="1:16" x14ac:dyDescent="0.3">
      <c r="A109" s="2" t="s">
        <v>72</v>
      </c>
      <c r="B109" s="2" t="s">
        <v>44</v>
      </c>
      <c r="C109" s="2" t="s">
        <v>33</v>
      </c>
      <c r="D109" s="7">
        <v>131.62200000000001</v>
      </c>
      <c r="E109" s="7">
        <v>234.36500000000001</v>
      </c>
      <c r="F109" s="7">
        <v>222.34800000000001</v>
      </c>
      <c r="G109" s="7">
        <v>173.68899999999999</v>
      </c>
      <c r="H109" s="7">
        <v>151.65899999999999</v>
      </c>
      <c r="I109" s="7">
        <v>201.934</v>
      </c>
      <c r="J109" s="7">
        <v>137.096</v>
      </c>
      <c r="K109" s="7">
        <v>179.595</v>
      </c>
      <c r="L109" s="7">
        <v>177.01599999999999</v>
      </c>
      <c r="M109" s="7">
        <v>186.09899999999999</v>
      </c>
      <c r="N109" s="7">
        <v>150.03200000000001</v>
      </c>
      <c r="O109" s="7">
        <v>120.39700000000001</v>
      </c>
      <c r="P109" s="8">
        <f t="shared" si="3"/>
        <v>2065.8519999999999</v>
      </c>
    </row>
    <row r="110" spans="1:16" x14ac:dyDescent="0.3">
      <c r="A110" s="2" t="s">
        <v>72</v>
      </c>
      <c r="B110" s="2" t="s">
        <v>44</v>
      </c>
      <c r="C110" s="2" t="s">
        <v>34</v>
      </c>
      <c r="D110" s="7">
        <v>214.02199999999999</v>
      </c>
      <c r="E110" s="7">
        <v>240.369</v>
      </c>
      <c r="F110" s="7">
        <v>255.99199999999999</v>
      </c>
      <c r="G110" s="7">
        <v>173.97200000000001</v>
      </c>
      <c r="H110" s="7">
        <v>181.29</v>
      </c>
      <c r="I110" s="7">
        <v>153.233</v>
      </c>
      <c r="J110" s="7">
        <v>132.166</v>
      </c>
      <c r="K110" s="7">
        <v>204.904</v>
      </c>
      <c r="L110" s="7">
        <v>211.18100000000001</v>
      </c>
      <c r="M110" s="7">
        <v>143.97</v>
      </c>
      <c r="N110" s="7">
        <v>203.44499999999999</v>
      </c>
      <c r="O110" s="7">
        <v>116.327</v>
      </c>
      <c r="P110" s="8">
        <f t="shared" si="3"/>
        <v>2230.8710000000001</v>
      </c>
    </row>
    <row r="111" spans="1:16" x14ac:dyDescent="0.3">
      <c r="A111" s="2" t="s">
        <v>72</v>
      </c>
      <c r="B111" s="2" t="s">
        <v>44</v>
      </c>
      <c r="C111" s="2" t="s">
        <v>35</v>
      </c>
      <c r="D111" s="7">
        <v>125.05800000000001</v>
      </c>
      <c r="E111" s="7">
        <v>249.57599999999999</v>
      </c>
      <c r="F111" s="7">
        <v>294.24200000000002</v>
      </c>
      <c r="G111" s="7">
        <v>188.21</v>
      </c>
      <c r="H111" s="7">
        <v>235.82400000000001</v>
      </c>
      <c r="I111" s="7">
        <v>204.149</v>
      </c>
      <c r="J111" s="7">
        <v>152.04900000000001</v>
      </c>
      <c r="K111" s="7">
        <v>192.416</v>
      </c>
      <c r="L111" s="7">
        <v>270.06900000000002</v>
      </c>
      <c r="M111" s="7">
        <v>150.971</v>
      </c>
      <c r="N111" s="7">
        <v>146.40299999999999</v>
      </c>
      <c r="O111" s="7">
        <v>132.249</v>
      </c>
      <c r="P111" s="8">
        <f t="shared" si="3"/>
        <v>2341.2159999999999</v>
      </c>
    </row>
    <row r="112" spans="1:16" x14ac:dyDescent="0.3">
      <c r="A112" s="2" t="s">
        <v>72</v>
      </c>
      <c r="B112" s="2" t="s">
        <v>44</v>
      </c>
      <c r="C112" s="2" t="s">
        <v>36</v>
      </c>
      <c r="D112" s="7">
        <v>232.93799999999999</v>
      </c>
      <c r="E112" s="7">
        <v>261.28899999999999</v>
      </c>
      <c r="F112" s="7">
        <v>352.524</v>
      </c>
      <c r="G112" s="7">
        <v>279.33999999999997</v>
      </c>
      <c r="H112" s="7">
        <v>237.93</v>
      </c>
      <c r="I112" s="7">
        <v>188.60300000000001</v>
      </c>
      <c r="J112" s="7">
        <v>203.50399999999999</v>
      </c>
      <c r="K112" s="7">
        <v>173.142</v>
      </c>
      <c r="L112" s="7">
        <v>193.70599999999999</v>
      </c>
      <c r="M112" s="7">
        <v>162.69399999999999</v>
      </c>
      <c r="N112" s="7">
        <v>188.643</v>
      </c>
      <c r="O112" s="7">
        <v>175.61699999999999</v>
      </c>
      <c r="P112" s="8">
        <f t="shared" si="3"/>
        <v>2649.9300000000003</v>
      </c>
    </row>
    <row r="113" spans="1:16" x14ac:dyDescent="0.3">
      <c r="A113" s="2" t="s">
        <v>72</v>
      </c>
      <c r="B113" s="2" t="s">
        <v>44</v>
      </c>
      <c r="C113" s="2" t="s">
        <v>37</v>
      </c>
      <c r="D113" s="7">
        <v>232.04300000000001</v>
      </c>
      <c r="E113" s="7">
        <v>225.72399999999999</v>
      </c>
      <c r="F113" s="7">
        <v>232.589</v>
      </c>
      <c r="G113" s="7">
        <v>185.77</v>
      </c>
      <c r="H113" s="7">
        <v>156.001</v>
      </c>
      <c r="I113" s="7">
        <v>151.22900000000001</v>
      </c>
      <c r="J113" s="7">
        <v>137.11000000000001</v>
      </c>
      <c r="K113" s="7">
        <v>163.75399999999999</v>
      </c>
      <c r="L113" s="7">
        <v>144.22200000000001</v>
      </c>
      <c r="M113" s="7">
        <v>143.542</v>
      </c>
      <c r="N113" s="7">
        <v>134.64400000000001</v>
      </c>
      <c r="O113" s="7">
        <v>115.75</v>
      </c>
      <c r="P113" s="8">
        <f t="shared" si="3"/>
        <v>2022.3779999999997</v>
      </c>
    </row>
    <row r="114" spans="1:16" x14ac:dyDescent="0.3">
      <c r="A114" s="2" t="s">
        <v>72</v>
      </c>
      <c r="B114" s="2" t="s">
        <v>44</v>
      </c>
      <c r="C114" s="2" t="s">
        <v>38</v>
      </c>
      <c r="D114" s="7">
        <v>131.887</v>
      </c>
      <c r="E114" s="7">
        <v>222.63300000000001</v>
      </c>
      <c r="F114" s="7">
        <v>247.614</v>
      </c>
      <c r="G114" s="7">
        <v>200.077</v>
      </c>
      <c r="H114" s="7">
        <v>162.209</v>
      </c>
      <c r="I114" s="7">
        <v>229.93899999999999</v>
      </c>
      <c r="J114" s="7">
        <v>157.56</v>
      </c>
      <c r="K114" s="7">
        <v>221.71299999999999</v>
      </c>
      <c r="L114" s="7">
        <v>186.11500000000001</v>
      </c>
      <c r="M114" s="7">
        <v>214.76</v>
      </c>
      <c r="N114" s="7">
        <v>223.721</v>
      </c>
      <c r="O114" s="7">
        <v>193.33</v>
      </c>
      <c r="P114" s="8">
        <f t="shared" si="3"/>
        <v>2391.558</v>
      </c>
    </row>
    <row r="115" spans="1:16" x14ac:dyDescent="0.3">
      <c r="A115" s="2" t="s">
        <v>72</v>
      </c>
      <c r="B115" s="2" t="s">
        <v>44</v>
      </c>
      <c r="C115" s="2" t="s">
        <v>39</v>
      </c>
      <c r="D115" s="7">
        <v>261.096</v>
      </c>
      <c r="E115" s="7">
        <v>211.12899999999999</v>
      </c>
      <c r="F115" s="7">
        <v>189.11500000000001</v>
      </c>
      <c r="G115" s="7">
        <v>142.55699999999999</v>
      </c>
      <c r="H115" s="7">
        <v>120.523</v>
      </c>
      <c r="I115" s="7">
        <v>187.75399999999999</v>
      </c>
      <c r="J115" s="7">
        <v>139.72</v>
      </c>
      <c r="K115" s="7">
        <v>188.22900000000001</v>
      </c>
      <c r="L115" s="7">
        <v>228.00899999999999</v>
      </c>
      <c r="M115" s="7">
        <v>113.41</v>
      </c>
      <c r="N115" s="7">
        <v>113.97199999999999</v>
      </c>
      <c r="O115" s="7">
        <v>170.745</v>
      </c>
      <c r="P115" s="8">
        <f t="shared" si="3"/>
        <v>2066.259</v>
      </c>
    </row>
    <row r="116" spans="1:16" x14ac:dyDescent="0.3">
      <c r="A116" s="2" t="s">
        <v>72</v>
      </c>
      <c r="B116" s="2" t="s">
        <v>44</v>
      </c>
      <c r="C116" s="2" t="s">
        <v>40</v>
      </c>
      <c r="D116" s="7">
        <v>158.57400000000001</v>
      </c>
      <c r="E116" s="7">
        <v>246.279</v>
      </c>
      <c r="F116" s="7">
        <v>174.673</v>
      </c>
      <c r="G116" s="7">
        <v>177.458</v>
      </c>
      <c r="H116" s="7">
        <v>205.49600000000001</v>
      </c>
      <c r="I116" s="7">
        <v>219.691</v>
      </c>
      <c r="J116" s="7">
        <v>141.047</v>
      </c>
      <c r="K116" s="7">
        <v>227.518</v>
      </c>
      <c r="L116" s="7">
        <v>162.21799999999999</v>
      </c>
      <c r="M116" s="7">
        <v>177.85499999999999</v>
      </c>
      <c r="N116" s="7">
        <v>165.91900000000001</v>
      </c>
      <c r="O116" s="7">
        <v>159.559</v>
      </c>
      <c r="P116" s="8">
        <f t="shared" si="3"/>
        <v>2216.2870000000003</v>
      </c>
    </row>
    <row r="117" spans="1:16" x14ac:dyDescent="0.3">
      <c r="A117" s="2" t="s">
        <v>72</v>
      </c>
      <c r="B117" s="2" t="s">
        <v>45</v>
      </c>
      <c r="C117" s="2" t="s">
        <v>18</v>
      </c>
      <c r="D117" s="7">
        <v>2.577</v>
      </c>
      <c r="E117" s="7">
        <v>5.976</v>
      </c>
      <c r="F117" s="7">
        <v>2.367</v>
      </c>
      <c r="G117" s="7">
        <v>2.5910000000000002</v>
      </c>
      <c r="H117" s="7">
        <v>3.0859999999999999</v>
      </c>
      <c r="I117" s="7">
        <v>3.8830000000000009</v>
      </c>
      <c r="J117" s="7">
        <v>3.0110000000000001</v>
      </c>
      <c r="K117" s="7">
        <v>3.07</v>
      </c>
      <c r="L117" s="7">
        <v>2.2650000000000001</v>
      </c>
      <c r="M117" s="7">
        <v>2.9180000000000001</v>
      </c>
      <c r="N117" s="7">
        <v>2.952</v>
      </c>
      <c r="O117" s="7">
        <v>2.1680000000000001</v>
      </c>
      <c r="P117" s="8">
        <f t="shared" si="3"/>
        <v>36.864000000000004</v>
      </c>
    </row>
    <row r="118" spans="1:16" x14ac:dyDescent="0.3">
      <c r="A118" s="2" t="s">
        <v>72</v>
      </c>
      <c r="B118" s="2" t="s">
        <v>45</v>
      </c>
      <c r="C118" s="2" t="s">
        <v>19</v>
      </c>
      <c r="D118" s="7">
        <v>3.5750000000000002</v>
      </c>
      <c r="E118" s="7">
        <v>6.6849999999999996</v>
      </c>
      <c r="F118" s="7">
        <v>2.585</v>
      </c>
      <c r="G118" s="7">
        <v>1.7609999999999999</v>
      </c>
      <c r="H118" s="7">
        <v>1.948</v>
      </c>
      <c r="I118" s="7">
        <v>3.569</v>
      </c>
      <c r="J118" s="7">
        <v>3.0289999999999999</v>
      </c>
      <c r="K118" s="7">
        <v>2.165</v>
      </c>
      <c r="L118" s="7">
        <v>2.181</v>
      </c>
      <c r="M118" s="7">
        <v>1.419</v>
      </c>
      <c r="N118" s="7">
        <v>3.1869999999999998</v>
      </c>
      <c r="O118" s="7">
        <v>2.3239999999999998</v>
      </c>
      <c r="P118" s="8">
        <f t="shared" si="3"/>
        <v>34.427999999999997</v>
      </c>
    </row>
    <row r="119" spans="1:16" x14ac:dyDescent="0.3">
      <c r="A119" s="2" t="s">
        <v>72</v>
      </c>
      <c r="B119" s="2" t="s">
        <v>45</v>
      </c>
      <c r="C119" s="2" t="s">
        <v>20</v>
      </c>
      <c r="D119" s="7">
        <v>3.6960000000000002</v>
      </c>
      <c r="E119" s="7">
        <v>7.7759999999999998</v>
      </c>
      <c r="F119" s="7">
        <v>2.496</v>
      </c>
      <c r="G119" s="7">
        <v>1.3360000000000001</v>
      </c>
      <c r="H119" s="7">
        <v>0.98499999999999999</v>
      </c>
      <c r="I119" s="7">
        <v>2.399</v>
      </c>
      <c r="J119" s="7">
        <v>3.8740000000000001</v>
      </c>
      <c r="K119" s="7">
        <v>2.8889999999999998</v>
      </c>
      <c r="L119" s="7">
        <v>4.4729999999999999</v>
      </c>
      <c r="M119" s="7">
        <v>1.1679999999999999</v>
      </c>
      <c r="N119" s="7">
        <v>1.514</v>
      </c>
      <c r="O119" s="7">
        <v>1.032</v>
      </c>
      <c r="P119" s="8">
        <f t="shared" si="3"/>
        <v>33.638000000000005</v>
      </c>
    </row>
    <row r="120" spans="1:16" x14ac:dyDescent="0.3">
      <c r="A120" s="2" t="s">
        <v>72</v>
      </c>
      <c r="B120" s="2" t="s">
        <v>45</v>
      </c>
      <c r="C120" s="2" t="s">
        <v>21</v>
      </c>
      <c r="D120" s="7">
        <v>2.488</v>
      </c>
      <c r="E120" s="7">
        <v>3.2480000000000002</v>
      </c>
      <c r="F120" s="7">
        <v>1.252</v>
      </c>
      <c r="G120" s="7">
        <v>1.038</v>
      </c>
      <c r="H120" s="7">
        <v>3.218</v>
      </c>
      <c r="I120" s="7">
        <v>3.4359999999999999</v>
      </c>
      <c r="J120" s="7">
        <v>2.9580000000000002</v>
      </c>
      <c r="K120" s="7">
        <v>4.0999999999999996</v>
      </c>
      <c r="L120" s="7">
        <v>1.54</v>
      </c>
      <c r="M120" s="7">
        <v>1.43</v>
      </c>
      <c r="N120" s="7">
        <v>4.1680000000000001</v>
      </c>
      <c r="O120" s="7">
        <v>2.2290000000000001</v>
      </c>
      <c r="P120" s="8">
        <f t="shared" si="3"/>
        <v>31.104999999999997</v>
      </c>
    </row>
    <row r="121" spans="1:16" x14ac:dyDescent="0.3">
      <c r="A121" s="2" t="s">
        <v>72</v>
      </c>
      <c r="B121" s="2" t="s">
        <v>45</v>
      </c>
      <c r="C121" s="2" t="s">
        <v>22</v>
      </c>
      <c r="D121" s="7">
        <v>6.0210000000000008</v>
      </c>
      <c r="E121" s="7">
        <v>3.052</v>
      </c>
      <c r="F121" s="7">
        <v>2.0249999999999999</v>
      </c>
      <c r="G121" s="7">
        <v>1.43</v>
      </c>
      <c r="H121" s="7">
        <v>1.88</v>
      </c>
      <c r="I121" s="7">
        <v>2.3109999999999999</v>
      </c>
      <c r="J121" s="7">
        <v>2.2810000000000001</v>
      </c>
      <c r="K121" s="7">
        <v>2.0790000000000002</v>
      </c>
      <c r="L121" s="7">
        <v>1.927</v>
      </c>
      <c r="M121" s="7">
        <v>1.0009999999999999</v>
      </c>
      <c r="N121" s="7">
        <v>2.718</v>
      </c>
      <c r="O121" s="7">
        <v>0.97299999999999998</v>
      </c>
      <c r="P121" s="8">
        <f t="shared" si="3"/>
        <v>27.698</v>
      </c>
    </row>
    <row r="122" spans="1:16" x14ac:dyDescent="0.3">
      <c r="A122" s="2" t="s">
        <v>72</v>
      </c>
      <c r="B122" s="2" t="s">
        <v>45</v>
      </c>
      <c r="C122" s="2" t="s">
        <v>23</v>
      </c>
      <c r="D122" s="7">
        <v>3.32</v>
      </c>
      <c r="E122" s="7">
        <v>6.5220000000000002</v>
      </c>
      <c r="F122" s="7">
        <v>2.2730000000000001</v>
      </c>
      <c r="G122" s="7">
        <v>1.4850000000000001</v>
      </c>
      <c r="H122" s="7">
        <v>1.3089999999999999</v>
      </c>
      <c r="I122" s="7">
        <v>2.669</v>
      </c>
      <c r="J122" s="7">
        <v>0.87600000000000011</v>
      </c>
      <c r="K122" s="7">
        <v>1.115</v>
      </c>
      <c r="L122" s="7">
        <v>0.96499999999999997</v>
      </c>
      <c r="M122" s="7">
        <v>0.70099999999999996</v>
      </c>
      <c r="N122" s="7">
        <v>1.196</v>
      </c>
      <c r="O122" s="7">
        <v>3.1619999999999999</v>
      </c>
      <c r="P122" s="8">
        <f t="shared" si="3"/>
        <v>25.593</v>
      </c>
    </row>
    <row r="123" spans="1:16" x14ac:dyDescent="0.3">
      <c r="A123" s="2" t="s">
        <v>72</v>
      </c>
      <c r="B123" s="2" t="s">
        <v>45</v>
      </c>
      <c r="C123" s="2" t="s">
        <v>24</v>
      </c>
      <c r="D123" s="7">
        <v>3.7730000000000001</v>
      </c>
      <c r="E123" s="7">
        <v>5.6849999999999996</v>
      </c>
      <c r="F123" s="7">
        <v>2.0569999999999999</v>
      </c>
      <c r="G123" s="7">
        <v>1.288</v>
      </c>
      <c r="H123" s="7">
        <v>0.93300000000000005</v>
      </c>
      <c r="I123" s="7">
        <v>1.004</v>
      </c>
      <c r="J123" s="7">
        <v>4.2769999999999992</v>
      </c>
      <c r="K123" s="7">
        <v>1.492</v>
      </c>
      <c r="L123" s="7">
        <v>1.83</v>
      </c>
      <c r="M123" s="7">
        <v>1.597</v>
      </c>
      <c r="N123" s="7">
        <v>0.97899999999999998</v>
      </c>
      <c r="O123" s="7">
        <v>2.403</v>
      </c>
      <c r="P123" s="8">
        <f t="shared" si="3"/>
        <v>27.317999999999998</v>
      </c>
    </row>
    <row r="124" spans="1:16" x14ac:dyDescent="0.3">
      <c r="A124" s="2" t="s">
        <v>72</v>
      </c>
      <c r="B124" s="2" t="s">
        <v>45</v>
      </c>
      <c r="C124" s="2" t="s">
        <v>25</v>
      </c>
      <c r="D124" s="7">
        <v>4.0789999999999997</v>
      </c>
      <c r="E124" s="7">
        <v>4.4690000000000003</v>
      </c>
      <c r="F124" s="7">
        <v>1.6519999999999999</v>
      </c>
      <c r="G124" s="7">
        <v>2.0070000000000001</v>
      </c>
      <c r="H124" s="7">
        <v>1.0580000000000001</v>
      </c>
      <c r="I124" s="7">
        <v>1.1479999999999999</v>
      </c>
      <c r="J124" s="7">
        <v>1.9139999999999999</v>
      </c>
      <c r="K124" s="7">
        <v>2.012</v>
      </c>
      <c r="L124" s="7">
        <v>1.4119999999999999</v>
      </c>
      <c r="M124" s="7">
        <v>2.012</v>
      </c>
      <c r="N124" s="7">
        <v>1.536</v>
      </c>
      <c r="O124" s="7">
        <v>4.2770000000000001</v>
      </c>
      <c r="P124" s="8">
        <f t="shared" si="3"/>
        <v>27.576000000000001</v>
      </c>
    </row>
    <row r="125" spans="1:16" x14ac:dyDescent="0.3">
      <c r="A125" s="2" t="s">
        <v>72</v>
      </c>
      <c r="B125" s="2" t="s">
        <v>45</v>
      </c>
      <c r="C125" s="2" t="s">
        <v>26</v>
      </c>
      <c r="D125" s="7">
        <v>7.4139999999999997</v>
      </c>
      <c r="E125" s="7">
        <v>6.7619999999999996</v>
      </c>
      <c r="F125" s="7">
        <v>2.1389999999999998</v>
      </c>
      <c r="G125" s="7">
        <v>1.4430000000000001</v>
      </c>
      <c r="H125" s="7">
        <v>1.6339999999999999</v>
      </c>
      <c r="I125" s="7">
        <v>2.883999999999999</v>
      </c>
      <c r="J125" s="7">
        <v>5.7439999999999998</v>
      </c>
      <c r="K125" s="7">
        <v>3.7029999999999998</v>
      </c>
      <c r="L125" s="7">
        <v>3.3220000000000001</v>
      </c>
      <c r="M125" s="7">
        <v>5.5779999999999994</v>
      </c>
      <c r="N125" s="7">
        <v>2.6760000000000002</v>
      </c>
      <c r="O125" s="7">
        <v>2.694</v>
      </c>
      <c r="P125" s="8">
        <f t="shared" si="3"/>
        <v>45.993000000000009</v>
      </c>
    </row>
    <row r="126" spans="1:16" x14ac:dyDescent="0.3">
      <c r="A126" s="2" t="s">
        <v>72</v>
      </c>
      <c r="B126" s="2" t="s">
        <v>45</v>
      </c>
      <c r="C126" s="2" t="s">
        <v>27</v>
      </c>
      <c r="D126" s="7">
        <v>2.87</v>
      </c>
      <c r="E126" s="7">
        <v>4.8420000000000014</v>
      </c>
      <c r="F126" s="7">
        <v>3.91</v>
      </c>
      <c r="G126" s="7">
        <v>3.0819999999999999</v>
      </c>
      <c r="H126" s="7">
        <v>1.524</v>
      </c>
      <c r="I126" s="7">
        <v>1.802</v>
      </c>
      <c r="J126" s="7">
        <v>2.5659999999999998</v>
      </c>
      <c r="K126" s="7">
        <v>3.6019999999999999</v>
      </c>
      <c r="L126" s="7">
        <v>4.3159999999999998</v>
      </c>
      <c r="M126" s="7">
        <v>4.2460000000000004</v>
      </c>
      <c r="N126" s="7">
        <v>6.1059999999999999</v>
      </c>
      <c r="O126" s="7">
        <v>4.5170000000000003</v>
      </c>
      <c r="P126" s="8">
        <f t="shared" ref="P126:P157" si="4">SUM(D126:O126)</f>
        <v>43.383000000000003</v>
      </c>
    </row>
    <row r="127" spans="1:16" x14ac:dyDescent="0.3">
      <c r="A127" s="2" t="s">
        <v>72</v>
      </c>
      <c r="B127" s="2" t="s">
        <v>45</v>
      </c>
      <c r="C127" s="2" t="s">
        <v>28</v>
      </c>
      <c r="D127" s="7">
        <v>10.561</v>
      </c>
      <c r="E127" s="7">
        <v>4.1760000000000002</v>
      </c>
      <c r="F127" s="7">
        <v>2.6150000000000002</v>
      </c>
      <c r="G127" s="7">
        <v>1.5569999999999999</v>
      </c>
      <c r="H127" s="7">
        <v>2.0819999999999999</v>
      </c>
      <c r="I127" s="7">
        <v>1.988</v>
      </c>
      <c r="J127" s="7">
        <v>2.3940000000000001</v>
      </c>
      <c r="K127" s="7">
        <v>3.742</v>
      </c>
      <c r="L127" s="7">
        <v>3</v>
      </c>
      <c r="M127" s="7">
        <v>2.25</v>
      </c>
      <c r="N127" s="7">
        <v>2.3679999999999999</v>
      </c>
      <c r="O127" s="7">
        <v>2.98</v>
      </c>
      <c r="P127" s="8">
        <f t="shared" si="4"/>
        <v>39.712999999999994</v>
      </c>
    </row>
    <row r="128" spans="1:16" x14ac:dyDescent="0.3">
      <c r="A128" s="2" t="s">
        <v>72</v>
      </c>
      <c r="B128" s="2" t="s">
        <v>45</v>
      </c>
      <c r="C128" s="2" t="s">
        <v>29</v>
      </c>
      <c r="D128" s="7">
        <v>4.3650000000000002</v>
      </c>
      <c r="E128" s="7">
        <v>5.3410000000000002</v>
      </c>
      <c r="F128" s="7">
        <v>5.8689999999999998</v>
      </c>
      <c r="G128" s="7">
        <v>2.76</v>
      </c>
      <c r="H128" s="7">
        <v>1.895</v>
      </c>
      <c r="I128" s="7">
        <v>2.5550000000000002</v>
      </c>
      <c r="J128" s="7">
        <v>2.1709999999999998</v>
      </c>
      <c r="K128" s="7">
        <v>2.8690000000000002</v>
      </c>
      <c r="L128" s="7">
        <v>12.725</v>
      </c>
      <c r="M128" s="7">
        <v>1.675</v>
      </c>
      <c r="N128" s="7">
        <v>2.5270000000000001</v>
      </c>
      <c r="O128" s="7">
        <v>3.0190000000000001</v>
      </c>
      <c r="P128" s="8">
        <f t="shared" si="4"/>
        <v>47.770999999999994</v>
      </c>
    </row>
    <row r="129" spans="1:16" x14ac:dyDescent="0.3">
      <c r="A129" s="2" t="s">
        <v>72</v>
      </c>
      <c r="B129" s="2" t="s">
        <v>45</v>
      </c>
      <c r="C129" s="2" t="s">
        <v>30</v>
      </c>
      <c r="D129" s="7">
        <v>4.6580000000000004</v>
      </c>
      <c r="E129" s="7">
        <v>5.9169999999999998</v>
      </c>
      <c r="F129" s="7">
        <v>1.637</v>
      </c>
      <c r="G129" s="7">
        <v>1.6919999999999999</v>
      </c>
      <c r="H129" s="7">
        <v>1.008</v>
      </c>
      <c r="I129" s="7">
        <v>2.3559999999999999</v>
      </c>
      <c r="J129" s="7">
        <v>2.7090000000000001</v>
      </c>
      <c r="K129" s="7">
        <v>2.5430000000000001</v>
      </c>
      <c r="L129" s="7">
        <v>1.82</v>
      </c>
      <c r="M129" s="7">
        <v>1.653</v>
      </c>
      <c r="N129" s="7">
        <v>1.514</v>
      </c>
      <c r="O129" s="7">
        <v>1.7829999999999999</v>
      </c>
      <c r="P129" s="8">
        <f t="shared" si="4"/>
        <v>29.29</v>
      </c>
    </row>
    <row r="130" spans="1:16" x14ac:dyDescent="0.3">
      <c r="A130" s="2" t="s">
        <v>72</v>
      </c>
      <c r="B130" s="2" t="s">
        <v>45</v>
      </c>
      <c r="C130" s="2" t="s">
        <v>31</v>
      </c>
      <c r="D130" s="7">
        <v>3.15</v>
      </c>
      <c r="E130" s="7">
        <v>10.151</v>
      </c>
      <c r="F130" s="7">
        <v>2.3559999999999999</v>
      </c>
      <c r="G130" s="7">
        <v>1.75</v>
      </c>
      <c r="H130" s="7">
        <v>1.3859999999999999</v>
      </c>
      <c r="I130" s="7">
        <v>1.619</v>
      </c>
      <c r="J130" s="7">
        <v>1.135</v>
      </c>
      <c r="K130" s="7">
        <v>1.508</v>
      </c>
      <c r="L130" s="7">
        <v>1.571</v>
      </c>
      <c r="M130" s="7">
        <v>2.875</v>
      </c>
      <c r="N130" s="7">
        <v>1.5249999999999999</v>
      </c>
      <c r="O130" s="7">
        <v>2.504</v>
      </c>
      <c r="P130" s="8">
        <f t="shared" si="4"/>
        <v>31.53</v>
      </c>
    </row>
    <row r="131" spans="1:16" x14ac:dyDescent="0.3">
      <c r="A131" s="2" t="s">
        <v>72</v>
      </c>
      <c r="B131" s="2" t="s">
        <v>45</v>
      </c>
      <c r="C131" s="2" t="s">
        <v>32</v>
      </c>
      <c r="D131" s="7">
        <v>4.6760000000000002</v>
      </c>
      <c r="E131" s="7">
        <v>6.274</v>
      </c>
      <c r="F131" s="7">
        <v>1.181</v>
      </c>
      <c r="G131" s="7">
        <v>1.1180000000000001</v>
      </c>
      <c r="H131" s="7">
        <v>1.2989999999999999</v>
      </c>
      <c r="I131" s="7">
        <v>1.1439999999999999</v>
      </c>
      <c r="J131" s="7">
        <v>1.603</v>
      </c>
      <c r="K131" s="7">
        <v>4.2969999999999997</v>
      </c>
      <c r="L131" s="7">
        <v>2.3039999999999998</v>
      </c>
      <c r="M131" s="7">
        <v>2.4380000000000002</v>
      </c>
      <c r="N131" s="7">
        <v>3.4319999999999999</v>
      </c>
      <c r="O131" s="7">
        <v>2.8919999999999999</v>
      </c>
      <c r="P131" s="8">
        <f t="shared" si="4"/>
        <v>32.658000000000001</v>
      </c>
    </row>
    <row r="132" spans="1:16" x14ac:dyDescent="0.3">
      <c r="A132" s="2" t="s">
        <v>72</v>
      </c>
      <c r="B132" s="2" t="s">
        <v>45</v>
      </c>
      <c r="C132" s="2" t="s">
        <v>33</v>
      </c>
      <c r="D132" s="7">
        <v>3.3450000000000002</v>
      </c>
      <c r="E132" s="7">
        <v>4.2670000000000003</v>
      </c>
      <c r="F132" s="7">
        <v>2.6070000000000002</v>
      </c>
      <c r="G132" s="7">
        <v>2.0310000000000001</v>
      </c>
      <c r="H132" s="7">
        <v>1.429</v>
      </c>
      <c r="I132" s="7">
        <v>2.37</v>
      </c>
      <c r="J132" s="7">
        <v>1.53</v>
      </c>
      <c r="K132" s="7">
        <v>1.929</v>
      </c>
      <c r="L132" s="7">
        <v>1.8</v>
      </c>
      <c r="M132" s="7">
        <v>1.1950000000000001</v>
      </c>
      <c r="N132" s="7">
        <v>1.7889999999999999</v>
      </c>
      <c r="O132" s="7">
        <v>0.81499999999999995</v>
      </c>
      <c r="P132" s="8">
        <f t="shared" si="4"/>
        <v>25.107000000000006</v>
      </c>
    </row>
    <row r="133" spans="1:16" x14ac:dyDescent="0.3">
      <c r="A133" s="2" t="s">
        <v>72</v>
      </c>
      <c r="B133" s="2" t="s">
        <v>45</v>
      </c>
      <c r="C133" s="2" t="s">
        <v>34</v>
      </c>
      <c r="D133" s="7">
        <v>2.88</v>
      </c>
      <c r="E133" s="7">
        <v>3.8180000000000001</v>
      </c>
      <c r="F133" s="7">
        <v>1.085</v>
      </c>
      <c r="G133" s="7">
        <v>1.4430000000000001</v>
      </c>
      <c r="H133" s="7">
        <v>0.73299999999999998</v>
      </c>
      <c r="I133" s="7">
        <v>1.387</v>
      </c>
      <c r="J133" s="7">
        <v>1.92</v>
      </c>
      <c r="K133" s="7">
        <v>1.42</v>
      </c>
      <c r="L133" s="7">
        <v>1.0329999999999999</v>
      </c>
      <c r="M133" s="7">
        <v>1.282</v>
      </c>
      <c r="N133" s="7">
        <v>1.9890000000000001</v>
      </c>
      <c r="O133" s="7">
        <v>1.627</v>
      </c>
      <c r="P133" s="8">
        <f t="shared" si="4"/>
        <v>20.617000000000001</v>
      </c>
    </row>
    <row r="134" spans="1:16" x14ac:dyDescent="0.3">
      <c r="A134" s="2" t="s">
        <v>72</v>
      </c>
      <c r="B134" s="2" t="s">
        <v>45</v>
      </c>
      <c r="C134" s="2" t="s">
        <v>35</v>
      </c>
      <c r="D134" s="7">
        <v>2.238</v>
      </c>
      <c r="E134" s="7">
        <v>3.056</v>
      </c>
      <c r="F134" s="7">
        <v>3.0550000000000002</v>
      </c>
      <c r="G134" s="7">
        <v>1.3160000000000001</v>
      </c>
      <c r="H134" s="7">
        <v>1.0660000000000001</v>
      </c>
      <c r="I134" s="7">
        <v>1.8879999999999999</v>
      </c>
      <c r="J134" s="7">
        <v>1.536</v>
      </c>
      <c r="K134" s="7">
        <v>1.524</v>
      </c>
      <c r="L134" s="7">
        <v>1.788</v>
      </c>
      <c r="M134" s="7">
        <v>1.8129999999999999</v>
      </c>
      <c r="N134" s="7">
        <v>2.681</v>
      </c>
      <c r="O134" s="7">
        <v>3.5009999999999999</v>
      </c>
      <c r="P134" s="8">
        <f t="shared" si="4"/>
        <v>25.462000000000003</v>
      </c>
    </row>
    <row r="135" spans="1:16" x14ac:dyDescent="0.3">
      <c r="A135" s="2" t="s">
        <v>72</v>
      </c>
      <c r="B135" s="2" t="s">
        <v>45</v>
      </c>
      <c r="C135" s="2" t="s">
        <v>36</v>
      </c>
      <c r="D135" s="7">
        <v>3.6949999999999998</v>
      </c>
      <c r="E135" s="7">
        <v>3.67</v>
      </c>
      <c r="F135" s="7">
        <v>1.7410000000000001</v>
      </c>
      <c r="G135" s="7">
        <v>1.7789999999999999</v>
      </c>
      <c r="H135" s="7">
        <v>0.97299999999999998</v>
      </c>
      <c r="I135" s="7">
        <v>3.0339999999999998</v>
      </c>
      <c r="J135" s="7">
        <v>3.3809999999999998</v>
      </c>
      <c r="K135" s="7">
        <v>2.8260000000000001</v>
      </c>
      <c r="L135" s="7">
        <v>1.7849999999999999</v>
      </c>
      <c r="M135" s="7">
        <v>1.1850000000000001</v>
      </c>
      <c r="N135" s="7">
        <v>3.0539999999999998</v>
      </c>
      <c r="O135" s="7">
        <v>2.536</v>
      </c>
      <c r="P135" s="8">
        <f t="shared" si="4"/>
        <v>29.658999999999999</v>
      </c>
    </row>
    <row r="136" spans="1:16" x14ac:dyDescent="0.3">
      <c r="A136" s="2" t="s">
        <v>72</v>
      </c>
      <c r="B136" s="2" t="s">
        <v>45</v>
      </c>
      <c r="C136" s="2" t="s">
        <v>37</v>
      </c>
      <c r="D136" s="7">
        <v>4.6050000000000004</v>
      </c>
      <c r="E136" s="7">
        <v>4.7690000000000001</v>
      </c>
      <c r="F136" s="7">
        <v>2.2410000000000001</v>
      </c>
      <c r="G136" s="7">
        <v>1.825</v>
      </c>
      <c r="H136" s="7">
        <v>2.3940000000000001</v>
      </c>
      <c r="I136" s="7">
        <v>2.0939999999999999</v>
      </c>
      <c r="J136" s="7">
        <v>3.3980000000000001</v>
      </c>
      <c r="K136" s="7">
        <v>2.6040000000000001</v>
      </c>
      <c r="L136" s="7">
        <v>2.125</v>
      </c>
      <c r="M136" s="7">
        <v>1.9890000000000001</v>
      </c>
      <c r="N136" s="7">
        <v>3.9849999999999999</v>
      </c>
      <c r="O136" s="7">
        <v>8.1180000000000003</v>
      </c>
      <c r="P136" s="8">
        <f t="shared" si="4"/>
        <v>40.147000000000006</v>
      </c>
    </row>
    <row r="137" spans="1:16" x14ac:dyDescent="0.3">
      <c r="A137" s="2" t="s">
        <v>72</v>
      </c>
      <c r="B137" s="2" t="s">
        <v>45</v>
      </c>
      <c r="C137" s="2" t="s">
        <v>38</v>
      </c>
      <c r="D137" s="7">
        <v>7.2589999999999986</v>
      </c>
      <c r="E137" s="7">
        <v>6.8660000000000014</v>
      </c>
      <c r="F137" s="7">
        <v>2.5449999999999999</v>
      </c>
      <c r="G137" s="7">
        <v>3.2090000000000001</v>
      </c>
      <c r="H137" s="7">
        <v>1.226</v>
      </c>
      <c r="I137" s="7">
        <v>3.3159999999999998</v>
      </c>
      <c r="J137" s="7">
        <v>2.8559999999999999</v>
      </c>
      <c r="K137" s="7">
        <v>1.7390000000000001</v>
      </c>
      <c r="L137" s="7">
        <v>1.341</v>
      </c>
      <c r="M137" s="7">
        <v>2.0259999999999998</v>
      </c>
      <c r="N137" s="7">
        <v>8.9150000000000009</v>
      </c>
      <c r="O137" s="7">
        <v>6.2939999999999996</v>
      </c>
      <c r="P137" s="8">
        <f t="shared" si="4"/>
        <v>47.591999999999999</v>
      </c>
    </row>
    <row r="138" spans="1:16" x14ac:dyDescent="0.3">
      <c r="A138" s="2" t="s">
        <v>72</v>
      </c>
      <c r="B138" s="2" t="s">
        <v>45</v>
      </c>
      <c r="C138" s="2" t="s">
        <v>39</v>
      </c>
      <c r="D138" s="7">
        <v>5.636000000000001</v>
      </c>
      <c r="E138" s="7">
        <v>9.9970000000000017</v>
      </c>
      <c r="F138" s="7">
        <v>1.9590000000000001</v>
      </c>
      <c r="G138" s="7">
        <v>1.6060000000000001</v>
      </c>
      <c r="H138" s="7">
        <v>1.361</v>
      </c>
      <c r="I138" s="7">
        <v>1.8260000000000001</v>
      </c>
      <c r="J138" s="7">
        <v>3.4860000000000002</v>
      </c>
      <c r="K138" s="7">
        <v>2.4470000000000001</v>
      </c>
      <c r="L138" s="7">
        <v>2.234</v>
      </c>
      <c r="M138" s="7">
        <v>2.258</v>
      </c>
      <c r="N138" s="7">
        <v>2.7989999999999999</v>
      </c>
      <c r="O138" s="7">
        <v>1.9510000000000001</v>
      </c>
      <c r="P138" s="8">
        <f t="shared" si="4"/>
        <v>37.560000000000009</v>
      </c>
    </row>
    <row r="139" spans="1:16" x14ac:dyDescent="0.3">
      <c r="A139" s="2" t="s">
        <v>72</v>
      </c>
      <c r="B139" s="2" t="s">
        <v>45</v>
      </c>
      <c r="C139" s="2" t="s">
        <v>40</v>
      </c>
      <c r="D139" s="7">
        <v>7.0590000000000011</v>
      </c>
      <c r="E139" s="7">
        <v>4.3519999999999994</v>
      </c>
      <c r="F139" s="7">
        <v>2.78</v>
      </c>
      <c r="G139" s="7">
        <v>2.2200000000000002</v>
      </c>
      <c r="H139" s="7">
        <v>1.875</v>
      </c>
      <c r="I139" s="7">
        <v>9.7579999999999991</v>
      </c>
      <c r="J139" s="7">
        <v>7.1300000000000008</v>
      </c>
      <c r="K139" s="7">
        <v>2.9329999999999998</v>
      </c>
      <c r="L139" s="7">
        <v>1.593</v>
      </c>
      <c r="M139" s="7">
        <v>1.581</v>
      </c>
      <c r="N139" s="7">
        <v>1.7829999999999999</v>
      </c>
      <c r="O139" s="7">
        <v>2.444</v>
      </c>
      <c r="P139" s="8">
        <f t="shared" si="4"/>
        <v>45.50800000000001</v>
      </c>
    </row>
    <row r="140" spans="1:16" x14ac:dyDescent="0.3">
      <c r="A140" s="2" t="s">
        <v>72</v>
      </c>
      <c r="B140" s="2" t="s">
        <v>46</v>
      </c>
      <c r="C140" s="2" t="s">
        <v>18</v>
      </c>
      <c r="D140" s="7">
        <v>11.008333333333329</v>
      </c>
      <c r="E140" s="7">
        <v>11.008333333333329</v>
      </c>
      <c r="F140" s="7">
        <v>11.008333333333329</v>
      </c>
      <c r="G140" s="7">
        <v>11.008333333333329</v>
      </c>
      <c r="H140" s="7">
        <v>11.008333333333329</v>
      </c>
      <c r="I140" s="7">
        <v>11.008333333333329</v>
      </c>
      <c r="J140" s="7">
        <v>11.008333333333329</v>
      </c>
      <c r="K140" s="7">
        <v>11.008333333333329</v>
      </c>
      <c r="L140" s="7">
        <v>11.008333333333329</v>
      </c>
      <c r="M140" s="7">
        <v>11.008333333333329</v>
      </c>
      <c r="N140" s="7">
        <v>11.008333333333329</v>
      </c>
      <c r="O140" s="7">
        <v>11.008333333333329</v>
      </c>
      <c r="P140" s="8">
        <f t="shared" si="4"/>
        <v>132.09999999999994</v>
      </c>
    </row>
    <row r="141" spans="1:16" x14ac:dyDescent="0.3">
      <c r="A141" s="2" t="s">
        <v>72</v>
      </c>
      <c r="B141" s="2" t="s">
        <v>46</v>
      </c>
      <c r="C141" s="2" t="s">
        <v>19</v>
      </c>
      <c r="D141" s="7">
        <v>11.65</v>
      </c>
      <c r="E141" s="7">
        <v>11.65</v>
      </c>
      <c r="F141" s="7">
        <v>11.65</v>
      </c>
      <c r="G141" s="7">
        <v>11.65</v>
      </c>
      <c r="H141" s="7">
        <v>11.65</v>
      </c>
      <c r="I141" s="7">
        <v>11.65</v>
      </c>
      <c r="J141" s="7">
        <v>11.65</v>
      </c>
      <c r="K141" s="7">
        <v>11.65</v>
      </c>
      <c r="L141" s="7">
        <v>11.65</v>
      </c>
      <c r="M141" s="7">
        <v>11.65</v>
      </c>
      <c r="N141" s="7">
        <v>11.65</v>
      </c>
      <c r="O141" s="7">
        <v>11.65</v>
      </c>
      <c r="P141" s="8">
        <f t="shared" si="4"/>
        <v>139.80000000000004</v>
      </c>
    </row>
    <row r="142" spans="1:16" x14ac:dyDescent="0.3">
      <c r="A142" s="2" t="s">
        <v>72</v>
      </c>
      <c r="B142" s="2" t="s">
        <v>46</v>
      </c>
      <c r="C142" s="2" t="s">
        <v>20</v>
      </c>
      <c r="D142" s="7">
        <v>9.7916666666666661</v>
      </c>
      <c r="E142" s="7">
        <v>9.7916666666666661</v>
      </c>
      <c r="F142" s="7">
        <v>9.7916666666666661</v>
      </c>
      <c r="G142" s="7">
        <v>9.7916666666666661</v>
      </c>
      <c r="H142" s="7">
        <v>9.7916666666666661</v>
      </c>
      <c r="I142" s="7">
        <v>9.7916666666666661</v>
      </c>
      <c r="J142" s="7">
        <v>9.7916666666666661</v>
      </c>
      <c r="K142" s="7">
        <v>9.7916666666666661</v>
      </c>
      <c r="L142" s="7">
        <v>9.7916666666666661</v>
      </c>
      <c r="M142" s="7">
        <v>9.7916666666666661</v>
      </c>
      <c r="N142" s="7">
        <v>9.7916666666666661</v>
      </c>
      <c r="O142" s="7">
        <v>9.7916666666666661</v>
      </c>
      <c r="P142" s="8">
        <f t="shared" si="4"/>
        <v>117.50000000000001</v>
      </c>
    </row>
    <row r="143" spans="1:16" x14ac:dyDescent="0.3">
      <c r="A143" s="2" t="s">
        <v>72</v>
      </c>
      <c r="B143" s="2" t="s">
        <v>46</v>
      </c>
      <c r="C143" s="2" t="s">
        <v>21</v>
      </c>
      <c r="D143" s="7">
        <v>6.5583333333333336</v>
      </c>
      <c r="E143" s="7">
        <v>6.5583333333333336</v>
      </c>
      <c r="F143" s="7">
        <v>6.5583333333333336</v>
      </c>
      <c r="G143" s="7">
        <v>6.5583333333333336</v>
      </c>
      <c r="H143" s="7">
        <v>6.5583333333333336</v>
      </c>
      <c r="I143" s="7">
        <v>6.5583333333333336</v>
      </c>
      <c r="J143" s="7">
        <v>6.5583333333333336</v>
      </c>
      <c r="K143" s="7">
        <v>6.5583333333333336</v>
      </c>
      <c r="L143" s="7">
        <v>6.5583333333333336</v>
      </c>
      <c r="M143" s="7">
        <v>6.5583333333333336</v>
      </c>
      <c r="N143" s="7">
        <v>6.5583333333333336</v>
      </c>
      <c r="O143" s="7">
        <v>6.5583333333333336</v>
      </c>
      <c r="P143" s="8">
        <f t="shared" si="4"/>
        <v>78.700000000000031</v>
      </c>
    </row>
    <row r="144" spans="1:16" x14ac:dyDescent="0.3">
      <c r="A144" s="2" t="s">
        <v>72</v>
      </c>
      <c r="B144" s="2" t="s">
        <v>46</v>
      </c>
      <c r="C144" s="2" t="s">
        <v>22</v>
      </c>
      <c r="D144" s="7">
        <v>7.6749999999999998</v>
      </c>
      <c r="E144" s="7">
        <v>7.6749999999999998</v>
      </c>
      <c r="F144" s="7">
        <v>7.6749999999999998</v>
      </c>
      <c r="G144" s="7">
        <v>7.6749999999999998</v>
      </c>
      <c r="H144" s="7">
        <v>7.6749999999999998</v>
      </c>
      <c r="I144" s="7">
        <v>7.6749999999999998</v>
      </c>
      <c r="J144" s="7">
        <v>7.6749999999999998</v>
      </c>
      <c r="K144" s="7">
        <v>7.6749999999999998</v>
      </c>
      <c r="L144" s="7">
        <v>7.6749999999999998</v>
      </c>
      <c r="M144" s="7">
        <v>7.6749999999999998</v>
      </c>
      <c r="N144" s="7">
        <v>7.6749999999999998</v>
      </c>
      <c r="O144" s="7">
        <v>7.6749999999999998</v>
      </c>
      <c r="P144" s="8">
        <f t="shared" si="4"/>
        <v>92.09999999999998</v>
      </c>
    </row>
    <row r="145" spans="1:16" x14ac:dyDescent="0.3">
      <c r="A145" s="2" t="s">
        <v>72</v>
      </c>
      <c r="B145" s="2" t="s">
        <v>46</v>
      </c>
      <c r="C145" s="2" t="s">
        <v>23</v>
      </c>
      <c r="D145" s="7">
        <v>5.8500000000000014</v>
      </c>
      <c r="E145" s="7">
        <v>5.8500000000000014</v>
      </c>
      <c r="F145" s="7">
        <v>5.8500000000000014</v>
      </c>
      <c r="G145" s="7">
        <v>5.8500000000000014</v>
      </c>
      <c r="H145" s="7">
        <v>5.8500000000000014</v>
      </c>
      <c r="I145" s="7">
        <v>5.8500000000000014</v>
      </c>
      <c r="J145" s="7">
        <v>5.8500000000000014</v>
      </c>
      <c r="K145" s="7">
        <v>5.8500000000000014</v>
      </c>
      <c r="L145" s="7">
        <v>5.8500000000000014</v>
      </c>
      <c r="M145" s="7">
        <v>5.8500000000000014</v>
      </c>
      <c r="N145" s="7">
        <v>5.8500000000000014</v>
      </c>
      <c r="O145" s="7">
        <v>5.8500000000000014</v>
      </c>
      <c r="P145" s="8">
        <f t="shared" si="4"/>
        <v>70.200000000000017</v>
      </c>
    </row>
    <row r="146" spans="1:16" x14ac:dyDescent="0.3">
      <c r="A146" s="2" t="s">
        <v>72</v>
      </c>
      <c r="B146" s="2" t="s">
        <v>46</v>
      </c>
      <c r="C146" s="2" t="s">
        <v>24</v>
      </c>
      <c r="D146" s="7">
        <v>5.7750000000000004</v>
      </c>
      <c r="E146" s="7">
        <v>5.7750000000000004</v>
      </c>
      <c r="F146" s="7">
        <v>5.7750000000000004</v>
      </c>
      <c r="G146" s="7">
        <v>5.7750000000000004</v>
      </c>
      <c r="H146" s="7">
        <v>5.7750000000000004</v>
      </c>
      <c r="I146" s="7">
        <v>5.7750000000000004</v>
      </c>
      <c r="J146" s="7">
        <v>5.7750000000000004</v>
      </c>
      <c r="K146" s="7">
        <v>5.7750000000000004</v>
      </c>
      <c r="L146" s="7">
        <v>5.7750000000000004</v>
      </c>
      <c r="M146" s="7">
        <v>5.7750000000000004</v>
      </c>
      <c r="N146" s="7">
        <v>5.7750000000000004</v>
      </c>
      <c r="O146" s="7">
        <v>5.7750000000000004</v>
      </c>
      <c r="P146" s="8">
        <f t="shared" si="4"/>
        <v>69.3</v>
      </c>
    </row>
    <row r="147" spans="1:16" x14ac:dyDescent="0.3">
      <c r="A147" s="2" t="s">
        <v>72</v>
      </c>
      <c r="B147" s="2" t="s">
        <v>46</v>
      </c>
      <c r="C147" s="2" t="s">
        <v>25</v>
      </c>
      <c r="D147" s="7">
        <v>4.9833333333333334</v>
      </c>
      <c r="E147" s="7">
        <v>4.9833333333333334</v>
      </c>
      <c r="F147" s="7">
        <v>4.9833333333333334</v>
      </c>
      <c r="G147" s="7">
        <v>4.9833333333333334</v>
      </c>
      <c r="H147" s="7">
        <v>4.9833333333333334</v>
      </c>
      <c r="I147" s="7">
        <v>4.9833333333333334</v>
      </c>
      <c r="J147" s="7">
        <v>4.9833333333333334</v>
      </c>
      <c r="K147" s="7">
        <v>4.9833333333333334</v>
      </c>
      <c r="L147" s="7">
        <v>4.9833333333333334</v>
      </c>
      <c r="M147" s="7">
        <v>4.9833333333333334</v>
      </c>
      <c r="N147" s="7">
        <v>4.9833333333333334</v>
      </c>
      <c r="O147" s="7">
        <v>4.9833333333333334</v>
      </c>
      <c r="P147" s="8">
        <f t="shared" si="4"/>
        <v>59.800000000000004</v>
      </c>
    </row>
    <row r="148" spans="1:16" x14ac:dyDescent="0.3">
      <c r="A148" s="2" t="s">
        <v>72</v>
      </c>
      <c r="B148" s="2" t="s">
        <v>46</v>
      </c>
      <c r="C148" s="2" t="s">
        <v>26</v>
      </c>
      <c r="D148" s="7">
        <v>7.1833333333333336</v>
      </c>
      <c r="E148" s="7">
        <v>7.1833333333333336</v>
      </c>
      <c r="F148" s="7">
        <v>7.1833333333333336</v>
      </c>
      <c r="G148" s="7">
        <v>7.1833333333333336</v>
      </c>
      <c r="H148" s="7">
        <v>7.1833333333333336</v>
      </c>
      <c r="I148" s="7">
        <v>7.1833333333333336</v>
      </c>
      <c r="J148" s="7">
        <v>7.1833333333333336</v>
      </c>
      <c r="K148" s="7">
        <v>7.1833333333333336</v>
      </c>
      <c r="L148" s="7">
        <v>7.1833333333333336</v>
      </c>
      <c r="M148" s="7">
        <v>7.1833333333333336</v>
      </c>
      <c r="N148" s="7">
        <v>7.1833333333333336</v>
      </c>
      <c r="O148" s="7">
        <v>7.1833333333333336</v>
      </c>
      <c r="P148" s="8">
        <f t="shared" si="4"/>
        <v>86.200000000000031</v>
      </c>
    </row>
    <row r="149" spans="1:16" x14ac:dyDescent="0.3">
      <c r="A149" s="2" t="s">
        <v>72</v>
      </c>
      <c r="B149" s="2" t="s">
        <v>46</v>
      </c>
      <c r="C149" s="2" t="s">
        <v>27</v>
      </c>
      <c r="D149" s="7">
        <v>10.275</v>
      </c>
      <c r="E149" s="7">
        <v>10.275</v>
      </c>
      <c r="F149" s="7">
        <v>10.275</v>
      </c>
      <c r="G149" s="7">
        <v>10.275</v>
      </c>
      <c r="H149" s="7">
        <v>10.275</v>
      </c>
      <c r="I149" s="7">
        <v>10.275</v>
      </c>
      <c r="J149" s="7">
        <v>10.275</v>
      </c>
      <c r="K149" s="7">
        <v>10.275</v>
      </c>
      <c r="L149" s="7">
        <v>10.275</v>
      </c>
      <c r="M149" s="7">
        <v>10.275</v>
      </c>
      <c r="N149" s="7">
        <v>10.275</v>
      </c>
      <c r="O149" s="7">
        <v>10.275</v>
      </c>
      <c r="P149" s="8">
        <f t="shared" si="4"/>
        <v>123.30000000000003</v>
      </c>
    </row>
    <row r="150" spans="1:16" x14ac:dyDescent="0.3">
      <c r="A150" s="2" t="s">
        <v>72</v>
      </c>
      <c r="B150" s="2" t="s">
        <v>46</v>
      </c>
      <c r="C150" s="2" t="s">
        <v>28</v>
      </c>
      <c r="D150" s="7">
        <v>9.7666666666666675</v>
      </c>
      <c r="E150" s="7">
        <v>9.7666666666666675</v>
      </c>
      <c r="F150" s="7">
        <v>9.7666666666666675</v>
      </c>
      <c r="G150" s="7">
        <v>9.7666666666666675</v>
      </c>
      <c r="H150" s="7">
        <v>9.7666666666666675</v>
      </c>
      <c r="I150" s="7">
        <v>9.7666666666666675</v>
      </c>
      <c r="J150" s="7">
        <v>9.7666666666666675</v>
      </c>
      <c r="K150" s="7">
        <v>9.7666666666666675</v>
      </c>
      <c r="L150" s="7">
        <v>9.7666666666666675</v>
      </c>
      <c r="M150" s="7">
        <v>9.7666666666666675</v>
      </c>
      <c r="N150" s="7">
        <v>9.7666666666666675</v>
      </c>
      <c r="O150" s="7">
        <v>9.7666666666666675</v>
      </c>
      <c r="P150" s="8">
        <f t="shared" si="4"/>
        <v>117.2</v>
      </c>
    </row>
    <row r="151" spans="1:16" x14ac:dyDescent="0.3">
      <c r="A151" s="2" t="s">
        <v>72</v>
      </c>
      <c r="B151" s="2" t="s">
        <v>46</v>
      </c>
      <c r="C151" s="2" t="s">
        <v>29</v>
      </c>
      <c r="D151" s="7">
        <v>6.958333333333333</v>
      </c>
      <c r="E151" s="7">
        <v>6.958333333333333</v>
      </c>
      <c r="F151" s="7">
        <v>6.958333333333333</v>
      </c>
      <c r="G151" s="7">
        <v>6.958333333333333</v>
      </c>
      <c r="H151" s="7">
        <v>6.958333333333333</v>
      </c>
      <c r="I151" s="7">
        <v>6.958333333333333</v>
      </c>
      <c r="J151" s="7">
        <v>6.958333333333333</v>
      </c>
      <c r="K151" s="7">
        <v>6.958333333333333</v>
      </c>
      <c r="L151" s="7">
        <v>6.958333333333333</v>
      </c>
      <c r="M151" s="7">
        <v>6.958333333333333</v>
      </c>
      <c r="N151" s="7">
        <v>6.958333333333333</v>
      </c>
      <c r="O151" s="7">
        <v>6.958333333333333</v>
      </c>
      <c r="P151" s="8">
        <f t="shared" si="4"/>
        <v>83.5</v>
      </c>
    </row>
    <row r="152" spans="1:16" x14ac:dyDescent="0.3">
      <c r="A152" s="2" t="s">
        <v>72</v>
      </c>
      <c r="B152" s="2" t="s">
        <v>46</v>
      </c>
      <c r="C152" s="2" t="s">
        <v>30</v>
      </c>
      <c r="D152" s="7">
        <v>12.25</v>
      </c>
      <c r="E152" s="7">
        <v>12.25</v>
      </c>
      <c r="F152" s="7">
        <v>12.25</v>
      </c>
      <c r="G152" s="7">
        <v>12.25</v>
      </c>
      <c r="H152" s="7">
        <v>12.25</v>
      </c>
      <c r="I152" s="7">
        <v>12.25</v>
      </c>
      <c r="J152" s="7">
        <v>12.25</v>
      </c>
      <c r="K152" s="7">
        <v>12.25</v>
      </c>
      <c r="L152" s="7">
        <v>12.25</v>
      </c>
      <c r="M152" s="7">
        <v>12.25</v>
      </c>
      <c r="N152" s="7">
        <v>12.25</v>
      </c>
      <c r="O152" s="7">
        <v>12.25</v>
      </c>
      <c r="P152" s="8">
        <f t="shared" si="4"/>
        <v>147</v>
      </c>
    </row>
    <row r="153" spans="1:16" x14ac:dyDescent="0.3">
      <c r="A153" s="2" t="s">
        <v>72</v>
      </c>
      <c r="B153" s="2" t="s">
        <v>46</v>
      </c>
      <c r="C153" s="2" t="s">
        <v>31</v>
      </c>
      <c r="D153" s="7">
        <v>15.358333333333331</v>
      </c>
      <c r="E153" s="7">
        <v>15.358333333333331</v>
      </c>
      <c r="F153" s="7">
        <v>15.358333333333331</v>
      </c>
      <c r="G153" s="7">
        <v>15.358333333333331</v>
      </c>
      <c r="H153" s="7">
        <v>15.358333333333331</v>
      </c>
      <c r="I153" s="7">
        <v>15.358333333333331</v>
      </c>
      <c r="J153" s="7">
        <v>15.358333333333331</v>
      </c>
      <c r="K153" s="7">
        <v>15.358333333333331</v>
      </c>
      <c r="L153" s="7">
        <v>15.358333333333331</v>
      </c>
      <c r="M153" s="7">
        <v>15.358333333333331</v>
      </c>
      <c r="N153" s="7">
        <v>15.358333333333331</v>
      </c>
      <c r="O153" s="7">
        <v>15.358333333333331</v>
      </c>
      <c r="P153" s="8">
        <f t="shared" si="4"/>
        <v>184.29999999999995</v>
      </c>
    </row>
    <row r="154" spans="1:16" x14ac:dyDescent="0.3">
      <c r="A154" s="2" t="s">
        <v>72</v>
      </c>
      <c r="B154" s="2" t="s">
        <v>46</v>
      </c>
      <c r="C154" s="2" t="s">
        <v>32</v>
      </c>
      <c r="D154" s="7">
        <v>10.43333333333333</v>
      </c>
      <c r="E154" s="7">
        <v>10.43333333333333</v>
      </c>
      <c r="F154" s="7">
        <v>10.43333333333333</v>
      </c>
      <c r="G154" s="7">
        <v>10.43333333333333</v>
      </c>
      <c r="H154" s="7">
        <v>10.43333333333333</v>
      </c>
      <c r="I154" s="7">
        <v>10.43333333333333</v>
      </c>
      <c r="J154" s="7">
        <v>10.43333333333333</v>
      </c>
      <c r="K154" s="7">
        <v>10.43333333333333</v>
      </c>
      <c r="L154" s="7">
        <v>10.43333333333333</v>
      </c>
      <c r="M154" s="7">
        <v>10.43333333333333</v>
      </c>
      <c r="N154" s="7">
        <v>10.43333333333333</v>
      </c>
      <c r="O154" s="7">
        <v>10.43333333333333</v>
      </c>
      <c r="P154" s="8">
        <f t="shared" si="4"/>
        <v>125.19999999999999</v>
      </c>
    </row>
    <row r="155" spans="1:16" x14ac:dyDescent="0.3">
      <c r="A155" s="2" t="s">
        <v>72</v>
      </c>
      <c r="B155" s="2" t="s">
        <v>46</v>
      </c>
      <c r="C155" s="2" t="s">
        <v>33</v>
      </c>
      <c r="D155" s="7">
        <v>9.35</v>
      </c>
      <c r="E155" s="7">
        <v>9.35</v>
      </c>
      <c r="F155" s="7">
        <v>9.35</v>
      </c>
      <c r="G155" s="7">
        <v>9.35</v>
      </c>
      <c r="H155" s="7">
        <v>9.35</v>
      </c>
      <c r="I155" s="7">
        <v>9.35</v>
      </c>
      <c r="J155" s="7">
        <v>9.35</v>
      </c>
      <c r="K155" s="7">
        <v>9.35</v>
      </c>
      <c r="L155" s="7">
        <v>9.35</v>
      </c>
      <c r="M155" s="7">
        <v>9.35</v>
      </c>
      <c r="N155" s="7">
        <v>9.35</v>
      </c>
      <c r="O155" s="7">
        <v>9.35</v>
      </c>
      <c r="P155" s="8">
        <f t="shared" si="4"/>
        <v>112.19999999999997</v>
      </c>
    </row>
    <row r="156" spans="1:16" x14ac:dyDescent="0.3">
      <c r="A156" s="2" t="s">
        <v>72</v>
      </c>
      <c r="B156" s="2" t="s">
        <v>46</v>
      </c>
      <c r="C156" s="2" t="s">
        <v>34</v>
      </c>
      <c r="D156" s="7">
        <v>10.199999999999999</v>
      </c>
      <c r="E156" s="7">
        <v>10.199999999999999</v>
      </c>
      <c r="F156" s="7">
        <v>10.199999999999999</v>
      </c>
      <c r="G156" s="7">
        <v>10.199999999999999</v>
      </c>
      <c r="H156" s="7">
        <v>10.199999999999999</v>
      </c>
      <c r="I156" s="7">
        <v>10.199999999999999</v>
      </c>
      <c r="J156" s="7">
        <v>10.199999999999999</v>
      </c>
      <c r="K156" s="7">
        <v>10.199999999999999</v>
      </c>
      <c r="L156" s="7">
        <v>10.199999999999999</v>
      </c>
      <c r="M156" s="7">
        <v>10.199999999999999</v>
      </c>
      <c r="N156" s="7">
        <v>10.199999999999999</v>
      </c>
      <c r="O156" s="7">
        <v>10.199999999999999</v>
      </c>
      <c r="P156" s="8">
        <f t="shared" si="4"/>
        <v>122.40000000000002</v>
      </c>
    </row>
    <row r="157" spans="1:16" x14ac:dyDescent="0.3">
      <c r="A157" s="2" t="s">
        <v>72</v>
      </c>
      <c r="B157" s="2" t="s">
        <v>46</v>
      </c>
      <c r="C157" s="2" t="s">
        <v>35</v>
      </c>
      <c r="D157" s="7">
        <v>11.95</v>
      </c>
      <c r="E157" s="7">
        <v>11.95</v>
      </c>
      <c r="F157" s="7">
        <v>11.95</v>
      </c>
      <c r="G157" s="7">
        <v>11.95</v>
      </c>
      <c r="H157" s="7">
        <v>11.95</v>
      </c>
      <c r="I157" s="7">
        <v>11.95</v>
      </c>
      <c r="J157" s="7">
        <v>11.95</v>
      </c>
      <c r="K157" s="7">
        <v>11.95</v>
      </c>
      <c r="L157" s="7">
        <v>11.95</v>
      </c>
      <c r="M157" s="7">
        <v>11.95</v>
      </c>
      <c r="N157" s="7">
        <v>11.95</v>
      </c>
      <c r="O157" s="7">
        <v>11.95</v>
      </c>
      <c r="P157" s="8">
        <f t="shared" si="4"/>
        <v>143.4</v>
      </c>
    </row>
    <row r="158" spans="1:16" x14ac:dyDescent="0.3">
      <c r="A158" s="2" t="s">
        <v>72</v>
      </c>
      <c r="B158" s="2" t="s">
        <v>46</v>
      </c>
      <c r="C158" s="2" t="s">
        <v>36</v>
      </c>
      <c r="D158" s="7">
        <v>8.6749999999999989</v>
      </c>
      <c r="E158" s="7">
        <v>8.6749999999999989</v>
      </c>
      <c r="F158" s="7">
        <v>8.6749999999999989</v>
      </c>
      <c r="G158" s="7">
        <v>8.6749999999999989</v>
      </c>
      <c r="H158" s="7">
        <v>8.6749999999999989</v>
      </c>
      <c r="I158" s="7">
        <v>8.6749999999999989</v>
      </c>
      <c r="J158" s="7">
        <v>8.6749999999999989</v>
      </c>
      <c r="K158" s="7">
        <v>8.6749999999999989</v>
      </c>
      <c r="L158" s="7">
        <v>8.6749999999999989</v>
      </c>
      <c r="M158" s="7">
        <v>8.6749999999999989</v>
      </c>
      <c r="N158" s="7">
        <v>8.6749999999999989</v>
      </c>
      <c r="O158" s="7">
        <v>8.6749999999999989</v>
      </c>
      <c r="P158" s="8">
        <f t="shared" ref="P158:P189" si="5">SUM(D158:O158)</f>
        <v>104.09999999999998</v>
      </c>
    </row>
    <row r="159" spans="1:16" x14ac:dyDescent="0.3">
      <c r="A159" s="2" t="s">
        <v>72</v>
      </c>
      <c r="B159" s="2" t="s">
        <v>46</v>
      </c>
      <c r="C159" s="2" t="s">
        <v>37</v>
      </c>
      <c r="D159" s="7">
        <v>8.1333333333333329</v>
      </c>
      <c r="E159" s="7">
        <v>8.1333333333333329</v>
      </c>
      <c r="F159" s="7">
        <v>8.1333333333333329</v>
      </c>
      <c r="G159" s="7">
        <v>8.1333333333333329</v>
      </c>
      <c r="H159" s="7">
        <v>8.1333333333333329</v>
      </c>
      <c r="I159" s="7">
        <v>8.1333333333333329</v>
      </c>
      <c r="J159" s="7">
        <v>8.1333333333333329</v>
      </c>
      <c r="K159" s="7">
        <v>8.1333333333333329</v>
      </c>
      <c r="L159" s="7">
        <v>8.1333333333333329</v>
      </c>
      <c r="M159" s="7">
        <v>8.1333333333333329</v>
      </c>
      <c r="N159" s="7">
        <v>8.1333333333333329</v>
      </c>
      <c r="O159" s="7">
        <v>8.1333333333333329</v>
      </c>
      <c r="P159" s="8">
        <f t="shared" si="5"/>
        <v>97.599999999999966</v>
      </c>
    </row>
    <row r="160" spans="1:16" x14ac:dyDescent="0.3">
      <c r="A160" s="2" t="s">
        <v>72</v>
      </c>
      <c r="B160" s="2" t="s">
        <v>46</v>
      </c>
      <c r="C160" s="2" t="s">
        <v>38</v>
      </c>
      <c r="D160" s="7">
        <v>7.5249999999999986</v>
      </c>
      <c r="E160" s="7">
        <v>7.5249999999999986</v>
      </c>
      <c r="F160" s="7">
        <v>7.5249999999999986</v>
      </c>
      <c r="G160" s="7">
        <v>7.5249999999999986</v>
      </c>
      <c r="H160" s="7">
        <v>7.5249999999999986</v>
      </c>
      <c r="I160" s="7">
        <v>7.5249999999999986</v>
      </c>
      <c r="J160" s="7">
        <v>7.5249999999999986</v>
      </c>
      <c r="K160" s="7">
        <v>7.5249999999999986</v>
      </c>
      <c r="L160" s="7">
        <v>7.5249999999999986</v>
      </c>
      <c r="M160" s="7">
        <v>7.5249999999999986</v>
      </c>
      <c r="N160" s="7">
        <v>7.5249999999999986</v>
      </c>
      <c r="O160" s="7">
        <v>7.5249999999999986</v>
      </c>
      <c r="P160" s="8">
        <f t="shared" si="5"/>
        <v>90.300000000000011</v>
      </c>
    </row>
    <row r="161" spans="1:16" x14ac:dyDescent="0.3">
      <c r="A161" s="2" t="s">
        <v>72</v>
      </c>
      <c r="B161" s="2" t="s">
        <v>46</v>
      </c>
      <c r="C161" s="2" t="s">
        <v>39</v>
      </c>
      <c r="D161" s="7">
        <v>6.5666666666666664</v>
      </c>
      <c r="E161" s="7">
        <v>6.5666666666666664</v>
      </c>
      <c r="F161" s="7">
        <v>6.5666666666666664</v>
      </c>
      <c r="G161" s="7">
        <v>6.5666666666666664</v>
      </c>
      <c r="H161" s="7">
        <v>6.5666666666666664</v>
      </c>
      <c r="I161" s="7">
        <v>6.5666666666666664</v>
      </c>
      <c r="J161" s="7">
        <v>6.5666666666666664</v>
      </c>
      <c r="K161" s="7">
        <v>6.5666666666666664</v>
      </c>
      <c r="L161" s="7">
        <v>6.5666666666666664</v>
      </c>
      <c r="M161" s="7">
        <v>6.5666666666666664</v>
      </c>
      <c r="N161" s="7">
        <v>6.5666666666666664</v>
      </c>
      <c r="O161" s="7">
        <v>6.5666666666666664</v>
      </c>
      <c r="P161" s="8">
        <f t="shared" si="5"/>
        <v>78.799999999999969</v>
      </c>
    </row>
    <row r="162" spans="1:16" x14ac:dyDescent="0.3">
      <c r="A162" s="2" t="s">
        <v>72</v>
      </c>
      <c r="B162" s="2" t="s">
        <v>46</v>
      </c>
      <c r="C162" s="2" t="s">
        <v>40</v>
      </c>
      <c r="D162" s="7">
        <v>6.2666666666666666</v>
      </c>
      <c r="E162" s="7">
        <v>6.2666666666666666</v>
      </c>
      <c r="F162" s="7">
        <v>6.2666666666666666</v>
      </c>
      <c r="G162" s="7">
        <v>6.2666666666666666</v>
      </c>
      <c r="H162" s="7">
        <v>6.2666666666666666</v>
      </c>
      <c r="I162" s="7">
        <v>6.2666666666666666</v>
      </c>
      <c r="J162" s="7">
        <v>6.2666666666666666</v>
      </c>
      <c r="K162" s="7">
        <v>6.2666666666666666</v>
      </c>
      <c r="L162" s="7">
        <v>6.2666666666666666</v>
      </c>
      <c r="M162" s="7">
        <v>6.2666666666666666</v>
      </c>
      <c r="N162" s="7">
        <v>6.2666666666666666</v>
      </c>
      <c r="O162" s="7">
        <v>6.2666666666666666</v>
      </c>
      <c r="P162" s="8">
        <f t="shared" si="5"/>
        <v>75.2</v>
      </c>
    </row>
    <row r="163" spans="1:16" x14ac:dyDescent="0.3">
      <c r="A163" s="2" t="s">
        <v>72</v>
      </c>
      <c r="B163" s="2" t="s">
        <v>47</v>
      </c>
      <c r="C163" s="2" t="s">
        <v>18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8">
        <f t="shared" si="5"/>
        <v>0</v>
      </c>
    </row>
    <row r="164" spans="1:16" x14ac:dyDescent="0.3">
      <c r="A164" s="2" t="s">
        <v>72</v>
      </c>
      <c r="B164" s="2" t="s">
        <v>47</v>
      </c>
      <c r="C164" s="2" t="s">
        <v>19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8">
        <f t="shared" si="5"/>
        <v>0</v>
      </c>
    </row>
    <row r="165" spans="1:16" x14ac:dyDescent="0.3">
      <c r="A165" s="2" t="s">
        <v>72</v>
      </c>
      <c r="B165" s="2" t="s">
        <v>47</v>
      </c>
      <c r="C165" s="2" t="s">
        <v>20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8">
        <f t="shared" si="5"/>
        <v>0</v>
      </c>
    </row>
    <row r="166" spans="1:16" x14ac:dyDescent="0.3">
      <c r="A166" s="2" t="s">
        <v>72</v>
      </c>
      <c r="B166" s="2" t="s">
        <v>47</v>
      </c>
      <c r="C166" s="2" t="s">
        <v>21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8">
        <f t="shared" si="5"/>
        <v>0</v>
      </c>
    </row>
    <row r="167" spans="1:16" x14ac:dyDescent="0.3">
      <c r="A167" s="2" t="s">
        <v>72</v>
      </c>
      <c r="B167" s="2" t="s">
        <v>47</v>
      </c>
      <c r="C167" s="2" t="s">
        <v>22</v>
      </c>
      <c r="D167" s="7">
        <v>0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8">
        <f t="shared" si="5"/>
        <v>0</v>
      </c>
    </row>
    <row r="168" spans="1:16" x14ac:dyDescent="0.3">
      <c r="A168" s="2" t="s">
        <v>72</v>
      </c>
      <c r="B168" s="2" t="s">
        <v>47</v>
      </c>
      <c r="C168" s="2" t="s">
        <v>23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8">
        <f t="shared" si="5"/>
        <v>0</v>
      </c>
    </row>
    <row r="169" spans="1:16" x14ac:dyDescent="0.3">
      <c r="A169" s="2" t="s">
        <v>72</v>
      </c>
      <c r="B169" s="2" t="s">
        <v>47</v>
      </c>
      <c r="C169" s="2" t="s">
        <v>24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8">
        <f t="shared" si="5"/>
        <v>0</v>
      </c>
    </row>
    <row r="170" spans="1:16" x14ac:dyDescent="0.3">
      <c r="A170" s="2" t="s">
        <v>72</v>
      </c>
      <c r="B170" s="2" t="s">
        <v>47</v>
      </c>
      <c r="C170" s="2" t="s">
        <v>25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8">
        <f t="shared" si="5"/>
        <v>0</v>
      </c>
    </row>
    <row r="171" spans="1:16" x14ac:dyDescent="0.3">
      <c r="A171" s="2" t="s">
        <v>72</v>
      </c>
      <c r="B171" s="2" t="s">
        <v>47</v>
      </c>
      <c r="C171" s="2" t="s">
        <v>26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8">
        <f t="shared" si="5"/>
        <v>0</v>
      </c>
    </row>
    <row r="172" spans="1:16" x14ac:dyDescent="0.3">
      <c r="A172" s="2" t="s">
        <v>72</v>
      </c>
      <c r="B172" s="2" t="s">
        <v>47</v>
      </c>
      <c r="C172" s="2" t="s">
        <v>27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8">
        <f t="shared" si="5"/>
        <v>0</v>
      </c>
    </row>
    <row r="173" spans="1:16" x14ac:dyDescent="0.3">
      <c r="A173" s="2" t="s">
        <v>72</v>
      </c>
      <c r="B173" s="2" t="s">
        <v>47</v>
      </c>
      <c r="C173" s="2" t="s">
        <v>28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8">
        <f t="shared" si="5"/>
        <v>0</v>
      </c>
    </row>
    <row r="174" spans="1:16" x14ac:dyDescent="0.3">
      <c r="A174" s="2" t="s">
        <v>72</v>
      </c>
      <c r="B174" s="2" t="s">
        <v>47</v>
      </c>
      <c r="C174" s="2" t="s">
        <v>29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8">
        <f t="shared" si="5"/>
        <v>0</v>
      </c>
    </row>
    <row r="175" spans="1:16" x14ac:dyDescent="0.3">
      <c r="A175" s="2" t="s">
        <v>72</v>
      </c>
      <c r="B175" s="2" t="s">
        <v>47</v>
      </c>
      <c r="C175" s="2" t="s">
        <v>30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8">
        <f t="shared" si="5"/>
        <v>0</v>
      </c>
    </row>
    <row r="176" spans="1:16" x14ac:dyDescent="0.3">
      <c r="A176" s="2" t="s">
        <v>72</v>
      </c>
      <c r="B176" s="2" t="s">
        <v>47</v>
      </c>
      <c r="C176" s="2" t="s">
        <v>31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8">
        <f t="shared" si="5"/>
        <v>0</v>
      </c>
    </row>
    <row r="177" spans="1:16" x14ac:dyDescent="0.3">
      <c r="A177" s="2" t="s">
        <v>72</v>
      </c>
      <c r="B177" s="2" t="s">
        <v>47</v>
      </c>
      <c r="C177" s="2" t="s">
        <v>32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8">
        <f t="shared" si="5"/>
        <v>0</v>
      </c>
    </row>
    <row r="178" spans="1:16" x14ac:dyDescent="0.3">
      <c r="A178" s="2" t="s">
        <v>72</v>
      </c>
      <c r="B178" s="2" t="s">
        <v>47</v>
      </c>
      <c r="C178" s="2" t="s">
        <v>33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8">
        <f t="shared" si="5"/>
        <v>0</v>
      </c>
    </row>
    <row r="179" spans="1:16" x14ac:dyDescent="0.3">
      <c r="A179" s="2" t="s">
        <v>72</v>
      </c>
      <c r="B179" s="2" t="s">
        <v>47</v>
      </c>
      <c r="C179" s="2" t="s">
        <v>34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8">
        <f t="shared" si="5"/>
        <v>0</v>
      </c>
    </row>
    <row r="180" spans="1:16" x14ac:dyDescent="0.3">
      <c r="A180" s="2" t="s">
        <v>72</v>
      </c>
      <c r="B180" s="2" t="s">
        <v>47</v>
      </c>
      <c r="C180" s="2" t="s">
        <v>35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8">
        <f t="shared" si="5"/>
        <v>0</v>
      </c>
    </row>
    <row r="181" spans="1:16" x14ac:dyDescent="0.3">
      <c r="A181" s="2" t="s">
        <v>72</v>
      </c>
      <c r="B181" s="2" t="s">
        <v>47</v>
      </c>
      <c r="C181" s="2" t="s">
        <v>36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8">
        <f t="shared" si="5"/>
        <v>0</v>
      </c>
    </row>
    <row r="182" spans="1:16" x14ac:dyDescent="0.3">
      <c r="A182" s="2" t="s">
        <v>72</v>
      </c>
      <c r="B182" s="2" t="s">
        <v>47</v>
      </c>
      <c r="C182" s="2" t="s">
        <v>37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8">
        <f t="shared" si="5"/>
        <v>0</v>
      </c>
    </row>
    <row r="183" spans="1:16" x14ac:dyDescent="0.3">
      <c r="A183" s="2" t="s">
        <v>72</v>
      </c>
      <c r="B183" s="2" t="s">
        <v>47</v>
      </c>
      <c r="C183" s="2" t="s">
        <v>38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8">
        <f t="shared" si="5"/>
        <v>0</v>
      </c>
    </row>
    <row r="184" spans="1:16" x14ac:dyDescent="0.3">
      <c r="A184" s="2" t="s">
        <v>72</v>
      </c>
      <c r="B184" s="2" t="s">
        <v>47</v>
      </c>
      <c r="C184" s="2" t="s">
        <v>39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8">
        <f t="shared" si="5"/>
        <v>0</v>
      </c>
    </row>
    <row r="185" spans="1:16" x14ac:dyDescent="0.3">
      <c r="A185" s="2" t="s">
        <v>72</v>
      </c>
      <c r="B185" s="2" t="s">
        <v>47</v>
      </c>
      <c r="C185" s="2" t="s">
        <v>40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8">
        <f t="shared" si="5"/>
        <v>0</v>
      </c>
    </row>
    <row r="186" spans="1:16" x14ac:dyDescent="0.3">
      <c r="A186" s="2" t="s">
        <v>72</v>
      </c>
      <c r="B186" s="2" t="s">
        <v>48</v>
      </c>
      <c r="C186" s="2" t="s">
        <v>18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8">
        <f t="shared" si="5"/>
        <v>0</v>
      </c>
    </row>
    <row r="187" spans="1:16" x14ac:dyDescent="0.3">
      <c r="A187" s="2" t="s">
        <v>72</v>
      </c>
      <c r="B187" s="2" t="s">
        <v>48</v>
      </c>
      <c r="C187" s="2" t="s">
        <v>19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8">
        <f t="shared" si="5"/>
        <v>0</v>
      </c>
    </row>
    <row r="188" spans="1:16" x14ac:dyDescent="0.3">
      <c r="A188" s="2" t="s">
        <v>72</v>
      </c>
      <c r="B188" s="2" t="s">
        <v>48</v>
      </c>
      <c r="C188" s="2" t="s">
        <v>20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8">
        <f t="shared" si="5"/>
        <v>0</v>
      </c>
    </row>
    <row r="189" spans="1:16" x14ac:dyDescent="0.3">
      <c r="A189" s="2" t="s">
        <v>72</v>
      </c>
      <c r="B189" s="2" t="s">
        <v>48</v>
      </c>
      <c r="C189" s="2" t="s">
        <v>21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8">
        <f t="shared" si="5"/>
        <v>0</v>
      </c>
    </row>
    <row r="190" spans="1:16" x14ac:dyDescent="0.3">
      <c r="A190" s="2" t="s">
        <v>72</v>
      </c>
      <c r="B190" s="2" t="s">
        <v>48</v>
      </c>
      <c r="C190" s="2" t="s">
        <v>22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8">
        <f t="shared" ref="P190:P221" si="6">SUM(D190:O190)</f>
        <v>0</v>
      </c>
    </row>
    <row r="191" spans="1:16" x14ac:dyDescent="0.3">
      <c r="A191" s="2" t="s">
        <v>72</v>
      </c>
      <c r="B191" s="2" t="s">
        <v>48</v>
      </c>
      <c r="C191" s="2" t="s">
        <v>23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8">
        <f t="shared" si="6"/>
        <v>0</v>
      </c>
    </row>
    <row r="192" spans="1:16" x14ac:dyDescent="0.3">
      <c r="A192" s="2" t="s">
        <v>72</v>
      </c>
      <c r="B192" s="2" t="s">
        <v>48</v>
      </c>
      <c r="C192" s="2" t="s">
        <v>24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8">
        <f t="shared" si="6"/>
        <v>0</v>
      </c>
    </row>
    <row r="193" spans="1:16" x14ac:dyDescent="0.3">
      <c r="A193" s="2" t="s">
        <v>72</v>
      </c>
      <c r="B193" s="2" t="s">
        <v>48</v>
      </c>
      <c r="C193" s="2" t="s">
        <v>25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8">
        <f t="shared" si="6"/>
        <v>0</v>
      </c>
    </row>
    <row r="194" spans="1:16" x14ac:dyDescent="0.3">
      <c r="A194" s="2" t="s">
        <v>72</v>
      </c>
      <c r="B194" s="2" t="s">
        <v>48</v>
      </c>
      <c r="C194" s="2" t="s">
        <v>26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8">
        <f t="shared" si="6"/>
        <v>0</v>
      </c>
    </row>
    <row r="195" spans="1:16" x14ac:dyDescent="0.3">
      <c r="A195" s="2" t="s">
        <v>72</v>
      </c>
      <c r="B195" s="2" t="s">
        <v>48</v>
      </c>
      <c r="C195" s="2" t="s">
        <v>27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8">
        <f t="shared" si="6"/>
        <v>0</v>
      </c>
    </row>
    <row r="196" spans="1:16" x14ac:dyDescent="0.3">
      <c r="A196" s="2" t="s">
        <v>72</v>
      </c>
      <c r="B196" s="2" t="s">
        <v>48</v>
      </c>
      <c r="C196" s="2" t="s">
        <v>28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8">
        <f t="shared" si="6"/>
        <v>0</v>
      </c>
    </row>
    <row r="197" spans="1:16" x14ac:dyDescent="0.3">
      <c r="A197" s="2" t="s">
        <v>72</v>
      </c>
      <c r="B197" s="2" t="s">
        <v>48</v>
      </c>
      <c r="C197" s="2" t="s">
        <v>29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8">
        <f t="shared" si="6"/>
        <v>0</v>
      </c>
    </row>
    <row r="198" spans="1:16" x14ac:dyDescent="0.3">
      <c r="A198" s="2" t="s">
        <v>72</v>
      </c>
      <c r="B198" s="2" t="s">
        <v>48</v>
      </c>
      <c r="C198" s="2" t="s">
        <v>30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8">
        <f t="shared" si="6"/>
        <v>0</v>
      </c>
    </row>
    <row r="199" spans="1:16" x14ac:dyDescent="0.3">
      <c r="A199" s="2" t="s">
        <v>72</v>
      </c>
      <c r="B199" s="2" t="s">
        <v>48</v>
      </c>
      <c r="C199" s="2" t="s">
        <v>31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8">
        <f t="shared" si="6"/>
        <v>0</v>
      </c>
    </row>
    <row r="200" spans="1:16" x14ac:dyDescent="0.3">
      <c r="A200" s="2" t="s">
        <v>72</v>
      </c>
      <c r="B200" s="2" t="s">
        <v>48</v>
      </c>
      <c r="C200" s="2" t="s">
        <v>32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8">
        <f t="shared" si="6"/>
        <v>0</v>
      </c>
    </row>
    <row r="201" spans="1:16" x14ac:dyDescent="0.3">
      <c r="A201" s="2" t="s">
        <v>72</v>
      </c>
      <c r="B201" s="2" t="s">
        <v>48</v>
      </c>
      <c r="C201" s="2" t="s">
        <v>33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8">
        <f t="shared" si="6"/>
        <v>0</v>
      </c>
    </row>
    <row r="202" spans="1:16" x14ac:dyDescent="0.3">
      <c r="A202" s="2" t="s">
        <v>72</v>
      </c>
      <c r="B202" s="2" t="s">
        <v>48</v>
      </c>
      <c r="C202" s="2" t="s">
        <v>34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8">
        <f t="shared" si="6"/>
        <v>0</v>
      </c>
    </row>
    <row r="203" spans="1:16" x14ac:dyDescent="0.3">
      <c r="A203" s="2" t="s">
        <v>72</v>
      </c>
      <c r="B203" s="2" t="s">
        <v>48</v>
      </c>
      <c r="C203" s="2" t="s">
        <v>35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8">
        <f t="shared" si="6"/>
        <v>0</v>
      </c>
    </row>
    <row r="204" spans="1:16" x14ac:dyDescent="0.3">
      <c r="A204" s="2" t="s">
        <v>72</v>
      </c>
      <c r="B204" s="2" t="s">
        <v>48</v>
      </c>
      <c r="C204" s="2" t="s">
        <v>36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8">
        <f t="shared" si="6"/>
        <v>0</v>
      </c>
    </row>
    <row r="205" spans="1:16" x14ac:dyDescent="0.3">
      <c r="A205" s="2" t="s">
        <v>72</v>
      </c>
      <c r="B205" s="2" t="s">
        <v>48</v>
      </c>
      <c r="C205" s="2" t="s">
        <v>37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8">
        <f t="shared" si="6"/>
        <v>0</v>
      </c>
    </row>
    <row r="206" spans="1:16" x14ac:dyDescent="0.3">
      <c r="A206" s="2" t="s">
        <v>72</v>
      </c>
      <c r="B206" s="2" t="s">
        <v>48</v>
      </c>
      <c r="C206" s="2" t="s">
        <v>38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8">
        <f t="shared" si="6"/>
        <v>0</v>
      </c>
    </row>
    <row r="207" spans="1:16" x14ac:dyDescent="0.3">
      <c r="A207" s="2" t="s">
        <v>72</v>
      </c>
      <c r="B207" s="2" t="s">
        <v>48</v>
      </c>
      <c r="C207" s="2" t="s">
        <v>39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8">
        <f t="shared" si="6"/>
        <v>0</v>
      </c>
    </row>
    <row r="208" spans="1:16" x14ac:dyDescent="0.3">
      <c r="A208" s="2" t="s">
        <v>72</v>
      </c>
      <c r="B208" s="2" t="s">
        <v>48</v>
      </c>
      <c r="C208" s="2" t="s">
        <v>40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8">
        <f t="shared" si="6"/>
        <v>0</v>
      </c>
    </row>
    <row r="209" spans="1:16" x14ac:dyDescent="0.3">
      <c r="A209" s="2" t="s">
        <v>72</v>
      </c>
      <c r="B209" s="2" t="s">
        <v>49</v>
      </c>
      <c r="C209" s="2" t="s">
        <v>18</v>
      </c>
      <c r="D209" s="7">
        <f t="shared" ref="D209:O209" si="7">D140+D163</f>
        <v>11.008333333333329</v>
      </c>
      <c r="E209" s="7">
        <f t="shared" si="7"/>
        <v>11.008333333333329</v>
      </c>
      <c r="F209" s="7">
        <f t="shared" si="7"/>
        <v>11.008333333333329</v>
      </c>
      <c r="G209" s="7">
        <f t="shared" si="7"/>
        <v>11.008333333333329</v>
      </c>
      <c r="H209" s="7">
        <f t="shared" si="7"/>
        <v>11.008333333333329</v>
      </c>
      <c r="I209" s="7">
        <f t="shared" si="7"/>
        <v>11.008333333333329</v>
      </c>
      <c r="J209" s="7">
        <f t="shared" si="7"/>
        <v>11.008333333333329</v>
      </c>
      <c r="K209" s="7">
        <f t="shared" si="7"/>
        <v>11.008333333333329</v>
      </c>
      <c r="L209" s="7">
        <f t="shared" si="7"/>
        <v>11.008333333333329</v>
      </c>
      <c r="M209" s="7">
        <f t="shared" si="7"/>
        <v>11.008333333333329</v>
      </c>
      <c r="N209" s="7">
        <f t="shared" si="7"/>
        <v>11.008333333333329</v>
      </c>
      <c r="O209" s="7">
        <f t="shared" si="7"/>
        <v>11.008333333333329</v>
      </c>
      <c r="P209" s="8">
        <f t="shared" si="6"/>
        <v>132.09999999999994</v>
      </c>
    </row>
    <row r="210" spans="1:16" x14ac:dyDescent="0.3">
      <c r="A210" s="2" t="s">
        <v>72</v>
      </c>
      <c r="B210" s="2" t="s">
        <v>49</v>
      </c>
      <c r="C210" s="2" t="s">
        <v>19</v>
      </c>
      <c r="D210" s="7">
        <f t="shared" ref="D210:O210" si="8">D141+D164</f>
        <v>11.65</v>
      </c>
      <c r="E210" s="7">
        <f t="shared" si="8"/>
        <v>11.65</v>
      </c>
      <c r="F210" s="7">
        <f t="shared" si="8"/>
        <v>11.65</v>
      </c>
      <c r="G210" s="7">
        <f t="shared" si="8"/>
        <v>11.65</v>
      </c>
      <c r="H210" s="7">
        <f t="shared" si="8"/>
        <v>11.65</v>
      </c>
      <c r="I210" s="7">
        <f t="shared" si="8"/>
        <v>11.65</v>
      </c>
      <c r="J210" s="7">
        <f t="shared" si="8"/>
        <v>11.65</v>
      </c>
      <c r="K210" s="7">
        <f t="shared" si="8"/>
        <v>11.65</v>
      </c>
      <c r="L210" s="7">
        <f t="shared" si="8"/>
        <v>11.65</v>
      </c>
      <c r="M210" s="7">
        <f t="shared" si="8"/>
        <v>11.65</v>
      </c>
      <c r="N210" s="7">
        <f t="shared" si="8"/>
        <v>11.65</v>
      </c>
      <c r="O210" s="7">
        <f t="shared" si="8"/>
        <v>11.65</v>
      </c>
      <c r="P210" s="8">
        <f t="shared" si="6"/>
        <v>139.80000000000004</v>
      </c>
    </row>
    <row r="211" spans="1:16" x14ac:dyDescent="0.3">
      <c r="A211" s="2" t="s">
        <v>72</v>
      </c>
      <c r="B211" s="2" t="s">
        <v>49</v>
      </c>
      <c r="C211" s="2" t="s">
        <v>20</v>
      </c>
      <c r="D211" s="7">
        <f t="shared" ref="D211:O211" si="9">D142+D165</f>
        <v>9.7916666666666661</v>
      </c>
      <c r="E211" s="7">
        <f t="shared" si="9"/>
        <v>9.7916666666666661</v>
      </c>
      <c r="F211" s="7">
        <f t="shared" si="9"/>
        <v>9.7916666666666661</v>
      </c>
      <c r="G211" s="7">
        <f t="shared" si="9"/>
        <v>9.7916666666666661</v>
      </c>
      <c r="H211" s="7">
        <f t="shared" si="9"/>
        <v>9.7916666666666661</v>
      </c>
      <c r="I211" s="7">
        <f t="shared" si="9"/>
        <v>9.7916666666666661</v>
      </c>
      <c r="J211" s="7">
        <f t="shared" si="9"/>
        <v>9.7916666666666661</v>
      </c>
      <c r="K211" s="7">
        <f t="shared" si="9"/>
        <v>9.7916666666666661</v>
      </c>
      <c r="L211" s="7">
        <f t="shared" si="9"/>
        <v>9.7916666666666661</v>
      </c>
      <c r="M211" s="7">
        <f t="shared" si="9"/>
        <v>9.7916666666666661</v>
      </c>
      <c r="N211" s="7">
        <f t="shared" si="9"/>
        <v>9.7916666666666661</v>
      </c>
      <c r="O211" s="7">
        <f t="shared" si="9"/>
        <v>9.7916666666666661</v>
      </c>
      <c r="P211" s="8">
        <f t="shared" si="6"/>
        <v>117.50000000000001</v>
      </c>
    </row>
    <row r="212" spans="1:16" x14ac:dyDescent="0.3">
      <c r="A212" s="2" t="s">
        <v>72</v>
      </c>
      <c r="B212" s="2" t="s">
        <v>49</v>
      </c>
      <c r="C212" s="2" t="s">
        <v>21</v>
      </c>
      <c r="D212" s="7">
        <f t="shared" ref="D212:O212" si="10">D143+D166</f>
        <v>6.5583333333333336</v>
      </c>
      <c r="E212" s="7">
        <f t="shared" si="10"/>
        <v>6.5583333333333336</v>
      </c>
      <c r="F212" s="7">
        <f t="shared" si="10"/>
        <v>6.5583333333333336</v>
      </c>
      <c r="G212" s="7">
        <f t="shared" si="10"/>
        <v>6.5583333333333336</v>
      </c>
      <c r="H212" s="7">
        <f t="shared" si="10"/>
        <v>6.5583333333333336</v>
      </c>
      <c r="I212" s="7">
        <f t="shared" si="10"/>
        <v>6.5583333333333336</v>
      </c>
      <c r="J212" s="7">
        <f t="shared" si="10"/>
        <v>6.5583333333333336</v>
      </c>
      <c r="K212" s="7">
        <f t="shared" si="10"/>
        <v>6.5583333333333336</v>
      </c>
      <c r="L212" s="7">
        <f t="shared" si="10"/>
        <v>6.5583333333333336</v>
      </c>
      <c r="M212" s="7">
        <f t="shared" si="10"/>
        <v>6.5583333333333336</v>
      </c>
      <c r="N212" s="7">
        <f t="shared" si="10"/>
        <v>6.5583333333333336</v>
      </c>
      <c r="O212" s="7">
        <f t="shared" si="10"/>
        <v>6.5583333333333336</v>
      </c>
      <c r="P212" s="8">
        <f t="shared" si="6"/>
        <v>78.700000000000031</v>
      </c>
    </row>
    <row r="213" spans="1:16" x14ac:dyDescent="0.3">
      <c r="A213" s="2" t="s">
        <v>72</v>
      </c>
      <c r="B213" s="2" t="s">
        <v>49</v>
      </c>
      <c r="C213" s="2" t="s">
        <v>22</v>
      </c>
      <c r="D213" s="7">
        <f t="shared" ref="D213:O213" si="11">D144+D167</f>
        <v>7.6749999999999998</v>
      </c>
      <c r="E213" s="7">
        <f t="shared" si="11"/>
        <v>7.6749999999999998</v>
      </c>
      <c r="F213" s="7">
        <f t="shared" si="11"/>
        <v>7.6749999999999998</v>
      </c>
      <c r="G213" s="7">
        <f t="shared" si="11"/>
        <v>7.6749999999999998</v>
      </c>
      <c r="H213" s="7">
        <f t="shared" si="11"/>
        <v>7.6749999999999998</v>
      </c>
      <c r="I213" s="7">
        <f t="shared" si="11"/>
        <v>7.6749999999999998</v>
      </c>
      <c r="J213" s="7">
        <f t="shared" si="11"/>
        <v>7.6749999999999998</v>
      </c>
      <c r="K213" s="7">
        <f t="shared" si="11"/>
        <v>7.6749999999999998</v>
      </c>
      <c r="L213" s="7">
        <f t="shared" si="11"/>
        <v>7.6749999999999998</v>
      </c>
      <c r="M213" s="7">
        <f t="shared" si="11"/>
        <v>7.6749999999999998</v>
      </c>
      <c r="N213" s="7">
        <f t="shared" si="11"/>
        <v>7.6749999999999998</v>
      </c>
      <c r="O213" s="7">
        <f t="shared" si="11"/>
        <v>7.6749999999999998</v>
      </c>
      <c r="P213" s="8">
        <f t="shared" si="6"/>
        <v>92.09999999999998</v>
      </c>
    </row>
    <row r="214" spans="1:16" x14ac:dyDescent="0.3">
      <c r="A214" s="2" t="s">
        <v>72</v>
      </c>
      <c r="B214" s="2" t="s">
        <v>49</v>
      </c>
      <c r="C214" s="2" t="s">
        <v>23</v>
      </c>
      <c r="D214" s="7">
        <f t="shared" ref="D214:O214" si="12">D145+D168</f>
        <v>5.8500000000000014</v>
      </c>
      <c r="E214" s="7">
        <f t="shared" si="12"/>
        <v>5.8500000000000014</v>
      </c>
      <c r="F214" s="7">
        <f t="shared" si="12"/>
        <v>5.8500000000000014</v>
      </c>
      <c r="G214" s="7">
        <f t="shared" si="12"/>
        <v>5.8500000000000014</v>
      </c>
      <c r="H214" s="7">
        <f t="shared" si="12"/>
        <v>5.8500000000000014</v>
      </c>
      <c r="I214" s="7">
        <f t="shared" si="12"/>
        <v>5.8500000000000014</v>
      </c>
      <c r="J214" s="7">
        <f t="shared" si="12"/>
        <v>5.8500000000000014</v>
      </c>
      <c r="K214" s="7">
        <f t="shared" si="12"/>
        <v>5.8500000000000014</v>
      </c>
      <c r="L214" s="7">
        <f t="shared" si="12"/>
        <v>5.8500000000000014</v>
      </c>
      <c r="M214" s="7">
        <f t="shared" si="12"/>
        <v>5.8500000000000014</v>
      </c>
      <c r="N214" s="7">
        <f t="shared" si="12"/>
        <v>5.8500000000000014</v>
      </c>
      <c r="O214" s="7">
        <f t="shared" si="12"/>
        <v>5.8500000000000014</v>
      </c>
      <c r="P214" s="8">
        <f t="shared" si="6"/>
        <v>70.200000000000017</v>
      </c>
    </row>
    <row r="215" spans="1:16" x14ac:dyDescent="0.3">
      <c r="A215" s="2" t="s">
        <v>72</v>
      </c>
      <c r="B215" s="2" t="s">
        <v>49</v>
      </c>
      <c r="C215" s="2" t="s">
        <v>24</v>
      </c>
      <c r="D215" s="7">
        <f t="shared" ref="D215:O215" si="13">D146+D169</f>
        <v>5.7750000000000004</v>
      </c>
      <c r="E215" s="7">
        <f t="shared" si="13"/>
        <v>5.7750000000000004</v>
      </c>
      <c r="F215" s="7">
        <f t="shared" si="13"/>
        <v>5.7750000000000004</v>
      </c>
      <c r="G215" s="7">
        <f t="shared" si="13"/>
        <v>5.7750000000000004</v>
      </c>
      <c r="H215" s="7">
        <f t="shared" si="13"/>
        <v>5.7750000000000004</v>
      </c>
      <c r="I215" s="7">
        <f t="shared" si="13"/>
        <v>5.7750000000000004</v>
      </c>
      <c r="J215" s="7">
        <f t="shared" si="13"/>
        <v>5.7750000000000004</v>
      </c>
      <c r="K215" s="7">
        <f t="shared" si="13"/>
        <v>5.7750000000000004</v>
      </c>
      <c r="L215" s="7">
        <f t="shared" si="13"/>
        <v>5.7750000000000004</v>
      </c>
      <c r="M215" s="7">
        <f t="shared" si="13"/>
        <v>5.7750000000000004</v>
      </c>
      <c r="N215" s="7">
        <f t="shared" si="13"/>
        <v>5.7750000000000004</v>
      </c>
      <c r="O215" s="7">
        <f t="shared" si="13"/>
        <v>5.7750000000000004</v>
      </c>
      <c r="P215" s="8">
        <f t="shared" si="6"/>
        <v>69.3</v>
      </c>
    </row>
    <row r="216" spans="1:16" x14ac:dyDescent="0.3">
      <c r="A216" s="2" t="s">
        <v>72</v>
      </c>
      <c r="B216" s="2" t="s">
        <v>49</v>
      </c>
      <c r="C216" s="2" t="s">
        <v>25</v>
      </c>
      <c r="D216" s="7">
        <f t="shared" ref="D216:O216" si="14">D147+D170</f>
        <v>4.9833333333333334</v>
      </c>
      <c r="E216" s="7">
        <f t="shared" si="14"/>
        <v>4.9833333333333334</v>
      </c>
      <c r="F216" s="7">
        <f t="shared" si="14"/>
        <v>4.9833333333333334</v>
      </c>
      <c r="G216" s="7">
        <f t="shared" si="14"/>
        <v>4.9833333333333334</v>
      </c>
      <c r="H216" s="7">
        <f t="shared" si="14"/>
        <v>4.9833333333333334</v>
      </c>
      <c r="I216" s="7">
        <f t="shared" si="14"/>
        <v>4.9833333333333334</v>
      </c>
      <c r="J216" s="7">
        <f t="shared" si="14"/>
        <v>4.9833333333333334</v>
      </c>
      <c r="K216" s="7">
        <f t="shared" si="14"/>
        <v>4.9833333333333334</v>
      </c>
      <c r="L216" s="7">
        <f t="shared" si="14"/>
        <v>4.9833333333333334</v>
      </c>
      <c r="M216" s="7">
        <f t="shared" si="14"/>
        <v>4.9833333333333334</v>
      </c>
      <c r="N216" s="7">
        <f t="shared" si="14"/>
        <v>4.9833333333333334</v>
      </c>
      <c r="O216" s="7">
        <f t="shared" si="14"/>
        <v>4.9833333333333334</v>
      </c>
      <c r="P216" s="8">
        <f t="shared" si="6"/>
        <v>59.800000000000004</v>
      </c>
    </row>
    <row r="217" spans="1:16" x14ac:dyDescent="0.3">
      <c r="A217" s="2" t="s">
        <v>72</v>
      </c>
      <c r="B217" s="2" t="s">
        <v>49</v>
      </c>
      <c r="C217" s="2" t="s">
        <v>26</v>
      </c>
      <c r="D217" s="7">
        <f t="shared" ref="D217:O217" si="15">D148+D171</f>
        <v>7.1833333333333336</v>
      </c>
      <c r="E217" s="7">
        <f t="shared" si="15"/>
        <v>7.1833333333333336</v>
      </c>
      <c r="F217" s="7">
        <f t="shared" si="15"/>
        <v>7.1833333333333336</v>
      </c>
      <c r="G217" s="7">
        <f t="shared" si="15"/>
        <v>7.1833333333333336</v>
      </c>
      <c r="H217" s="7">
        <f t="shared" si="15"/>
        <v>7.1833333333333336</v>
      </c>
      <c r="I217" s="7">
        <f t="shared" si="15"/>
        <v>7.1833333333333336</v>
      </c>
      <c r="J217" s="7">
        <f t="shared" si="15"/>
        <v>7.1833333333333336</v>
      </c>
      <c r="K217" s="7">
        <f t="shared" si="15"/>
        <v>7.1833333333333336</v>
      </c>
      <c r="L217" s="7">
        <f t="shared" si="15"/>
        <v>7.1833333333333336</v>
      </c>
      <c r="M217" s="7">
        <f t="shared" si="15"/>
        <v>7.1833333333333336</v>
      </c>
      <c r="N217" s="7">
        <f t="shared" si="15"/>
        <v>7.1833333333333336</v>
      </c>
      <c r="O217" s="7">
        <f t="shared" si="15"/>
        <v>7.1833333333333336</v>
      </c>
      <c r="P217" s="8">
        <f t="shared" si="6"/>
        <v>86.200000000000031</v>
      </c>
    </row>
    <row r="218" spans="1:16" x14ac:dyDescent="0.3">
      <c r="A218" s="2" t="s">
        <v>72</v>
      </c>
      <c r="B218" s="2" t="s">
        <v>49</v>
      </c>
      <c r="C218" s="2" t="s">
        <v>27</v>
      </c>
      <c r="D218" s="7">
        <f t="shared" ref="D218:O218" si="16">D149+D172</f>
        <v>10.275</v>
      </c>
      <c r="E218" s="7">
        <f t="shared" si="16"/>
        <v>10.275</v>
      </c>
      <c r="F218" s="7">
        <f t="shared" si="16"/>
        <v>10.275</v>
      </c>
      <c r="G218" s="7">
        <f t="shared" si="16"/>
        <v>10.275</v>
      </c>
      <c r="H218" s="7">
        <f t="shared" si="16"/>
        <v>10.275</v>
      </c>
      <c r="I218" s="7">
        <f t="shared" si="16"/>
        <v>10.275</v>
      </c>
      <c r="J218" s="7">
        <f t="shared" si="16"/>
        <v>10.275</v>
      </c>
      <c r="K218" s="7">
        <f t="shared" si="16"/>
        <v>10.275</v>
      </c>
      <c r="L218" s="7">
        <f t="shared" si="16"/>
        <v>10.275</v>
      </c>
      <c r="M218" s="7">
        <f t="shared" si="16"/>
        <v>10.275</v>
      </c>
      <c r="N218" s="7">
        <f t="shared" si="16"/>
        <v>10.275</v>
      </c>
      <c r="O218" s="7">
        <f t="shared" si="16"/>
        <v>10.275</v>
      </c>
      <c r="P218" s="8">
        <f t="shared" si="6"/>
        <v>123.30000000000003</v>
      </c>
    </row>
    <row r="219" spans="1:16" x14ac:dyDescent="0.3">
      <c r="A219" s="2" t="s">
        <v>72</v>
      </c>
      <c r="B219" s="2" t="s">
        <v>49</v>
      </c>
      <c r="C219" s="2" t="s">
        <v>28</v>
      </c>
      <c r="D219" s="7">
        <f t="shared" ref="D219:O219" si="17">D150+D173</f>
        <v>9.7666666666666675</v>
      </c>
      <c r="E219" s="7">
        <f t="shared" si="17"/>
        <v>9.7666666666666675</v>
      </c>
      <c r="F219" s="7">
        <f t="shared" si="17"/>
        <v>9.7666666666666675</v>
      </c>
      <c r="G219" s="7">
        <f t="shared" si="17"/>
        <v>9.7666666666666675</v>
      </c>
      <c r="H219" s="7">
        <f t="shared" si="17"/>
        <v>9.7666666666666675</v>
      </c>
      <c r="I219" s="7">
        <f t="shared" si="17"/>
        <v>9.7666666666666675</v>
      </c>
      <c r="J219" s="7">
        <f t="shared" si="17"/>
        <v>9.7666666666666675</v>
      </c>
      <c r="K219" s="7">
        <f t="shared" si="17"/>
        <v>9.7666666666666675</v>
      </c>
      <c r="L219" s="7">
        <f t="shared" si="17"/>
        <v>9.7666666666666675</v>
      </c>
      <c r="M219" s="7">
        <f t="shared" si="17"/>
        <v>9.7666666666666675</v>
      </c>
      <c r="N219" s="7">
        <f t="shared" si="17"/>
        <v>9.7666666666666675</v>
      </c>
      <c r="O219" s="7">
        <f t="shared" si="17"/>
        <v>9.7666666666666675</v>
      </c>
      <c r="P219" s="8">
        <f t="shared" si="6"/>
        <v>117.2</v>
      </c>
    </row>
    <row r="220" spans="1:16" x14ac:dyDescent="0.3">
      <c r="A220" s="2" t="s">
        <v>72</v>
      </c>
      <c r="B220" s="2" t="s">
        <v>49</v>
      </c>
      <c r="C220" s="2" t="s">
        <v>29</v>
      </c>
      <c r="D220" s="7">
        <f t="shared" ref="D220:O220" si="18">D151+D174</f>
        <v>6.958333333333333</v>
      </c>
      <c r="E220" s="7">
        <f t="shared" si="18"/>
        <v>6.958333333333333</v>
      </c>
      <c r="F220" s="7">
        <f t="shared" si="18"/>
        <v>6.958333333333333</v>
      </c>
      <c r="G220" s="7">
        <f t="shared" si="18"/>
        <v>6.958333333333333</v>
      </c>
      <c r="H220" s="7">
        <f t="shared" si="18"/>
        <v>6.958333333333333</v>
      </c>
      <c r="I220" s="7">
        <f t="shared" si="18"/>
        <v>6.958333333333333</v>
      </c>
      <c r="J220" s="7">
        <f t="shared" si="18"/>
        <v>6.958333333333333</v>
      </c>
      <c r="K220" s="7">
        <f t="shared" si="18"/>
        <v>6.958333333333333</v>
      </c>
      <c r="L220" s="7">
        <f t="shared" si="18"/>
        <v>6.958333333333333</v>
      </c>
      <c r="M220" s="7">
        <f t="shared" si="18"/>
        <v>6.958333333333333</v>
      </c>
      <c r="N220" s="7">
        <f t="shared" si="18"/>
        <v>6.958333333333333</v>
      </c>
      <c r="O220" s="7">
        <f t="shared" si="18"/>
        <v>6.958333333333333</v>
      </c>
      <c r="P220" s="8">
        <f t="shared" si="6"/>
        <v>83.5</v>
      </c>
    </row>
    <row r="221" spans="1:16" x14ac:dyDescent="0.3">
      <c r="A221" s="2" t="s">
        <v>72</v>
      </c>
      <c r="B221" s="2" t="s">
        <v>49</v>
      </c>
      <c r="C221" s="2" t="s">
        <v>30</v>
      </c>
      <c r="D221" s="7">
        <f t="shared" ref="D221:O221" si="19">D152+D175</f>
        <v>12.25</v>
      </c>
      <c r="E221" s="7">
        <f t="shared" si="19"/>
        <v>12.25</v>
      </c>
      <c r="F221" s="7">
        <f t="shared" si="19"/>
        <v>12.25</v>
      </c>
      <c r="G221" s="7">
        <f t="shared" si="19"/>
        <v>12.25</v>
      </c>
      <c r="H221" s="7">
        <f t="shared" si="19"/>
        <v>12.25</v>
      </c>
      <c r="I221" s="7">
        <f t="shared" si="19"/>
        <v>12.25</v>
      </c>
      <c r="J221" s="7">
        <f t="shared" si="19"/>
        <v>12.25</v>
      </c>
      <c r="K221" s="7">
        <f t="shared" si="19"/>
        <v>12.25</v>
      </c>
      <c r="L221" s="7">
        <f t="shared" si="19"/>
        <v>12.25</v>
      </c>
      <c r="M221" s="7">
        <f t="shared" si="19"/>
        <v>12.25</v>
      </c>
      <c r="N221" s="7">
        <f t="shared" si="19"/>
        <v>12.25</v>
      </c>
      <c r="O221" s="7">
        <f t="shared" si="19"/>
        <v>12.25</v>
      </c>
      <c r="P221" s="8">
        <f t="shared" si="6"/>
        <v>147</v>
      </c>
    </row>
    <row r="222" spans="1:16" x14ac:dyDescent="0.3">
      <c r="A222" s="2" t="s">
        <v>72</v>
      </c>
      <c r="B222" s="2" t="s">
        <v>49</v>
      </c>
      <c r="C222" s="2" t="s">
        <v>31</v>
      </c>
      <c r="D222" s="7">
        <f t="shared" ref="D222:O222" si="20">D153+D176</f>
        <v>15.358333333333331</v>
      </c>
      <c r="E222" s="7">
        <f t="shared" si="20"/>
        <v>15.358333333333331</v>
      </c>
      <c r="F222" s="7">
        <f t="shared" si="20"/>
        <v>15.358333333333331</v>
      </c>
      <c r="G222" s="7">
        <f t="shared" si="20"/>
        <v>15.358333333333331</v>
      </c>
      <c r="H222" s="7">
        <f t="shared" si="20"/>
        <v>15.358333333333331</v>
      </c>
      <c r="I222" s="7">
        <f t="shared" si="20"/>
        <v>15.358333333333331</v>
      </c>
      <c r="J222" s="7">
        <f t="shared" si="20"/>
        <v>15.358333333333331</v>
      </c>
      <c r="K222" s="7">
        <f t="shared" si="20"/>
        <v>15.358333333333331</v>
      </c>
      <c r="L222" s="7">
        <f t="shared" si="20"/>
        <v>15.358333333333331</v>
      </c>
      <c r="M222" s="7">
        <f t="shared" si="20"/>
        <v>15.358333333333331</v>
      </c>
      <c r="N222" s="7">
        <f t="shared" si="20"/>
        <v>15.358333333333331</v>
      </c>
      <c r="O222" s="7">
        <f t="shared" si="20"/>
        <v>15.358333333333331</v>
      </c>
      <c r="P222" s="8">
        <f t="shared" ref="P222:P253" si="21">SUM(D222:O222)</f>
        <v>184.29999999999995</v>
      </c>
    </row>
    <row r="223" spans="1:16" x14ac:dyDescent="0.3">
      <c r="A223" s="2" t="s">
        <v>72</v>
      </c>
      <c r="B223" s="2" t="s">
        <v>49</v>
      </c>
      <c r="C223" s="2" t="s">
        <v>32</v>
      </c>
      <c r="D223" s="7">
        <f t="shared" ref="D223:O223" si="22">D154+D177</f>
        <v>10.43333333333333</v>
      </c>
      <c r="E223" s="7">
        <f t="shared" si="22"/>
        <v>10.43333333333333</v>
      </c>
      <c r="F223" s="7">
        <f t="shared" si="22"/>
        <v>10.43333333333333</v>
      </c>
      <c r="G223" s="7">
        <f t="shared" si="22"/>
        <v>10.43333333333333</v>
      </c>
      <c r="H223" s="7">
        <f t="shared" si="22"/>
        <v>10.43333333333333</v>
      </c>
      <c r="I223" s="7">
        <f t="shared" si="22"/>
        <v>10.43333333333333</v>
      </c>
      <c r="J223" s="7">
        <f t="shared" si="22"/>
        <v>10.43333333333333</v>
      </c>
      <c r="K223" s="7">
        <f t="shared" si="22"/>
        <v>10.43333333333333</v>
      </c>
      <c r="L223" s="7">
        <f t="shared" si="22"/>
        <v>10.43333333333333</v>
      </c>
      <c r="M223" s="7">
        <f t="shared" si="22"/>
        <v>10.43333333333333</v>
      </c>
      <c r="N223" s="7">
        <f t="shared" si="22"/>
        <v>10.43333333333333</v>
      </c>
      <c r="O223" s="7">
        <f t="shared" si="22"/>
        <v>10.43333333333333</v>
      </c>
      <c r="P223" s="8">
        <f t="shared" si="21"/>
        <v>125.19999999999999</v>
      </c>
    </row>
    <row r="224" spans="1:16" x14ac:dyDescent="0.3">
      <c r="A224" s="2" t="s">
        <v>72</v>
      </c>
      <c r="B224" s="2" t="s">
        <v>49</v>
      </c>
      <c r="C224" s="2" t="s">
        <v>33</v>
      </c>
      <c r="D224" s="7">
        <f t="shared" ref="D224:O224" si="23">D155+D178</f>
        <v>9.35</v>
      </c>
      <c r="E224" s="7">
        <f t="shared" si="23"/>
        <v>9.35</v>
      </c>
      <c r="F224" s="7">
        <f t="shared" si="23"/>
        <v>9.35</v>
      </c>
      <c r="G224" s="7">
        <f t="shared" si="23"/>
        <v>9.35</v>
      </c>
      <c r="H224" s="7">
        <f t="shared" si="23"/>
        <v>9.35</v>
      </c>
      <c r="I224" s="7">
        <f t="shared" si="23"/>
        <v>9.35</v>
      </c>
      <c r="J224" s="7">
        <f t="shared" si="23"/>
        <v>9.35</v>
      </c>
      <c r="K224" s="7">
        <f t="shared" si="23"/>
        <v>9.35</v>
      </c>
      <c r="L224" s="7">
        <f t="shared" si="23"/>
        <v>9.35</v>
      </c>
      <c r="M224" s="7">
        <f t="shared" si="23"/>
        <v>9.35</v>
      </c>
      <c r="N224" s="7">
        <f t="shared" si="23"/>
        <v>9.35</v>
      </c>
      <c r="O224" s="7">
        <f t="shared" si="23"/>
        <v>9.35</v>
      </c>
      <c r="P224" s="8">
        <f t="shared" si="21"/>
        <v>112.19999999999997</v>
      </c>
    </row>
    <row r="225" spans="1:16" x14ac:dyDescent="0.3">
      <c r="A225" s="2" t="s">
        <v>72</v>
      </c>
      <c r="B225" s="2" t="s">
        <v>49</v>
      </c>
      <c r="C225" s="2" t="s">
        <v>34</v>
      </c>
      <c r="D225" s="7">
        <f t="shared" ref="D225:O225" si="24">D156+D179</f>
        <v>10.199999999999999</v>
      </c>
      <c r="E225" s="7">
        <f t="shared" si="24"/>
        <v>10.199999999999999</v>
      </c>
      <c r="F225" s="7">
        <f t="shared" si="24"/>
        <v>10.199999999999999</v>
      </c>
      <c r="G225" s="7">
        <f t="shared" si="24"/>
        <v>10.199999999999999</v>
      </c>
      <c r="H225" s="7">
        <f t="shared" si="24"/>
        <v>10.199999999999999</v>
      </c>
      <c r="I225" s="7">
        <f t="shared" si="24"/>
        <v>10.199999999999999</v>
      </c>
      <c r="J225" s="7">
        <f t="shared" si="24"/>
        <v>10.199999999999999</v>
      </c>
      <c r="K225" s="7">
        <f t="shared" si="24"/>
        <v>10.199999999999999</v>
      </c>
      <c r="L225" s="7">
        <f t="shared" si="24"/>
        <v>10.199999999999999</v>
      </c>
      <c r="M225" s="7">
        <f t="shared" si="24"/>
        <v>10.199999999999999</v>
      </c>
      <c r="N225" s="7">
        <f t="shared" si="24"/>
        <v>10.199999999999999</v>
      </c>
      <c r="O225" s="7">
        <f t="shared" si="24"/>
        <v>10.199999999999999</v>
      </c>
      <c r="P225" s="8">
        <f t="shared" si="21"/>
        <v>122.40000000000002</v>
      </c>
    </row>
    <row r="226" spans="1:16" x14ac:dyDescent="0.3">
      <c r="A226" s="2" t="s">
        <v>72</v>
      </c>
      <c r="B226" s="2" t="s">
        <v>49</v>
      </c>
      <c r="C226" s="2" t="s">
        <v>35</v>
      </c>
      <c r="D226" s="7">
        <f t="shared" ref="D226:O226" si="25">D157+D180</f>
        <v>11.95</v>
      </c>
      <c r="E226" s="7">
        <f t="shared" si="25"/>
        <v>11.95</v>
      </c>
      <c r="F226" s="7">
        <f t="shared" si="25"/>
        <v>11.95</v>
      </c>
      <c r="G226" s="7">
        <f t="shared" si="25"/>
        <v>11.95</v>
      </c>
      <c r="H226" s="7">
        <f t="shared" si="25"/>
        <v>11.95</v>
      </c>
      <c r="I226" s="7">
        <f t="shared" si="25"/>
        <v>11.95</v>
      </c>
      <c r="J226" s="7">
        <f t="shared" si="25"/>
        <v>11.95</v>
      </c>
      <c r="K226" s="7">
        <f t="shared" si="25"/>
        <v>11.95</v>
      </c>
      <c r="L226" s="7">
        <f t="shared" si="25"/>
        <v>11.95</v>
      </c>
      <c r="M226" s="7">
        <f t="shared" si="25"/>
        <v>11.95</v>
      </c>
      <c r="N226" s="7">
        <f t="shared" si="25"/>
        <v>11.95</v>
      </c>
      <c r="O226" s="7">
        <f t="shared" si="25"/>
        <v>11.95</v>
      </c>
      <c r="P226" s="8">
        <f t="shared" si="21"/>
        <v>143.4</v>
      </c>
    </row>
    <row r="227" spans="1:16" x14ac:dyDescent="0.3">
      <c r="A227" s="2" t="s">
        <v>72</v>
      </c>
      <c r="B227" s="2" t="s">
        <v>49</v>
      </c>
      <c r="C227" s="2" t="s">
        <v>36</v>
      </c>
      <c r="D227" s="7">
        <f t="shared" ref="D227:O227" si="26">D158+D181</f>
        <v>8.6749999999999989</v>
      </c>
      <c r="E227" s="7">
        <f t="shared" si="26"/>
        <v>8.6749999999999989</v>
      </c>
      <c r="F227" s="7">
        <f t="shared" si="26"/>
        <v>8.6749999999999989</v>
      </c>
      <c r="G227" s="7">
        <f t="shared" si="26"/>
        <v>8.6749999999999989</v>
      </c>
      <c r="H227" s="7">
        <f t="shared" si="26"/>
        <v>8.6749999999999989</v>
      </c>
      <c r="I227" s="7">
        <f t="shared" si="26"/>
        <v>8.6749999999999989</v>
      </c>
      <c r="J227" s="7">
        <f t="shared" si="26"/>
        <v>8.6749999999999989</v>
      </c>
      <c r="K227" s="7">
        <f t="shared" si="26"/>
        <v>8.6749999999999989</v>
      </c>
      <c r="L227" s="7">
        <f t="shared" si="26"/>
        <v>8.6749999999999989</v>
      </c>
      <c r="M227" s="7">
        <f t="shared" si="26"/>
        <v>8.6749999999999989</v>
      </c>
      <c r="N227" s="7">
        <f t="shared" si="26"/>
        <v>8.6749999999999989</v>
      </c>
      <c r="O227" s="7">
        <f t="shared" si="26"/>
        <v>8.6749999999999989</v>
      </c>
      <c r="P227" s="8">
        <f t="shared" si="21"/>
        <v>104.09999999999998</v>
      </c>
    </row>
    <row r="228" spans="1:16" x14ac:dyDescent="0.3">
      <c r="A228" s="2" t="s">
        <v>72</v>
      </c>
      <c r="B228" s="2" t="s">
        <v>49</v>
      </c>
      <c r="C228" s="2" t="s">
        <v>37</v>
      </c>
      <c r="D228" s="7">
        <f t="shared" ref="D228:O228" si="27">D159+D182</f>
        <v>8.1333333333333329</v>
      </c>
      <c r="E228" s="7">
        <f t="shared" si="27"/>
        <v>8.1333333333333329</v>
      </c>
      <c r="F228" s="7">
        <f t="shared" si="27"/>
        <v>8.1333333333333329</v>
      </c>
      <c r="G228" s="7">
        <f t="shared" si="27"/>
        <v>8.1333333333333329</v>
      </c>
      <c r="H228" s="7">
        <f t="shared" si="27"/>
        <v>8.1333333333333329</v>
      </c>
      <c r="I228" s="7">
        <f t="shared" si="27"/>
        <v>8.1333333333333329</v>
      </c>
      <c r="J228" s="7">
        <f t="shared" si="27"/>
        <v>8.1333333333333329</v>
      </c>
      <c r="K228" s="7">
        <f t="shared" si="27"/>
        <v>8.1333333333333329</v>
      </c>
      <c r="L228" s="7">
        <f t="shared" si="27"/>
        <v>8.1333333333333329</v>
      </c>
      <c r="M228" s="7">
        <f t="shared" si="27"/>
        <v>8.1333333333333329</v>
      </c>
      <c r="N228" s="7">
        <f t="shared" si="27"/>
        <v>8.1333333333333329</v>
      </c>
      <c r="O228" s="7">
        <f t="shared" si="27"/>
        <v>8.1333333333333329</v>
      </c>
      <c r="P228" s="8">
        <f t="shared" si="21"/>
        <v>97.599999999999966</v>
      </c>
    </row>
    <row r="229" spans="1:16" x14ac:dyDescent="0.3">
      <c r="A229" s="2" t="s">
        <v>72</v>
      </c>
      <c r="B229" s="2" t="s">
        <v>49</v>
      </c>
      <c r="C229" s="2" t="s">
        <v>38</v>
      </c>
      <c r="D229" s="7">
        <f t="shared" ref="D229:O229" si="28">D160+D183</f>
        <v>7.5249999999999986</v>
      </c>
      <c r="E229" s="7">
        <f t="shared" si="28"/>
        <v>7.5249999999999986</v>
      </c>
      <c r="F229" s="7">
        <f t="shared" si="28"/>
        <v>7.5249999999999986</v>
      </c>
      <c r="G229" s="7">
        <f t="shared" si="28"/>
        <v>7.5249999999999986</v>
      </c>
      <c r="H229" s="7">
        <f t="shared" si="28"/>
        <v>7.5249999999999986</v>
      </c>
      <c r="I229" s="7">
        <f t="shared" si="28"/>
        <v>7.5249999999999986</v>
      </c>
      <c r="J229" s="7">
        <f t="shared" si="28"/>
        <v>7.5249999999999986</v>
      </c>
      <c r="K229" s="7">
        <f t="shared" si="28"/>
        <v>7.5249999999999986</v>
      </c>
      <c r="L229" s="7">
        <f t="shared" si="28"/>
        <v>7.5249999999999986</v>
      </c>
      <c r="M229" s="7">
        <f t="shared" si="28"/>
        <v>7.5249999999999986</v>
      </c>
      <c r="N229" s="7">
        <f t="shared" si="28"/>
        <v>7.5249999999999986</v>
      </c>
      <c r="O229" s="7">
        <f t="shared" si="28"/>
        <v>7.5249999999999986</v>
      </c>
      <c r="P229" s="8">
        <f t="shared" si="21"/>
        <v>90.300000000000011</v>
      </c>
    </row>
    <row r="230" spans="1:16" x14ac:dyDescent="0.3">
      <c r="A230" s="2" t="s">
        <v>72</v>
      </c>
      <c r="B230" s="2" t="s">
        <v>49</v>
      </c>
      <c r="C230" s="2" t="s">
        <v>39</v>
      </c>
      <c r="D230" s="7">
        <f t="shared" ref="D230:O230" si="29">D161+D184</f>
        <v>6.5666666666666664</v>
      </c>
      <c r="E230" s="7">
        <f t="shared" si="29"/>
        <v>6.5666666666666664</v>
      </c>
      <c r="F230" s="7">
        <f t="shared" si="29"/>
        <v>6.5666666666666664</v>
      </c>
      <c r="G230" s="7">
        <f t="shared" si="29"/>
        <v>6.5666666666666664</v>
      </c>
      <c r="H230" s="7">
        <f t="shared" si="29"/>
        <v>6.5666666666666664</v>
      </c>
      <c r="I230" s="7">
        <f t="shared" si="29"/>
        <v>6.5666666666666664</v>
      </c>
      <c r="J230" s="7">
        <f t="shared" si="29"/>
        <v>6.5666666666666664</v>
      </c>
      <c r="K230" s="7">
        <f t="shared" si="29"/>
        <v>6.5666666666666664</v>
      </c>
      <c r="L230" s="7">
        <f t="shared" si="29"/>
        <v>6.5666666666666664</v>
      </c>
      <c r="M230" s="7">
        <f t="shared" si="29"/>
        <v>6.5666666666666664</v>
      </c>
      <c r="N230" s="7">
        <f t="shared" si="29"/>
        <v>6.5666666666666664</v>
      </c>
      <c r="O230" s="7">
        <f t="shared" si="29"/>
        <v>6.5666666666666664</v>
      </c>
      <c r="P230" s="8">
        <f t="shared" si="21"/>
        <v>78.799999999999969</v>
      </c>
    </row>
    <row r="231" spans="1:16" x14ac:dyDescent="0.3">
      <c r="A231" s="2" t="s">
        <v>72</v>
      </c>
      <c r="B231" s="2" t="s">
        <v>49</v>
      </c>
      <c r="C231" s="2" t="s">
        <v>40</v>
      </c>
      <c r="D231" s="7">
        <f t="shared" ref="D231:O231" si="30">D162+D185</f>
        <v>6.2666666666666666</v>
      </c>
      <c r="E231" s="7">
        <f t="shared" si="30"/>
        <v>6.2666666666666666</v>
      </c>
      <c r="F231" s="7">
        <f t="shared" si="30"/>
        <v>6.2666666666666666</v>
      </c>
      <c r="G231" s="7">
        <f t="shared" si="30"/>
        <v>6.2666666666666666</v>
      </c>
      <c r="H231" s="7">
        <f t="shared" si="30"/>
        <v>6.2666666666666666</v>
      </c>
      <c r="I231" s="7">
        <f t="shared" si="30"/>
        <v>6.2666666666666666</v>
      </c>
      <c r="J231" s="7">
        <f t="shared" si="30"/>
        <v>6.2666666666666666</v>
      </c>
      <c r="K231" s="7">
        <f t="shared" si="30"/>
        <v>6.2666666666666666</v>
      </c>
      <c r="L231" s="7">
        <f t="shared" si="30"/>
        <v>6.2666666666666666</v>
      </c>
      <c r="M231" s="7">
        <f t="shared" si="30"/>
        <v>6.2666666666666666</v>
      </c>
      <c r="N231" s="7">
        <f t="shared" si="30"/>
        <v>6.2666666666666666</v>
      </c>
      <c r="O231" s="7">
        <f t="shared" si="30"/>
        <v>6.2666666666666666</v>
      </c>
      <c r="P231" s="8">
        <f t="shared" si="21"/>
        <v>75.2</v>
      </c>
    </row>
    <row r="232" spans="1:16" x14ac:dyDescent="0.3">
      <c r="A232" s="2" t="s">
        <v>72</v>
      </c>
      <c r="B232" s="2" t="s">
        <v>50</v>
      </c>
      <c r="C232" s="2" t="s">
        <v>18</v>
      </c>
      <c r="D232" s="7">
        <v>129.6695</v>
      </c>
      <c r="E232" s="7">
        <v>129.6695</v>
      </c>
      <c r="F232" s="7">
        <v>129.6695</v>
      </c>
      <c r="G232" s="7">
        <v>129.6695</v>
      </c>
      <c r="H232" s="7">
        <v>129.6695</v>
      </c>
      <c r="I232" s="7">
        <v>129.6695</v>
      </c>
      <c r="J232" s="7">
        <v>129.6695</v>
      </c>
      <c r="K232" s="7">
        <v>129.6695</v>
      </c>
      <c r="L232" s="7">
        <v>129.6695</v>
      </c>
      <c r="M232" s="7">
        <v>129.6695</v>
      </c>
      <c r="N232" s="7">
        <v>129.6695</v>
      </c>
      <c r="O232" s="7">
        <v>129.6695</v>
      </c>
      <c r="P232" s="8">
        <f t="shared" si="21"/>
        <v>1556.0339999999999</v>
      </c>
    </row>
    <row r="233" spans="1:16" x14ac:dyDescent="0.3">
      <c r="A233" s="2" t="s">
        <v>72</v>
      </c>
      <c r="B233" s="2" t="s">
        <v>50</v>
      </c>
      <c r="C233" s="2" t="s">
        <v>19</v>
      </c>
      <c r="D233" s="7">
        <v>130.61416666666659</v>
      </c>
      <c r="E233" s="7">
        <v>130.61416666666659</v>
      </c>
      <c r="F233" s="7">
        <v>130.61416666666659</v>
      </c>
      <c r="G233" s="7">
        <v>130.61416666666659</v>
      </c>
      <c r="H233" s="7">
        <v>130.61416666666659</v>
      </c>
      <c r="I233" s="7">
        <v>130.61416666666659</v>
      </c>
      <c r="J233" s="7">
        <v>130.61416666666659</v>
      </c>
      <c r="K233" s="7">
        <v>130.61416666666659</v>
      </c>
      <c r="L233" s="7">
        <v>130.61416666666659</v>
      </c>
      <c r="M233" s="7">
        <v>130.61416666666659</v>
      </c>
      <c r="N233" s="7">
        <v>130.61416666666659</v>
      </c>
      <c r="O233" s="7">
        <v>130.61416666666659</v>
      </c>
      <c r="P233" s="8">
        <f t="shared" si="21"/>
        <v>1567.3699999999988</v>
      </c>
    </row>
    <row r="234" spans="1:16" x14ac:dyDescent="0.3">
      <c r="A234" s="2" t="s">
        <v>72</v>
      </c>
      <c r="B234" s="2" t="s">
        <v>50</v>
      </c>
      <c r="C234" s="2" t="s">
        <v>20</v>
      </c>
      <c r="D234" s="7">
        <v>138.4171666666667</v>
      </c>
      <c r="E234" s="7">
        <v>138.4171666666667</v>
      </c>
      <c r="F234" s="7">
        <v>138.4171666666667</v>
      </c>
      <c r="G234" s="7">
        <v>138.4171666666667</v>
      </c>
      <c r="H234" s="7">
        <v>138.4171666666667</v>
      </c>
      <c r="I234" s="7">
        <v>138.4171666666667</v>
      </c>
      <c r="J234" s="7">
        <v>138.4171666666667</v>
      </c>
      <c r="K234" s="7">
        <v>138.4171666666667</v>
      </c>
      <c r="L234" s="7">
        <v>138.4171666666667</v>
      </c>
      <c r="M234" s="7">
        <v>138.4171666666667</v>
      </c>
      <c r="N234" s="7">
        <v>138.4171666666667</v>
      </c>
      <c r="O234" s="7">
        <v>138.4171666666667</v>
      </c>
      <c r="P234" s="8">
        <f t="shared" si="21"/>
        <v>1661.0060000000001</v>
      </c>
    </row>
    <row r="235" spans="1:16" x14ac:dyDescent="0.3">
      <c r="A235" s="2" t="s">
        <v>72</v>
      </c>
      <c r="B235" s="2" t="s">
        <v>50</v>
      </c>
      <c r="C235" s="2" t="s">
        <v>21</v>
      </c>
      <c r="D235" s="7">
        <v>134.67183333333321</v>
      </c>
      <c r="E235" s="7">
        <v>134.67183333333321</v>
      </c>
      <c r="F235" s="7">
        <v>134.67183333333321</v>
      </c>
      <c r="G235" s="7">
        <v>134.67183333333321</v>
      </c>
      <c r="H235" s="7">
        <v>134.67183333333321</v>
      </c>
      <c r="I235" s="7">
        <v>134.67183333333321</v>
      </c>
      <c r="J235" s="7">
        <v>134.67183333333321</v>
      </c>
      <c r="K235" s="7">
        <v>134.67183333333321</v>
      </c>
      <c r="L235" s="7">
        <v>134.67183333333321</v>
      </c>
      <c r="M235" s="7">
        <v>134.67183333333321</v>
      </c>
      <c r="N235" s="7">
        <v>134.67183333333321</v>
      </c>
      <c r="O235" s="7">
        <v>134.67183333333321</v>
      </c>
      <c r="P235" s="8">
        <f t="shared" si="21"/>
        <v>1616.061999999999</v>
      </c>
    </row>
    <row r="236" spans="1:16" x14ac:dyDescent="0.3">
      <c r="A236" s="2" t="s">
        <v>72</v>
      </c>
      <c r="B236" s="2" t="s">
        <v>50</v>
      </c>
      <c r="C236" s="2" t="s">
        <v>22</v>
      </c>
      <c r="D236" s="7">
        <v>159.11758333333341</v>
      </c>
      <c r="E236" s="7">
        <v>159.11758333333341</v>
      </c>
      <c r="F236" s="7">
        <v>159.11758333333341</v>
      </c>
      <c r="G236" s="7">
        <v>159.11758333333341</v>
      </c>
      <c r="H236" s="7">
        <v>159.11758333333341</v>
      </c>
      <c r="I236" s="7">
        <v>159.11758333333341</v>
      </c>
      <c r="J236" s="7">
        <v>159.11758333333341</v>
      </c>
      <c r="K236" s="7">
        <v>159.11758333333341</v>
      </c>
      <c r="L236" s="7">
        <v>159.11758333333341</v>
      </c>
      <c r="M236" s="7">
        <v>159.11758333333341</v>
      </c>
      <c r="N236" s="7">
        <v>159.11758333333341</v>
      </c>
      <c r="O236" s="7">
        <v>159.11758333333341</v>
      </c>
      <c r="P236" s="8">
        <f t="shared" si="21"/>
        <v>1909.411000000001</v>
      </c>
    </row>
    <row r="237" spans="1:16" x14ac:dyDescent="0.3">
      <c r="A237" s="2" t="s">
        <v>72</v>
      </c>
      <c r="B237" s="2" t="s">
        <v>50</v>
      </c>
      <c r="C237" s="2" t="s">
        <v>23</v>
      </c>
      <c r="D237" s="7">
        <v>128.9607499999999</v>
      </c>
      <c r="E237" s="7">
        <v>128.9607499999999</v>
      </c>
      <c r="F237" s="7">
        <v>128.9607499999999</v>
      </c>
      <c r="G237" s="7">
        <v>128.9607499999999</v>
      </c>
      <c r="H237" s="7">
        <v>128.9607499999999</v>
      </c>
      <c r="I237" s="7">
        <v>128.9607499999999</v>
      </c>
      <c r="J237" s="7">
        <v>128.9607499999999</v>
      </c>
      <c r="K237" s="7">
        <v>128.9607499999999</v>
      </c>
      <c r="L237" s="7">
        <v>128.9607499999999</v>
      </c>
      <c r="M237" s="7">
        <v>128.9607499999999</v>
      </c>
      <c r="N237" s="7">
        <v>128.9607499999999</v>
      </c>
      <c r="O237" s="7">
        <v>128.9607499999999</v>
      </c>
      <c r="P237" s="8">
        <f t="shared" si="21"/>
        <v>1547.5289999999993</v>
      </c>
    </row>
    <row r="238" spans="1:16" x14ac:dyDescent="0.3">
      <c r="A238" s="2" t="s">
        <v>72</v>
      </c>
      <c r="B238" s="2" t="s">
        <v>50</v>
      </c>
      <c r="C238" s="2" t="s">
        <v>24</v>
      </c>
      <c r="D238" s="7">
        <v>121.239</v>
      </c>
      <c r="E238" s="7">
        <v>121.239</v>
      </c>
      <c r="F238" s="7">
        <v>121.239</v>
      </c>
      <c r="G238" s="7">
        <v>121.239</v>
      </c>
      <c r="H238" s="7">
        <v>121.239</v>
      </c>
      <c r="I238" s="7">
        <v>121.239</v>
      </c>
      <c r="J238" s="7">
        <v>121.239</v>
      </c>
      <c r="K238" s="7">
        <v>121.239</v>
      </c>
      <c r="L238" s="7">
        <v>121.239</v>
      </c>
      <c r="M238" s="7">
        <v>121.239</v>
      </c>
      <c r="N238" s="7">
        <v>121.239</v>
      </c>
      <c r="O238" s="7">
        <v>121.239</v>
      </c>
      <c r="P238" s="8">
        <f t="shared" si="21"/>
        <v>1454.8680000000002</v>
      </c>
    </row>
    <row r="239" spans="1:16" x14ac:dyDescent="0.3">
      <c r="A239" s="2" t="s">
        <v>72</v>
      </c>
      <c r="B239" s="2" t="s">
        <v>50</v>
      </c>
      <c r="C239" s="2" t="s">
        <v>25</v>
      </c>
      <c r="D239" s="7">
        <v>121.01016666666661</v>
      </c>
      <c r="E239" s="7">
        <v>121.01016666666661</v>
      </c>
      <c r="F239" s="7">
        <v>121.01016666666661</v>
      </c>
      <c r="G239" s="7">
        <v>121.01016666666661</v>
      </c>
      <c r="H239" s="7">
        <v>121.01016666666661</v>
      </c>
      <c r="I239" s="7">
        <v>121.01016666666661</v>
      </c>
      <c r="J239" s="7">
        <v>121.01016666666661</v>
      </c>
      <c r="K239" s="7">
        <v>121.01016666666661</v>
      </c>
      <c r="L239" s="7">
        <v>121.01016666666661</v>
      </c>
      <c r="M239" s="7">
        <v>121.01016666666661</v>
      </c>
      <c r="N239" s="7">
        <v>121.01016666666661</v>
      </c>
      <c r="O239" s="7">
        <v>121.01016666666661</v>
      </c>
      <c r="P239" s="8">
        <f t="shared" si="21"/>
        <v>1452.1219999999994</v>
      </c>
    </row>
    <row r="240" spans="1:16" x14ac:dyDescent="0.3">
      <c r="A240" s="2" t="s">
        <v>72</v>
      </c>
      <c r="B240" s="2" t="s">
        <v>50</v>
      </c>
      <c r="C240" s="2" t="s">
        <v>26</v>
      </c>
      <c r="D240" s="7">
        <v>99.669749999999979</v>
      </c>
      <c r="E240" s="7">
        <v>99.669749999999979</v>
      </c>
      <c r="F240" s="7">
        <v>99.669749999999979</v>
      </c>
      <c r="G240" s="7">
        <v>99.669749999999979</v>
      </c>
      <c r="H240" s="7">
        <v>99.669749999999979</v>
      </c>
      <c r="I240" s="7">
        <v>99.669749999999979</v>
      </c>
      <c r="J240" s="7">
        <v>99.669749999999979</v>
      </c>
      <c r="K240" s="7">
        <v>99.669749999999979</v>
      </c>
      <c r="L240" s="7">
        <v>99.669749999999979</v>
      </c>
      <c r="M240" s="7">
        <v>99.669749999999979</v>
      </c>
      <c r="N240" s="7">
        <v>99.669749999999979</v>
      </c>
      <c r="O240" s="7">
        <v>99.669749999999979</v>
      </c>
      <c r="P240" s="8">
        <f t="shared" si="21"/>
        <v>1196.037</v>
      </c>
    </row>
    <row r="241" spans="1:16" x14ac:dyDescent="0.3">
      <c r="A241" s="2" t="s">
        <v>72</v>
      </c>
      <c r="B241" s="2" t="s">
        <v>50</v>
      </c>
      <c r="C241" s="2" t="s">
        <v>27</v>
      </c>
      <c r="D241" s="7">
        <v>82.032999999999944</v>
      </c>
      <c r="E241" s="7">
        <v>82.032999999999944</v>
      </c>
      <c r="F241" s="7">
        <v>82.032999999999944</v>
      </c>
      <c r="G241" s="7">
        <v>82.032999999999944</v>
      </c>
      <c r="H241" s="7">
        <v>82.032999999999944</v>
      </c>
      <c r="I241" s="7">
        <v>82.032999999999944</v>
      </c>
      <c r="J241" s="7">
        <v>82.032999999999944</v>
      </c>
      <c r="K241" s="7">
        <v>82.032999999999944</v>
      </c>
      <c r="L241" s="7">
        <v>82.032999999999944</v>
      </c>
      <c r="M241" s="7">
        <v>82.032999999999944</v>
      </c>
      <c r="N241" s="7">
        <v>82.032999999999944</v>
      </c>
      <c r="O241" s="7">
        <v>82.032999999999944</v>
      </c>
      <c r="P241" s="8">
        <f t="shared" si="21"/>
        <v>984.39599999999916</v>
      </c>
    </row>
    <row r="242" spans="1:16" x14ac:dyDescent="0.3">
      <c r="A242" s="2" t="s">
        <v>72</v>
      </c>
      <c r="B242" s="2" t="s">
        <v>50</v>
      </c>
      <c r="C242" s="2" t="s">
        <v>28</v>
      </c>
      <c r="D242" s="7">
        <v>99.164500000000004</v>
      </c>
      <c r="E242" s="7">
        <v>99.164500000000004</v>
      </c>
      <c r="F242" s="7">
        <v>99.164500000000004</v>
      </c>
      <c r="G242" s="7">
        <v>99.164500000000004</v>
      </c>
      <c r="H242" s="7">
        <v>99.164500000000004</v>
      </c>
      <c r="I242" s="7">
        <v>99.164500000000004</v>
      </c>
      <c r="J242" s="7">
        <v>99.164500000000004</v>
      </c>
      <c r="K242" s="7">
        <v>99.164500000000004</v>
      </c>
      <c r="L242" s="7">
        <v>99.164500000000004</v>
      </c>
      <c r="M242" s="7">
        <v>99.164500000000004</v>
      </c>
      <c r="N242" s="7">
        <v>99.164500000000004</v>
      </c>
      <c r="O242" s="7">
        <v>99.164500000000004</v>
      </c>
      <c r="P242" s="8">
        <f t="shared" si="21"/>
        <v>1189.9739999999999</v>
      </c>
    </row>
    <row r="243" spans="1:16" x14ac:dyDescent="0.3">
      <c r="A243" s="2" t="s">
        <v>72</v>
      </c>
      <c r="B243" s="2" t="s">
        <v>50</v>
      </c>
      <c r="C243" s="2" t="s">
        <v>29</v>
      </c>
      <c r="D243" s="7">
        <v>107.6285833333333</v>
      </c>
      <c r="E243" s="7">
        <v>107.6285833333333</v>
      </c>
      <c r="F243" s="7">
        <v>107.6285833333333</v>
      </c>
      <c r="G243" s="7">
        <v>107.6285833333333</v>
      </c>
      <c r="H243" s="7">
        <v>107.6285833333333</v>
      </c>
      <c r="I243" s="7">
        <v>107.6285833333333</v>
      </c>
      <c r="J243" s="7">
        <v>107.6285833333333</v>
      </c>
      <c r="K243" s="7">
        <v>107.6285833333333</v>
      </c>
      <c r="L243" s="7">
        <v>107.6285833333333</v>
      </c>
      <c r="M243" s="7">
        <v>107.6285833333333</v>
      </c>
      <c r="N243" s="7">
        <v>107.6285833333333</v>
      </c>
      <c r="O243" s="7">
        <v>107.6285833333333</v>
      </c>
      <c r="P243" s="8">
        <f t="shared" si="21"/>
        <v>1291.5429999999997</v>
      </c>
    </row>
    <row r="244" spans="1:16" x14ac:dyDescent="0.3">
      <c r="A244" s="2" t="s">
        <v>72</v>
      </c>
      <c r="B244" s="2" t="s">
        <v>50</v>
      </c>
      <c r="C244" s="2" t="s">
        <v>30</v>
      </c>
      <c r="D244" s="7">
        <v>100.1295833333333</v>
      </c>
      <c r="E244" s="7">
        <v>100.1295833333333</v>
      </c>
      <c r="F244" s="7">
        <v>100.1295833333333</v>
      </c>
      <c r="G244" s="7">
        <v>100.1295833333333</v>
      </c>
      <c r="H244" s="7">
        <v>100.1295833333333</v>
      </c>
      <c r="I244" s="7">
        <v>100.1295833333333</v>
      </c>
      <c r="J244" s="7">
        <v>100.1295833333333</v>
      </c>
      <c r="K244" s="7">
        <v>100.1295833333333</v>
      </c>
      <c r="L244" s="7">
        <v>100.1295833333333</v>
      </c>
      <c r="M244" s="7">
        <v>100.1295833333333</v>
      </c>
      <c r="N244" s="7">
        <v>100.1295833333333</v>
      </c>
      <c r="O244" s="7">
        <v>100.1295833333333</v>
      </c>
      <c r="P244" s="8">
        <f t="shared" si="21"/>
        <v>1201.5549999999998</v>
      </c>
    </row>
    <row r="245" spans="1:16" x14ac:dyDescent="0.3">
      <c r="A245" s="2" t="s">
        <v>72</v>
      </c>
      <c r="B245" s="2" t="s">
        <v>50</v>
      </c>
      <c r="C245" s="2" t="s">
        <v>31</v>
      </c>
      <c r="D245" s="7">
        <v>90.822166666666604</v>
      </c>
      <c r="E245" s="7">
        <v>90.822166666666604</v>
      </c>
      <c r="F245" s="7">
        <v>90.822166666666604</v>
      </c>
      <c r="G245" s="7">
        <v>90.822166666666604</v>
      </c>
      <c r="H245" s="7">
        <v>90.822166666666604</v>
      </c>
      <c r="I245" s="7">
        <v>90.822166666666604</v>
      </c>
      <c r="J245" s="7">
        <v>90.822166666666604</v>
      </c>
      <c r="K245" s="7">
        <v>90.822166666666604</v>
      </c>
      <c r="L245" s="7">
        <v>90.822166666666604</v>
      </c>
      <c r="M245" s="7">
        <v>90.822166666666604</v>
      </c>
      <c r="N245" s="7">
        <v>90.822166666666604</v>
      </c>
      <c r="O245" s="7">
        <v>90.822166666666604</v>
      </c>
      <c r="P245" s="8">
        <f t="shared" si="21"/>
        <v>1089.8659999999993</v>
      </c>
    </row>
    <row r="246" spans="1:16" x14ac:dyDescent="0.3">
      <c r="A246" s="2" t="s">
        <v>72</v>
      </c>
      <c r="B246" s="2" t="s">
        <v>50</v>
      </c>
      <c r="C246" s="2" t="s">
        <v>32</v>
      </c>
      <c r="D246" s="7">
        <v>120.19275</v>
      </c>
      <c r="E246" s="7">
        <v>120.19275</v>
      </c>
      <c r="F246" s="7">
        <v>120.19275</v>
      </c>
      <c r="G246" s="7">
        <v>120.19275</v>
      </c>
      <c r="H246" s="7">
        <v>120.19275</v>
      </c>
      <c r="I246" s="7">
        <v>120.19275</v>
      </c>
      <c r="J246" s="7">
        <v>120.19275</v>
      </c>
      <c r="K246" s="7">
        <v>120.19275</v>
      </c>
      <c r="L246" s="7">
        <v>120.19275</v>
      </c>
      <c r="M246" s="7">
        <v>120.19275</v>
      </c>
      <c r="N246" s="7">
        <v>120.19275</v>
      </c>
      <c r="O246" s="7">
        <v>120.19275</v>
      </c>
      <c r="P246" s="8">
        <f t="shared" si="21"/>
        <v>1442.3129999999999</v>
      </c>
    </row>
    <row r="247" spans="1:16" x14ac:dyDescent="0.3">
      <c r="A247" s="2" t="s">
        <v>72</v>
      </c>
      <c r="B247" s="2" t="s">
        <v>50</v>
      </c>
      <c r="C247" s="2" t="s">
        <v>33</v>
      </c>
      <c r="D247" s="7">
        <v>125.4295833333334</v>
      </c>
      <c r="E247" s="7">
        <v>125.4295833333334</v>
      </c>
      <c r="F247" s="7">
        <v>125.4295833333334</v>
      </c>
      <c r="G247" s="7">
        <v>125.4295833333334</v>
      </c>
      <c r="H247" s="7">
        <v>125.4295833333334</v>
      </c>
      <c r="I247" s="7">
        <v>125.4295833333334</v>
      </c>
      <c r="J247" s="7">
        <v>125.4295833333334</v>
      </c>
      <c r="K247" s="7">
        <v>125.4295833333334</v>
      </c>
      <c r="L247" s="7">
        <v>125.4295833333334</v>
      </c>
      <c r="M247" s="7">
        <v>125.4295833333334</v>
      </c>
      <c r="N247" s="7">
        <v>125.4295833333334</v>
      </c>
      <c r="O247" s="7">
        <v>125.4295833333334</v>
      </c>
      <c r="P247" s="8">
        <f t="shared" si="21"/>
        <v>1505.1550000000007</v>
      </c>
    </row>
    <row r="248" spans="1:16" x14ac:dyDescent="0.3">
      <c r="A248" s="2" t="s">
        <v>72</v>
      </c>
      <c r="B248" s="2" t="s">
        <v>50</v>
      </c>
      <c r="C248" s="2" t="s">
        <v>34</v>
      </c>
      <c r="D248" s="7">
        <v>123.7371666666666</v>
      </c>
      <c r="E248" s="7">
        <v>123.7371666666666</v>
      </c>
      <c r="F248" s="7">
        <v>123.7371666666666</v>
      </c>
      <c r="G248" s="7">
        <v>123.7371666666666</v>
      </c>
      <c r="H248" s="7">
        <v>123.7371666666666</v>
      </c>
      <c r="I248" s="7">
        <v>123.7371666666666</v>
      </c>
      <c r="J248" s="7">
        <v>123.7371666666666</v>
      </c>
      <c r="K248" s="7">
        <v>123.7371666666666</v>
      </c>
      <c r="L248" s="7">
        <v>123.7371666666666</v>
      </c>
      <c r="M248" s="7">
        <v>123.7371666666666</v>
      </c>
      <c r="N248" s="7">
        <v>123.7371666666666</v>
      </c>
      <c r="O248" s="7">
        <v>123.7371666666666</v>
      </c>
      <c r="P248" s="8">
        <f t="shared" si="21"/>
        <v>1484.8459999999989</v>
      </c>
    </row>
    <row r="249" spans="1:16" x14ac:dyDescent="0.3">
      <c r="A249" s="2" t="s">
        <v>72</v>
      </c>
      <c r="B249" s="2" t="s">
        <v>50</v>
      </c>
      <c r="C249" s="2" t="s">
        <v>35</v>
      </c>
      <c r="D249" s="7">
        <v>144.95383333333339</v>
      </c>
      <c r="E249" s="7">
        <v>144.95383333333339</v>
      </c>
      <c r="F249" s="7">
        <v>144.95383333333339</v>
      </c>
      <c r="G249" s="7">
        <v>144.95383333333339</v>
      </c>
      <c r="H249" s="7">
        <v>144.95383333333339</v>
      </c>
      <c r="I249" s="7">
        <v>144.95383333333339</v>
      </c>
      <c r="J249" s="7">
        <v>144.95383333333339</v>
      </c>
      <c r="K249" s="7">
        <v>144.95383333333339</v>
      </c>
      <c r="L249" s="7">
        <v>144.95383333333339</v>
      </c>
      <c r="M249" s="7">
        <v>144.95383333333339</v>
      </c>
      <c r="N249" s="7">
        <v>144.95383333333339</v>
      </c>
      <c r="O249" s="7">
        <v>144.95383333333339</v>
      </c>
      <c r="P249" s="8">
        <f t="shared" si="21"/>
        <v>1739.446000000001</v>
      </c>
    </row>
    <row r="250" spans="1:16" x14ac:dyDescent="0.3">
      <c r="A250" s="2" t="s">
        <v>72</v>
      </c>
      <c r="B250" s="2" t="s">
        <v>50</v>
      </c>
      <c r="C250" s="2" t="s">
        <v>36</v>
      </c>
      <c r="D250" s="7">
        <v>135.0440833333333</v>
      </c>
      <c r="E250" s="7">
        <v>135.0440833333333</v>
      </c>
      <c r="F250" s="7">
        <v>135.0440833333333</v>
      </c>
      <c r="G250" s="7">
        <v>135.0440833333333</v>
      </c>
      <c r="H250" s="7">
        <v>135.0440833333333</v>
      </c>
      <c r="I250" s="7">
        <v>135.0440833333333</v>
      </c>
      <c r="J250" s="7">
        <v>135.0440833333333</v>
      </c>
      <c r="K250" s="7">
        <v>135.0440833333333</v>
      </c>
      <c r="L250" s="7">
        <v>135.0440833333333</v>
      </c>
      <c r="M250" s="7">
        <v>135.0440833333333</v>
      </c>
      <c r="N250" s="7">
        <v>135.0440833333333</v>
      </c>
      <c r="O250" s="7">
        <v>135.0440833333333</v>
      </c>
      <c r="P250" s="8">
        <f t="shared" si="21"/>
        <v>1620.5289999999993</v>
      </c>
    </row>
    <row r="251" spans="1:16" x14ac:dyDescent="0.3">
      <c r="A251" s="2" t="s">
        <v>72</v>
      </c>
      <c r="B251" s="2" t="s">
        <v>50</v>
      </c>
      <c r="C251" s="2" t="s">
        <v>37</v>
      </c>
      <c r="D251" s="7">
        <v>95.222416666666675</v>
      </c>
      <c r="E251" s="7">
        <v>95.222416666666675</v>
      </c>
      <c r="F251" s="7">
        <v>95.222416666666675</v>
      </c>
      <c r="G251" s="7">
        <v>95.222416666666675</v>
      </c>
      <c r="H251" s="7">
        <v>95.222416666666675</v>
      </c>
      <c r="I251" s="7">
        <v>95.222416666666675</v>
      </c>
      <c r="J251" s="7">
        <v>95.222416666666675</v>
      </c>
      <c r="K251" s="7">
        <v>95.222416666666675</v>
      </c>
      <c r="L251" s="7">
        <v>95.222416666666675</v>
      </c>
      <c r="M251" s="7">
        <v>95.222416666666675</v>
      </c>
      <c r="N251" s="7">
        <v>95.222416666666675</v>
      </c>
      <c r="O251" s="7">
        <v>95.222416666666675</v>
      </c>
      <c r="P251" s="8">
        <f t="shared" si="21"/>
        <v>1142.6690000000003</v>
      </c>
    </row>
    <row r="252" spans="1:16" x14ac:dyDescent="0.3">
      <c r="A252" s="2" t="s">
        <v>72</v>
      </c>
      <c r="B252" s="2" t="s">
        <v>50</v>
      </c>
      <c r="C252" s="2" t="s">
        <v>38</v>
      </c>
      <c r="D252" s="7">
        <v>135.15283333333329</v>
      </c>
      <c r="E252" s="7">
        <v>135.15283333333329</v>
      </c>
      <c r="F252" s="7">
        <v>135.15283333333329</v>
      </c>
      <c r="G252" s="7">
        <v>135.15283333333329</v>
      </c>
      <c r="H252" s="7">
        <v>135.15283333333329</v>
      </c>
      <c r="I252" s="7">
        <v>135.15283333333329</v>
      </c>
      <c r="J252" s="7">
        <v>135.15283333333329</v>
      </c>
      <c r="K252" s="7">
        <v>135.15283333333329</v>
      </c>
      <c r="L252" s="7">
        <v>135.15283333333329</v>
      </c>
      <c r="M252" s="7">
        <v>135.15283333333329</v>
      </c>
      <c r="N252" s="7">
        <v>135.15283333333329</v>
      </c>
      <c r="O252" s="7">
        <v>135.15283333333329</v>
      </c>
      <c r="P252" s="8">
        <f t="shared" si="21"/>
        <v>1621.8339999999996</v>
      </c>
    </row>
    <row r="253" spans="1:16" x14ac:dyDescent="0.3">
      <c r="A253" s="2" t="s">
        <v>72</v>
      </c>
      <c r="B253" s="2" t="s">
        <v>50</v>
      </c>
      <c r="C253" s="2" t="s">
        <v>39</v>
      </c>
      <c r="D253" s="7">
        <v>114.01675</v>
      </c>
      <c r="E253" s="7">
        <v>114.01675</v>
      </c>
      <c r="F253" s="7">
        <v>114.01675</v>
      </c>
      <c r="G253" s="7">
        <v>114.01675</v>
      </c>
      <c r="H253" s="7">
        <v>114.01675</v>
      </c>
      <c r="I253" s="7">
        <v>114.01675</v>
      </c>
      <c r="J253" s="7">
        <v>114.01675</v>
      </c>
      <c r="K253" s="7">
        <v>114.01675</v>
      </c>
      <c r="L253" s="7">
        <v>114.01675</v>
      </c>
      <c r="M253" s="7">
        <v>114.01675</v>
      </c>
      <c r="N253" s="7">
        <v>114.01675</v>
      </c>
      <c r="O253" s="7">
        <v>114.01675</v>
      </c>
      <c r="P253" s="8">
        <f t="shared" si="21"/>
        <v>1368.201</v>
      </c>
    </row>
    <row r="254" spans="1:16" x14ac:dyDescent="0.3">
      <c r="A254" s="2" t="s">
        <v>72</v>
      </c>
      <c r="B254" s="2" t="s">
        <v>50</v>
      </c>
      <c r="C254" s="2" t="s">
        <v>40</v>
      </c>
      <c r="D254" s="7">
        <v>106.27674999999989</v>
      </c>
      <c r="E254" s="7">
        <v>106.27674999999989</v>
      </c>
      <c r="F254" s="7">
        <v>106.27674999999989</v>
      </c>
      <c r="G254" s="7">
        <v>106.27674999999989</v>
      </c>
      <c r="H254" s="7">
        <v>106.27674999999989</v>
      </c>
      <c r="I254" s="7">
        <v>106.27674999999989</v>
      </c>
      <c r="J254" s="7">
        <v>106.27674999999989</v>
      </c>
      <c r="K254" s="7">
        <v>106.27674999999989</v>
      </c>
      <c r="L254" s="7">
        <v>106.27674999999989</v>
      </c>
      <c r="M254" s="7">
        <v>106.27674999999989</v>
      </c>
      <c r="N254" s="7">
        <v>106.27674999999989</v>
      </c>
      <c r="O254" s="7">
        <v>106.27674999999989</v>
      </c>
      <c r="P254" s="8">
        <f t="shared" ref="P254" si="31">SUM(D254:O254)</f>
        <v>1275.320999999999</v>
      </c>
    </row>
    <row r="255" spans="1:16" x14ac:dyDescent="0.3">
      <c r="A255" s="2" t="s">
        <v>72</v>
      </c>
      <c r="B255" s="2" t="s">
        <v>51</v>
      </c>
      <c r="C255" s="2" t="s">
        <v>18</v>
      </c>
      <c r="D255" s="7">
        <f>362.8+D71+D117-D94-D209-D232-D186</f>
        <v>3086.2301666666672</v>
      </c>
      <c r="E255" s="7">
        <f t="shared" ref="E255:O255" si="32">D255+E71+E117-E94-E209-E232-E186</f>
        <v>2715.6363333333343</v>
      </c>
      <c r="F255" s="7">
        <f t="shared" si="32"/>
        <v>2383.2125000000015</v>
      </c>
      <c r="G255" s="7">
        <f t="shared" si="32"/>
        <v>2168.5886666666684</v>
      </c>
      <c r="H255" s="7">
        <f t="shared" si="32"/>
        <v>1987.1168333333349</v>
      </c>
      <c r="I255" s="7">
        <f t="shared" si="32"/>
        <v>1782.4830000000015</v>
      </c>
      <c r="J255" s="7">
        <f t="shared" si="32"/>
        <v>1555.9591666666681</v>
      </c>
      <c r="K255" s="7">
        <f t="shared" si="32"/>
        <v>1343.8223333333347</v>
      </c>
      <c r="L255" s="7">
        <f t="shared" si="32"/>
        <v>1150.5115000000014</v>
      </c>
      <c r="M255" s="7">
        <f t="shared" si="32"/>
        <v>934.59766666666792</v>
      </c>
      <c r="N255" s="7">
        <f t="shared" si="32"/>
        <v>737.86083333333465</v>
      </c>
      <c r="O255" s="7">
        <f t="shared" si="32"/>
        <v>523.90000000000134</v>
      </c>
      <c r="P255" s="8">
        <f t="shared" ref="P255:P277" si="33">O255</f>
        <v>523.90000000000134</v>
      </c>
    </row>
    <row r="256" spans="1:16" x14ac:dyDescent="0.3">
      <c r="A256" s="2" t="s">
        <v>72</v>
      </c>
      <c r="B256" s="2" t="s">
        <v>51</v>
      </c>
      <c r="C256" s="2" t="s">
        <v>19</v>
      </c>
      <c r="D256" s="7">
        <f t="shared" ref="D256:D277" si="34">O255+D72+D118-D95-D210-D233-D187</f>
        <v>3583.7918333333341</v>
      </c>
      <c r="E256" s="7">
        <f t="shared" ref="E256:O256" si="35">D256+E72+E118-E95-E210-E233-E187</f>
        <v>3203.8056666666671</v>
      </c>
      <c r="F256" s="7">
        <f t="shared" si="35"/>
        <v>2890.0235000000002</v>
      </c>
      <c r="G256" s="7">
        <f t="shared" si="35"/>
        <v>2649.9313333333334</v>
      </c>
      <c r="H256" s="7">
        <f t="shared" si="35"/>
        <v>2412.4411666666665</v>
      </c>
      <c r="I256" s="7">
        <f t="shared" si="35"/>
        <v>2172.7559999999999</v>
      </c>
      <c r="J256" s="7">
        <f t="shared" si="35"/>
        <v>1940.4478333333334</v>
      </c>
      <c r="K256" s="7">
        <f t="shared" si="35"/>
        <v>1687.2466666666667</v>
      </c>
      <c r="L256" s="7">
        <f t="shared" si="35"/>
        <v>1436.3925000000002</v>
      </c>
      <c r="M256" s="7">
        <f t="shared" si="35"/>
        <v>1203.6133333333337</v>
      </c>
      <c r="N256" s="7">
        <f t="shared" si="35"/>
        <v>993.84816666666677</v>
      </c>
      <c r="O256" s="7">
        <f t="shared" si="35"/>
        <v>788.10000000000014</v>
      </c>
      <c r="P256" s="8">
        <f t="shared" si="33"/>
        <v>788.10000000000014</v>
      </c>
    </row>
    <row r="257" spans="1:16" x14ac:dyDescent="0.3">
      <c r="A257" s="2" t="s">
        <v>72</v>
      </c>
      <c r="B257" s="2" t="s">
        <v>51</v>
      </c>
      <c r="C257" s="2" t="s">
        <v>20</v>
      </c>
      <c r="D257" s="7">
        <f t="shared" si="34"/>
        <v>4044.8621666666663</v>
      </c>
      <c r="E257" s="7">
        <f t="shared" ref="E257:O257" si="36">D257+E73+E119-E96-E211-E234-E188</f>
        <v>3814.5753333333332</v>
      </c>
      <c r="F257" s="7">
        <f t="shared" si="36"/>
        <v>3471.3335000000002</v>
      </c>
      <c r="G257" s="7">
        <f t="shared" si="36"/>
        <v>3112.7056666666667</v>
      </c>
      <c r="H257" s="7">
        <f t="shared" si="36"/>
        <v>2832.8488333333339</v>
      </c>
      <c r="I257" s="7">
        <f t="shared" si="36"/>
        <v>2572.2760000000007</v>
      </c>
      <c r="J257" s="7">
        <f t="shared" si="36"/>
        <v>2307.7471666666675</v>
      </c>
      <c r="K257" s="7">
        <f t="shared" si="36"/>
        <v>2034.3683333333342</v>
      </c>
      <c r="L257" s="7">
        <f t="shared" si="36"/>
        <v>1730.0235000000009</v>
      </c>
      <c r="M257" s="7">
        <f t="shared" si="36"/>
        <v>1484.3636666666675</v>
      </c>
      <c r="N257" s="7">
        <f t="shared" si="36"/>
        <v>1239.0588333333342</v>
      </c>
      <c r="O257" s="7">
        <f t="shared" si="36"/>
        <v>974.40000000000066</v>
      </c>
      <c r="P257" s="8">
        <f t="shared" si="33"/>
        <v>974.40000000000066</v>
      </c>
    </row>
    <row r="258" spans="1:16" x14ac:dyDescent="0.3">
      <c r="A258" s="2" t="s">
        <v>72</v>
      </c>
      <c r="B258" s="2" t="s">
        <v>51</v>
      </c>
      <c r="C258" s="2" t="s">
        <v>21</v>
      </c>
      <c r="D258" s="7">
        <f t="shared" si="34"/>
        <v>4010.344833333334</v>
      </c>
      <c r="E258" s="7">
        <f t="shared" ref="E258:O258" si="37">D258+E74+E120-E97-E212-E235-E189</f>
        <v>3759.7196666666673</v>
      </c>
      <c r="F258" s="7">
        <f t="shared" si="37"/>
        <v>3433.4005000000006</v>
      </c>
      <c r="G258" s="7">
        <f t="shared" si="37"/>
        <v>3133.8973333333338</v>
      </c>
      <c r="H258" s="7">
        <f t="shared" si="37"/>
        <v>2800.1381666666671</v>
      </c>
      <c r="I258" s="7">
        <f t="shared" si="37"/>
        <v>2500.6960000000004</v>
      </c>
      <c r="J258" s="7">
        <f t="shared" si="37"/>
        <v>2248.8998333333338</v>
      </c>
      <c r="K258" s="7">
        <f t="shared" si="37"/>
        <v>1961.6906666666669</v>
      </c>
      <c r="L258" s="7">
        <f t="shared" si="37"/>
        <v>1651.5955000000004</v>
      </c>
      <c r="M258" s="7">
        <f t="shared" si="37"/>
        <v>1416.2013333333339</v>
      </c>
      <c r="N258" s="7">
        <f t="shared" si="37"/>
        <v>1161.6961666666671</v>
      </c>
      <c r="O258" s="7">
        <f t="shared" si="37"/>
        <v>871.70000000000061</v>
      </c>
      <c r="P258" s="8">
        <f t="shared" si="33"/>
        <v>871.70000000000061</v>
      </c>
    </row>
    <row r="259" spans="1:16" x14ac:dyDescent="0.3">
      <c r="A259" s="2" t="s">
        <v>72</v>
      </c>
      <c r="B259" s="2" t="s">
        <v>51</v>
      </c>
      <c r="C259" s="2" t="s">
        <v>22</v>
      </c>
      <c r="D259" s="7">
        <f t="shared" si="34"/>
        <v>4266.5804166666667</v>
      </c>
      <c r="E259" s="7">
        <f t="shared" ref="E259:O259" si="38">D259+E75+E121-E98-E213-E236-E190</f>
        <v>3854.9248333333326</v>
      </c>
      <c r="F259" s="7">
        <f t="shared" si="38"/>
        <v>3462.8162499999989</v>
      </c>
      <c r="G259" s="7">
        <f t="shared" si="38"/>
        <v>3050.3046666666651</v>
      </c>
      <c r="H259" s="7">
        <f t="shared" si="38"/>
        <v>2713.9190833333314</v>
      </c>
      <c r="I259" s="7">
        <f t="shared" si="38"/>
        <v>2377.7734999999975</v>
      </c>
      <c r="J259" s="7">
        <f t="shared" si="38"/>
        <v>2068.8539166666642</v>
      </c>
      <c r="K259" s="7">
        <f t="shared" si="38"/>
        <v>1718.0483333333309</v>
      </c>
      <c r="L259" s="7">
        <f t="shared" si="38"/>
        <v>1393.2747499999975</v>
      </c>
      <c r="M259" s="7">
        <f t="shared" si="38"/>
        <v>1093.2941666666641</v>
      </c>
      <c r="N259" s="7">
        <f t="shared" si="38"/>
        <v>840.57558333333077</v>
      </c>
      <c r="O259" s="7">
        <f t="shared" si="38"/>
        <v>556.19999999999732</v>
      </c>
      <c r="P259" s="8">
        <f t="shared" si="33"/>
        <v>556.19999999999732</v>
      </c>
    </row>
    <row r="260" spans="1:16" x14ac:dyDescent="0.3">
      <c r="A260" s="2" t="s">
        <v>72</v>
      </c>
      <c r="B260" s="2" t="s">
        <v>51</v>
      </c>
      <c r="C260" s="2" t="s">
        <v>23</v>
      </c>
      <c r="D260" s="7">
        <f t="shared" si="34"/>
        <v>4814.333249999996</v>
      </c>
      <c r="E260" s="7">
        <f t="shared" ref="E260:O260" si="39">D260+E76+E122-E99-E214-E237-E191</f>
        <v>4357.6394999999957</v>
      </c>
      <c r="F260" s="7">
        <f t="shared" si="39"/>
        <v>3943.4957499999964</v>
      </c>
      <c r="G260" s="7">
        <f t="shared" si="39"/>
        <v>3561.3369999999968</v>
      </c>
      <c r="H260" s="7">
        <f t="shared" si="39"/>
        <v>3228.3842499999973</v>
      </c>
      <c r="I260" s="7">
        <f t="shared" si="39"/>
        <v>2905.6574999999975</v>
      </c>
      <c r="J260" s="7">
        <f t="shared" si="39"/>
        <v>2630.8677499999981</v>
      </c>
      <c r="K260" s="7">
        <f t="shared" si="39"/>
        <v>2351.3779999999983</v>
      </c>
      <c r="L260" s="7">
        <f t="shared" si="39"/>
        <v>1922.4152499999984</v>
      </c>
      <c r="M260" s="7">
        <f t="shared" si="39"/>
        <v>1614.3084999999985</v>
      </c>
      <c r="N260" s="7">
        <f t="shared" si="39"/>
        <v>1273.0127499999985</v>
      </c>
      <c r="O260" s="7">
        <f t="shared" si="39"/>
        <v>949.49999999999864</v>
      </c>
      <c r="P260" s="8">
        <f t="shared" si="33"/>
        <v>949.49999999999864</v>
      </c>
    </row>
    <row r="261" spans="1:16" x14ac:dyDescent="0.3">
      <c r="A261" s="2" t="s">
        <v>72</v>
      </c>
      <c r="B261" s="2" t="s">
        <v>51</v>
      </c>
      <c r="C261" s="2" t="s">
        <v>24</v>
      </c>
      <c r="D261" s="7">
        <f t="shared" si="34"/>
        <v>4868.1899999999996</v>
      </c>
      <c r="E261" s="7">
        <f t="shared" ref="E261:O261" si="40">D261+E77+E123-E100-E215-E238-E192</f>
        <v>4491.3180000000011</v>
      </c>
      <c r="F261" s="7">
        <f t="shared" si="40"/>
        <v>4116.9030000000021</v>
      </c>
      <c r="G261" s="7">
        <f t="shared" si="40"/>
        <v>3814.4660000000013</v>
      </c>
      <c r="H261" s="7">
        <f t="shared" si="40"/>
        <v>3543.5500000000011</v>
      </c>
      <c r="I261" s="7">
        <f t="shared" si="40"/>
        <v>3254.7520000000009</v>
      </c>
      <c r="J261" s="7">
        <f t="shared" si="40"/>
        <v>2992.315000000001</v>
      </c>
      <c r="K261" s="7">
        <f t="shared" si="40"/>
        <v>2721.0260000000012</v>
      </c>
      <c r="L261" s="7">
        <f t="shared" si="40"/>
        <v>2408.4360000000011</v>
      </c>
      <c r="M261" s="7">
        <f t="shared" si="40"/>
        <v>2130.1820000000012</v>
      </c>
      <c r="N261" s="7">
        <f t="shared" si="40"/>
        <v>1843.4390000000008</v>
      </c>
      <c r="O261" s="7">
        <f t="shared" si="40"/>
        <v>1527.2000000000007</v>
      </c>
      <c r="P261" s="8">
        <f t="shared" si="33"/>
        <v>1527.2000000000007</v>
      </c>
    </row>
    <row r="262" spans="1:16" x14ac:dyDescent="0.3">
      <c r="A262" s="2" t="s">
        <v>72</v>
      </c>
      <c r="B262" s="2" t="s">
        <v>51</v>
      </c>
      <c r="C262" s="2" t="s">
        <v>25</v>
      </c>
      <c r="D262" s="7">
        <f t="shared" si="34"/>
        <v>4118.4825000000001</v>
      </c>
      <c r="E262" s="7">
        <f t="shared" ref="E262:O262" si="41">D262+E78+E124-E101-E216-E239-E193</f>
        <v>3855.8100000000004</v>
      </c>
      <c r="F262" s="7">
        <f t="shared" si="41"/>
        <v>3559.1715000000008</v>
      </c>
      <c r="G262" s="7">
        <f t="shared" si="41"/>
        <v>3307.1790000000015</v>
      </c>
      <c r="H262" s="7">
        <f t="shared" si="41"/>
        <v>3049.871500000002</v>
      </c>
      <c r="I262" s="7">
        <f t="shared" si="41"/>
        <v>2764.0410000000024</v>
      </c>
      <c r="J262" s="7">
        <f t="shared" si="41"/>
        <v>2480.9555000000032</v>
      </c>
      <c r="K262" s="7">
        <f t="shared" si="41"/>
        <v>2140.850000000004</v>
      </c>
      <c r="L262" s="7">
        <f t="shared" si="41"/>
        <v>1915.5035000000037</v>
      </c>
      <c r="M262" s="7">
        <f t="shared" si="41"/>
        <v>1670.7180000000035</v>
      </c>
      <c r="N262" s="7">
        <f t="shared" si="41"/>
        <v>1427.7515000000035</v>
      </c>
      <c r="O262" s="7">
        <f t="shared" si="41"/>
        <v>1161.8000000000034</v>
      </c>
      <c r="P262" s="8">
        <f t="shared" si="33"/>
        <v>1161.8000000000034</v>
      </c>
    </row>
    <row r="263" spans="1:16" x14ac:dyDescent="0.3">
      <c r="A263" s="2" t="s">
        <v>72</v>
      </c>
      <c r="B263" s="2" t="s">
        <v>51</v>
      </c>
      <c r="C263" s="2" t="s">
        <v>26</v>
      </c>
      <c r="D263" s="7">
        <f t="shared" si="34"/>
        <v>3340.7079166666704</v>
      </c>
      <c r="E263" s="7">
        <f t="shared" ref="E263:O263" si="42">D263+E79+E125-E102-E217-E240-E194</f>
        <v>3065.4148333333369</v>
      </c>
      <c r="F263" s="7">
        <f t="shared" si="42"/>
        <v>2781.3197500000038</v>
      </c>
      <c r="G263" s="7">
        <f t="shared" si="42"/>
        <v>2551.8436666666707</v>
      </c>
      <c r="H263" s="7">
        <f t="shared" si="42"/>
        <v>2300.7985833333373</v>
      </c>
      <c r="I263" s="7">
        <f t="shared" si="42"/>
        <v>2064.2125000000037</v>
      </c>
      <c r="J263" s="7">
        <f t="shared" si="42"/>
        <v>1839.8124166666705</v>
      </c>
      <c r="K263" s="7">
        <f t="shared" si="42"/>
        <v>1605.5573333333371</v>
      </c>
      <c r="L263" s="7">
        <f t="shared" si="42"/>
        <v>1353.3032500000036</v>
      </c>
      <c r="M263" s="7">
        <f t="shared" si="42"/>
        <v>1134.5961666666701</v>
      </c>
      <c r="N263" s="7">
        <f t="shared" si="42"/>
        <v>933.05408333333662</v>
      </c>
      <c r="O263" s="7">
        <f t="shared" si="42"/>
        <v>732.60000000000332</v>
      </c>
      <c r="P263" s="8">
        <f t="shared" si="33"/>
        <v>732.60000000000332</v>
      </c>
    </row>
    <row r="264" spans="1:16" x14ac:dyDescent="0.3">
      <c r="A264" s="2" t="s">
        <v>72</v>
      </c>
      <c r="B264" s="2" t="s">
        <v>51</v>
      </c>
      <c r="C264" s="2" t="s">
        <v>27</v>
      </c>
      <c r="D264" s="7">
        <f t="shared" si="34"/>
        <v>3616.0140000000033</v>
      </c>
      <c r="E264" s="7">
        <f t="shared" ref="E264:O264" si="43">D264+E80+E126-E103-E218-E241-E195</f>
        <v>3241.6210000000033</v>
      </c>
      <c r="F264" s="7">
        <f t="shared" si="43"/>
        <v>2925.220000000003</v>
      </c>
      <c r="G264" s="7">
        <f t="shared" si="43"/>
        <v>2645.8260000000028</v>
      </c>
      <c r="H264" s="7">
        <f t="shared" si="43"/>
        <v>2367.6230000000028</v>
      </c>
      <c r="I264" s="7">
        <f t="shared" si="43"/>
        <v>2113.9960000000028</v>
      </c>
      <c r="J264" s="7">
        <f t="shared" si="43"/>
        <v>1903.7500000000027</v>
      </c>
      <c r="K264" s="7">
        <f t="shared" si="43"/>
        <v>1690.0760000000028</v>
      </c>
      <c r="L264" s="7">
        <f t="shared" si="43"/>
        <v>1477.8520000000028</v>
      </c>
      <c r="M264" s="7">
        <f t="shared" si="43"/>
        <v>1278.095000000003</v>
      </c>
      <c r="N264" s="7">
        <f t="shared" si="43"/>
        <v>1065.3010000000029</v>
      </c>
      <c r="O264" s="7">
        <f t="shared" si="43"/>
        <v>804.50000000000307</v>
      </c>
      <c r="P264" s="8">
        <f t="shared" si="33"/>
        <v>804.50000000000307</v>
      </c>
    </row>
    <row r="265" spans="1:16" x14ac:dyDescent="0.3">
      <c r="A265" s="2" t="s">
        <v>72</v>
      </c>
      <c r="B265" s="2" t="s">
        <v>51</v>
      </c>
      <c r="C265" s="2" t="s">
        <v>28</v>
      </c>
      <c r="D265" s="7">
        <f t="shared" si="34"/>
        <v>3229.0118333333367</v>
      </c>
      <c r="E265" s="7">
        <f t="shared" ref="E265:O265" si="44">D265+E81+E127-E104-E219-E242-E196</f>
        <v>2924.1386666666699</v>
      </c>
      <c r="F265" s="7">
        <f t="shared" si="44"/>
        <v>2634.3415000000027</v>
      </c>
      <c r="G265" s="7">
        <f t="shared" si="44"/>
        <v>2347.7663333333358</v>
      </c>
      <c r="H265" s="7">
        <f t="shared" si="44"/>
        <v>2112.6571666666691</v>
      </c>
      <c r="I265" s="7">
        <f t="shared" si="44"/>
        <v>1874.0140000000022</v>
      </c>
      <c r="J265" s="7">
        <f t="shared" si="44"/>
        <v>1646.8848333333353</v>
      </c>
      <c r="K265" s="7">
        <f t="shared" si="44"/>
        <v>1402.2456666666685</v>
      </c>
      <c r="L265" s="7">
        <f t="shared" si="44"/>
        <v>1136.2085000000018</v>
      </c>
      <c r="M265" s="7">
        <f t="shared" si="44"/>
        <v>909.35033333333513</v>
      </c>
      <c r="N265" s="7">
        <f t="shared" si="44"/>
        <v>715.54716666666855</v>
      </c>
      <c r="O265" s="7">
        <f t="shared" si="44"/>
        <v>445.80000000000189</v>
      </c>
      <c r="P265" s="8">
        <f t="shared" si="33"/>
        <v>445.80000000000189</v>
      </c>
    </row>
    <row r="266" spans="1:16" x14ac:dyDescent="0.3">
      <c r="A266" s="2" t="s">
        <v>72</v>
      </c>
      <c r="B266" s="2" t="s">
        <v>51</v>
      </c>
      <c r="C266" s="2" t="s">
        <v>29</v>
      </c>
      <c r="D266" s="7">
        <f t="shared" si="34"/>
        <v>4152.2340833333346</v>
      </c>
      <c r="E266" s="7">
        <f t="shared" ref="E266:O266" si="45">D266+E82+E128-E105-E220-E243-E197</f>
        <v>3904.5081666666683</v>
      </c>
      <c r="F266" s="7">
        <f t="shared" si="45"/>
        <v>3586.6252500000019</v>
      </c>
      <c r="G266" s="7">
        <f t="shared" si="45"/>
        <v>3288.5243333333356</v>
      </c>
      <c r="H266" s="7">
        <f t="shared" si="45"/>
        <v>3027.2274166666689</v>
      </c>
      <c r="I266" s="7">
        <f t="shared" si="45"/>
        <v>2794.8665000000019</v>
      </c>
      <c r="J266" s="7">
        <f t="shared" si="45"/>
        <v>2570.936583333335</v>
      </c>
      <c r="K266" s="7">
        <f t="shared" si="45"/>
        <v>2280.5666666666684</v>
      </c>
      <c r="L266" s="7">
        <f t="shared" si="45"/>
        <v>1994.6557500000015</v>
      </c>
      <c r="M266" s="7">
        <f t="shared" si="45"/>
        <v>1678.1688333333348</v>
      </c>
      <c r="N266" s="7">
        <f t="shared" si="45"/>
        <v>1380.6789166666681</v>
      </c>
      <c r="O266" s="7">
        <f t="shared" si="45"/>
        <v>1069.0000000000014</v>
      </c>
      <c r="P266" s="8">
        <f t="shared" si="33"/>
        <v>1069.0000000000014</v>
      </c>
    </row>
    <row r="267" spans="1:16" x14ac:dyDescent="0.3">
      <c r="A267" s="2" t="s">
        <v>72</v>
      </c>
      <c r="B267" s="2" t="s">
        <v>51</v>
      </c>
      <c r="C267" s="2" t="s">
        <v>30</v>
      </c>
      <c r="D267" s="7">
        <f t="shared" si="34"/>
        <v>3785.4064166666681</v>
      </c>
      <c r="E267" s="7">
        <f t="shared" ref="E267:O267" si="46">D267+E83+E129-E106-E221-E244-E198</f>
        <v>3509.4128333333347</v>
      </c>
      <c r="F267" s="7">
        <f t="shared" si="46"/>
        <v>3199.5622500000013</v>
      </c>
      <c r="G267" s="7">
        <f t="shared" si="46"/>
        <v>2933.0036666666679</v>
      </c>
      <c r="H267" s="7">
        <f t="shared" si="46"/>
        <v>2641.0420833333342</v>
      </c>
      <c r="I267" s="7">
        <f t="shared" si="46"/>
        <v>2324.4845000000009</v>
      </c>
      <c r="J267" s="7">
        <f t="shared" si="46"/>
        <v>2059.0009166666673</v>
      </c>
      <c r="K267" s="7">
        <f t="shared" si="46"/>
        <v>1727.7853333333342</v>
      </c>
      <c r="L267" s="7">
        <f t="shared" si="46"/>
        <v>1437.5787500000008</v>
      </c>
      <c r="M267" s="7">
        <f t="shared" si="46"/>
        <v>1207.8441666666674</v>
      </c>
      <c r="N267" s="7">
        <f t="shared" si="46"/>
        <v>945.40558333333388</v>
      </c>
      <c r="O267" s="7">
        <f t="shared" si="46"/>
        <v>700.90000000000055</v>
      </c>
      <c r="P267" s="8">
        <f t="shared" si="33"/>
        <v>700.90000000000055</v>
      </c>
    </row>
    <row r="268" spans="1:16" x14ac:dyDescent="0.3">
      <c r="A268" s="2" t="s">
        <v>72</v>
      </c>
      <c r="B268" s="2" t="s">
        <v>51</v>
      </c>
      <c r="C268" s="2" t="s">
        <v>31</v>
      </c>
      <c r="D268" s="7">
        <f t="shared" si="34"/>
        <v>3871.8985000000002</v>
      </c>
      <c r="E268" s="7">
        <f t="shared" ref="E268:O268" si="47">D268+E84+E130-E107-E222-E245-E199</f>
        <v>3562.9540000000002</v>
      </c>
      <c r="F268" s="7">
        <f t="shared" si="47"/>
        <v>3286.9565000000007</v>
      </c>
      <c r="G268" s="7">
        <f t="shared" si="47"/>
        <v>3015.3230000000008</v>
      </c>
      <c r="H268" s="7">
        <f t="shared" si="47"/>
        <v>2715.7835000000009</v>
      </c>
      <c r="I268" s="7">
        <f t="shared" si="47"/>
        <v>2446.5510000000013</v>
      </c>
      <c r="J268" s="7">
        <f t="shared" si="47"/>
        <v>2220.2255000000014</v>
      </c>
      <c r="K268" s="7">
        <f t="shared" si="47"/>
        <v>1924.9600000000012</v>
      </c>
      <c r="L268" s="7">
        <f t="shared" si="47"/>
        <v>1680.8955000000012</v>
      </c>
      <c r="M268" s="7">
        <f t="shared" si="47"/>
        <v>1472.7330000000013</v>
      </c>
      <c r="N268" s="7">
        <f t="shared" si="47"/>
        <v>1184.8025000000014</v>
      </c>
      <c r="O268" s="7">
        <f t="shared" si="47"/>
        <v>967.00000000000136</v>
      </c>
      <c r="P268" s="8">
        <f t="shared" si="33"/>
        <v>967.00000000000136</v>
      </c>
    </row>
    <row r="269" spans="1:16" x14ac:dyDescent="0.3">
      <c r="A269" s="2" t="s">
        <v>72</v>
      </c>
      <c r="B269" s="2" t="s">
        <v>51</v>
      </c>
      <c r="C269" s="2" t="s">
        <v>32</v>
      </c>
      <c r="D269" s="7">
        <f t="shared" si="34"/>
        <v>3850.5129166666675</v>
      </c>
      <c r="E269" s="7">
        <f t="shared" ref="E269:O269" si="48">D269+E85+E131-E108-E223-E246-E200</f>
        <v>3491.5868333333337</v>
      </c>
      <c r="F269" s="7">
        <f t="shared" si="48"/>
        <v>3161.9907500000004</v>
      </c>
      <c r="G269" s="7">
        <f t="shared" si="48"/>
        <v>2843.6436666666668</v>
      </c>
      <c r="H269" s="7">
        <f t="shared" si="48"/>
        <v>2549.5465833333333</v>
      </c>
      <c r="I269" s="7">
        <f t="shared" si="48"/>
        <v>2236.4224999999997</v>
      </c>
      <c r="J269" s="7">
        <f t="shared" si="48"/>
        <v>1962.0184166666666</v>
      </c>
      <c r="K269" s="7">
        <f t="shared" si="48"/>
        <v>1657.8393333333333</v>
      </c>
      <c r="L269" s="7">
        <f t="shared" si="48"/>
        <v>1407.0362500000001</v>
      </c>
      <c r="M269" s="7">
        <f t="shared" si="48"/>
        <v>1187.7371666666668</v>
      </c>
      <c r="N269" s="7">
        <f t="shared" si="48"/>
        <v>952.47008333333326</v>
      </c>
      <c r="O269" s="7">
        <f t="shared" si="48"/>
        <v>703.5</v>
      </c>
      <c r="P269" s="8">
        <f t="shared" si="33"/>
        <v>703.5</v>
      </c>
    </row>
    <row r="270" spans="1:16" x14ac:dyDescent="0.3">
      <c r="A270" s="2" t="s">
        <v>72</v>
      </c>
      <c r="B270" s="2" t="s">
        <v>51</v>
      </c>
      <c r="C270" s="2" t="s">
        <v>33</v>
      </c>
      <c r="D270" s="7">
        <f t="shared" si="34"/>
        <v>4173.4434166666661</v>
      </c>
      <c r="E270" s="7">
        <f t="shared" ref="E270:O270" si="49">D270+E86+E132-E109-E224-E247-E201</f>
        <v>3808.5658333333326</v>
      </c>
      <c r="F270" s="7">
        <f t="shared" si="49"/>
        <v>3454.0452499999992</v>
      </c>
      <c r="G270" s="7">
        <f t="shared" si="49"/>
        <v>3147.6076666666659</v>
      </c>
      <c r="H270" s="7">
        <f t="shared" si="49"/>
        <v>2862.5980833333324</v>
      </c>
      <c r="I270" s="7">
        <f t="shared" si="49"/>
        <v>2528.2544999999986</v>
      </c>
      <c r="J270" s="7">
        <f t="shared" si="49"/>
        <v>2257.9089166666654</v>
      </c>
      <c r="K270" s="7">
        <f t="shared" si="49"/>
        <v>1945.4633333333325</v>
      </c>
      <c r="L270" s="7">
        <f t="shared" si="49"/>
        <v>1635.4677499999991</v>
      </c>
      <c r="M270" s="7">
        <f t="shared" si="49"/>
        <v>1315.7841666666659</v>
      </c>
      <c r="N270" s="7">
        <f t="shared" si="49"/>
        <v>1032.7615833333327</v>
      </c>
      <c r="O270" s="7">
        <f t="shared" si="49"/>
        <v>778.3999999999993</v>
      </c>
      <c r="P270" s="8">
        <f t="shared" si="33"/>
        <v>778.3999999999993</v>
      </c>
    </row>
    <row r="271" spans="1:16" x14ac:dyDescent="0.3">
      <c r="A271" s="2" t="s">
        <v>72</v>
      </c>
      <c r="B271" s="2" t="s">
        <v>51</v>
      </c>
      <c r="C271" s="2" t="s">
        <v>34</v>
      </c>
      <c r="D271" s="7">
        <f t="shared" si="34"/>
        <v>3869.3208333333332</v>
      </c>
      <c r="E271" s="7">
        <f t="shared" ref="E271:O271" si="50">D271+E87+E133-E110-E225-E248-E202</f>
        <v>3498.8326666666667</v>
      </c>
      <c r="F271" s="7">
        <f t="shared" si="50"/>
        <v>3109.9884999999999</v>
      </c>
      <c r="G271" s="7">
        <f t="shared" si="50"/>
        <v>2803.5223333333333</v>
      </c>
      <c r="H271" s="7">
        <f t="shared" si="50"/>
        <v>2489.0281666666669</v>
      </c>
      <c r="I271" s="7">
        <f t="shared" si="50"/>
        <v>2203.2450000000003</v>
      </c>
      <c r="J271" s="7">
        <f t="shared" si="50"/>
        <v>1939.0618333333339</v>
      </c>
      <c r="K271" s="7">
        <f t="shared" si="50"/>
        <v>1601.6406666666674</v>
      </c>
      <c r="L271" s="7">
        <f t="shared" si="50"/>
        <v>1257.5555000000006</v>
      </c>
      <c r="M271" s="7">
        <f t="shared" si="50"/>
        <v>980.93033333333392</v>
      </c>
      <c r="N271" s="7">
        <f t="shared" si="50"/>
        <v>645.53716666666742</v>
      </c>
      <c r="O271" s="7">
        <f t="shared" si="50"/>
        <v>396.90000000000072</v>
      </c>
      <c r="P271" s="8">
        <f t="shared" si="33"/>
        <v>396.90000000000072</v>
      </c>
    </row>
    <row r="272" spans="1:16" x14ac:dyDescent="0.3">
      <c r="A272" s="2" t="s">
        <v>72</v>
      </c>
      <c r="B272" s="2" t="s">
        <v>51</v>
      </c>
      <c r="C272" s="2" t="s">
        <v>35</v>
      </c>
      <c r="D272" s="7">
        <f t="shared" si="34"/>
        <v>4344.4761666666682</v>
      </c>
      <c r="E272" s="7">
        <f t="shared" ref="E272:O272" si="51">D272+E88+E134-E111-E226-E249-E203</f>
        <v>3941.0523333333344</v>
      </c>
      <c r="F272" s="7">
        <f t="shared" si="51"/>
        <v>3492.9615000000008</v>
      </c>
      <c r="G272" s="7">
        <f t="shared" si="51"/>
        <v>3149.1636666666673</v>
      </c>
      <c r="H272" s="7">
        <f t="shared" si="51"/>
        <v>2757.5018333333337</v>
      </c>
      <c r="I272" s="7">
        <f t="shared" si="51"/>
        <v>2398.3370000000004</v>
      </c>
      <c r="J272" s="7">
        <f t="shared" si="51"/>
        <v>2090.9201666666672</v>
      </c>
      <c r="K272" s="7">
        <f t="shared" si="51"/>
        <v>1743.1243333333337</v>
      </c>
      <c r="L272" s="7">
        <f t="shared" si="51"/>
        <v>1317.9395000000002</v>
      </c>
      <c r="M272" s="7">
        <f t="shared" si="51"/>
        <v>1011.8776666666669</v>
      </c>
      <c r="N272" s="7">
        <f t="shared" si="51"/>
        <v>711.25183333333348</v>
      </c>
      <c r="O272" s="7">
        <f t="shared" si="51"/>
        <v>425.6</v>
      </c>
      <c r="P272" s="8">
        <f t="shared" si="33"/>
        <v>425.6</v>
      </c>
    </row>
    <row r="273" spans="1:16" x14ac:dyDescent="0.3">
      <c r="A273" s="2" t="s">
        <v>72</v>
      </c>
      <c r="B273" s="2" t="s">
        <v>51</v>
      </c>
      <c r="C273" s="2" t="s">
        <v>36</v>
      </c>
      <c r="D273" s="7">
        <f t="shared" si="34"/>
        <v>4628.4379166666668</v>
      </c>
      <c r="E273" s="7">
        <f t="shared" ref="E273:O273" si="52">D273+E89+E135-E112-E227-E250-E204</f>
        <v>4227.0998333333337</v>
      </c>
      <c r="F273" s="7">
        <f t="shared" si="52"/>
        <v>3732.5977500000004</v>
      </c>
      <c r="G273" s="7">
        <f t="shared" si="52"/>
        <v>3311.3176666666668</v>
      </c>
      <c r="H273" s="7">
        <f t="shared" si="52"/>
        <v>2930.6415833333335</v>
      </c>
      <c r="I273" s="7">
        <f t="shared" si="52"/>
        <v>2601.3535000000002</v>
      </c>
      <c r="J273" s="7">
        <f t="shared" si="52"/>
        <v>2257.5114166666667</v>
      </c>
      <c r="K273" s="7">
        <f t="shared" si="52"/>
        <v>1943.4763333333335</v>
      </c>
      <c r="L273" s="7">
        <f t="shared" si="52"/>
        <v>1607.8362500000005</v>
      </c>
      <c r="M273" s="7">
        <f t="shared" si="52"/>
        <v>1302.6081666666673</v>
      </c>
      <c r="N273" s="7">
        <f t="shared" si="52"/>
        <v>973.3000833333341</v>
      </c>
      <c r="O273" s="7">
        <f t="shared" si="52"/>
        <v>656.5000000000008</v>
      </c>
      <c r="P273" s="8">
        <f t="shared" si="33"/>
        <v>656.5000000000008</v>
      </c>
    </row>
    <row r="274" spans="1:16" x14ac:dyDescent="0.3">
      <c r="A274" s="2" t="s">
        <v>72</v>
      </c>
      <c r="B274" s="2" t="s">
        <v>51</v>
      </c>
      <c r="C274" s="2" t="s">
        <v>37</v>
      </c>
      <c r="D274" s="7">
        <f t="shared" si="34"/>
        <v>3224.306250000001</v>
      </c>
      <c r="E274" s="7">
        <f t="shared" ref="E274:O274" si="53">D274+E90+E136-E113-E228-E251-E205</f>
        <v>2899.9955000000009</v>
      </c>
      <c r="F274" s="7">
        <f t="shared" si="53"/>
        <v>2566.2917500000012</v>
      </c>
      <c r="G274" s="7">
        <f t="shared" si="53"/>
        <v>2278.9910000000013</v>
      </c>
      <c r="H274" s="7">
        <f t="shared" si="53"/>
        <v>2022.028250000001</v>
      </c>
      <c r="I274" s="7">
        <f t="shared" si="53"/>
        <v>1769.5375000000008</v>
      </c>
      <c r="J274" s="7">
        <f t="shared" si="53"/>
        <v>1532.4697500000007</v>
      </c>
      <c r="K274" s="7">
        <f t="shared" si="53"/>
        <v>1267.9640000000006</v>
      </c>
      <c r="L274" s="7">
        <f t="shared" si="53"/>
        <v>1022.5112500000005</v>
      </c>
      <c r="M274" s="7">
        <f t="shared" si="53"/>
        <v>777.60250000000042</v>
      </c>
      <c r="N274" s="7">
        <f t="shared" si="53"/>
        <v>543.58775000000037</v>
      </c>
      <c r="O274" s="7">
        <f t="shared" si="53"/>
        <v>332.60000000000042</v>
      </c>
      <c r="P274" s="8">
        <f t="shared" si="33"/>
        <v>332.60000000000042</v>
      </c>
    </row>
    <row r="275" spans="1:16" x14ac:dyDescent="0.3">
      <c r="A275" s="2" t="s">
        <v>72</v>
      </c>
      <c r="B275" s="2" t="s">
        <v>51</v>
      </c>
      <c r="C275" s="2" t="s">
        <v>38</v>
      </c>
      <c r="D275" s="7">
        <f t="shared" si="34"/>
        <v>5291.7941666666675</v>
      </c>
      <c r="E275" s="7">
        <f t="shared" ref="E275:O275" si="54">D275+E91+E137-E114-E229-E252-E206</f>
        <v>4933.3493333333345</v>
      </c>
      <c r="F275" s="7">
        <f t="shared" si="54"/>
        <v>4545.6025000000018</v>
      </c>
      <c r="G275" s="7">
        <f t="shared" si="54"/>
        <v>4206.0566666666682</v>
      </c>
      <c r="H275" s="7">
        <f t="shared" si="54"/>
        <v>3902.3958333333348</v>
      </c>
      <c r="I275" s="7">
        <f t="shared" si="54"/>
        <v>3533.0950000000016</v>
      </c>
      <c r="J275" s="7">
        <f t="shared" si="54"/>
        <v>3235.7131666666687</v>
      </c>
      <c r="K275" s="7">
        <f t="shared" si="54"/>
        <v>2873.0613333333354</v>
      </c>
      <c r="L275" s="7">
        <f t="shared" si="54"/>
        <v>2545.6095000000023</v>
      </c>
      <c r="M275" s="7">
        <f t="shared" si="54"/>
        <v>2190.1976666666687</v>
      </c>
      <c r="N275" s="7">
        <f t="shared" si="54"/>
        <v>1832.7138333333353</v>
      </c>
      <c r="O275" s="7">
        <f t="shared" si="54"/>
        <v>1503.000000000002</v>
      </c>
      <c r="P275" s="8">
        <f t="shared" si="33"/>
        <v>1503.000000000002</v>
      </c>
    </row>
    <row r="276" spans="1:16" x14ac:dyDescent="0.3">
      <c r="A276" s="2" t="s">
        <v>72</v>
      </c>
      <c r="B276" s="2" t="s">
        <v>51</v>
      </c>
      <c r="C276" s="2" t="s">
        <v>39</v>
      </c>
      <c r="D276" s="7">
        <f t="shared" si="34"/>
        <v>3770.0565833333358</v>
      </c>
      <c r="E276" s="7">
        <f t="shared" ref="E276:O276" si="55">D276+E92+E138-E115-E230-E253-E207</f>
        <v>3448.3411666666689</v>
      </c>
      <c r="F276" s="7">
        <f t="shared" si="55"/>
        <v>3140.6017500000025</v>
      </c>
      <c r="G276" s="7">
        <f t="shared" si="55"/>
        <v>2879.0673333333361</v>
      </c>
      <c r="H276" s="7">
        <f t="shared" si="55"/>
        <v>2639.3219166666695</v>
      </c>
      <c r="I276" s="7">
        <f t="shared" si="55"/>
        <v>2332.8105000000032</v>
      </c>
      <c r="J276" s="7">
        <f t="shared" si="55"/>
        <v>2075.9930833333365</v>
      </c>
      <c r="K276" s="7">
        <f t="shared" si="55"/>
        <v>1769.6276666666699</v>
      </c>
      <c r="L276" s="7">
        <f t="shared" si="55"/>
        <v>1423.2692500000032</v>
      </c>
      <c r="M276" s="7">
        <f t="shared" si="55"/>
        <v>1191.5338333333366</v>
      </c>
      <c r="N276" s="7">
        <f t="shared" si="55"/>
        <v>959.77741666666998</v>
      </c>
      <c r="O276" s="7">
        <f t="shared" si="55"/>
        <v>670.40000000000327</v>
      </c>
      <c r="P276" s="8">
        <f t="shared" si="33"/>
        <v>670.40000000000327</v>
      </c>
    </row>
    <row r="277" spans="1:16" x14ac:dyDescent="0.3">
      <c r="A277" s="2" t="s">
        <v>72</v>
      </c>
      <c r="B277" s="2" t="s">
        <v>51</v>
      </c>
      <c r="C277" s="2" t="s">
        <v>40</v>
      </c>
      <c r="D277" s="7">
        <f t="shared" si="34"/>
        <v>3763.9415833333364</v>
      </c>
      <c r="E277" s="7">
        <f t="shared" ref="E277:O277" si="56">D277+E93+E139-E116-E231-E254-E208</f>
        <v>3409.4711666666694</v>
      </c>
      <c r="F277" s="7">
        <f t="shared" si="56"/>
        <v>3125.034750000003</v>
      </c>
      <c r="G277" s="7">
        <f t="shared" si="56"/>
        <v>2837.2533333333358</v>
      </c>
      <c r="H277" s="7">
        <f t="shared" si="56"/>
        <v>2521.0889166666689</v>
      </c>
      <c r="I277" s="7">
        <f t="shared" si="56"/>
        <v>2198.612500000002</v>
      </c>
      <c r="J277" s="7">
        <f t="shared" si="56"/>
        <v>1952.1520833333352</v>
      </c>
      <c r="K277" s="7">
        <f t="shared" si="56"/>
        <v>1615.0236666666685</v>
      </c>
      <c r="L277" s="7">
        <f t="shared" si="56"/>
        <v>1341.8552500000019</v>
      </c>
      <c r="M277" s="7">
        <f t="shared" si="56"/>
        <v>1053.0378333333351</v>
      </c>
      <c r="N277" s="7">
        <f t="shared" si="56"/>
        <v>776.35841666666852</v>
      </c>
      <c r="O277" s="7">
        <f t="shared" si="56"/>
        <v>506.70000000000198</v>
      </c>
      <c r="P277" s="8">
        <f t="shared" si="33"/>
        <v>506.70000000000198</v>
      </c>
    </row>
  </sheetData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2"/>
  <sheetViews>
    <sheetView workbookViewId="0">
      <pane xSplit="3" ySplit="2" topLeftCell="D3" activePane="bottomRight" state="frozen"/>
      <selection pane="topRight"/>
      <selection pane="bottomLeft"/>
      <selection pane="bottomRight" activeCell="A25" sqref="A25:XFD32"/>
    </sheetView>
  </sheetViews>
  <sheetFormatPr defaultRowHeight="14.4" x14ac:dyDescent="0.3"/>
  <cols>
    <col min="1" max="1" width="18" customWidth="1"/>
    <col min="2" max="2" width="22" customWidth="1"/>
    <col min="3" max="3" width="9" customWidth="1"/>
    <col min="4" max="26" width="10" customWidth="1"/>
  </cols>
  <sheetData>
    <row r="1" spans="1:26" ht="25.8" x14ac:dyDescent="0.5">
      <c r="A1" s="9" t="s">
        <v>72</v>
      </c>
    </row>
    <row r="2" spans="1:26" x14ac:dyDescent="0.3">
      <c r="A2" s="10" t="s">
        <v>0</v>
      </c>
      <c r="B2" s="10" t="s">
        <v>1</v>
      </c>
      <c r="C2" s="10" t="s">
        <v>53</v>
      </c>
      <c r="D2" s="10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10" t="s">
        <v>23</v>
      </c>
      <c r="J2" s="10" t="s">
        <v>24</v>
      </c>
      <c r="K2" s="10" t="s">
        <v>25</v>
      </c>
      <c r="L2" s="10" t="s">
        <v>26</v>
      </c>
      <c r="M2" s="10" t="s">
        <v>27</v>
      </c>
      <c r="N2" s="10" t="s">
        <v>28</v>
      </c>
      <c r="O2" s="10" t="s">
        <v>29</v>
      </c>
      <c r="P2" s="10" t="s">
        <v>30</v>
      </c>
      <c r="Q2" s="10" t="s">
        <v>31</v>
      </c>
      <c r="R2" s="10" t="s">
        <v>32</v>
      </c>
      <c r="S2" s="10" t="s">
        <v>33</v>
      </c>
      <c r="T2" s="10" t="s">
        <v>34</v>
      </c>
      <c r="U2" s="10" t="s">
        <v>35</v>
      </c>
      <c r="V2" s="10" t="s">
        <v>36</v>
      </c>
      <c r="W2" s="10" t="s">
        <v>37</v>
      </c>
      <c r="X2" s="10" t="s">
        <v>38</v>
      </c>
      <c r="Y2" s="10" t="s">
        <v>39</v>
      </c>
      <c r="Z2" s="10" t="s">
        <v>40</v>
      </c>
    </row>
    <row r="3" spans="1:26" x14ac:dyDescent="0.3">
      <c r="A3" s="11" t="s">
        <v>72</v>
      </c>
      <c r="B3" s="11" t="s">
        <v>17</v>
      </c>
      <c r="C3" s="12" t="s">
        <v>54</v>
      </c>
      <c r="D3" s="13">
        <f>SUMIFS(Oats_Mo!$P:$P,Oats_Mo!$B:$B,"Planted Area",Oats_Mo!$C:$C,RIGHT(D$2,5))</f>
        <v>5.7968000000000002</v>
      </c>
      <c r="E3" s="13">
        <f>SUMIFS(Oats_Mo!$P:$P,Oats_Mo!$B:$B,"Planted Area",Oats_Mo!$C:$C,RIGHT(E$2,5))</f>
        <v>5.0240999999999998</v>
      </c>
      <c r="F3" s="13">
        <f>SUMIFS(Oats_Mo!$P:$P,Oats_Mo!$B:$B,"Planted Area",Oats_Mo!$C:$C,RIGHT(F$2,5))</f>
        <v>4.7548000000000004</v>
      </c>
      <c r="G3" s="13">
        <f>SUMIFS(Oats_Mo!$P:$P,Oats_Mo!$B:$B,"Planted Area",Oats_Mo!$C:$C,RIGHT(G$2,5))</f>
        <v>4.3685</v>
      </c>
      <c r="H3" s="13">
        <f>SUMIFS(Oats_Mo!$P:$P,Oats_Mo!$B:$B,"Planted Area",Oats_Mo!$C:$C,RIGHT(H$2,5))</f>
        <v>5.0991289999999996</v>
      </c>
      <c r="I3" s="13">
        <f>SUMIFS(Oats_Mo!$P:$P,Oats_Mo!$B:$B,"Planted Area",Oats_Mo!$C:$C,RIGHT(I$2,5))</f>
        <v>5.3127000000000004</v>
      </c>
      <c r="J3" s="13">
        <f>SUMIFS(Oats_Mo!$P:$P,Oats_Mo!$B:$B,"Planted Area",Oats_Mo!$C:$C,RIGHT(J$2,5))</f>
        <v>4.3</v>
      </c>
      <c r="K3" s="13">
        <f>SUMIFS(Oats_Mo!$P:$P,Oats_Mo!$B:$B,"Planted Area",Oats_Mo!$C:$C,RIGHT(K$2,5))</f>
        <v>3.6964999999999999</v>
      </c>
      <c r="L3" s="13">
        <f>SUMIFS(Oats_Mo!$P:$P,Oats_Mo!$B:$B,"Planted Area",Oats_Mo!$C:$C,RIGHT(L$2,5))</f>
        <v>2.9891999999999999</v>
      </c>
      <c r="M3" s="13">
        <f>SUMIFS(Oats_Mo!$P:$P,Oats_Mo!$B:$B,"Planted Area",Oats_Mo!$C:$C,RIGHT(M$2,5))</f>
        <v>3.2444009999999999</v>
      </c>
      <c r="N3" s="13">
        <f>SUMIFS(Oats_Mo!$P:$P,Oats_Mo!$B:$B,"Planted Area",Oats_Mo!$C:$C,RIGHT(N$2,5))</f>
        <v>2.9477000000000002</v>
      </c>
      <c r="O3" s="13">
        <f>SUMIFS(Oats_Mo!$P:$P,Oats_Mo!$B:$B,"Planted Area",Oats_Mo!$C:$C,RIGHT(O$2,5))</f>
        <v>3.2273000000000001</v>
      </c>
      <c r="P3" s="13">
        <f>SUMIFS(Oats_Mo!$P:$P,Oats_Mo!$B:$B,"Planted Area",Oats_Mo!$C:$C,RIGHT(P$2,5))</f>
        <v>2.8959000000000001</v>
      </c>
      <c r="Q3" s="13">
        <f>SUMIFS(Oats_Mo!$P:$P,Oats_Mo!$B:$B,"Planted Area",Oats_Mo!$C:$C,RIGHT(Q$2,5))</f>
        <v>3.3601999999999999</v>
      </c>
      <c r="R3" s="13">
        <f>SUMIFS(Oats_Mo!$P:$P,Oats_Mo!$B:$B,"Planted Area",Oats_Mo!$C:$C,RIGHT(R$2,5))</f>
        <v>3.0450590000000002</v>
      </c>
      <c r="S3" s="13">
        <f>SUMIFS(Oats_Mo!$P:$P,Oats_Mo!$B:$B,"Planted Area",Oats_Mo!$C:$C,RIGHT(S$2,5))</f>
        <v>3.2002999999999999</v>
      </c>
      <c r="T3" s="13">
        <f>SUMIFS(Oats_Mo!$P:$P,Oats_Mo!$B:$B,"Planted Area",Oats_Mo!$C:$C,RIGHT(T$2,5))</f>
        <v>3.0526</v>
      </c>
      <c r="U3" s="13">
        <f>SUMIFS(Oats_Mo!$P:$P,Oats_Mo!$B:$B,"Planted Area",Oats_Mo!$C:$C,RIGHT(U$2,5))</f>
        <v>3.5958000000000001</v>
      </c>
      <c r="V3" s="13">
        <f>SUMIFS(Oats_Mo!$P:$P,Oats_Mo!$B:$B,"Planted Area",Oats_Mo!$C:$C,RIGHT(V$2,5))</f>
        <v>3.8391000000000002</v>
      </c>
      <c r="W3" s="13">
        <f>SUMIFS(Oats_Mo!$P:$P,Oats_Mo!$B:$B,"Planted Area",Oats_Mo!$C:$C,RIGHT(W$2,5))</f>
        <v>3.711811</v>
      </c>
      <c r="X3" s="13">
        <f>SUMIFS(Oats_Mo!$P:$P,Oats_Mo!$B:$B,"Planted Area",Oats_Mo!$C:$C,RIGHT(X$2,5))</f>
        <v>3.9367000000000001</v>
      </c>
      <c r="Y3" s="13">
        <f>SUMIFS(Oats_Mo!$P:$P,Oats_Mo!$B:$B,"Planted Area",Oats_Mo!$C:$C,RIGHT(Y$2,5))</f>
        <v>2.5350999999999999</v>
      </c>
      <c r="Z3" s="13">
        <f>SUMIFS(Oats_Mo!$P:$P,Oats_Mo!$B:$B,"Planted Area",Oats_Mo!$C:$C,RIGHT(Z$2,5))</f>
        <v>2.8999000000000001</v>
      </c>
    </row>
    <row r="4" spans="1:26" x14ac:dyDescent="0.3">
      <c r="A4" s="11" t="s">
        <v>72</v>
      </c>
      <c r="B4" s="11" t="s">
        <v>41</v>
      </c>
      <c r="C4" s="12" t="s">
        <v>54</v>
      </c>
      <c r="D4" s="13">
        <f>SUMIFS(Oats_Mo!$P:$P,Oats_Mo!$B:$B,"Harvested Area",Oats_Mo!$C:$C,RIGHT(D$2,5))</f>
        <v>3.4075000000000002</v>
      </c>
      <c r="E4" s="13">
        <f>SUMIFS(Oats_Mo!$P:$P,Oats_Mo!$B:$B,"Harvested Area",Oats_Mo!$C:$C,RIGHT(E$2,5))</f>
        <v>3.4964</v>
      </c>
      <c r="F4" s="13">
        <f>SUMIFS(Oats_Mo!$P:$P,Oats_Mo!$B:$B,"Harvested Area",Oats_Mo!$C:$C,RIGHT(F$2,5))</f>
        <v>3.05</v>
      </c>
      <c r="G4" s="13">
        <f>SUMIFS(Oats_Mo!$P:$P,Oats_Mo!$B:$B,"Harvested Area",Oats_Mo!$C:$C,RIGHT(G$2,5))</f>
        <v>3.1415000000000002</v>
      </c>
      <c r="H4" s="13">
        <f>SUMIFS(Oats_Mo!$P:$P,Oats_Mo!$B:$B,"Harvested Area",Oats_Mo!$C:$C,RIGHT(H$2,5))</f>
        <v>3.7974999999999999</v>
      </c>
      <c r="I4" s="13">
        <f>SUMIFS(Oats_Mo!$P:$P,Oats_Mo!$B:$B,"Harvested Area",Oats_Mo!$C:$C,RIGHT(I$2,5))</f>
        <v>4.4067999999999996</v>
      </c>
      <c r="J4" s="13">
        <f>SUMIFS(Oats_Mo!$P:$P,Oats_Mo!$B:$B,"Harvested Area",Oats_Mo!$C:$C,RIGHT(J$2,5))</f>
        <v>3.5792999999999999</v>
      </c>
      <c r="K4" s="13">
        <f>SUMIFS(Oats_Mo!$P:$P,Oats_Mo!$B:$B,"Harvested Area",Oats_Mo!$C:$C,RIGHT(K$2,5))</f>
        <v>2.4277000000000002</v>
      </c>
      <c r="L4" s="13">
        <f>SUMIFS(Oats_Mo!$P:$P,Oats_Mo!$B:$B,"Harvested Area",Oats_Mo!$C:$C,RIGHT(L$2,5))</f>
        <v>2.2035</v>
      </c>
      <c r="M4" s="13">
        <f>SUMIFS(Oats_Mo!$P:$P,Oats_Mo!$B:$B,"Harvested Area",Oats_Mo!$C:$C,RIGHT(M$2,5))</f>
        <v>2.6781999999999999</v>
      </c>
      <c r="N4" s="13">
        <f>SUMIFS(Oats_Mo!$P:$P,Oats_Mo!$B:$B,"Harvested Area",Oats_Mo!$C:$C,RIGHT(N$2,5))</f>
        <v>2.4830999999999999</v>
      </c>
      <c r="O4" s="13">
        <f>SUMIFS(Oats_Mo!$P:$P,Oats_Mo!$B:$B,"Harvested Area",Oats_Mo!$C:$C,RIGHT(O$2,5))</f>
        <v>2.7888999999999999</v>
      </c>
      <c r="P4" s="13">
        <f>SUMIFS(Oats_Mo!$P:$P,Oats_Mo!$B:$B,"Harvested Area",Oats_Mo!$C:$C,RIGHT(P$2,5))</f>
        <v>2.3193999999999999</v>
      </c>
      <c r="Q4" s="13">
        <f>SUMIFS(Oats_Mo!$P:$P,Oats_Mo!$B:$B,"Harvested Area",Oats_Mo!$C:$C,RIGHT(Q$2,5))</f>
        <v>2.5897999999999999</v>
      </c>
      <c r="R4" s="13">
        <f>SUMIFS(Oats_Mo!$P:$P,Oats_Mo!$B:$B,"Harvested Area",Oats_Mo!$C:$C,RIGHT(R$2,5))</f>
        <v>2.2848999999999999</v>
      </c>
      <c r="S4" s="13">
        <f>SUMIFS(Oats_Mo!$P:$P,Oats_Mo!$B:$B,"Harvested Area",Oats_Mo!$C:$C,RIGHT(S$2,5))</f>
        <v>2.5992000000000002</v>
      </c>
      <c r="T4" s="13">
        <f>SUMIFS(Oats_Mo!$P:$P,Oats_Mo!$B:$B,"Harvested Area",Oats_Mo!$C:$C,RIGHT(T$2,5))</f>
        <v>2.4832000000000001</v>
      </c>
      <c r="U4" s="13">
        <f>SUMIFS(Oats_Mo!$P:$P,Oats_Mo!$B:$B,"Harvested Area",Oats_Mo!$C:$C,RIGHT(U$2,5))</f>
        <v>2.8837999999999999</v>
      </c>
      <c r="V4" s="13">
        <f>SUMIFS(Oats_Mo!$P:$P,Oats_Mo!$B:$B,"Harvested Area",Oats_Mo!$C:$C,RIGHT(V$2,5))</f>
        <v>3.2481</v>
      </c>
      <c r="W4" s="13">
        <f>SUMIFS(Oats_Mo!$P:$P,Oats_Mo!$B:$B,"Harvested Area",Oats_Mo!$C:$C,RIGHT(W$2,5))</f>
        <v>2.9993110000000001</v>
      </c>
      <c r="X4" s="13">
        <f>SUMIFS(Oats_Mo!$P:$P,Oats_Mo!$B:$B,"Harvested Area",Oats_Mo!$C:$C,RIGHT(X$2,5))</f>
        <v>3.4645000000000001</v>
      </c>
      <c r="Y4" s="13">
        <f>SUMIFS(Oats_Mo!$P:$P,Oats_Mo!$B:$B,"Harvested Area",Oats_Mo!$C:$C,RIGHT(Y$2,5))</f>
        <v>2.0404</v>
      </c>
      <c r="Z4" s="13">
        <f>SUMIFS(Oats_Mo!$P:$P,Oats_Mo!$B:$B,"Harvested Area",Oats_Mo!$C:$C,RIGHT(Z$2,5))</f>
        <v>2.4542999999999999</v>
      </c>
    </row>
    <row r="5" spans="1:26" x14ac:dyDescent="0.3">
      <c r="A5" s="11" t="s">
        <v>72</v>
      </c>
      <c r="B5" s="11" t="s">
        <v>55</v>
      </c>
      <c r="C5" s="12" t="s">
        <v>56</v>
      </c>
      <c r="D5" s="14">
        <f t="shared" ref="D5:Z5" si="0">IF(D3&lt;&gt;0,D4/D3,"")</f>
        <v>0.587824316864477</v>
      </c>
      <c r="E5" s="14">
        <f t="shared" si="0"/>
        <v>0.69592563842280208</v>
      </c>
      <c r="F5" s="14">
        <f t="shared" si="0"/>
        <v>0.64145705392445518</v>
      </c>
      <c r="G5" s="14">
        <f t="shared" si="0"/>
        <v>0.71912555797184396</v>
      </c>
      <c r="H5" s="14">
        <f t="shared" si="0"/>
        <v>0.74473503219863635</v>
      </c>
      <c r="I5" s="14">
        <f t="shared" si="0"/>
        <v>0.82948406648220285</v>
      </c>
      <c r="J5" s="14">
        <f t="shared" si="0"/>
        <v>0.83239534883720934</v>
      </c>
      <c r="K5" s="14">
        <f t="shared" si="0"/>
        <v>0.65675639118084683</v>
      </c>
      <c r="L5" s="14">
        <f t="shared" si="0"/>
        <v>0.73715375351264556</v>
      </c>
      <c r="M5" s="14">
        <f t="shared" si="0"/>
        <v>0.82548365630512377</v>
      </c>
      <c r="N5" s="14">
        <f t="shared" si="0"/>
        <v>0.84238558876412106</v>
      </c>
      <c r="O5" s="14">
        <f t="shared" si="0"/>
        <v>0.86415889443187799</v>
      </c>
      <c r="P5" s="14">
        <f t="shared" si="0"/>
        <v>0.80092544632066021</v>
      </c>
      <c r="Q5" s="14">
        <f t="shared" si="0"/>
        <v>0.77072793286113916</v>
      </c>
      <c r="R5" s="14">
        <f t="shared" si="0"/>
        <v>0.75036312925299631</v>
      </c>
      <c r="S5" s="14">
        <f t="shared" si="0"/>
        <v>0.81217385870074688</v>
      </c>
      <c r="T5" s="14">
        <f t="shared" si="0"/>
        <v>0.81347048417742251</v>
      </c>
      <c r="U5" s="14">
        <f t="shared" si="0"/>
        <v>0.80199121196951995</v>
      </c>
      <c r="V5" s="14">
        <f t="shared" si="0"/>
        <v>0.84605766976635144</v>
      </c>
      <c r="W5" s="14">
        <f t="shared" si="0"/>
        <v>0.80804518333503517</v>
      </c>
      <c r="X5" s="14">
        <f t="shared" si="0"/>
        <v>0.88005182005232807</v>
      </c>
      <c r="Y5" s="14">
        <f t="shared" si="0"/>
        <v>0.80485976884541044</v>
      </c>
      <c r="Z5" s="14">
        <f t="shared" si="0"/>
        <v>0.846339528949274</v>
      </c>
    </row>
    <row r="6" spans="1:26" x14ac:dyDescent="0.3">
      <c r="A6" s="11" t="s">
        <v>72</v>
      </c>
      <c r="B6" s="11" t="s">
        <v>42</v>
      </c>
      <c r="C6" s="12" t="s">
        <v>57</v>
      </c>
      <c r="D6" s="15">
        <f>SUMIFS(Oats_Mo!$P:$P,Oats_Mo!$B:$B,"Yield",Oats_Mo!$C:$C,RIGHT(D$2,5))</f>
        <v>55.388122453411597</v>
      </c>
      <c r="E6" s="15">
        <f>SUMIFS(Oats_Mo!$P:$P,Oats_Mo!$B:$B,"Yield",Oats_Mo!$C:$C,RIGHT(E$2,5))</f>
        <v>62.621927142203418</v>
      </c>
      <c r="F6" s="15">
        <f>SUMIFS(Oats_Mo!$P:$P,Oats_Mo!$B:$B,"Yield",Oats_Mo!$C:$C,RIGHT(F$2,5))</f>
        <v>73.711307855737701</v>
      </c>
      <c r="G6" s="15">
        <f>SUMIFS(Oats_Mo!$P:$P,Oats_Mo!$B:$B,"Yield",Oats_Mo!$C:$C,RIGHT(G$2,5))</f>
        <v>67.756223733885093</v>
      </c>
      <c r="H6" s="15">
        <f>SUMIFS(Oats_Mo!$P:$P,Oats_Mo!$B:$B,"Yield",Oats_Mo!$C:$C,RIGHT(H$2,5))</f>
        <v>65.775795117840687</v>
      </c>
      <c r="I6" s="15">
        <f>SUMIFS(Oats_Mo!$P:$P,Oats_Mo!$B:$B,"Yield",Oats_Mo!$C:$C,RIGHT(I$2,5))</f>
        <v>67.955289352818383</v>
      </c>
      <c r="J6" s="15">
        <f>SUMIFS(Oats_Mo!$P:$P,Oats_Mo!$B:$B,"Yield",Oats_Mo!$C:$C,RIGHT(J$2,5))</f>
        <v>77.40146807476323</v>
      </c>
      <c r="K6" s="15">
        <f>SUMIFS(Oats_Mo!$P:$P,Oats_Mo!$B:$B,"Yield",Oats_Mo!$C:$C,RIGHT(K$2,5))</f>
        <v>77.763686081476308</v>
      </c>
      <c r="L6" s="15">
        <f>SUMIFS(Oats_Mo!$P:$P,Oats_Mo!$B:$B,"Yield",Oats_Mo!$C:$C,RIGHT(L$2,5))</f>
        <v>72.136686417063757</v>
      </c>
      <c r="M6" s="15">
        <f>SUMIFS(Oats_Mo!$P:$P,Oats_Mo!$B:$B,"Yield",Oats_Mo!$C:$C,RIGHT(M$2,5))</f>
        <v>76.448535464117697</v>
      </c>
      <c r="N6" s="15">
        <f>SUMIFS(Oats_Mo!$P:$P,Oats_Mo!$B:$B,"Yield",Oats_Mo!$C:$C,RIGHT(N$2,5))</f>
        <v>73.890039579557822</v>
      </c>
      <c r="O6" s="15">
        <f>SUMIFS(Oats_Mo!$P:$P,Oats_Mo!$B:$B,"Yield",Oats_Mo!$C:$C,RIGHT(O$2,5))</f>
        <v>91.316523962852742</v>
      </c>
      <c r="P6" s="15">
        <f>SUMIFS(Oats_Mo!$P:$P,Oats_Mo!$B:$B,"Yield",Oats_Mo!$C:$C,RIGHT(P$2,5))</f>
        <v>83.220259653358639</v>
      </c>
      <c r="Q6" s="15">
        <f>SUMIFS(Oats_Mo!$P:$P,Oats_Mo!$B:$B,"Yield",Oats_Mo!$C:$C,RIGHT(Q$2,5))</f>
        <v>85.753017607537259</v>
      </c>
      <c r="R6" s="15">
        <f>SUMIFS(Oats_Mo!$P:$P,Oats_Mo!$B:$B,"Yield",Oats_Mo!$C:$C,RIGHT(R$2,5))</f>
        <v>91.696277368812645</v>
      </c>
      <c r="S6" s="15">
        <f>SUMIFS(Oats_Mo!$P:$P,Oats_Mo!$B:$B,"Yield",Oats_Mo!$C:$C,RIGHT(S$2,5))</f>
        <v>93.126515620190844</v>
      </c>
      <c r="T6" s="15">
        <f>SUMIFS(Oats_Mo!$P:$P,Oats_Mo!$B:$B,"Yield",Oats_Mo!$C:$C,RIGHT(T$2,5))</f>
        <v>89.721498389175267</v>
      </c>
      <c r="U6" s="15">
        <f>SUMIFS(Oats_Mo!$P:$P,Oats_Mo!$B:$B,"Yield",Oats_Mo!$C:$C,RIGHT(U$2,5))</f>
        <v>95.050191115888765</v>
      </c>
      <c r="V6" s="15">
        <f>SUMIFS(Oats_Mo!$P:$P,Oats_Mo!$B:$B,"Yield",Oats_Mo!$C:$C,RIGHT(V$2,5))</f>
        <v>91.346666802130486</v>
      </c>
      <c r="W6" s="15">
        <f>SUMIFS(Oats_Mo!$P:$P,Oats_Mo!$B:$B,"Yield",Oats_Mo!$C:$C,RIGHT(W$2,5))</f>
        <v>62.664539115816943</v>
      </c>
      <c r="X6" s="15">
        <f>SUMIFS(Oats_Mo!$P:$P,Oats_Mo!$B:$B,"Yield",Oats_Mo!$C:$C,RIGHT(X$2,5))</f>
        <v>97.819502871987325</v>
      </c>
      <c r="Y6" s="15">
        <f>SUMIFS(Oats_Mo!$P:$P,Oats_Mo!$B:$B,"Yield",Oats_Mo!$C:$C,RIGHT(Y$2,5))</f>
        <v>83.994982150558712</v>
      </c>
      <c r="Z6" s="15">
        <f>SUMIFS(Oats_Mo!$P:$P,Oats_Mo!$B:$B,"Yield",Oats_Mo!$C:$C,RIGHT(Z$2,5))</f>
        <v>88.706689353379801</v>
      </c>
    </row>
    <row r="8" spans="1:26" x14ac:dyDescent="0.3">
      <c r="A8" s="11" t="s">
        <v>72</v>
      </c>
      <c r="B8" s="11" t="s">
        <v>58</v>
      </c>
      <c r="C8" s="12" t="s">
        <v>59</v>
      </c>
      <c r="D8" s="16">
        <f>SUMIFS(Oats_Mo!$D:$D,Oats_Mo!$B:$B,"STOCKS",Oats_Mo!$C:$C,RIGHT(D$2,5))-SUMIFS(Oats_Mo!$D:$D,Oats_Mo!$B:$B,"Production",Oats_Mo!$C:$C,RIGHT(D$2,5))-SUMIFS(Oats_Mo!$D:$D,Oats_Mo!$B:$B,"Imports",Oats_Mo!$C:$C,RIGHT(D$2,5))+SUMIFS(Oats_Mo!$D:$D,Oats_Mo!$B:$B,"Exports",Oats_Mo!$C:$C,RIGHT(D$2,5))+SUMIFS(Oats_Mo!$D:$D,Oats_Mo!$B:$B,"Food &amp; Processing",Oats_Mo!$C:$C,RIGHT(D$2,5))+SUMIFS(Oats_Mo!$D:$D,Oats_Mo!$B:$B,"FSR",Oats_Mo!$C:$C,RIGHT(D$2,5))+SUMIFS(Oats_Mo!$D:$D,Oats_Mo!$B:$B,"Seed",Oats_Mo!$C:$C,RIGHT(D$2,5))</f>
        <v>362.80000000000064</v>
      </c>
      <c r="E8" s="16">
        <f t="shared" ref="E8:Z8" si="1">D19</f>
        <v>523.90000000000055</v>
      </c>
      <c r="F8" s="16">
        <f t="shared" si="1"/>
        <v>788.10000000000127</v>
      </c>
      <c r="G8" s="16">
        <f t="shared" si="1"/>
        <v>974.40000000000146</v>
      </c>
      <c r="H8" s="16">
        <f t="shared" si="1"/>
        <v>871.70000000000255</v>
      </c>
      <c r="I8" s="16">
        <f t="shared" si="1"/>
        <v>556.20000000000164</v>
      </c>
      <c r="J8" s="16">
        <f t="shared" si="1"/>
        <v>949.50000000000182</v>
      </c>
      <c r="K8" s="16">
        <f t="shared" si="1"/>
        <v>1527.2000000000021</v>
      </c>
      <c r="L8" s="16">
        <f t="shared" si="1"/>
        <v>1161.800000000002</v>
      </c>
      <c r="M8" s="16">
        <f t="shared" si="1"/>
        <v>732.60000000000218</v>
      </c>
      <c r="N8" s="16">
        <f t="shared" si="1"/>
        <v>804.50000000000273</v>
      </c>
      <c r="O8" s="16">
        <f t="shared" si="1"/>
        <v>445.80000000000291</v>
      </c>
      <c r="P8" s="16">
        <f t="shared" si="1"/>
        <v>1069.0000000000032</v>
      </c>
      <c r="Q8" s="16">
        <f t="shared" si="1"/>
        <v>700.90000000000327</v>
      </c>
      <c r="R8" s="16">
        <f t="shared" si="1"/>
        <v>967.00000000000364</v>
      </c>
      <c r="S8" s="16">
        <f t="shared" si="1"/>
        <v>703.50000000000364</v>
      </c>
      <c r="T8" s="16">
        <f t="shared" si="1"/>
        <v>778.40000000000327</v>
      </c>
      <c r="U8" s="16">
        <f t="shared" si="1"/>
        <v>396.90000000000418</v>
      </c>
      <c r="V8" s="16">
        <f t="shared" si="1"/>
        <v>425.60000000000309</v>
      </c>
      <c r="W8" s="16">
        <f t="shared" si="1"/>
        <v>656.50000000000364</v>
      </c>
      <c r="X8" s="16">
        <f t="shared" si="1"/>
        <v>332.60000000000355</v>
      </c>
      <c r="Y8" s="16">
        <f t="shared" si="1"/>
        <v>1503.0000000000045</v>
      </c>
      <c r="Z8" s="16">
        <f t="shared" si="1"/>
        <v>670.40000000000418</v>
      </c>
    </row>
    <row r="9" spans="1:26" x14ac:dyDescent="0.3">
      <c r="A9" s="11" t="s">
        <v>72</v>
      </c>
      <c r="B9" s="11" t="s">
        <v>45</v>
      </c>
      <c r="C9" s="12" t="s">
        <v>59</v>
      </c>
      <c r="D9" s="16">
        <f>SUMIFS(Oats_Mo!$P:$P,Oats_Mo!$B:$B,"Imports",Oats_Mo!$C:$C,RIGHT(D$2,5))</f>
        <v>36.864000000000004</v>
      </c>
      <c r="E9" s="16">
        <f>SUMIFS(Oats_Mo!$P:$P,Oats_Mo!$B:$B,"Imports",Oats_Mo!$C:$C,RIGHT(E$2,5))</f>
        <v>34.427999999999997</v>
      </c>
      <c r="F9" s="16">
        <f>SUMIFS(Oats_Mo!$P:$P,Oats_Mo!$B:$B,"Imports",Oats_Mo!$C:$C,RIGHT(F$2,5))</f>
        <v>33.638000000000005</v>
      </c>
      <c r="G9" s="16">
        <f>SUMIFS(Oats_Mo!$P:$P,Oats_Mo!$B:$B,"Imports",Oats_Mo!$C:$C,RIGHT(G$2,5))</f>
        <v>31.104999999999997</v>
      </c>
      <c r="H9" s="16">
        <f>SUMIFS(Oats_Mo!$P:$P,Oats_Mo!$B:$B,"Imports",Oats_Mo!$C:$C,RIGHT(H$2,5))</f>
        <v>27.698</v>
      </c>
      <c r="I9" s="16">
        <f>SUMIFS(Oats_Mo!$P:$P,Oats_Mo!$B:$B,"Imports",Oats_Mo!$C:$C,RIGHT(I$2,5))</f>
        <v>25.593</v>
      </c>
      <c r="J9" s="16">
        <f>SUMIFS(Oats_Mo!$P:$P,Oats_Mo!$B:$B,"Imports",Oats_Mo!$C:$C,RIGHT(J$2,5))</f>
        <v>27.317999999999998</v>
      </c>
      <c r="K9" s="16">
        <f>SUMIFS(Oats_Mo!$P:$P,Oats_Mo!$B:$B,"Imports",Oats_Mo!$C:$C,RIGHT(K$2,5))</f>
        <v>27.576000000000001</v>
      </c>
      <c r="L9" s="16">
        <f>SUMIFS(Oats_Mo!$P:$P,Oats_Mo!$B:$B,"Imports",Oats_Mo!$C:$C,RIGHT(L$2,5))</f>
        <v>45.993000000000009</v>
      </c>
      <c r="M9" s="16">
        <f>SUMIFS(Oats_Mo!$P:$P,Oats_Mo!$B:$B,"Imports",Oats_Mo!$C:$C,RIGHT(M$2,5))</f>
        <v>43.383000000000003</v>
      </c>
      <c r="N9" s="16">
        <f>SUMIFS(Oats_Mo!$P:$P,Oats_Mo!$B:$B,"Imports",Oats_Mo!$C:$C,RIGHT(N$2,5))</f>
        <v>39.712999999999994</v>
      </c>
      <c r="O9" s="16">
        <f>SUMIFS(Oats_Mo!$P:$P,Oats_Mo!$B:$B,"Imports",Oats_Mo!$C:$C,RIGHT(O$2,5))</f>
        <v>47.770999999999994</v>
      </c>
      <c r="P9" s="16">
        <f>SUMIFS(Oats_Mo!$P:$P,Oats_Mo!$B:$B,"Imports",Oats_Mo!$C:$C,RIGHT(P$2,5))</f>
        <v>29.29</v>
      </c>
      <c r="Q9" s="16">
        <f>SUMIFS(Oats_Mo!$P:$P,Oats_Mo!$B:$B,"Imports",Oats_Mo!$C:$C,RIGHT(Q$2,5))</f>
        <v>31.53</v>
      </c>
      <c r="R9" s="16">
        <f>SUMIFS(Oats_Mo!$P:$P,Oats_Mo!$B:$B,"Imports",Oats_Mo!$C:$C,RIGHT(R$2,5))</f>
        <v>32.658000000000001</v>
      </c>
      <c r="S9" s="16">
        <f>SUMIFS(Oats_Mo!$P:$P,Oats_Mo!$B:$B,"Imports",Oats_Mo!$C:$C,RIGHT(S$2,5))</f>
        <v>25.107000000000006</v>
      </c>
      <c r="T9" s="16">
        <f>SUMIFS(Oats_Mo!$P:$P,Oats_Mo!$B:$B,"Imports",Oats_Mo!$C:$C,RIGHT(T$2,5))</f>
        <v>20.617000000000001</v>
      </c>
      <c r="U9" s="16">
        <f>SUMIFS(Oats_Mo!$P:$P,Oats_Mo!$B:$B,"Imports",Oats_Mo!$C:$C,RIGHT(U$2,5))</f>
        <v>25.462000000000003</v>
      </c>
      <c r="V9" s="16">
        <f>SUMIFS(Oats_Mo!$P:$P,Oats_Mo!$B:$B,"Imports",Oats_Mo!$C:$C,RIGHT(V$2,5))</f>
        <v>29.658999999999999</v>
      </c>
      <c r="W9" s="16">
        <f>SUMIFS(Oats_Mo!$P:$P,Oats_Mo!$B:$B,"Imports",Oats_Mo!$C:$C,RIGHT(W$2,5))</f>
        <v>40.147000000000006</v>
      </c>
      <c r="X9" s="16">
        <f>SUMIFS(Oats_Mo!$P:$P,Oats_Mo!$B:$B,"Imports",Oats_Mo!$C:$C,RIGHT(X$2,5))</f>
        <v>47.591999999999999</v>
      </c>
      <c r="Y9" s="16">
        <f>SUMIFS(Oats_Mo!$P:$P,Oats_Mo!$B:$B,"Imports",Oats_Mo!$C:$C,RIGHT(Y$2,5))</f>
        <v>37.560000000000009</v>
      </c>
      <c r="Z9" s="16">
        <f>SUMIFS(Oats_Mo!$P:$P,Oats_Mo!$B:$B,"Imports",Oats_Mo!$C:$C,RIGHT(Z$2,5))</f>
        <v>45.50800000000001</v>
      </c>
    </row>
    <row r="10" spans="1:26" x14ac:dyDescent="0.3">
      <c r="A10" s="11" t="s">
        <v>72</v>
      </c>
      <c r="B10" s="11" t="s">
        <v>43</v>
      </c>
      <c r="C10" s="12" t="s">
        <v>59</v>
      </c>
      <c r="D10" s="16">
        <f>SUMIFS(Oats_Mo!$P:$P,Oats_Mo!$B:$B,"Production",Oats_Mo!$C:$C,RIGHT(D$2,5))</f>
        <v>2910.7</v>
      </c>
      <c r="E10" s="16">
        <f>SUMIFS(Oats_Mo!$P:$P,Oats_Mo!$B:$B,"Production",Oats_Mo!$C:$C,RIGHT(E$2,5))</f>
        <v>3376.7</v>
      </c>
      <c r="F10" s="16">
        <f>SUMIFS(Oats_Mo!$P:$P,Oats_Mo!$B:$B,"Production",Oats_Mo!$C:$C,RIGHT(F$2,5))</f>
        <v>3467.2</v>
      </c>
      <c r="G10" s="16">
        <f>SUMIFS(Oats_Mo!$P:$P,Oats_Mo!$B:$B,"Production",Oats_Mo!$C:$C,RIGHT(G$2,5))</f>
        <v>3282.7</v>
      </c>
      <c r="H10" s="16">
        <f>SUMIFS(Oats_Mo!$P:$P,Oats_Mo!$B:$B,"Production",Oats_Mo!$C:$C,RIGHT(H$2,5))</f>
        <v>3852.2</v>
      </c>
      <c r="I10" s="16">
        <f>SUMIFS(Oats_Mo!$P:$P,Oats_Mo!$B:$B,"Production",Oats_Mo!$C:$C,RIGHT(I$2,5))</f>
        <v>4618.3999999999996</v>
      </c>
      <c r="J10" s="16">
        <f>SUMIFS(Oats_Mo!$P:$P,Oats_Mo!$B:$B,"Production",Oats_Mo!$C:$C,RIGHT(J$2,5))</f>
        <v>4272.6000000000004</v>
      </c>
      <c r="K10" s="16">
        <f>SUMIFS(Oats_Mo!$P:$P,Oats_Mo!$B:$B,"Production",Oats_Mo!$C:$C,RIGHT(K$2,5))</f>
        <v>2911.5</v>
      </c>
      <c r="L10" s="16">
        <f>SUMIFS(Oats_Mo!$P:$P,Oats_Mo!$B:$B,"Production",Oats_Mo!$C:$C,RIGHT(L$2,5))</f>
        <v>2451.4</v>
      </c>
      <c r="M10" s="16">
        <f>SUMIFS(Oats_Mo!$P:$P,Oats_Mo!$B:$B,"Production",Oats_Mo!$C:$C,RIGHT(M$2,5))</f>
        <v>3157.6</v>
      </c>
      <c r="N10" s="16">
        <f>SUMIFS(Oats_Mo!$P:$P,Oats_Mo!$B:$B,"Production",Oats_Mo!$C:$C,RIGHT(N$2,5))</f>
        <v>2829.6</v>
      </c>
      <c r="O10" s="16">
        <f>SUMIFS(Oats_Mo!$P:$P,Oats_Mo!$B:$B,"Production",Oats_Mo!$C:$C,RIGHT(O$2,5))</f>
        <v>3927.6</v>
      </c>
      <c r="P10" s="16">
        <f>SUMIFS(Oats_Mo!$P:$P,Oats_Mo!$B:$B,"Production",Oats_Mo!$C:$C,RIGHT(P$2,5))</f>
        <v>2976.8</v>
      </c>
      <c r="Q10" s="16">
        <f>SUMIFS(Oats_Mo!$P:$P,Oats_Mo!$B:$B,"Production",Oats_Mo!$C:$C,RIGHT(Q$2,5))</f>
        <v>3425</v>
      </c>
      <c r="R10" s="16">
        <f>SUMIFS(Oats_Mo!$P:$P,Oats_Mo!$B:$B,"Production",Oats_Mo!$C:$C,RIGHT(R$2,5))</f>
        <v>3231.2</v>
      </c>
      <c r="S10" s="16">
        <f>SUMIFS(Oats_Mo!$P:$P,Oats_Mo!$B:$B,"Production",Oats_Mo!$C:$C,RIGHT(S$2,5))</f>
        <v>3733</v>
      </c>
      <c r="T10" s="16">
        <f>SUMIFS(Oats_Mo!$P:$P,Oats_Mo!$B:$B,"Production",Oats_Mo!$C:$C,RIGHT(T$2,5))</f>
        <v>3436</v>
      </c>
      <c r="U10" s="16">
        <f>SUMIFS(Oats_Mo!$P:$P,Oats_Mo!$B:$B,"Production",Oats_Mo!$C:$C,RIGHT(U$2,5))</f>
        <v>4227.3</v>
      </c>
      <c r="V10" s="16">
        <f>SUMIFS(Oats_Mo!$P:$P,Oats_Mo!$B:$B,"Production",Oats_Mo!$C:$C,RIGHT(V$2,5))</f>
        <v>4575.8</v>
      </c>
      <c r="W10" s="16">
        <f>SUMIFS(Oats_Mo!$P:$P,Oats_Mo!$B:$B,"Production",Oats_Mo!$C:$C,RIGHT(W$2,5))</f>
        <v>2898.6</v>
      </c>
      <c r="X10" s="16">
        <f>SUMIFS(Oats_Mo!$P:$P,Oats_Mo!$B:$B,"Production",Oats_Mo!$C:$C,RIGHT(X$2,5))</f>
        <v>5226.5</v>
      </c>
      <c r="Y10" s="16">
        <f>SUMIFS(Oats_Mo!$P:$P,Oats_Mo!$B:$B,"Production",Oats_Mo!$C:$C,RIGHT(Y$2,5))</f>
        <v>2643.1</v>
      </c>
      <c r="Z10" s="16">
        <f>SUMIFS(Oats_Mo!$P:$P,Oats_Mo!$B:$B,"Production",Oats_Mo!$C:$C,RIGHT(Z$2,5))</f>
        <v>3357.6</v>
      </c>
    </row>
    <row r="11" spans="1:26" x14ac:dyDescent="0.3">
      <c r="A11" s="17" t="s">
        <v>72</v>
      </c>
      <c r="B11" s="17" t="s">
        <v>60</v>
      </c>
      <c r="C11" s="18" t="s">
        <v>59</v>
      </c>
      <c r="D11" s="19">
        <f t="shared" ref="D11:Z11" si="2">D8+D9+D10</f>
        <v>3310.3640000000005</v>
      </c>
      <c r="E11" s="19">
        <f t="shared" si="2"/>
        <v>3935.0280000000002</v>
      </c>
      <c r="F11" s="19">
        <f t="shared" si="2"/>
        <v>4288.938000000001</v>
      </c>
      <c r="G11" s="19">
        <f t="shared" si="2"/>
        <v>4288.2050000000017</v>
      </c>
      <c r="H11" s="19">
        <f t="shared" si="2"/>
        <v>4751.5980000000027</v>
      </c>
      <c r="I11" s="19">
        <f t="shared" si="2"/>
        <v>5200.1930000000011</v>
      </c>
      <c r="J11" s="19">
        <f t="shared" si="2"/>
        <v>5249.4180000000024</v>
      </c>
      <c r="K11" s="19">
        <f t="shared" si="2"/>
        <v>4466.2760000000017</v>
      </c>
      <c r="L11" s="19">
        <f t="shared" si="2"/>
        <v>3659.193000000002</v>
      </c>
      <c r="M11" s="19">
        <f t="shared" si="2"/>
        <v>3933.5830000000024</v>
      </c>
      <c r="N11" s="19">
        <f t="shared" si="2"/>
        <v>3673.8130000000028</v>
      </c>
      <c r="O11" s="19">
        <f t="shared" si="2"/>
        <v>4421.171000000003</v>
      </c>
      <c r="P11" s="19">
        <f t="shared" si="2"/>
        <v>4075.0900000000033</v>
      </c>
      <c r="Q11" s="19">
        <f t="shared" si="2"/>
        <v>4157.430000000003</v>
      </c>
      <c r="R11" s="19">
        <f t="shared" si="2"/>
        <v>4230.8580000000038</v>
      </c>
      <c r="S11" s="19">
        <f t="shared" si="2"/>
        <v>4461.6070000000036</v>
      </c>
      <c r="T11" s="19">
        <f t="shared" si="2"/>
        <v>4235.0170000000035</v>
      </c>
      <c r="U11" s="19">
        <f t="shared" si="2"/>
        <v>4649.6620000000039</v>
      </c>
      <c r="V11" s="19">
        <f t="shared" si="2"/>
        <v>5031.0590000000029</v>
      </c>
      <c r="W11" s="19">
        <f t="shared" si="2"/>
        <v>3595.2470000000035</v>
      </c>
      <c r="X11" s="19">
        <f t="shared" si="2"/>
        <v>5606.6920000000036</v>
      </c>
      <c r="Y11" s="19">
        <f t="shared" si="2"/>
        <v>4183.6600000000044</v>
      </c>
      <c r="Z11" s="19">
        <f t="shared" si="2"/>
        <v>4073.5080000000044</v>
      </c>
    </row>
    <row r="13" spans="1:26" x14ac:dyDescent="0.3">
      <c r="A13" s="11" t="s">
        <v>72</v>
      </c>
      <c r="B13" s="11" t="s">
        <v>46</v>
      </c>
      <c r="C13" s="12" t="s">
        <v>59</v>
      </c>
      <c r="D13" s="16">
        <f>SUMIFS(Oats_Mo!$P:$P,Oats_Mo!$B:$B,"Food",Oats_Mo!$C:$C,RIGHT(D$2,5))</f>
        <v>132.09999999999994</v>
      </c>
      <c r="E13" s="16">
        <f>SUMIFS(Oats_Mo!$P:$P,Oats_Mo!$B:$B,"Food",Oats_Mo!$C:$C,RIGHT(E$2,5))</f>
        <v>139.80000000000004</v>
      </c>
      <c r="F13" s="16">
        <f>SUMIFS(Oats_Mo!$P:$P,Oats_Mo!$B:$B,"Food",Oats_Mo!$C:$C,RIGHT(F$2,5))</f>
        <v>117.50000000000001</v>
      </c>
      <c r="G13" s="16">
        <f>SUMIFS(Oats_Mo!$P:$P,Oats_Mo!$B:$B,"Food",Oats_Mo!$C:$C,RIGHT(G$2,5))</f>
        <v>78.700000000000031</v>
      </c>
      <c r="H13" s="16">
        <f>SUMIFS(Oats_Mo!$P:$P,Oats_Mo!$B:$B,"Food",Oats_Mo!$C:$C,RIGHT(H$2,5))</f>
        <v>92.09999999999998</v>
      </c>
      <c r="I13" s="16">
        <f>SUMIFS(Oats_Mo!$P:$P,Oats_Mo!$B:$B,"Food",Oats_Mo!$C:$C,RIGHT(I$2,5))</f>
        <v>70.200000000000017</v>
      </c>
      <c r="J13" s="16">
        <f>SUMIFS(Oats_Mo!$P:$P,Oats_Mo!$B:$B,"Food",Oats_Mo!$C:$C,RIGHT(J$2,5))</f>
        <v>69.3</v>
      </c>
      <c r="K13" s="16">
        <f>SUMIFS(Oats_Mo!$P:$P,Oats_Mo!$B:$B,"Food",Oats_Mo!$C:$C,RIGHT(K$2,5))</f>
        <v>59.800000000000004</v>
      </c>
      <c r="L13" s="16">
        <f>SUMIFS(Oats_Mo!$P:$P,Oats_Mo!$B:$B,"Food",Oats_Mo!$C:$C,RIGHT(L$2,5))</f>
        <v>86.200000000000031</v>
      </c>
      <c r="M13" s="16">
        <f>SUMIFS(Oats_Mo!$P:$P,Oats_Mo!$B:$B,"Food",Oats_Mo!$C:$C,RIGHT(M$2,5))</f>
        <v>123.30000000000003</v>
      </c>
      <c r="N13" s="16">
        <f>SUMIFS(Oats_Mo!$P:$P,Oats_Mo!$B:$B,"Food",Oats_Mo!$C:$C,RIGHT(N$2,5))</f>
        <v>117.2</v>
      </c>
      <c r="O13" s="16">
        <f>SUMIFS(Oats_Mo!$P:$P,Oats_Mo!$B:$B,"Food",Oats_Mo!$C:$C,RIGHT(O$2,5))</f>
        <v>83.5</v>
      </c>
      <c r="P13" s="16">
        <f>SUMIFS(Oats_Mo!$P:$P,Oats_Mo!$B:$B,"Food",Oats_Mo!$C:$C,RIGHT(P$2,5))</f>
        <v>147</v>
      </c>
      <c r="Q13" s="16">
        <f>SUMIFS(Oats_Mo!$P:$P,Oats_Mo!$B:$B,"Food",Oats_Mo!$C:$C,RIGHT(Q$2,5))</f>
        <v>184.29999999999995</v>
      </c>
      <c r="R13" s="16">
        <f>SUMIFS(Oats_Mo!$P:$P,Oats_Mo!$B:$B,"Food",Oats_Mo!$C:$C,RIGHT(R$2,5))</f>
        <v>125.19999999999999</v>
      </c>
      <c r="S13" s="16">
        <f>SUMIFS(Oats_Mo!$P:$P,Oats_Mo!$B:$B,"Food",Oats_Mo!$C:$C,RIGHT(S$2,5))</f>
        <v>112.19999999999997</v>
      </c>
      <c r="T13" s="16">
        <f>SUMIFS(Oats_Mo!$P:$P,Oats_Mo!$B:$B,"Food",Oats_Mo!$C:$C,RIGHT(T$2,5))</f>
        <v>122.40000000000002</v>
      </c>
      <c r="U13" s="16">
        <f>SUMIFS(Oats_Mo!$P:$P,Oats_Mo!$B:$B,"Food",Oats_Mo!$C:$C,RIGHT(U$2,5))</f>
        <v>143.4</v>
      </c>
      <c r="V13" s="16">
        <f>SUMIFS(Oats_Mo!$P:$P,Oats_Mo!$B:$B,"Food",Oats_Mo!$C:$C,RIGHT(V$2,5))</f>
        <v>104.09999999999998</v>
      </c>
      <c r="W13" s="16">
        <f>SUMIFS(Oats_Mo!$P:$P,Oats_Mo!$B:$B,"Food",Oats_Mo!$C:$C,RIGHT(W$2,5))</f>
        <v>97.599999999999966</v>
      </c>
      <c r="X13" s="16">
        <f>SUMIFS(Oats_Mo!$P:$P,Oats_Mo!$B:$B,"Food",Oats_Mo!$C:$C,RIGHT(X$2,5))</f>
        <v>90.300000000000011</v>
      </c>
      <c r="Y13" s="16">
        <f>SUMIFS(Oats_Mo!$P:$P,Oats_Mo!$B:$B,"Food",Oats_Mo!$C:$C,RIGHT(Y$2,5))</f>
        <v>78.799999999999969</v>
      </c>
      <c r="Z13" s="16">
        <f>SUMIFS(Oats_Mo!$P:$P,Oats_Mo!$B:$B,"Food",Oats_Mo!$C:$C,RIGHT(Z$2,5))</f>
        <v>75.2</v>
      </c>
    </row>
    <row r="14" spans="1:26" x14ac:dyDescent="0.3">
      <c r="A14" s="11" t="s">
        <v>72</v>
      </c>
      <c r="B14" s="11" t="s">
        <v>47</v>
      </c>
      <c r="C14" s="12" t="s">
        <v>59</v>
      </c>
      <c r="D14" s="16">
        <f>SUMIFS(Oats_Mo!$P:$P,Oats_Mo!$B:$B,"Industrial",Oats_Mo!$C:$C,RIGHT(D$2,5))</f>
        <v>0</v>
      </c>
      <c r="E14" s="16">
        <f>SUMIFS(Oats_Mo!$P:$P,Oats_Mo!$B:$B,"Industrial",Oats_Mo!$C:$C,RIGHT(E$2,5))</f>
        <v>0</v>
      </c>
      <c r="F14" s="16">
        <f>SUMIFS(Oats_Mo!$P:$P,Oats_Mo!$B:$B,"Industrial",Oats_Mo!$C:$C,RIGHT(F$2,5))</f>
        <v>0</v>
      </c>
      <c r="G14" s="16">
        <f>SUMIFS(Oats_Mo!$P:$P,Oats_Mo!$B:$B,"Industrial",Oats_Mo!$C:$C,RIGHT(G$2,5))</f>
        <v>0</v>
      </c>
      <c r="H14" s="16">
        <f>SUMIFS(Oats_Mo!$P:$P,Oats_Mo!$B:$B,"Industrial",Oats_Mo!$C:$C,RIGHT(H$2,5))</f>
        <v>0</v>
      </c>
      <c r="I14" s="16">
        <f>SUMIFS(Oats_Mo!$P:$P,Oats_Mo!$B:$B,"Industrial",Oats_Mo!$C:$C,RIGHT(I$2,5))</f>
        <v>0</v>
      </c>
      <c r="J14" s="16">
        <f>SUMIFS(Oats_Mo!$P:$P,Oats_Mo!$B:$B,"Industrial",Oats_Mo!$C:$C,RIGHT(J$2,5))</f>
        <v>0</v>
      </c>
      <c r="K14" s="16">
        <f>SUMIFS(Oats_Mo!$P:$P,Oats_Mo!$B:$B,"Industrial",Oats_Mo!$C:$C,RIGHT(K$2,5))</f>
        <v>0</v>
      </c>
      <c r="L14" s="16">
        <f>SUMIFS(Oats_Mo!$P:$P,Oats_Mo!$B:$B,"Industrial",Oats_Mo!$C:$C,RIGHT(L$2,5))</f>
        <v>0</v>
      </c>
      <c r="M14" s="16">
        <f>SUMIFS(Oats_Mo!$P:$P,Oats_Mo!$B:$B,"Industrial",Oats_Mo!$C:$C,RIGHT(M$2,5))</f>
        <v>0</v>
      </c>
      <c r="N14" s="16">
        <f>SUMIFS(Oats_Mo!$P:$P,Oats_Mo!$B:$B,"Industrial",Oats_Mo!$C:$C,RIGHT(N$2,5))</f>
        <v>0</v>
      </c>
      <c r="O14" s="16">
        <f>SUMIFS(Oats_Mo!$P:$P,Oats_Mo!$B:$B,"Industrial",Oats_Mo!$C:$C,RIGHT(O$2,5))</f>
        <v>0</v>
      </c>
      <c r="P14" s="16">
        <f>SUMIFS(Oats_Mo!$P:$P,Oats_Mo!$B:$B,"Industrial",Oats_Mo!$C:$C,RIGHT(P$2,5))</f>
        <v>0</v>
      </c>
      <c r="Q14" s="16">
        <f>SUMIFS(Oats_Mo!$P:$P,Oats_Mo!$B:$B,"Industrial",Oats_Mo!$C:$C,RIGHT(Q$2,5))</f>
        <v>0</v>
      </c>
      <c r="R14" s="16">
        <f>SUMIFS(Oats_Mo!$P:$P,Oats_Mo!$B:$B,"Industrial",Oats_Mo!$C:$C,RIGHT(R$2,5))</f>
        <v>0</v>
      </c>
      <c r="S14" s="16">
        <f>SUMIFS(Oats_Mo!$P:$P,Oats_Mo!$B:$B,"Industrial",Oats_Mo!$C:$C,RIGHT(S$2,5))</f>
        <v>0</v>
      </c>
      <c r="T14" s="16">
        <f>SUMIFS(Oats_Mo!$P:$P,Oats_Mo!$B:$B,"Industrial",Oats_Mo!$C:$C,RIGHT(T$2,5))</f>
        <v>0</v>
      </c>
      <c r="U14" s="16">
        <f>SUMIFS(Oats_Mo!$P:$P,Oats_Mo!$B:$B,"Industrial",Oats_Mo!$C:$C,RIGHT(U$2,5))</f>
        <v>0</v>
      </c>
      <c r="V14" s="16">
        <f>SUMIFS(Oats_Mo!$P:$P,Oats_Mo!$B:$B,"Industrial",Oats_Mo!$C:$C,RIGHT(V$2,5))</f>
        <v>0</v>
      </c>
      <c r="W14" s="16">
        <f>SUMIFS(Oats_Mo!$P:$P,Oats_Mo!$B:$B,"Industrial",Oats_Mo!$C:$C,RIGHT(W$2,5))</f>
        <v>0</v>
      </c>
      <c r="X14" s="16">
        <f>SUMIFS(Oats_Mo!$P:$P,Oats_Mo!$B:$B,"Industrial",Oats_Mo!$C:$C,RIGHT(X$2,5))</f>
        <v>0</v>
      </c>
      <c r="Y14" s="16">
        <f>SUMIFS(Oats_Mo!$P:$P,Oats_Mo!$B:$B,"Industrial",Oats_Mo!$C:$C,RIGHT(Y$2,5))</f>
        <v>0</v>
      </c>
      <c r="Z14" s="16">
        <f>SUMIFS(Oats_Mo!$P:$P,Oats_Mo!$B:$B,"Industrial",Oats_Mo!$C:$C,RIGHT(Z$2,5))</f>
        <v>0</v>
      </c>
    </row>
    <row r="15" spans="1:26" x14ac:dyDescent="0.3">
      <c r="A15" s="11" t="s">
        <v>72</v>
      </c>
      <c r="B15" s="11" t="s">
        <v>50</v>
      </c>
      <c r="C15" s="12" t="s">
        <v>59</v>
      </c>
      <c r="D15" s="16">
        <f>SUMIFS(Oats_Mo!$P:$P,Oats_Mo!$B:$B,"FSR",Oats_Mo!$C:$C,RIGHT(D$2,5))+SUMIFS(Oats_Mo!$P:$P,Oats_Mo!$B:$B,"Seed",Oats_Mo!$C:$C,RIGHT(D$2,5))</f>
        <v>1556.0339999999999</v>
      </c>
      <c r="E15" s="16">
        <f>SUMIFS(Oats_Mo!$P:$P,Oats_Mo!$B:$B,"FSR",Oats_Mo!$C:$C,RIGHT(E$2,5))+SUMIFS(Oats_Mo!$P:$P,Oats_Mo!$B:$B,"Seed",Oats_Mo!$C:$C,RIGHT(E$2,5))</f>
        <v>1567.3699999999988</v>
      </c>
      <c r="F15" s="16">
        <f>SUMIFS(Oats_Mo!$P:$P,Oats_Mo!$B:$B,"FSR",Oats_Mo!$C:$C,RIGHT(F$2,5))+SUMIFS(Oats_Mo!$P:$P,Oats_Mo!$B:$B,"Seed",Oats_Mo!$C:$C,RIGHT(F$2,5))</f>
        <v>1661.0060000000001</v>
      </c>
      <c r="G15" s="16">
        <f>SUMIFS(Oats_Mo!$P:$P,Oats_Mo!$B:$B,"FSR",Oats_Mo!$C:$C,RIGHT(G$2,5))+SUMIFS(Oats_Mo!$P:$P,Oats_Mo!$B:$B,"Seed",Oats_Mo!$C:$C,RIGHT(G$2,5))</f>
        <v>1616.061999999999</v>
      </c>
      <c r="H15" s="16">
        <f>SUMIFS(Oats_Mo!$P:$P,Oats_Mo!$B:$B,"FSR",Oats_Mo!$C:$C,RIGHT(H$2,5))+SUMIFS(Oats_Mo!$P:$P,Oats_Mo!$B:$B,"Seed",Oats_Mo!$C:$C,RIGHT(H$2,5))</f>
        <v>1909.411000000001</v>
      </c>
      <c r="I15" s="16">
        <f>SUMIFS(Oats_Mo!$P:$P,Oats_Mo!$B:$B,"FSR",Oats_Mo!$C:$C,RIGHT(I$2,5))+SUMIFS(Oats_Mo!$P:$P,Oats_Mo!$B:$B,"Seed",Oats_Mo!$C:$C,RIGHT(I$2,5))</f>
        <v>1547.5289999999993</v>
      </c>
      <c r="J15" s="16">
        <f>SUMIFS(Oats_Mo!$P:$P,Oats_Mo!$B:$B,"FSR",Oats_Mo!$C:$C,RIGHT(J$2,5))+SUMIFS(Oats_Mo!$P:$P,Oats_Mo!$B:$B,"Seed",Oats_Mo!$C:$C,RIGHT(J$2,5))</f>
        <v>1454.8680000000002</v>
      </c>
      <c r="K15" s="16">
        <f>SUMIFS(Oats_Mo!$P:$P,Oats_Mo!$B:$B,"FSR",Oats_Mo!$C:$C,RIGHT(K$2,5))+SUMIFS(Oats_Mo!$P:$P,Oats_Mo!$B:$B,"Seed",Oats_Mo!$C:$C,RIGHT(K$2,5))</f>
        <v>1452.1219999999994</v>
      </c>
      <c r="L15" s="16">
        <f>SUMIFS(Oats_Mo!$P:$P,Oats_Mo!$B:$B,"FSR",Oats_Mo!$C:$C,RIGHT(L$2,5))+SUMIFS(Oats_Mo!$P:$P,Oats_Mo!$B:$B,"Seed",Oats_Mo!$C:$C,RIGHT(L$2,5))</f>
        <v>1196.037</v>
      </c>
      <c r="M15" s="16">
        <f>SUMIFS(Oats_Mo!$P:$P,Oats_Mo!$B:$B,"FSR",Oats_Mo!$C:$C,RIGHT(M$2,5))+SUMIFS(Oats_Mo!$P:$P,Oats_Mo!$B:$B,"Seed",Oats_Mo!$C:$C,RIGHT(M$2,5))</f>
        <v>984.39599999999916</v>
      </c>
      <c r="N15" s="16">
        <f>SUMIFS(Oats_Mo!$P:$P,Oats_Mo!$B:$B,"FSR",Oats_Mo!$C:$C,RIGHT(N$2,5))+SUMIFS(Oats_Mo!$P:$P,Oats_Mo!$B:$B,"Seed",Oats_Mo!$C:$C,RIGHT(N$2,5))</f>
        <v>1189.9739999999999</v>
      </c>
      <c r="O15" s="16">
        <f>SUMIFS(Oats_Mo!$P:$P,Oats_Mo!$B:$B,"FSR",Oats_Mo!$C:$C,RIGHT(O$2,5))+SUMIFS(Oats_Mo!$P:$P,Oats_Mo!$B:$B,"Seed",Oats_Mo!$C:$C,RIGHT(O$2,5))</f>
        <v>1291.5429999999997</v>
      </c>
      <c r="P15" s="16">
        <f>SUMIFS(Oats_Mo!$P:$P,Oats_Mo!$B:$B,"FSR",Oats_Mo!$C:$C,RIGHT(P$2,5))+SUMIFS(Oats_Mo!$P:$P,Oats_Mo!$B:$B,"Seed",Oats_Mo!$C:$C,RIGHT(P$2,5))</f>
        <v>1201.5549999999998</v>
      </c>
      <c r="Q15" s="16">
        <f>SUMIFS(Oats_Mo!$P:$P,Oats_Mo!$B:$B,"FSR",Oats_Mo!$C:$C,RIGHT(Q$2,5))+SUMIFS(Oats_Mo!$P:$P,Oats_Mo!$B:$B,"Seed",Oats_Mo!$C:$C,RIGHT(Q$2,5))</f>
        <v>1089.8659999999993</v>
      </c>
      <c r="R15" s="16">
        <f>SUMIFS(Oats_Mo!$P:$P,Oats_Mo!$B:$B,"FSR",Oats_Mo!$C:$C,RIGHT(R$2,5))+SUMIFS(Oats_Mo!$P:$P,Oats_Mo!$B:$B,"Seed",Oats_Mo!$C:$C,RIGHT(R$2,5))</f>
        <v>1442.3129999999999</v>
      </c>
      <c r="S15" s="16">
        <f>SUMIFS(Oats_Mo!$P:$P,Oats_Mo!$B:$B,"FSR",Oats_Mo!$C:$C,RIGHT(S$2,5))+SUMIFS(Oats_Mo!$P:$P,Oats_Mo!$B:$B,"Seed",Oats_Mo!$C:$C,RIGHT(S$2,5))</f>
        <v>1505.1550000000007</v>
      </c>
      <c r="T15" s="16">
        <f>SUMIFS(Oats_Mo!$P:$P,Oats_Mo!$B:$B,"FSR",Oats_Mo!$C:$C,RIGHT(T$2,5))+SUMIFS(Oats_Mo!$P:$P,Oats_Mo!$B:$B,"Seed",Oats_Mo!$C:$C,RIGHT(T$2,5))</f>
        <v>1484.8459999999989</v>
      </c>
      <c r="U15" s="16">
        <f>SUMIFS(Oats_Mo!$P:$P,Oats_Mo!$B:$B,"FSR",Oats_Mo!$C:$C,RIGHT(U$2,5))+SUMIFS(Oats_Mo!$P:$P,Oats_Mo!$B:$B,"Seed",Oats_Mo!$C:$C,RIGHT(U$2,5))</f>
        <v>1739.446000000001</v>
      </c>
      <c r="V15" s="16">
        <f>SUMIFS(Oats_Mo!$P:$P,Oats_Mo!$B:$B,"FSR",Oats_Mo!$C:$C,RIGHT(V$2,5))+SUMIFS(Oats_Mo!$P:$P,Oats_Mo!$B:$B,"Seed",Oats_Mo!$C:$C,RIGHT(V$2,5))</f>
        <v>1620.5289999999993</v>
      </c>
      <c r="W15" s="16">
        <f>SUMIFS(Oats_Mo!$P:$P,Oats_Mo!$B:$B,"FSR",Oats_Mo!$C:$C,RIGHT(W$2,5))+SUMIFS(Oats_Mo!$P:$P,Oats_Mo!$B:$B,"Seed",Oats_Mo!$C:$C,RIGHT(W$2,5))</f>
        <v>1142.6690000000003</v>
      </c>
      <c r="X15" s="16">
        <f>SUMIFS(Oats_Mo!$P:$P,Oats_Mo!$B:$B,"FSR",Oats_Mo!$C:$C,RIGHT(X$2,5))+SUMIFS(Oats_Mo!$P:$P,Oats_Mo!$B:$B,"Seed",Oats_Mo!$C:$C,RIGHT(X$2,5))</f>
        <v>1621.8339999999996</v>
      </c>
      <c r="Y15" s="16">
        <f>SUMIFS(Oats_Mo!$P:$P,Oats_Mo!$B:$B,"FSR",Oats_Mo!$C:$C,RIGHT(Y$2,5))+SUMIFS(Oats_Mo!$P:$P,Oats_Mo!$B:$B,"Seed",Oats_Mo!$C:$C,RIGHT(Y$2,5))</f>
        <v>1368.201</v>
      </c>
      <c r="Z15" s="16">
        <f>SUMIFS(Oats_Mo!$P:$P,Oats_Mo!$B:$B,"FSR",Oats_Mo!$C:$C,RIGHT(Z$2,5))+SUMIFS(Oats_Mo!$P:$P,Oats_Mo!$B:$B,"Seed",Oats_Mo!$C:$C,RIGHT(Z$2,5))</f>
        <v>1275.320999999999</v>
      </c>
    </row>
    <row r="16" spans="1:26" x14ac:dyDescent="0.3">
      <c r="A16" s="11" t="s">
        <v>72</v>
      </c>
      <c r="B16" s="11" t="s">
        <v>44</v>
      </c>
      <c r="C16" s="12" t="s">
        <v>59</v>
      </c>
      <c r="D16" s="16">
        <f>SUMIFS(Oats_Mo!$P:$P,Oats_Mo!$B:$B,"Exports",Oats_Mo!$C:$C,RIGHT(D$2,5))</f>
        <v>1098.33</v>
      </c>
      <c r="E16" s="16">
        <f>SUMIFS(Oats_Mo!$P:$P,Oats_Mo!$B:$B,"Exports",Oats_Mo!$C:$C,RIGHT(E$2,5))</f>
        <v>1439.758</v>
      </c>
      <c r="F16" s="16">
        <f>SUMIFS(Oats_Mo!$P:$P,Oats_Mo!$B:$B,"Exports",Oats_Mo!$C:$C,RIGHT(F$2,5))</f>
        <v>1536.0319999999997</v>
      </c>
      <c r="G16" s="16">
        <f>SUMIFS(Oats_Mo!$P:$P,Oats_Mo!$B:$B,"Exports",Oats_Mo!$C:$C,RIGHT(G$2,5))</f>
        <v>1721.7429999999999</v>
      </c>
      <c r="H16" s="16">
        <f>SUMIFS(Oats_Mo!$P:$P,Oats_Mo!$B:$B,"Exports",Oats_Mo!$C:$C,RIGHT(H$2,5))</f>
        <v>2193.8870000000002</v>
      </c>
      <c r="I16" s="16">
        <f>SUMIFS(Oats_Mo!$P:$P,Oats_Mo!$B:$B,"Exports",Oats_Mo!$C:$C,RIGHT(I$2,5))</f>
        <v>2632.9640000000004</v>
      </c>
      <c r="J16" s="16">
        <f>SUMIFS(Oats_Mo!$P:$P,Oats_Mo!$B:$B,"Exports",Oats_Mo!$C:$C,RIGHT(J$2,5))</f>
        <v>2198.0500000000002</v>
      </c>
      <c r="K16" s="16">
        <f>SUMIFS(Oats_Mo!$P:$P,Oats_Mo!$B:$B,"Exports",Oats_Mo!$C:$C,RIGHT(K$2,5))</f>
        <v>1792.5540000000001</v>
      </c>
      <c r="L16" s="16">
        <f>SUMIFS(Oats_Mo!$P:$P,Oats_Mo!$B:$B,"Exports",Oats_Mo!$C:$C,RIGHT(L$2,5))</f>
        <v>1644.356</v>
      </c>
      <c r="M16" s="16">
        <f>SUMIFS(Oats_Mo!$P:$P,Oats_Mo!$B:$B,"Exports",Oats_Mo!$C:$C,RIGHT(M$2,5))</f>
        <v>2021.3870000000002</v>
      </c>
      <c r="N16" s="16">
        <f>SUMIFS(Oats_Mo!$P:$P,Oats_Mo!$B:$B,"Exports",Oats_Mo!$C:$C,RIGHT(N$2,5))</f>
        <v>1920.8390000000002</v>
      </c>
      <c r="O16" s="16">
        <f>SUMIFS(Oats_Mo!$P:$P,Oats_Mo!$B:$B,"Exports",Oats_Mo!$C:$C,RIGHT(O$2,5))</f>
        <v>1977.1280000000002</v>
      </c>
      <c r="P16" s="16">
        <f>SUMIFS(Oats_Mo!$P:$P,Oats_Mo!$B:$B,"Exports",Oats_Mo!$C:$C,RIGHT(P$2,5))</f>
        <v>2025.6350000000002</v>
      </c>
      <c r="Q16" s="16">
        <f>SUMIFS(Oats_Mo!$P:$P,Oats_Mo!$B:$B,"Exports",Oats_Mo!$C:$C,RIGHT(Q$2,5))</f>
        <v>1916.2639999999999</v>
      </c>
      <c r="R16" s="16">
        <f>SUMIFS(Oats_Mo!$P:$P,Oats_Mo!$B:$B,"Exports",Oats_Mo!$C:$C,RIGHT(R$2,5))</f>
        <v>1959.8450000000003</v>
      </c>
      <c r="S16" s="16">
        <f>SUMIFS(Oats_Mo!$P:$P,Oats_Mo!$B:$B,"Exports",Oats_Mo!$C:$C,RIGHT(S$2,5))</f>
        <v>2065.8519999999999</v>
      </c>
      <c r="T16" s="16">
        <f>SUMIFS(Oats_Mo!$P:$P,Oats_Mo!$B:$B,"Exports",Oats_Mo!$C:$C,RIGHT(T$2,5))</f>
        <v>2230.8710000000001</v>
      </c>
      <c r="U16" s="16">
        <f>SUMIFS(Oats_Mo!$P:$P,Oats_Mo!$B:$B,"Exports",Oats_Mo!$C:$C,RIGHT(U$2,5))</f>
        <v>2341.2159999999999</v>
      </c>
      <c r="V16" s="16">
        <f>SUMIFS(Oats_Mo!$P:$P,Oats_Mo!$B:$B,"Exports",Oats_Mo!$C:$C,RIGHT(V$2,5))</f>
        <v>2649.9300000000003</v>
      </c>
      <c r="W16" s="16">
        <f>SUMIFS(Oats_Mo!$P:$P,Oats_Mo!$B:$B,"Exports",Oats_Mo!$C:$C,RIGHT(W$2,5))</f>
        <v>2022.3779999999997</v>
      </c>
      <c r="X16" s="16">
        <f>SUMIFS(Oats_Mo!$P:$P,Oats_Mo!$B:$B,"Exports",Oats_Mo!$C:$C,RIGHT(X$2,5))</f>
        <v>2391.558</v>
      </c>
      <c r="Y16" s="16">
        <f>SUMIFS(Oats_Mo!$P:$P,Oats_Mo!$B:$B,"Exports",Oats_Mo!$C:$C,RIGHT(Y$2,5))</f>
        <v>2066.259</v>
      </c>
      <c r="Z16" s="16">
        <f>SUMIFS(Oats_Mo!$P:$P,Oats_Mo!$B:$B,"Exports",Oats_Mo!$C:$C,RIGHT(Z$2,5))</f>
        <v>2216.2870000000003</v>
      </c>
    </row>
    <row r="17" spans="1:26" x14ac:dyDescent="0.3">
      <c r="A17" s="17" t="s">
        <v>72</v>
      </c>
      <c r="B17" s="17" t="s">
        <v>61</v>
      </c>
      <c r="C17" s="18" t="s">
        <v>59</v>
      </c>
      <c r="D17" s="19">
        <f t="shared" ref="D17:Z17" si="3">D13+D14+D15+D16</f>
        <v>2786.4639999999999</v>
      </c>
      <c r="E17" s="19">
        <f t="shared" si="3"/>
        <v>3146.927999999999</v>
      </c>
      <c r="F17" s="19">
        <f t="shared" si="3"/>
        <v>3314.5379999999996</v>
      </c>
      <c r="G17" s="19">
        <f t="shared" si="3"/>
        <v>3416.5049999999992</v>
      </c>
      <c r="H17" s="19">
        <f t="shared" si="3"/>
        <v>4195.398000000001</v>
      </c>
      <c r="I17" s="19">
        <f t="shared" si="3"/>
        <v>4250.6929999999993</v>
      </c>
      <c r="J17" s="19">
        <f t="shared" si="3"/>
        <v>3722.2180000000003</v>
      </c>
      <c r="K17" s="19">
        <f t="shared" si="3"/>
        <v>3304.4759999999997</v>
      </c>
      <c r="L17" s="19">
        <f t="shared" si="3"/>
        <v>2926.5929999999998</v>
      </c>
      <c r="M17" s="19">
        <f t="shared" si="3"/>
        <v>3129.0829999999996</v>
      </c>
      <c r="N17" s="19">
        <f t="shared" si="3"/>
        <v>3228.0129999999999</v>
      </c>
      <c r="O17" s="19">
        <f t="shared" si="3"/>
        <v>3352.1709999999998</v>
      </c>
      <c r="P17" s="19">
        <f t="shared" si="3"/>
        <v>3374.19</v>
      </c>
      <c r="Q17" s="19">
        <f t="shared" si="3"/>
        <v>3190.4299999999994</v>
      </c>
      <c r="R17" s="19">
        <f t="shared" si="3"/>
        <v>3527.3580000000002</v>
      </c>
      <c r="S17" s="19">
        <f t="shared" si="3"/>
        <v>3683.2070000000003</v>
      </c>
      <c r="T17" s="19">
        <f t="shared" si="3"/>
        <v>3838.1169999999993</v>
      </c>
      <c r="U17" s="19">
        <f t="shared" si="3"/>
        <v>4224.0620000000008</v>
      </c>
      <c r="V17" s="19">
        <f t="shared" si="3"/>
        <v>4374.5589999999993</v>
      </c>
      <c r="W17" s="19">
        <f t="shared" si="3"/>
        <v>3262.6469999999999</v>
      </c>
      <c r="X17" s="19">
        <f t="shared" si="3"/>
        <v>4103.6919999999991</v>
      </c>
      <c r="Y17" s="19">
        <f t="shared" si="3"/>
        <v>3513.26</v>
      </c>
      <c r="Z17" s="19">
        <f t="shared" si="3"/>
        <v>3566.8079999999991</v>
      </c>
    </row>
    <row r="19" spans="1:26" x14ac:dyDescent="0.3">
      <c r="A19" s="20" t="s">
        <v>72</v>
      </c>
      <c r="B19" s="20" t="s">
        <v>62</v>
      </c>
      <c r="C19" s="21" t="s">
        <v>59</v>
      </c>
      <c r="D19" s="22">
        <f t="shared" ref="D19:Z19" si="4">D11-D17</f>
        <v>523.90000000000055</v>
      </c>
      <c r="E19" s="22">
        <f t="shared" si="4"/>
        <v>788.10000000000127</v>
      </c>
      <c r="F19" s="22">
        <f t="shared" si="4"/>
        <v>974.40000000000146</v>
      </c>
      <c r="G19" s="22">
        <f t="shared" si="4"/>
        <v>871.70000000000255</v>
      </c>
      <c r="H19" s="22">
        <f t="shared" si="4"/>
        <v>556.20000000000164</v>
      </c>
      <c r="I19" s="22">
        <f t="shared" si="4"/>
        <v>949.50000000000182</v>
      </c>
      <c r="J19" s="22">
        <f t="shared" si="4"/>
        <v>1527.2000000000021</v>
      </c>
      <c r="K19" s="22">
        <f t="shared" si="4"/>
        <v>1161.800000000002</v>
      </c>
      <c r="L19" s="22">
        <f t="shared" si="4"/>
        <v>732.60000000000218</v>
      </c>
      <c r="M19" s="22">
        <f t="shared" si="4"/>
        <v>804.50000000000273</v>
      </c>
      <c r="N19" s="22">
        <f t="shared" si="4"/>
        <v>445.80000000000291</v>
      </c>
      <c r="O19" s="22">
        <f t="shared" si="4"/>
        <v>1069.0000000000032</v>
      </c>
      <c r="P19" s="22">
        <f t="shared" si="4"/>
        <v>700.90000000000327</v>
      </c>
      <c r="Q19" s="22">
        <f t="shared" si="4"/>
        <v>967.00000000000364</v>
      </c>
      <c r="R19" s="22">
        <f t="shared" si="4"/>
        <v>703.50000000000364</v>
      </c>
      <c r="S19" s="22">
        <f t="shared" si="4"/>
        <v>778.40000000000327</v>
      </c>
      <c r="T19" s="22">
        <f t="shared" si="4"/>
        <v>396.90000000000418</v>
      </c>
      <c r="U19" s="22">
        <f t="shared" si="4"/>
        <v>425.60000000000309</v>
      </c>
      <c r="V19" s="22">
        <f t="shared" si="4"/>
        <v>656.50000000000364</v>
      </c>
      <c r="W19" s="22">
        <f t="shared" si="4"/>
        <v>332.60000000000355</v>
      </c>
      <c r="X19" s="22">
        <f t="shared" si="4"/>
        <v>1503.0000000000045</v>
      </c>
      <c r="Y19" s="22">
        <f t="shared" si="4"/>
        <v>670.40000000000418</v>
      </c>
      <c r="Z19" s="22">
        <f t="shared" si="4"/>
        <v>506.70000000000528</v>
      </c>
    </row>
    <row r="20" spans="1:26" x14ac:dyDescent="0.3">
      <c r="A20" s="11" t="s">
        <v>72</v>
      </c>
      <c r="B20" s="11" t="s">
        <v>63</v>
      </c>
      <c r="C20" s="12" t="s">
        <v>56</v>
      </c>
      <c r="D20" s="14">
        <f t="shared" ref="D20:Z20" si="5">IF(D17&lt;&gt;0,D19/D17,"")</f>
        <v>0.18801606624022438</v>
      </c>
      <c r="E20" s="14">
        <f t="shared" si="5"/>
        <v>0.25043470965970671</v>
      </c>
      <c r="F20" s="14">
        <f t="shared" si="5"/>
        <v>0.29397762222065388</v>
      </c>
      <c r="G20" s="14">
        <f t="shared" si="5"/>
        <v>0.25514377997398008</v>
      </c>
      <c r="H20" s="14">
        <f t="shared" si="5"/>
        <v>0.13257383447291568</v>
      </c>
      <c r="I20" s="14">
        <f t="shared" si="5"/>
        <v>0.22337534138551102</v>
      </c>
      <c r="J20" s="14">
        <f t="shared" si="5"/>
        <v>0.41029300272042152</v>
      </c>
      <c r="K20" s="14">
        <f t="shared" si="5"/>
        <v>0.35158373067318455</v>
      </c>
      <c r="L20" s="14">
        <f t="shared" si="5"/>
        <v>0.25032520750237641</v>
      </c>
      <c r="M20" s="14">
        <f t="shared" si="5"/>
        <v>0.25710407809572416</v>
      </c>
      <c r="N20" s="14">
        <f t="shared" si="5"/>
        <v>0.13810353304029535</v>
      </c>
      <c r="O20" s="14">
        <f t="shared" si="5"/>
        <v>0.31889781279057761</v>
      </c>
      <c r="P20" s="14">
        <f t="shared" si="5"/>
        <v>0.20772392781675106</v>
      </c>
      <c r="Q20" s="14">
        <f t="shared" si="5"/>
        <v>0.30309394031525649</v>
      </c>
      <c r="R20" s="14">
        <f t="shared" si="5"/>
        <v>0.1994410547497599</v>
      </c>
      <c r="S20" s="14">
        <f t="shared" si="5"/>
        <v>0.21133756533368969</v>
      </c>
      <c r="T20" s="14">
        <f t="shared" si="5"/>
        <v>0.10341008364257896</v>
      </c>
      <c r="U20" s="14">
        <f t="shared" si="5"/>
        <v>0.1007560968565336</v>
      </c>
      <c r="V20" s="14">
        <f t="shared" si="5"/>
        <v>0.15007227014197402</v>
      </c>
      <c r="W20" s="14">
        <f t="shared" si="5"/>
        <v>0.10194176691502438</v>
      </c>
      <c r="X20" s="14">
        <f t="shared" si="5"/>
        <v>0.3662555571909405</v>
      </c>
      <c r="Y20" s="14">
        <f t="shared" si="5"/>
        <v>0.19081992223746724</v>
      </c>
      <c r="Z20" s="14">
        <f t="shared" si="5"/>
        <v>0.14205979127556218</v>
      </c>
    </row>
    <row r="21" spans="1:26" x14ac:dyDescent="0.3">
      <c r="A21" s="11" t="s">
        <v>72</v>
      </c>
      <c r="B21" s="11" t="s">
        <v>64</v>
      </c>
      <c r="C21" s="12" t="s">
        <v>65</v>
      </c>
      <c r="D21" s="16">
        <f t="shared" ref="D21:Z21" si="6">IF(D17&lt;&gt;0,D19/D17*365,"")</f>
        <v>68.625864177681905</v>
      </c>
      <c r="E21" s="16">
        <f t="shared" si="6"/>
        <v>91.408669025792946</v>
      </c>
      <c r="F21" s="16">
        <f t="shared" si="6"/>
        <v>107.30183211053867</v>
      </c>
      <c r="G21" s="16">
        <f t="shared" si="6"/>
        <v>93.127479690502724</v>
      </c>
      <c r="H21" s="16">
        <f t="shared" si="6"/>
        <v>48.389449582614226</v>
      </c>
      <c r="I21" s="16">
        <f t="shared" si="6"/>
        <v>81.531999605711519</v>
      </c>
      <c r="J21" s="16">
        <f t="shared" si="6"/>
        <v>149.75694599295386</v>
      </c>
      <c r="K21" s="16">
        <f t="shared" si="6"/>
        <v>128.32806169571236</v>
      </c>
      <c r="L21" s="16">
        <f t="shared" si="6"/>
        <v>91.368700738367394</v>
      </c>
      <c r="M21" s="16">
        <f t="shared" si="6"/>
        <v>93.842988504939314</v>
      </c>
      <c r="N21" s="16">
        <f t="shared" si="6"/>
        <v>50.407789559707801</v>
      </c>
      <c r="O21" s="16">
        <f t="shared" si="6"/>
        <v>116.39770166856083</v>
      </c>
      <c r="P21" s="16">
        <f t="shared" si="6"/>
        <v>75.819233653114139</v>
      </c>
      <c r="Q21" s="16">
        <f t="shared" si="6"/>
        <v>110.62928821506863</v>
      </c>
      <c r="R21" s="16">
        <f t="shared" si="6"/>
        <v>72.795984983662365</v>
      </c>
      <c r="S21" s="16">
        <f t="shared" si="6"/>
        <v>77.138211346796737</v>
      </c>
      <c r="T21" s="16">
        <f t="shared" si="6"/>
        <v>37.74468052954132</v>
      </c>
      <c r="U21" s="16">
        <f t="shared" si="6"/>
        <v>36.775975352634767</v>
      </c>
      <c r="V21" s="16">
        <f t="shared" si="6"/>
        <v>54.776378601820518</v>
      </c>
      <c r="W21" s="16">
        <f t="shared" si="6"/>
        <v>37.2087449239839</v>
      </c>
      <c r="X21" s="16">
        <f t="shared" si="6"/>
        <v>133.68327837469329</v>
      </c>
      <c r="Y21" s="16">
        <f t="shared" si="6"/>
        <v>69.649271616675549</v>
      </c>
      <c r="Z21" s="16">
        <f t="shared" si="6"/>
        <v>51.851823815580197</v>
      </c>
    </row>
    <row r="22" spans="1:26" x14ac:dyDescent="0.3">
      <c r="A22" s="20" t="s">
        <v>72</v>
      </c>
      <c r="B22" s="20" t="s">
        <v>66</v>
      </c>
      <c r="C22" s="21" t="s">
        <v>59</v>
      </c>
      <c r="D22" s="22">
        <f>D19-SUMIFS(Oats_Mo!$P:$P,Oats_Mo!$B:$B,"STOCKS",Oats_Mo!$C:$C,RIGHT(D$2,5))</f>
        <v>0</v>
      </c>
      <c r="E22" s="22">
        <f>E19-SUMIFS(Oats_Mo!$P:$P,Oats_Mo!$B:$B,"STOCKS",Oats_Mo!$C:$C,RIGHT(E$2,5))</f>
        <v>1.1368683772161603E-12</v>
      </c>
      <c r="F22" s="22">
        <f>F19-SUMIFS(Oats_Mo!$P:$P,Oats_Mo!$B:$B,"STOCKS",Oats_Mo!$C:$C,RIGHT(F$2,5))</f>
        <v>0</v>
      </c>
      <c r="G22" s="22">
        <f>G19-SUMIFS(Oats_Mo!$P:$P,Oats_Mo!$B:$B,"STOCKS",Oats_Mo!$C:$C,RIGHT(G$2,5))</f>
        <v>1.9326762412674725E-12</v>
      </c>
      <c r="H22" s="22">
        <f>H19-SUMIFS(Oats_Mo!$P:$P,Oats_Mo!$B:$B,"STOCKS",Oats_Mo!$C:$C,RIGHT(H$2,5))</f>
        <v>4.3200998334214091E-12</v>
      </c>
      <c r="I22" s="22">
        <f>I19-SUMIFS(Oats_Mo!$P:$P,Oats_Mo!$B:$B,"STOCKS",Oats_Mo!$C:$C,RIGHT(I$2,5))</f>
        <v>3.1832314562052488E-12</v>
      </c>
      <c r="J22" s="22">
        <f>J19-SUMIFS(Oats_Mo!$P:$P,Oats_Mo!$B:$B,"STOCKS",Oats_Mo!$C:$C,RIGHT(J$2,5))</f>
        <v>0</v>
      </c>
      <c r="K22" s="22">
        <f>K19-SUMIFS(Oats_Mo!$P:$P,Oats_Mo!$B:$B,"STOCKS",Oats_Mo!$C:$C,RIGHT(K$2,5))</f>
        <v>0</v>
      </c>
      <c r="L22" s="22">
        <f>L19-SUMIFS(Oats_Mo!$P:$P,Oats_Mo!$B:$B,"STOCKS",Oats_Mo!$C:$C,RIGHT(L$2,5))</f>
        <v>-1.1368683772161603E-12</v>
      </c>
      <c r="M22" s="22">
        <f>M19-SUMIFS(Oats_Mo!$P:$P,Oats_Mo!$B:$B,"STOCKS",Oats_Mo!$C:$C,RIGHT(M$2,5))</f>
        <v>0</v>
      </c>
      <c r="N22" s="22">
        <f>N19-SUMIFS(Oats_Mo!$P:$P,Oats_Mo!$B:$B,"STOCKS",Oats_Mo!$C:$C,RIGHT(N$2,5))</f>
        <v>1.0231815394945443E-12</v>
      </c>
      <c r="O22" s="22">
        <f>O19-SUMIFS(Oats_Mo!$P:$P,Oats_Mo!$B:$B,"STOCKS",Oats_Mo!$C:$C,RIGHT(O$2,5))</f>
        <v>1.8189894035458565E-12</v>
      </c>
      <c r="P22" s="22">
        <f>P19-SUMIFS(Oats_Mo!$P:$P,Oats_Mo!$B:$B,"STOCKS",Oats_Mo!$C:$C,RIGHT(P$2,5))</f>
        <v>2.7284841053187847E-12</v>
      </c>
      <c r="Q22" s="22">
        <f>Q19-SUMIFS(Oats_Mo!$P:$P,Oats_Mo!$B:$B,"STOCKS",Oats_Mo!$C:$C,RIGHT(Q$2,5))</f>
        <v>2.2737367544323206E-12</v>
      </c>
      <c r="R22" s="22">
        <f>R19-SUMIFS(Oats_Mo!$P:$P,Oats_Mo!$B:$B,"STOCKS",Oats_Mo!$C:$C,RIGHT(R$2,5))</f>
        <v>3.637978807091713E-12</v>
      </c>
      <c r="S22" s="22">
        <f>S19-SUMIFS(Oats_Mo!$P:$P,Oats_Mo!$B:$B,"STOCKS",Oats_Mo!$C:$C,RIGHT(S$2,5))</f>
        <v>3.979039320256561E-12</v>
      </c>
      <c r="T22" s="22">
        <f>T19-SUMIFS(Oats_Mo!$P:$P,Oats_Mo!$B:$B,"STOCKS",Oats_Mo!$C:$C,RIGHT(T$2,5))</f>
        <v>3.4674485505092889E-12</v>
      </c>
      <c r="U22" s="22">
        <f>U19-SUMIFS(Oats_Mo!$P:$P,Oats_Mo!$B:$B,"STOCKS",Oats_Mo!$C:$C,RIGHT(U$2,5))</f>
        <v>3.0695446184836328E-12</v>
      </c>
      <c r="V22" s="22">
        <f>V19-SUMIFS(Oats_Mo!$P:$P,Oats_Mo!$B:$B,"STOCKS",Oats_Mo!$C:$C,RIGHT(V$2,5))</f>
        <v>2.8421709430404007E-12</v>
      </c>
      <c r="W22" s="22">
        <f>W19-SUMIFS(Oats_Mo!$P:$P,Oats_Mo!$B:$B,"STOCKS",Oats_Mo!$C:$C,RIGHT(W$2,5))</f>
        <v>3.1263880373444408E-12</v>
      </c>
      <c r="X22" s="22">
        <f>X19-SUMIFS(Oats_Mo!$P:$P,Oats_Mo!$B:$B,"STOCKS",Oats_Mo!$C:$C,RIGHT(X$2,5))</f>
        <v>2.5011104298755527E-12</v>
      </c>
      <c r="Y22" s="22">
        <f>Y19-SUMIFS(Oats_Mo!$P:$P,Oats_Mo!$B:$B,"STOCKS",Oats_Mo!$C:$C,RIGHT(Y$2,5))</f>
        <v>9.0949470177292824E-13</v>
      </c>
      <c r="Z22" s="22">
        <f>Z19-SUMIFS(Oats_Mo!$P:$P,Oats_Mo!$B:$B,"STOCKS",Oats_Mo!$C:$C,RIGHT(Z$2,5))</f>
        <v>3.2969182939268649E-12</v>
      </c>
    </row>
    <row r="25" spans="1:26" s="25" customFormat="1" ht="13.8" x14ac:dyDescent="0.3">
      <c r="A25" s="25" t="str">
        <f>A22</f>
        <v>Oats</v>
      </c>
      <c r="B25" s="25" t="s">
        <v>81</v>
      </c>
      <c r="D25" s="40" cm="1">
        <f t="array" ref="D25">SUM(D13:D14/D$10)</f>
        <v>4.5384271824646973E-2</v>
      </c>
      <c r="E25" s="40" cm="1">
        <f t="array" ref="E25">SUM(E13:E14/E$10)</f>
        <v>4.1401368199721636E-2</v>
      </c>
      <c r="F25" s="40" cm="1">
        <f t="array" ref="F25">SUM(F13:F14/F$10)</f>
        <v>3.3889017074296271E-2</v>
      </c>
      <c r="G25" s="40" cm="1">
        <f t="array" ref="G25">SUM(G13:G14/G$10)</f>
        <v>2.3974167605934151E-2</v>
      </c>
      <c r="H25" s="40" cm="1">
        <f t="array" ref="H25">SUM(H13:H14/H$10)</f>
        <v>2.3908415970095007E-2</v>
      </c>
      <c r="I25" s="40" cm="1">
        <f t="array" ref="I25">SUM(I13:I14/I$10)</f>
        <v>1.5200069288065136E-2</v>
      </c>
      <c r="J25" s="40" cm="1">
        <f t="array" ref="J25">SUM(J13:J14/J$10)</f>
        <v>1.6219632074146888E-2</v>
      </c>
      <c r="K25" s="40" cm="1">
        <f t="array" ref="K25">SUM(K13:K14/K$10)</f>
        <v>2.0539240941095657E-2</v>
      </c>
      <c r="L25" s="40" cm="1">
        <f t="array" ref="L25">SUM(L13:L14/L$10)</f>
        <v>3.5163579995104846E-2</v>
      </c>
      <c r="M25" s="40" cm="1">
        <f t="array" ref="M25">SUM(M13:M14/M$10)</f>
        <v>3.9048644540157093E-2</v>
      </c>
      <c r="N25" s="40" cm="1">
        <f t="array" ref="N25">SUM(N13:N14/N$10)</f>
        <v>4.1419281877297147E-2</v>
      </c>
      <c r="O25" s="40" cm="1">
        <f t="array" ref="O25">SUM(O13:O14/O$10)</f>
        <v>2.1259802423872085E-2</v>
      </c>
      <c r="P25" s="40" cm="1">
        <f t="array" ref="P25">SUM(P13:P14/P$10)</f>
        <v>4.9381886589626445E-2</v>
      </c>
      <c r="Q25" s="40" cm="1">
        <f t="array" ref="Q25">SUM(Q13:Q14/Q$10)</f>
        <v>5.3810218978102176E-2</v>
      </c>
      <c r="R25" s="40" cm="1">
        <f t="array" ref="R25">SUM(R13:R14/R$10)</f>
        <v>3.874721465709334E-2</v>
      </c>
      <c r="S25" s="40" cm="1">
        <f t="array" ref="S25">SUM(S13:S14/S$10)</f>
        <v>3.0056255022769884E-2</v>
      </c>
      <c r="T25" s="40" cm="1">
        <f t="array" ref="T25">SUM(T13:T14/T$10)</f>
        <v>3.5622817229336447E-2</v>
      </c>
      <c r="U25" s="40" cm="1">
        <f t="array" ref="U25">SUM(U13:U14/U$10)</f>
        <v>3.3922361791214252E-2</v>
      </c>
      <c r="V25" s="40" cm="1">
        <f t="array" ref="V25">SUM(V13:V14/V$10)</f>
        <v>2.2750120197561077E-2</v>
      </c>
      <c r="W25" s="40" cm="1">
        <f t="array" ref="W25">SUM(W13:W14/W$10)</f>
        <v>3.367142758573103E-2</v>
      </c>
      <c r="X25" s="40" cm="1">
        <f t="array" ref="X25">SUM(X13:X14/X$10)</f>
        <v>1.7277336649765621E-2</v>
      </c>
      <c r="Y25" s="40" cm="1">
        <f t="array" ref="Y25">SUM(Y13:Y14/Y$10)</f>
        <v>2.9813476599447608E-2</v>
      </c>
      <c r="Z25" s="40" cm="1">
        <f t="array" ref="Z25">SUM(Z13:Z14/Z$10)</f>
        <v>2.2396950202525617E-2</v>
      </c>
    </row>
    <row r="26" spans="1:26" s="25" customFormat="1" ht="13.8" x14ac:dyDescent="0.3">
      <c r="A26" s="25" t="str">
        <f>A25</f>
        <v>Oats</v>
      </c>
      <c r="B26" s="25" t="s">
        <v>82</v>
      </c>
      <c r="D26" s="40">
        <f t="shared" ref="D26:Z27" si="7">D15/D$10</f>
        <v>0.53459099185762871</v>
      </c>
      <c r="E26" s="40">
        <f t="shared" si="7"/>
        <v>0.46417212070956815</v>
      </c>
      <c r="F26" s="40">
        <f t="shared" si="7"/>
        <v>0.47906264420858335</v>
      </c>
      <c r="G26" s="40">
        <f t="shared" si="7"/>
        <v>0.49229658512809549</v>
      </c>
      <c r="H26" s="40">
        <f t="shared" si="7"/>
        <v>0.49566767042209675</v>
      </c>
      <c r="I26" s="40">
        <f t="shared" si="7"/>
        <v>0.33507903169928965</v>
      </c>
      <c r="J26" s="40">
        <f t="shared" si="7"/>
        <v>0.34051116416233673</v>
      </c>
      <c r="K26" s="40">
        <f t="shared" si="7"/>
        <v>0.49875390692083099</v>
      </c>
      <c r="L26" s="40">
        <f t="shared" si="7"/>
        <v>0.48789956759402792</v>
      </c>
      <c r="M26" s="40">
        <f t="shared" si="7"/>
        <v>0.31175449708639447</v>
      </c>
      <c r="N26" s="40">
        <f t="shared" si="7"/>
        <v>0.42054495335029685</v>
      </c>
      <c r="O26" s="40">
        <f t="shared" si="7"/>
        <v>0.32883771259802413</v>
      </c>
      <c r="P26" s="40">
        <f t="shared" si="7"/>
        <v>0.40363981456597681</v>
      </c>
      <c r="Q26" s="40">
        <f t="shared" si="7"/>
        <v>0.31820905109489028</v>
      </c>
      <c r="R26" s="40">
        <f t="shared" si="7"/>
        <v>0.44637069819262193</v>
      </c>
      <c r="S26" s="40">
        <f t="shared" si="7"/>
        <v>0.40320251808197177</v>
      </c>
      <c r="T26" s="40">
        <f t="shared" si="7"/>
        <v>0.4321437718277063</v>
      </c>
      <c r="U26" s="40">
        <f t="shared" si="7"/>
        <v>0.41147919475788353</v>
      </c>
      <c r="V26" s="40">
        <f t="shared" si="7"/>
        <v>0.35415206084181983</v>
      </c>
      <c r="W26" s="40">
        <f t="shared" si="7"/>
        <v>0.39421410336024298</v>
      </c>
      <c r="X26" s="40">
        <f t="shared" si="7"/>
        <v>0.31030976753085232</v>
      </c>
      <c r="Y26" s="40">
        <f t="shared" si="7"/>
        <v>0.51765010782792931</v>
      </c>
      <c r="Z26" s="40">
        <f t="shared" si="7"/>
        <v>0.37983112937812696</v>
      </c>
    </row>
    <row r="27" spans="1:26" s="25" customFormat="1" ht="13.8" x14ac:dyDescent="0.3">
      <c r="A27" s="25" t="str">
        <f>A26</f>
        <v>Oats</v>
      </c>
      <c r="B27" s="25" t="s">
        <v>83</v>
      </c>
      <c r="D27" s="40">
        <f t="shared" si="7"/>
        <v>0.37734222008451573</v>
      </c>
      <c r="E27" s="40">
        <f t="shared" si="7"/>
        <v>0.42638019368022034</v>
      </c>
      <c r="F27" s="40">
        <f t="shared" si="7"/>
        <v>0.44301799723119512</v>
      </c>
      <c r="G27" s="40">
        <f t="shared" si="7"/>
        <v>0.52448990160538578</v>
      </c>
      <c r="H27" s="40">
        <f t="shared" si="7"/>
        <v>0.5695153418825607</v>
      </c>
      <c r="I27" s="40">
        <f t="shared" si="7"/>
        <v>0.57010306599688221</v>
      </c>
      <c r="J27" s="40">
        <f t="shared" si="7"/>
        <v>0.51445255816130697</v>
      </c>
      <c r="K27" s="40">
        <f t="shared" si="7"/>
        <v>0.61568057702215351</v>
      </c>
      <c r="L27" s="40">
        <f t="shared" si="7"/>
        <v>0.67078241005139916</v>
      </c>
      <c r="M27" s="40">
        <f t="shared" si="7"/>
        <v>0.64016563212566513</v>
      </c>
      <c r="N27" s="40">
        <f t="shared" si="7"/>
        <v>0.67883764489680531</v>
      </c>
      <c r="O27" s="40">
        <f t="shared" si="7"/>
        <v>0.50339342091862715</v>
      </c>
      <c r="P27" s="40">
        <f t="shared" si="7"/>
        <v>0.68047399892502014</v>
      </c>
      <c r="Q27" s="40">
        <f t="shared" si="7"/>
        <v>0.55949313868613137</v>
      </c>
      <c r="R27" s="40">
        <f t="shared" si="7"/>
        <v>0.60653781876702162</v>
      </c>
      <c r="S27" s="40">
        <f t="shared" si="7"/>
        <v>0.55340262523439587</v>
      </c>
      <c r="T27" s="40">
        <f t="shared" si="7"/>
        <v>0.64926396973224687</v>
      </c>
      <c r="U27" s="40">
        <f t="shared" si="7"/>
        <v>0.55383246989804358</v>
      </c>
      <c r="V27" s="40">
        <f t="shared" si="7"/>
        <v>0.57911840552471705</v>
      </c>
      <c r="W27" s="40">
        <f t="shared" si="7"/>
        <v>0.69770854895466772</v>
      </c>
      <c r="X27" s="40">
        <f t="shared" si="7"/>
        <v>0.4575830861953506</v>
      </c>
      <c r="Y27" s="40">
        <f t="shared" si="7"/>
        <v>0.78175589270175172</v>
      </c>
      <c r="Z27" s="40">
        <f>Z16/Z$10</f>
        <v>0.66008071241362887</v>
      </c>
    </row>
    <row r="28" spans="1:26" s="25" customFormat="1" ht="13.8" x14ac:dyDescent="0.3"/>
    <row r="29" spans="1:26" s="25" customFormat="1" ht="13.8" x14ac:dyDescent="0.3">
      <c r="D29" s="39" t="e">
        <f t="shared" ref="D29:Y32" si="8">(D13-C13)/C13</f>
        <v>#VALUE!</v>
      </c>
      <c r="E29" s="39">
        <f t="shared" si="8"/>
        <v>5.8289174867525405E-2</v>
      </c>
      <c r="F29" s="39">
        <f t="shared" si="8"/>
        <v>-0.15951359084406308</v>
      </c>
      <c r="G29" s="39">
        <f t="shared" si="8"/>
        <v>-0.33021276595744664</v>
      </c>
      <c r="H29" s="39">
        <f t="shared" si="8"/>
        <v>0.17026683608640336</v>
      </c>
      <c r="I29" s="39">
        <f t="shared" si="8"/>
        <v>-0.23778501628664461</v>
      </c>
      <c r="J29" s="39">
        <f t="shared" si="8"/>
        <v>-1.2820512820513101E-2</v>
      </c>
      <c r="K29" s="39">
        <f t="shared" si="8"/>
        <v>-0.13708513708513698</v>
      </c>
      <c r="L29" s="39">
        <f t="shared" si="8"/>
        <v>0.44147157190635494</v>
      </c>
      <c r="M29" s="39">
        <f t="shared" si="8"/>
        <v>0.43039443155452412</v>
      </c>
      <c r="N29" s="39">
        <f t="shared" si="8"/>
        <v>-4.9472830494728476E-2</v>
      </c>
      <c r="O29" s="39">
        <f t="shared" si="8"/>
        <v>-0.28754266211604096</v>
      </c>
      <c r="P29" s="39">
        <f t="shared" si="8"/>
        <v>0.76047904191616766</v>
      </c>
      <c r="Q29" s="39">
        <f t="shared" si="8"/>
        <v>0.25374149659863915</v>
      </c>
      <c r="R29" s="39">
        <f t="shared" si="8"/>
        <v>-0.32067281606077036</v>
      </c>
      <c r="S29" s="39">
        <f t="shared" si="8"/>
        <v>-0.10383386581469661</v>
      </c>
      <c r="T29" s="39">
        <f t="shared" si="8"/>
        <v>9.0909090909091342E-2</v>
      </c>
      <c r="U29" s="39">
        <f t="shared" si="8"/>
        <v>0.17156862745098025</v>
      </c>
      <c r="V29" s="39">
        <f t="shared" si="8"/>
        <v>-0.27405857740585793</v>
      </c>
      <c r="W29" s="39">
        <f t="shared" si="8"/>
        <v>-6.2439961575408411E-2</v>
      </c>
      <c r="X29" s="39">
        <f t="shared" si="8"/>
        <v>-7.479508196721267E-2</v>
      </c>
      <c r="Y29" s="39">
        <f t="shared" si="8"/>
        <v>-0.12735326688815107</v>
      </c>
      <c r="Z29" s="39">
        <f>(Z13-Y13)/Y13</f>
        <v>-4.5685279187816848E-2</v>
      </c>
    </row>
    <row r="30" spans="1:26" s="25" customFormat="1" ht="13.8" x14ac:dyDescent="0.3">
      <c r="D30" s="39" t="e">
        <f t="shared" si="8"/>
        <v>#VALUE!</v>
      </c>
      <c r="E30" s="39" t="e">
        <f t="shared" si="8"/>
        <v>#DIV/0!</v>
      </c>
      <c r="F30" s="39" t="e">
        <f t="shared" si="8"/>
        <v>#DIV/0!</v>
      </c>
      <c r="G30" s="39" t="e">
        <f t="shared" si="8"/>
        <v>#DIV/0!</v>
      </c>
      <c r="H30" s="39" t="e">
        <f t="shared" si="8"/>
        <v>#DIV/0!</v>
      </c>
      <c r="I30" s="39" t="e">
        <f t="shared" si="8"/>
        <v>#DIV/0!</v>
      </c>
      <c r="J30" s="39" t="e">
        <f t="shared" si="8"/>
        <v>#DIV/0!</v>
      </c>
      <c r="K30" s="39" t="e">
        <f t="shared" si="8"/>
        <v>#DIV/0!</v>
      </c>
      <c r="L30" s="39" t="e">
        <f t="shared" si="8"/>
        <v>#DIV/0!</v>
      </c>
      <c r="M30" s="39" t="e">
        <f t="shared" si="8"/>
        <v>#DIV/0!</v>
      </c>
      <c r="N30" s="39" t="e">
        <f t="shared" si="8"/>
        <v>#DIV/0!</v>
      </c>
      <c r="O30" s="39" t="e">
        <f t="shared" si="8"/>
        <v>#DIV/0!</v>
      </c>
      <c r="P30" s="39" t="e">
        <f t="shared" si="8"/>
        <v>#DIV/0!</v>
      </c>
      <c r="Q30" s="39" t="e">
        <f t="shared" si="8"/>
        <v>#DIV/0!</v>
      </c>
      <c r="R30" s="39" t="e">
        <f t="shared" si="8"/>
        <v>#DIV/0!</v>
      </c>
      <c r="S30" s="39" t="e">
        <f t="shared" si="8"/>
        <v>#DIV/0!</v>
      </c>
      <c r="T30" s="39" t="e">
        <f t="shared" si="8"/>
        <v>#DIV/0!</v>
      </c>
      <c r="U30" s="39" t="e">
        <f t="shared" si="8"/>
        <v>#DIV/0!</v>
      </c>
      <c r="V30" s="39" t="e">
        <f t="shared" si="8"/>
        <v>#DIV/0!</v>
      </c>
      <c r="W30" s="39" t="e">
        <f t="shared" si="8"/>
        <v>#DIV/0!</v>
      </c>
      <c r="X30" s="39" t="e">
        <f t="shared" si="8"/>
        <v>#DIV/0!</v>
      </c>
      <c r="Y30" s="39" t="e">
        <f t="shared" si="8"/>
        <v>#DIV/0!</v>
      </c>
      <c r="Z30" s="39" t="e">
        <f t="shared" ref="Z30:Z32" si="9">(Z14-Y14)/Y14</f>
        <v>#DIV/0!</v>
      </c>
    </row>
    <row r="31" spans="1:26" s="25" customFormat="1" ht="13.8" x14ac:dyDescent="0.3">
      <c r="D31" s="39" t="e">
        <f t="shared" si="8"/>
        <v>#VALUE!</v>
      </c>
      <c r="E31" s="39">
        <f t="shared" si="8"/>
        <v>7.2851878557916323E-3</v>
      </c>
      <c r="F31" s="39">
        <f t="shared" si="8"/>
        <v>5.9740839750666026E-2</v>
      </c>
      <c r="G31" s="39">
        <f t="shared" si="8"/>
        <v>-2.7058300812881526E-2</v>
      </c>
      <c r="H31" s="39">
        <f t="shared" si="8"/>
        <v>0.18152088224338062</v>
      </c>
      <c r="I31" s="39">
        <f t="shared" si="8"/>
        <v>-0.1895254609929457</v>
      </c>
      <c r="J31" s="39">
        <f t="shared" si="8"/>
        <v>-5.9876745443865148E-2</v>
      </c>
      <c r="K31" s="39">
        <f t="shared" si="8"/>
        <v>-1.887456456531298E-3</v>
      </c>
      <c r="L31" s="39">
        <f t="shared" si="8"/>
        <v>-0.17635226241321283</v>
      </c>
      <c r="M31" s="39">
        <f t="shared" si="8"/>
        <v>-0.17695188359557512</v>
      </c>
      <c r="N31" s="39">
        <f t="shared" si="8"/>
        <v>0.20883668767447344</v>
      </c>
      <c r="O31" s="39">
        <f t="shared" si="8"/>
        <v>8.5353965716897795E-2</v>
      </c>
      <c r="P31" s="39">
        <f t="shared" si="8"/>
        <v>-6.9674799832448356E-2</v>
      </c>
      <c r="Q31" s="39">
        <f t="shared" si="8"/>
        <v>-9.2953714145420349E-2</v>
      </c>
      <c r="R31" s="39">
        <f t="shared" si="8"/>
        <v>0.32338562722389796</v>
      </c>
      <c r="S31" s="39">
        <f t="shared" si="8"/>
        <v>4.357029299465566E-2</v>
      </c>
      <c r="T31" s="39">
        <f t="shared" si="8"/>
        <v>-1.3492962518811538E-2</v>
      </c>
      <c r="U31" s="39">
        <f t="shared" si="8"/>
        <v>0.17146559306487164</v>
      </c>
      <c r="V31" s="39">
        <f t="shared" si="8"/>
        <v>-6.8364870194304206E-2</v>
      </c>
      <c r="W31" s="39">
        <f t="shared" si="8"/>
        <v>-0.29487901790094417</v>
      </c>
      <c r="X31" s="39">
        <f t="shared" si="8"/>
        <v>0.41933840858551263</v>
      </c>
      <c r="Y31" s="39">
        <f t="shared" si="8"/>
        <v>-0.15638653524343407</v>
      </c>
      <c r="Z31" s="39">
        <f t="shared" si="9"/>
        <v>-6.7884762545854752E-2</v>
      </c>
    </row>
    <row r="32" spans="1:26" s="25" customFormat="1" ht="13.8" x14ac:dyDescent="0.3">
      <c r="D32" s="39" t="e">
        <f t="shared" si="8"/>
        <v>#VALUE!</v>
      </c>
      <c r="E32" s="39">
        <f t="shared" si="8"/>
        <v>0.31086103447961916</v>
      </c>
      <c r="F32" s="39">
        <f t="shared" si="8"/>
        <v>6.6868182013921543E-2</v>
      </c>
      <c r="G32" s="39">
        <f t="shared" si="8"/>
        <v>0.12090308014416384</v>
      </c>
      <c r="H32" s="39">
        <f t="shared" si="8"/>
        <v>0.27422443419255965</v>
      </c>
      <c r="I32" s="39">
        <f t="shared" si="8"/>
        <v>0.20013656127229898</v>
      </c>
      <c r="J32" s="39">
        <f t="shared" si="8"/>
        <v>-0.16518038226120835</v>
      </c>
      <c r="K32" s="39">
        <f t="shared" si="8"/>
        <v>-0.18447987989354203</v>
      </c>
      <c r="L32" s="39">
        <f t="shared" si="8"/>
        <v>-8.2674217903616898E-2</v>
      </c>
      <c r="M32" s="39">
        <f t="shared" si="8"/>
        <v>0.22928794008110176</v>
      </c>
      <c r="N32" s="39">
        <f t="shared" si="8"/>
        <v>-4.9742083035064534E-2</v>
      </c>
      <c r="O32" s="39">
        <f t="shared" si="8"/>
        <v>2.9304382095532204E-2</v>
      </c>
      <c r="P32" s="39">
        <f t="shared" si="8"/>
        <v>2.4534071643312956E-2</v>
      </c>
      <c r="Q32" s="39">
        <f t="shared" si="8"/>
        <v>-5.3993439094407583E-2</v>
      </c>
      <c r="R32" s="39">
        <f t="shared" si="8"/>
        <v>2.2742690986210855E-2</v>
      </c>
      <c r="S32" s="39">
        <f t="shared" si="8"/>
        <v>5.4089481566144057E-2</v>
      </c>
      <c r="T32" s="39">
        <f t="shared" si="8"/>
        <v>7.987939116645347E-2</v>
      </c>
      <c r="U32" s="39">
        <f t="shared" si="8"/>
        <v>4.946274347553032E-2</v>
      </c>
      <c r="V32" s="39">
        <f t="shared" si="8"/>
        <v>0.13186053743012197</v>
      </c>
      <c r="W32" s="39">
        <f t="shared" si="8"/>
        <v>-0.23681833105025435</v>
      </c>
      <c r="X32" s="39">
        <f t="shared" si="8"/>
        <v>0.18254747628781581</v>
      </c>
      <c r="Y32" s="39">
        <f t="shared" si="8"/>
        <v>-0.13601969929226052</v>
      </c>
      <c r="Z32" s="39">
        <f t="shared" si="9"/>
        <v>7.2608516163753065E-2</v>
      </c>
    </row>
  </sheetData>
  <conditionalFormatting sqref="D22:Z22">
    <cfRule type="cellIs" dxfId="11" priority="3" operator="between">
      <formula>-0.0009</formula>
      <formula>0.0009</formula>
    </cfRule>
  </conditionalFormatting>
  <conditionalFormatting sqref="D25:Z25">
    <cfRule type="colorScale" priority="2">
      <colorScale>
        <cfvo type="min"/>
        <cfvo type="max"/>
        <color rgb="FFFCFCFF"/>
        <color rgb="FF63BE7B"/>
      </colorScale>
    </cfRule>
  </conditionalFormatting>
  <conditionalFormatting sqref="D27:Z27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77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20" customWidth="1"/>
    <col min="3" max="16" width="7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3</v>
      </c>
      <c r="P1" s="1" t="s">
        <v>73</v>
      </c>
    </row>
    <row r="2" spans="1:16" x14ac:dyDescent="0.3">
      <c r="A2" s="2" t="s">
        <v>74</v>
      </c>
      <c r="B2" s="2" t="s">
        <v>17</v>
      </c>
      <c r="C2" s="2" t="s">
        <v>18</v>
      </c>
      <c r="D2" s="3">
        <v>2.5461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>
        <f t="shared" ref="P2:P33" si="0">D2</f>
        <v>2.5461</v>
      </c>
    </row>
    <row r="3" spans="1:16" x14ac:dyDescent="0.3">
      <c r="A3" s="2" t="s">
        <v>74</v>
      </c>
      <c r="B3" s="2" t="s">
        <v>17</v>
      </c>
      <c r="C3" s="2" t="s">
        <v>19</v>
      </c>
      <c r="D3" s="3">
        <v>2.6015999999999999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>
        <f t="shared" si="0"/>
        <v>2.6015999999999999</v>
      </c>
    </row>
    <row r="4" spans="1:16" x14ac:dyDescent="0.3">
      <c r="A4" s="2" t="s">
        <v>74</v>
      </c>
      <c r="B4" s="2" t="s">
        <v>17</v>
      </c>
      <c r="C4" s="2" t="s">
        <v>20</v>
      </c>
      <c r="D4" s="3">
        <v>3.0222000000000002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>
        <f t="shared" si="0"/>
        <v>3.0222000000000002</v>
      </c>
    </row>
    <row r="5" spans="1:16" x14ac:dyDescent="0.3">
      <c r="A5" s="2" t="s">
        <v>74</v>
      </c>
      <c r="B5" s="2" t="s">
        <v>17</v>
      </c>
      <c r="C5" s="2" t="s">
        <v>21</v>
      </c>
      <c r="D5" s="3">
        <v>2.8971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>
        <f t="shared" si="0"/>
        <v>2.8971</v>
      </c>
    </row>
    <row r="6" spans="1:16" x14ac:dyDescent="0.3">
      <c r="A6" s="2" t="s">
        <v>74</v>
      </c>
      <c r="B6" s="2" t="s">
        <v>17</v>
      </c>
      <c r="C6" s="2" t="s">
        <v>22</v>
      </c>
      <c r="D6" s="3">
        <v>2.9983689999999998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>
        <f t="shared" si="0"/>
        <v>2.9983689999999998</v>
      </c>
    </row>
    <row r="7" spans="1:16" x14ac:dyDescent="0.3">
      <c r="A7" s="2" t="s">
        <v>74</v>
      </c>
      <c r="B7" s="2" t="s">
        <v>17</v>
      </c>
      <c r="C7" s="2" t="s">
        <v>23</v>
      </c>
      <c r="D7" s="3">
        <v>2.9009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>
        <f t="shared" si="0"/>
        <v>2.9009</v>
      </c>
    </row>
    <row r="8" spans="1:16" x14ac:dyDescent="0.3">
      <c r="A8" s="2" t="s">
        <v>74</v>
      </c>
      <c r="B8" s="2" t="s">
        <v>17</v>
      </c>
      <c r="C8" s="2" t="s">
        <v>24</v>
      </c>
      <c r="D8" s="3">
        <v>2.9712999999999998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>
        <f t="shared" si="0"/>
        <v>2.9712999999999998</v>
      </c>
    </row>
    <row r="9" spans="1:16" x14ac:dyDescent="0.3">
      <c r="A9" s="2" t="s">
        <v>74</v>
      </c>
      <c r="B9" s="2" t="s">
        <v>17</v>
      </c>
      <c r="C9" s="2" t="s">
        <v>25</v>
      </c>
      <c r="D9" s="3">
        <v>3.5179999999999998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>
        <f t="shared" si="0"/>
        <v>3.5179999999999998</v>
      </c>
    </row>
    <row r="10" spans="1:16" x14ac:dyDescent="0.3">
      <c r="A10" s="2" t="s">
        <v>74</v>
      </c>
      <c r="B10" s="2" t="s">
        <v>17</v>
      </c>
      <c r="C10" s="2" t="s">
        <v>26</v>
      </c>
      <c r="D10" s="3">
        <v>3.7387999999999999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>
        <f t="shared" si="0"/>
        <v>3.7387999999999999</v>
      </c>
    </row>
    <row r="11" spans="1:16" x14ac:dyDescent="0.3">
      <c r="A11" s="2" t="s">
        <v>74</v>
      </c>
      <c r="B11" s="2" t="s">
        <v>17</v>
      </c>
      <c r="C11" s="2" t="s">
        <v>27</v>
      </c>
      <c r="D11" s="3">
        <v>3.8516620000000001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>
        <f t="shared" si="0"/>
        <v>3.8516620000000001</v>
      </c>
    </row>
    <row r="12" spans="1:16" x14ac:dyDescent="0.3">
      <c r="A12" s="2" t="s">
        <v>74</v>
      </c>
      <c r="B12" s="2" t="s">
        <v>17</v>
      </c>
      <c r="C12" s="2" t="s">
        <v>28</v>
      </c>
      <c r="D12" s="3">
        <v>4.1920000000000002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>
        <f t="shared" si="0"/>
        <v>4.1920000000000002</v>
      </c>
    </row>
    <row r="13" spans="1:16" x14ac:dyDescent="0.3">
      <c r="A13" s="2" t="s">
        <v>74</v>
      </c>
      <c r="B13" s="2" t="s">
        <v>17</v>
      </c>
      <c r="C13" s="2" t="s">
        <v>29</v>
      </c>
      <c r="D13" s="3">
        <v>4.6332000000000004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>
        <f t="shared" si="0"/>
        <v>4.6332000000000004</v>
      </c>
    </row>
    <row r="14" spans="1:16" x14ac:dyDescent="0.3">
      <c r="A14" s="2" t="s">
        <v>74</v>
      </c>
      <c r="B14" s="2" t="s">
        <v>17</v>
      </c>
      <c r="C14" s="2" t="s">
        <v>30</v>
      </c>
      <c r="D14" s="3">
        <v>5.6130000000000004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>
        <f t="shared" si="0"/>
        <v>5.6130000000000004</v>
      </c>
    </row>
    <row r="15" spans="1:16" x14ac:dyDescent="0.3">
      <c r="A15" s="2" t="s">
        <v>74</v>
      </c>
      <c r="B15" s="2" t="s">
        <v>17</v>
      </c>
      <c r="C15" s="2" t="s">
        <v>31</v>
      </c>
      <c r="D15" s="3">
        <v>5.532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>
        <f t="shared" si="0"/>
        <v>5.532</v>
      </c>
    </row>
    <row r="16" spans="1:16" x14ac:dyDescent="0.3">
      <c r="A16" s="2" t="s">
        <v>74</v>
      </c>
      <c r="B16" s="2" t="s">
        <v>17</v>
      </c>
      <c r="C16" s="2" t="s">
        <v>32</v>
      </c>
      <c r="D16" s="3">
        <v>5.6073969999999997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>
        <f t="shared" si="0"/>
        <v>5.6073969999999997</v>
      </c>
    </row>
    <row r="17" spans="1:16" x14ac:dyDescent="0.3">
      <c r="A17" s="2" t="s">
        <v>74</v>
      </c>
      <c r="B17" s="2" t="s">
        <v>17</v>
      </c>
      <c r="C17" s="2" t="s">
        <v>33</v>
      </c>
      <c r="D17" s="3">
        <v>7.282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>
        <f t="shared" si="0"/>
        <v>7.282</v>
      </c>
    </row>
    <row r="18" spans="1:16" x14ac:dyDescent="0.3">
      <c r="A18" s="2" t="s">
        <v>74</v>
      </c>
      <c r="B18" s="2" t="s">
        <v>17</v>
      </c>
      <c r="C18" s="2" t="s">
        <v>34</v>
      </c>
      <c r="D18" s="3">
        <v>6.3201000000000001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>
        <f t="shared" si="0"/>
        <v>6.3201000000000001</v>
      </c>
    </row>
    <row r="19" spans="1:16" x14ac:dyDescent="0.3">
      <c r="A19" s="2" t="s">
        <v>74</v>
      </c>
      <c r="B19" s="2" t="s">
        <v>17</v>
      </c>
      <c r="C19" s="2" t="s">
        <v>35</v>
      </c>
      <c r="D19" s="3">
        <v>5.7142999999999997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>
        <f t="shared" si="0"/>
        <v>5.7142999999999997</v>
      </c>
    </row>
    <row r="20" spans="1:16" x14ac:dyDescent="0.3">
      <c r="A20" s="2" t="s">
        <v>74</v>
      </c>
      <c r="B20" s="2" t="s">
        <v>17</v>
      </c>
      <c r="C20" s="2" t="s">
        <v>36</v>
      </c>
      <c r="D20" s="3">
        <v>5.0702999999999996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>
        <f t="shared" si="0"/>
        <v>5.0702999999999996</v>
      </c>
    </row>
    <row r="21" spans="1:16" x14ac:dyDescent="0.3">
      <c r="A21" s="2" t="s">
        <v>74</v>
      </c>
      <c r="B21" s="2" t="s">
        <v>17</v>
      </c>
      <c r="C21" s="2" t="s">
        <v>37</v>
      </c>
      <c r="D21" s="3">
        <v>5.1579860000000002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>
        <f t="shared" si="0"/>
        <v>5.1579860000000002</v>
      </c>
    </row>
    <row r="22" spans="1:16" x14ac:dyDescent="0.3">
      <c r="A22" s="2" t="s">
        <v>74</v>
      </c>
      <c r="B22" s="2" t="s">
        <v>17</v>
      </c>
      <c r="C22" s="2" t="s">
        <v>38</v>
      </c>
      <c r="D22" s="3">
        <v>5.2742000000000004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>
        <f t="shared" si="0"/>
        <v>5.2742000000000004</v>
      </c>
    </row>
    <row r="23" spans="1:16" x14ac:dyDescent="0.3">
      <c r="A23" s="2" t="s">
        <v>74</v>
      </c>
      <c r="B23" s="2" t="s">
        <v>17</v>
      </c>
      <c r="C23" s="2" t="s">
        <v>39</v>
      </c>
      <c r="D23" s="3">
        <v>5.6307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>
        <f t="shared" si="0"/>
        <v>5.6307</v>
      </c>
    </row>
    <row r="24" spans="1:16" x14ac:dyDescent="0.3">
      <c r="A24" s="2" t="s">
        <v>74</v>
      </c>
      <c r="B24" s="2" t="s">
        <v>17</v>
      </c>
      <c r="C24" s="2" t="s">
        <v>40</v>
      </c>
      <c r="D24" s="3">
        <v>5.7096999999999998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>
        <f t="shared" si="0"/>
        <v>5.7096999999999998</v>
      </c>
    </row>
    <row r="25" spans="1:16" x14ac:dyDescent="0.3">
      <c r="A25" s="2" t="s">
        <v>74</v>
      </c>
      <c r="B25" s="2" t="s">
        <v>41</v>
      </c>
      <c r="C25" s="2" t="s">
        <v>18</v>
      </c>
      <c r="D25" s="3">
        <v>2.5299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>
        <f t="shared" si="0"/>
        <v>2.5299</v>
      </c>
    </row>
    <row r="26" spans="1:16" x14ac:dyDescent="0.3">
      <c r="A26" s="2" t="s">
        <v>74</v>
      </c>
      <c r="B26" s="2" t="s">
        <v>41</v>
      </c>
      <c r="C26" s="2" t="s">
        <v>19</v>
      </c>
      <c r="D26" s="3">
        <v>2.5914000000000001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>
        <f t="shared" si="0"/>
        <v>2.5914000000000001</v>
      </c>
    </row>
    <row r="27" spans="1:16" x14ac:dyDescent="0.3">
      <c r="A27" s="2" t="s">
        <v>74</v>
      </c>
      <c r="B27" s="2" t="s">
        <v>41</v>
      </c>
      <c r="C27" s="2" t="s">
        <v>20</v>
      </c>
      <c r="D27" s="3">
        <v>2.8997000000000002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>
        <f t="shared" si="0"/>
        <v>2.8997000000000002</v>
      </c>
    </row>
    <row r="28" spans="1:16" x14ac:dyDescent="0.3">
      <c r="A28" s="2" t="s">
        <v>74</v>
      </c>
      <c r="B28" s="2" t="s">
        <v>41</v>
      </c>
      <c r="C28" s="2" t="s">
        <v>21</v>
      </c>
      <c r="D28" s="3">
        <v>2.8795999999999999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>
        <f t="shared" si="0"/>
        <v>2.8795999999999999</v>
      </c>
    </row>
    <row r="29" spans="1:16" x14ac:dyDescent="0.3">
      <c r="A29" s="2" t="s">
        <v>74</v>
      </c>
      <c r="B29" s="2" t="s">
        <v>41</v>
      </c>
      <c r="C29" s="2" t="s">
        <v>22</v>
      </c>
      <c r="D29" s="3">
        <v>2.9681999999999999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>
        <f t="shared" si="0"/>
        <v>2.9681999999999999</v>
      </c>
    </row>
    <row r="30" spans="1:16" x14ac:dyDescent="0.3">
      <c r="A30" s="2" t="s">
        <v>74</v>
      </c>
      <c r="B30" s="2" t="s">
        <v>41</v>
      </c>
      <c r="C30" s="2" t="s">
        <v>23</v>
      </c>
      <c r="D30" s="3">
        <v>2.8847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>
        <f t="shared" si="0"/>
        <v>2.8847</v>
      </c>
    </row>
    <row r="31" spans="1:16" x14ac:dyDescent="0.3">
      <c r="A31" s="2" t="s">
        <v>74</v>
      </c>
      <c r="B31" s="2" t="s">
        <v>41</v>
      </c>
      <c r="C31" s="2" t="s">
        <v>24</v>
      </c>
      <c r="D31" s="3">
        <v>2.9539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>
        <f t="shared" si="0"/>
        <v>2.9539</v>
      </c>
    </row>
    <row r="32" spans="1:16" x14ac:dyDescent="0.3">
      <c r="A32" s="2" t="s">
        <v>74</v>
      </c>
      <c r="B32" s="2" t="s">
        <v>41</v>
      </c>
      <c r="C32" s="2" t="s">
        <v>25</v>
      </c>
      <c r="D32" s="3">
        <v>3.4881000000000002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>
        <f t="shared" si="0"/>
        <v>3.4881000000000002</v>
      </c>
    </row>
    <row r="33" spans="1:16" x14ac:dyDescent="0.3">
      <c r="A33" s="2" t="s">
        <v>74</v>
      </c>
      <c r="B33" s="2" t="s">
        <v>41</v>
      </c>
      <c r="C33" s="2" t="s">
        <v>26</v>
      </c>
      <c r="D33" s="3">
        <v>3.7212999999999998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>
        <f t="shared" si="0"/>
        <v>3.7212999999999998</v>
      </c>
    </row>
    <row r="34" spans="1:16" x14ac:dyDescent="0.3">
      <c r="A34" s="2" t="s">
        <v>74</v>
      </c>
      <c r="B34" s="2" t="s">
        <v>41</v>
      </c>
      <c r="C34" s="2" t="s">
        <v>27</v>
      </c>
      <c r="D34" s="3">
        <v>3.8408000000000002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>
        <f t="shared" ref="P34:P65" si="1">D34</f>
        <v>3.8408000000000002</v>
      </c>
    </row>
    <row r="35" spans="1:16" x14ac:dyDescent="0.3">
      <c r="A35" s="2" t="s">
        <v>74</v>
      </c>
      <c r="B35" s="2" t="s">
        <v>41</v>
      </c>
      <c r="C35" s="2" t="s">
        <v>28</v>
      </c>
      <c r="D35" s="3">
        <v>4.1885000000000003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>
        <f t="shared" si="1"/>
        <v>4.1885000000000003</v>
      </c>
    </row>
    <row r="36" spans="1:16" x14ac:dyDescent="0.3">
      <c r="A36" s="2" t="s">
        <v>74</v>
      </c>
      <c r="B36" s="2" t="s">
        <v>41</v>
      </c>
      <c r="C36" s="2" t="s">
        <v>29</v>
      </c>
      <c r="D36" s="3">
        <v>4.6086999999999998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>
        <f t="shared" si="1"/>
        <v>4.6086999999999998</v>
      </c>
    </row>
    <row r="37" spans="1:16" x14ac:dyDescent="0.3">
      <c r="A37" s="2" t="s">
        <v>74</v>
      </c>
      <c r="B37" s="2" t="s">
        <v>41</v>
      </c>
      <c r="C37" s="2" t="s">
        <v>30</v>
      </c>
      <c r="D37" s="3">
        <v>5.5765000000000002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>
        <f t="shared" si="1"/>
        <v>5.5765000000000002</v>
      </c>
    </row>
    <row r="38" spans="1:16" x14ac:dyDescent="0.3">
      <c r="A38" s="2" t="s">
        <v>74</v>
      </c>
      <c r="B38" s="2" t="s">
        <v>41</v>
      </c>
      <c r="C38" s="2" t="s">
        <v>31</v>
      </c>
      <c r="D38" s="3">
        <v>5.5164999999999997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>
        <f t="shared" si="1"/>
        <v>5.5164999999999997</v>
      </c>
    </row>
    <row r="39" spans="1:16" x14ac:dyDescent="0.3">
      <c r="A39" s="2" t="s">
        <v>74</v>
      </c>
      <c r="B39" s="2" t="s">
        <v>41</v>
      </c>
      <c r="C39" s="2" t="s">
        <v>32</v>
      </c>
      <c r="D39" s="3">
        <v>5.5147000000000004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>
        <f t="shared" si="1"/>
        <v>5.5147000000000004</v>
      </c>
    </row>
    <row r="40" spans="1:16" x14ac:dyDescent="0.3">
      <c r="A40" s="2" t="s">
        <v>74</v>
      </c>
      <c r="B40" s="2" t="s">
        <v>41</v>
      </c>
      <c r="C40" s="2" t="s">
        <v>33</v>
      </c>
      <c r="D40" s="3">
        <v>7.2519999999999998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>
        <f t="shared" si="1"/>
        <v>7.2519999999999998</v>
      </c>
    </row>
    <row r="41" spans="1:16" x14ac:dyDescent="0.3">
      <c r="A41" s="2" t="s">
        <v>74</v>
      </c>
      <c r="B41" s="2" t="s">
        <v>41</v>
      </c>
      <c r="C41" s="2" t="s">
        <v>34</v>
      </c>
      <c r="D41" s="3">
        <v>6.2755000000000001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>
        <f t="shared" si="1"/>
        <v>6.2755000000000001</v>
      </c>
    </row>
    <row r="42" spans="1:16" x14ac:dyDescent="0.3">
      <c r="A42" s="2" t="s">
        <v>74</v>
      </c>
      <c r="B42" s="2" t="s">
        <v>41</v>
      </c>
      <c r="C42" s="2" t="s">
        <v>35</v>
      </c>
      <c r="D42" s="3">
        <v>5.6104000000000003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>
        <f t="shared" si="1"/>
        <v>5.6104000000000003</v>
      </c>
    </row>
    <row r="43" spans="1:16" x14ac:dyDescent="0.3">
      <c r="A43" s="2" t="s">
        <v>74</v>
      </c>
      <c r="B43" s="2" t="s">
        <v>41</v>
      </c>
      <c r="C43" s="2" t="s">
        <v>36</v>
      </c>
      <c r="D43" s="3">
        <v>5.0439999999999996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>
        <f t="shared" si="1"/>
        <v>5.0439999999999996</v>
      </c>
    </row>
    <row r="44" spans="1:16" x14ac:dyDescent="0.3">
      <c r="A44" s="2" t="s">
        <v>74</v>
      </c>
      <c r="B44" s="2" t="s">
        <v>41</v>
      </c>
      <c r="C44" s="2" t="s">
        <v>37</v>
      </c>
      <c r="D44" s="3">
        <v>5.1400030000000001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>
        <f t="shared" si="1"/>
        <v>5.1400030000000001</v>
      </c>
    </row>
    <row r="45" spans="1:16" x14ac:dyDescent="0.3">
      <c r="A45" s="2" t="s">
        <v>74</v>
      </c>
      <c r="B45" s="2" t="s">
        <v>41</v>
      </c>
      <c r="C45" s="2" t="s">
        <v>38</v>
      </c>
      <c r="D45" s="3">
        <v>5.2335000000000003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>
        <f t="shared" si="1"/>
        <v>5.2335000000000003</v>
      </c>
    </row>
    <row r="46" spans="1:16" x14ac:dyDescent="0.3">
      <c r="A46" s="2" t="s">
        <v>74</v>
      </c>
      <c r="B46" s="2" t="s">
        <v>41</v>
      </c>
      <c r="C46" s="2" t="s">
        <v>39</v>
      </c>
      <c r="D46" s="3">
        <v>5.5876000000000001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>
        <f t="shared" si="1"/>
        <v>5.5876000000000001</v>
      </c>
    </row>
    <row r="47" spans="1:16" x14ac:dyDescent="0.3">
      <c r="A47" s="2" t="s">
        <v>74</v>
      </c>
      <c r="B47" s="2" t="s">
        <v>41</v>
      </c>
      <c r="C47" s="2" t="s">
        <v>40</v>
      </c>
      <c r="D47" s="3">
        <v>5.6577999999999999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>
        <f t="shared" si="1"/>
        <v>5.6577999999999999</v>
      </c>
    </row>
    <row r="48" spans="1:16" x14ac:dyDescent="0.3">
      <c r="A48" s="2" t="s">
        <v>74</v>
      </c>
      <c r="B48" s="2" t="s">
        <v>42</v>
      </c>
      <c r="C48" s="2" t="s">
        <v>18</v>
      </c>
      <c r="D48" s="5">
        <v>33.923182770069957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6">
        <f t="shared" si="1"/>
        <v>33.923182770069957</v>
      </c>
    </row>
    <row r="49" spans="1:16" x14ac:dyDescent="0.3">
      <c r="A49" s="2" t="s">
        <v>74</v>
      </c>
      <c r="B49" s="2" t="s">
        <v>42</v>
      </c>
      <c r="C49" s="2" t="s">
        <v>19</v>
      </c>
      <c r="D49" s="5">
        <v>32.233330713128034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6">
        <f t="shared" si="1"/>
        <v>32.233330713128034</v>
      </c>
    </row>
    <row r="50" spans="1:16" x14ac:dyDescent="0.3">
      <c r="A50" s="2" t="s">
        <v>74</v>
      </c>
      <c r="B50" s="2" t="s">
        <v>42</v>
      </c>
      <c r="C50" s="2" t="s">
        <v>20</v>
      </c>
      <c r="D50" s="5">
        <v>38.570937831499798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">
        <f t="shared" si="1"/>
        <v>38.570937831499798</v>
      </c>
    </row>
    <row r="51" spans="1:16" x14ac:dyDescent="0.3">
      <c r="A51" s="2" t="s">
        <v>74</v>
      </c>
      <c r="B51" s="2" t="s">
        <v>42</v>
      </c>
      <c r="C51" s="2" t="s">
        <v>21</v>
      </c>
      <c r="D51" s="5">
        <v>40.265460383386568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6">
        <f t="shared" si="1"/>
        <v>40.265460383386568</v>
      </c>
    </row>
    <row r="52" spans="1:16" x14ac:dyDescent="0.3">
      <c r="A52" s="2" t="s">
        <v>74</v>
      </c>
      <c r="B52" s="2" t="s">
        <v>42</v>
      </c>
      <c r="C52" s="2" t="s">
        <v>22</v>
      </c>
      <c r="D52" s="5">
        <v>42.89983570851021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6">
        <f t="shared" si="1"/>
        <v>42.89983570851021</v>
      </c>
    </row>
    <row r="53" spans="1:16" x14ac:dyDescent="0.3">
      <c r="A53" s="2" t="s">
        <v>74</v>
      </c>
      <c r="B53" s="2" t="s">
        <v>42</v>
      </c>
      <c r="C53" s="2" t="s">
        <v>23</v>
      </c>
      <c r="D53" s="5">
        <v>34.215317689881097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6">
        <f t="shared" si="1"/>
        <v>34.215317689881097</v>
      </c>
    </row>
    <row r="54" spans="1:16" x14ac:dyDescent="0.3">
      <c r="A54" s="2" t="s">
        <v>74</v>
      </c>
      <c r="B54" s="2" t="s">
        <v>42</v>
      </c>
      <c r="C54" s="2" t="s">
        <v>24</v>
      </c>
      <c r="D54" s="5">
        <v>41.495415833305117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6">
        <f t="shared" si="1"/>
        <v>41.495415833305117</v>
      </c>
    </row>
    <row r="55" spans="1:16" x14ac:dyDescent="0.3">
      <c r="A55" s="2" t="s">
        <v>74</v>
      </c>
      <c r="B55" s="2" t="s">
        <v>42</v>
      </c>
      <c r="C55" s="2" t="s">
        <v>25</v>
      </c>
      <c r="D55" s="5">
        <v>37.728630463576152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6">
        <f t="shared" si="1"/>
        <v>37.728630463576152</v>
      </c>
    </row>
    <row r="56" spans="1:16" x14ac:dyDescent="0.3">
      <c r="A56" s="2" t="s">
        <v>74</v>
      </c>
      <c r="B56" s="2" t="s">
        <v>42</v>
      </c>
      <c r="C56" s="2" t="s">
        <v>26</v>
      </c>
      <c r="D56" s="5">
        <v>43.885483304221637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6">
        <f t="shared" si="1"/>
        <v>43.885483304221637</v>
      </c>
    </row>
    <row r="57" spans="1:16" x14ac:dyDescent="0.3">
      <c r="A57" s="2" t="s">
        <v>74</v>
      </c>
      <c r="B57" s="2" t="s">
        <v>42</v>
      </c>
      <c r="C57" s="2" t="s">
        <v>27</v>
      </c>
      <c r="D57" s="5">
        <v>42.729570935742551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>
        <f t="shared" si="1"/>
        <v>42.729570935742551</v>
      </c>
    </row>
    <row r="58" spans="1:16" x14ac:dyDescent="0.3">
      <c r="A58" s="2" t="s">
        <v>74</v>
      </c>
      <c r="B58" s="2" t="s">
        <v>42</v>
      </c>
      <c r="C58" s="2" t="s">
        <v>28</v>
      </c>
      <c r="D58" s="5">
        <v>44.620545703712537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6">
        <f t="shared" si="1"/>
        <v>44.620545703712537</v>
      </c>
    </row>
    <row r="59" spans="1:16" x14ac:dyDescent="0.3">
      <c r="A59" s="2" t="s">
        <v>74</v>
      </c>
      <c r="B59" s="2" t="s">
        <v>42</v>
      </c>
      <c r="C59" s="2" t="s">
        <v>29</v>
      </c>
      <c r="D59" s="5">
        <v>42.700888066048989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6">
        <f t="shared" si="1"/>
        <v>42.700888066048989</v>
      </c>
    </row>
    <row r="60" spans="1:16" x14ac:dyDescent="0.3">
      <c r="A60" s="2" t="s">
        <v>74</v>
      </c>
      <c r="B60" s="2" t="s">
        <v>42</v>
      </c>
      <c r="C60" s="2" t="s">
        <v>30</v>
      </c>
      <c r="D60" s="5">
        <v>39.829340582802843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6">
        <f t="shared" si="1"/>
        <v>39.829340582802843</v>
      </c>
    </row>
    <row r="61" spans="1:16" x14ac:dyDescent="0.3">
      <c r="A61" s="2" t="s">
        <v>74</v>
      </c>
      <c r="B61" s="2" t="s">
        <v>42</v>
      </c>
      <c r="C61" s="2" t="s">
        <v>31</v>
      </c>
      <c r="D61" s="5">
        <v>43.003417077857343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6">
        <f t="shared" si="1"/>
        <v>43.003417077857343</v>
      </c>
    </row>
    <row r="62" spans="1:16" x14ac:dyDescent="0.3">
      <c r="A62" s="2" t="s">
        <v>74</v>
      </c>
      <c r="B62" s="2" t="s">
        <v>42</v>
      </c>
      <c r="C62" s="2" t="s">
        <v>32</v>
      </c>
      <c r="D62" s="5">
        <v>43.951587040092839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6">
        <f t="shared" si="1"/>
        <v>43.951587040092839</v>
      </c>
    </row>
    <row r="63" spans="1:16" x14ac:dyDescent="0.3">
      <c r="A63" s="2" t="s">
        <v>74</v>
      </c>
      <c r="B63" s="2" t="s">
        <v>42</v>
      </c>
      <c r="C63" s="2" t="s">
        <v>33</v>
      </c>
      <c r="D63" s="5">
        <v>39.097688281853273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>
        <f t="shared" si="1"/>
        <v>39.097688281853273</v>
      </c>
    </row>
    <row r="64" spans="1:16" x14ac:dyDescent="0.3">
      <c r="A64" s="2" t="s">
        <v>74</v>
      </c>
      <c r="B64" s="2" t="s">
        <v>42</v>
      </c>
      <c r="C64" s="2" t="s">
        <v>34</v>
      </c>
      <c r="D64" s="5">
        <v>43.424958237590623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6">
        <f t="shared" si="1"/>
        <v>43.424958237590623</v>
      </c>
    </row>
    <row r="65" spans="1:16" x14ac:dyDescent="0.3">
      <c r="A65" s="2" t="s">
        <v>74</v>
      </c>
      <c r="B65" s="2" t="s">
        <v>42</v>
      </c>
      <c r="C65" s="2" t="s">
        <v>35</v>
      </c>
      <c r="D65" s="5">
        <v>40.24556375124768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>
        <f t="shared" si="1"/>
        <v>40.24556375124768</v>
      </c>
    </row>
    <row r="66" spans="1:16" x14ac:dyDescent="0.3">
      <c r="A66" s="2" t="s">
        <v>74</v>
      </c>
      <c r="B66" s="2" t="s">
        <v>42</v>
      </c>
      <c r="C66" s="2" t="s">
        <v>36</v>
      </c>
      <c r="D66" s="5">
        <v>46.320081447264073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>
        <f t="shared" ref="P66:P93" si="2">D66</f>
        <v>46.320081447264073</v>
      </c>
    </row>
    <row r="67" spans="1:16" x14ac:dyDescent="0.3">
      <c r="A67" s="2" t="s">
        <v>74</v>
      </c>
      <c r="B67" s="2" t="s">
        <v>42</v>
      </c>
      <c r="C67" s="2" t="s">
        <v>37</v>
      </c>
      <c r="D67" s="5">
        <v>44.492734498403991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6">
        <f t="shared" si="2"/>
        <v>44.492734498403991</v>
      </c>
    </row>
    <row r="68" spans="1:16" x14ac:dyDescent="0.3">
      <c r="A68" s="2" t="s">
        <v>74</v>
      </c>
      <c r="B68" s="2" t="s">
        <v>42</v>
      </c>
      <c r="C68" s="2" t="s">
        <v>38</v>
      </c>
      <c r="D68" s="5">
        <v>45.938927646890228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6">
        <f t="shared" si="2"/>
        <v>45.938927646890228</v>
      </c>
    </row>
    <row r="69" spans="1:16" x14ac:dyDescent="0.3">
      <c r="A69" s="2" t="s">
        <v>74</v>
      </c>
      <c r="B69" s="2" t="s">
        <v>42</v>
      </c>
      <c r="C69" s="2" t="s">
        <v>39</v>
      </c>
      <c r="D69" s="5">
        <v>46.264340142458288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6">
        <f t="shared" si="2"/>
        <v>46.264340142458288</v>
      </c>
    </row>
    <row r="70" spans="1:16" x14ac:dyDescent="0.3">
      <c r="A70" s="2" t="s">
        <v>74</v>
      </c>
      <c r="B70" s="2" t="s">
        <v>42</v>
      </c>
      <c r="C70" s="2" t="s">
        <v>40</v>
      </c>
      <c r="D70" s="5">
        <v>50.19023944112552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>
        <f t="shared" si="2"/>
        <v>50.19023944112552</v>
      </c>
    </row>
    <row r="71" spans="1:16" x14ac:dyDescent="0.3">
      <c r="A71" s="2" t="s">
        <v>74</v>
      </c>
      <c r="B71" s="2" t="s">
        <v>43</v>
      </c>
      <c r="C71" s="2" t="s">
        <v>18</v>
      </c>
      <c r="D71" s="7">
        <v>2335.6999999999998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8">
        <f t="shared" si="2"/>
        <v>2335.6999999999998</v>
      </c>
    </row>
    <row r="72" spans="1:16" x14ac:dyDescent="0.3">
      <c r="A72" s="2" t="s">
        <v>74</v>
      </c>
      <c r="B72" s="2" t="s">
        <v>43</v>
      </c>
      <c r="C72" s="2" t="s">
        <v>19</v>
      </c>
      <c r="D72" s="7">
        <v>2273.3000000000002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8">
        <f t="shared" si="2"/>
        <v>2273.3000000000002</v>
      </c>
    </row>
    <row r="73" spans="1:16" x14ac:dyDescent="0.3">
      <c r="A73" s="2" t="s">
        <v>74</v>
      </c>
      <c r="B73" s="2" t="s">
        <v>43</v>
      </c>
      <c r="C73" s="2" t="s">
        <v>20</v>
      </c>
      <c r="D73" s="7">
        <v>3043.9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8">
        <f t="shared" si="2"/>
        <v>3043.9</v>
      </c>
    </row>
    <row r="74" spans="1:16" x14ac:dyDescent="0.3">
      <c r="A74" s="2" t="s">
        <v>74</v>
      </c>
      <c r="B74" s="2" t="s">
        <v>43</v>
      </c>
      <c r="C74" s="2" t="s">
        <v>21</v>
      </c>
      <c r="D74" s="7">
        <v>3155.6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8">
        <f t="shared" si="2"/>
        <v>3155.6</v>
      </c>
    </row>
    <row r="75" spans="1:16" x14ac:dyDescent="0.3">
      <c r="A75" s="2" t="s">
        <v>74</v>
      </c>
      <c r="B75" s="2" t="s">
        <v>43</v>
      </c>
      <c r="C75" s="2" t="s">
        <v>22</v>
      </c>
      <c r="D75" s="7">
        <v>3465.5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8">
        <f t="shared" si="2"/>
        <v>3465.5</v>
      </c>
    </row>
    <row r="76" spans="1:16" x14ac:dyDescent="0.3">
      <c r="A76" s="2" t="s">
        <v>74</v>
      </c>
      <c r="B76" s="2" t="s">
        <v>43</v>
      </c>
      <c r="C76" s="2" t="s">
        <v>23</v>
      </c>
      <c r="D76" s="7">
        <v>2686.2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8">
        <f t="shared" si="2"/>
        <v>2686.2</v>
      </c>
    </row>
    <row r="77" spans="1:16" x14ac:dyDescent="0.3">
      <c r="A77" s="2" t="s">
        <v>74</v>
      </c>
      <c r="B77" s="2" t="s">
        <v>43</v>
      </c>
      <c r="C77" s="2" t="s">
        <v>24</v>
      </c>
      <c r="D77" s="7">
        <v>3335.9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8">
        <f t="shared" si="2"/>
        <v>3335.9</v>
      </c>
    </row>
    <row r="78" spans="1:16" x14ac:dyDescent="0.3">
      <c r="A78" s="2" t="s">
        <v>74</v>
      </c>
      <c r="B78" s="2" t="s">
        <v>43</v>
      </c>
      <c r="C78" s="2" t="s">
        <v>25</v>
      </c>
      <c r="D78" s="7">
        <v>3581.6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8">
        <f t="shared" si="2"/>
        <v>3581.6</v>
      </c>
    </row>
    <row r="79" spans="1:16" x14ac:dyDescent="0.3">
      <c r="A79" s="2" t="s">
        <v>74</v>
      </c>
      <c r="B79" s="2" t="s">
        <v>43</v>
      </c>
      <c r="C79" s="2" t="s">
        <v>26</v>
      </c>
      <c r="D79" s="7">
        <v>4444.6000000000004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8">
        <f t="shared" si="2"/>
        <v>4444.6000000000004</v>
      </c>
    </row>
    <row r="80" spans="1:16" x14ac:dyDescent="0.3">
      <c r="A80" s="2" t="s">
        <v>74</v>
      </c>
      <c r="B80" s="2" t="s">
        <v>43</v>
      </c>
      <c r="C80" s="2" t="s">
        <v>27</v>
      </c>
      <c r="D80" s="7">
        <v>4466.5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8">
        <f t="shared" si="2"/>
        <v>4466.5</v>
      </c>
    </row>
    <row r="81" spans="1:16" x14ac:dyDescent="0.3">
      <c r="A81" s="2" t="s">
        <v>74</v>
      </c>
      <c r="B81" s="2" t="s">
        <v>43</v>
      </c>
      <c r="C81" s="2" t="s">
        <v>28</v>
      </c>
      <c r="D81" s="7">
        <v>5086.3999999999996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8">
        <f t="shared" si="2"/>
        <v>5086.3999999999996</v>
      </c>
    </row>
    <row r="82" spans="1:16" x14ac:dyDescent="0.3">
      <c r="A82" s="2" t="s">
        <v>74</v>
      </c>
      <c r="B82" s="2" t="s">
        <v>43</v>
      </c>
      <c r="C82" s="2" t="s">
        <v>29</v>
      </c>
      <c r="D82" s="7">
        <v>5355.9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8">
        <f t="shared" si="2"/>
        <v>5355.9</v>
      </c>
    </row>
    <row r="83" spans="1:16" x14ac:dyDescent="0.3">
      <c r="A83" s="2" t="s">
        <v>74</v>
      </c>
      <c r="B83" s="2" t="s">
        <v>43</v>
      </c>
      <c r="C83" s="2" t="s">
        <v>30</v>
      </c>
      <c r="D83" s="7">
        <v>6044.8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8">
        <f t="shared" si="2"/>
        <v>6044.8</v>
      </c>
    </row>
    <row r="84" spans="1:16" x14ac:dyDescent="0.3">
      <c r="A84" s="2" t="s">
        <v>74</v>
      </c>
      <c r="B84" s="2" t="s">
        <v>43</v>
      </c>
      <c r="C84" s="2" t="s">
        <v>31</v>
      </c>
      <c r="D84" s="7">
        <v>6456.3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8">
        <f t="shared" si="2"/>
        <v>6456.3</v>
      </c>
    </row>
    <row r="85" spans="1:16" x14ac:dyDescent="0.3">
      <c r="A85" s="2" t="s">
        <v>74</v>
      </c>
      <c r="B85" s="2" t="s">
        <v>43</v>
      </c>
      <c r="C85" s="2" t="s">
        <v>32</v>
      </c>
      <c r="D85" s="7">
        <v>6596.5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8">
        <f t="shared" si="2"/>
        <v>6596.5</v>
      </c>
    </row>
    <row r="86" spans="1:16" x14ac:dyDescent="0.3">
      <c r="A86" s="2" t="s">
        <v>74</v>
      </c>
      <c r="B86" s="2" t="s">
        <v>43</v>
      </c>
      <c r="C86" s="2" t="s">
        <v>33</v>
      </c>
      <c r="D86" s="7">
        <v>7716.6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8">
        <f t="shared" si="2"/>
        <v>7716.6</v>
      </c>
    </row>
    <row r="87" spans="1:16" x14ac:dyDescent="0.3">
      <c r="A87" s="2" t="s">
        <v>74</v>
      </c>
      <c r="B87" s="2" t="s">
        <v>43</v>
      </c>
      <c r="C87" s="2" t="s">
        <v>34</v>
      </c>
      <c r="D87" s="7">
        <v>7416.6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8">
        <f t="shared" si="2"/>
        <v>7416.6</v>
      </c>
    </row>
    <row r="88" spans="1:16" x14ac:dyDescent="0.3">
      <c r="A88" s="2" t="s">
        <v>74</v>
      </c>
      <c r="B88" s="2" t="s">
        <v>43</v>
      </c>
      <c r="C88" s="2" t="s">
        <v>35</v>
      </c>
      <c r="D88" s="7">
        <v>6145.1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8">
        <f t="shared" si="2"/>
        <v>6145.1</v>
      </c>
    </row>
    <row r="89" spans="1:16" x14ac:dyDescent="0.3">
      <c r="A89" s="2" t="s">
        <v>74</v>
      </c>
      <c r="B89" s="2" t="s">
        <v>43</v>
      </c>
      <c r="C89" s="2" t="s">
        <v>36</v>
      </c>
      <c r="D89" s="7">
        <v>6358.6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8">
        <f t="shared" si="2"/>
        <v>6358.6</v>
      </c>
    </row>
    <row r="90" spans="1:16" x14ac:dyDescent="0.3">
      <c r="A90" s="2" t="s">
        <v>74</v>
      </c>
      <c r="B90" s="2" t="s">
        <v>43</v>
      </c>
      <c r="C90" s="2" t="s">
        <v>37</v>
      </c>
      <c r="D90" s="7">
        <v>6224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8">
        <f t="shared" si="2"/>
        <v>6224</v>
      </c>
    </row>
    <row r="91" spans="1:16" x14ac:dyDescent="0.3">
      <c r="A91" s="2" t="s">
        <v>74</v>
      </c>
      <c r="B91" s="2" t="s">
        <v>43</v>
      </c>
      <c r="C91" s="2" t="s">
        <v>38</v>
      </c>
      <c r="D91" s="7">
        <v>6543.2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8">
        <f t="shared" si="2"/>
        <v>6543.2</v>
      </c>
    </row>
    <row r="92" spans="1:16" x14ac:dyDescent="0.3">
      <c r="A92" s="2" t="s">
        <v>74</v>
      </c>
      <c r="B92" s="2" t="s">
        <v>43</v>
      </c>
      <c r="C92" s="2" t="s">
        <v>39</v>
      </c>
      <c r="D92" s="7">
        <v>7035.4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8">
        <f t="shared" si="2"/>
        <v>7035.4</v>
      </c>
    </row>
    <row r="93" spans="1:16" x14ac:dyDescent="0.3">
      <c r="A93" s="2" t="s">
        <v>74</v>
      </c>
      <c r="B93" s="2" t="s">
        <v>43</v>
      </c>
      <c r="C93" s="2" t="s">
        <v>40</v>
      </c>
      <c r="D93" s="7">
        <v>7728.3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8">
        <f t="shared" si="2"/>
        <v>7728.3</v>
      </c>
    </row>
    <row r="94" spans="1:16" x14ac:dyDescent="0.3">
      <c r="A94" s="2" t="s">
        <v>74</v>
      </c>
      <c r="B94" s="2" t="s">
        <v>44</v>
      </c>
      <c r="C94" s="2" t="s">
        <v>18</v>
      </c>
      <c r="D94" s="7">
        <v>12.88</v>
      </c>
      <c r="E94" s="7">
        <v>115.504</v>
      </c>
      <c r="F94" s="7">
        <v>142.81399999999999</v>
      </c>
      <c r="G94" s="7">
        <v>153.72399999999999</v>
      </c>
      <c r="H94" s="7">
        <v>34.101999999999997</v>
      </c>
      <c r="I94" s="7">
        <v>40.488</v>
      </c>
      <c r="J94" s="7">
        <v>42.917999999999999</v>
      </c>
      <c r="K94" s="7">
        <v>44.398000000000003</v>
      </c>
      <c r="L94" s="7">
        <v>47.834000000000003</v>
      </c>
      <c r="M94" s="7">
        <v>49.454000000000001</v>
      </c>
      <c r="N94" s="7">
        <v>23.021999999999998</v>
      </c>
      <c r="O94" s="7">
        <v>19.271999999999998</v>
      </c>
      <c r="P94" s="8">
        <f t="shared" ref="P94:P125" si="3">SUM(D94:O94)</f>
        <v>726.41000000000008</v>
      </c>
    </row>
    <row r="95" spans="1:16" x14ac:dyDescent="0.3">
      <c r="A95" s="2" t="s">
        <v>74</v>
      </c>
      <c r="B95" s="2" t="s">
        <v>44</v>
      </c>
      <c r="C95" s="2" t="s">
        <v>19</v>
      </c>
      <c r="D95" s="7">
        <v>24.988</v>
      </c>
      <c r="E95" s="7">
        <v>161.96199999999999</v>
      </c>
      <c r="F95" s="7">
        <v>269.32</v>
      </c>
      <c r="G95" s="7">
        <v>116.71</v>
      </c>
      <c r="H95" s="7">
        <v>34.183999999999997</v>
      </c>
      <c r="I95" s="7">
        <v>33.781999999999996</v>
      </c>
      <c r="J95" s="7">
        <v>37.26</v>
      </c>
      <c r="K95" s="7">
        <v>37.426000000000002</v>
      </c>
      <c r="L95" s="7">
        <v>70.941999999999993</v>
      </c>
      <c r="M95" s="7">
        <v>54.024000000000001</v>
      </c>
      <c r="N95" s="7">
        <v>37.374000000000002</v>
      </c>
      <c r="O95" s="7">
        <v>35.869999999999997</v>
      </c>
      <c r="P95" s="8">
        <f t="shared" si="3"/>
        <v>913.8420000000001</v>
      </c>
    </row>
    <row r="96" spans="1:16" x14ac:dyDescent="0.3">
      <c r="A96" s="2" t="s">
        <v>74</v>
      </c>
      <c r="B96" s="2" t="s">
        <v>44</v>
      </c>
      <c r="C96" s="2" t="s">
        <v>20</v>
      </c>
      <c r="D96" s="7">
        <v>34.863999999999997</v>
      </c>
      <c r="E96" s="7">
        <v>183.40600000000001</v>
      </c>
      <c r="F96" s="7">
        <v>258.67</v>
      </c>
      <c r="G96" s="7">
        <v>166.476</v>
      </c>
      <c r="H96" s="7">
        <v>39.362000000000002</v>
      </c>
      <c r="I96" s="7">
        <v>37.277999999999999</v>
      </c>
      <c r="J96" s="7">
        <v>70.921999999999997</v>
      </c>
      <c r="K96" s="7">
        <v>56.512</v>
      </c>
      <c r="L96" s="7">
        <v>59.338000000000001</v>
      </c>
      <c r="M96" s="7">
        <v>60.942</v>
      </c>
      <c r="N96" s="7">
        <v>88.903999999999996</v>
      </c>
      <c r="O96" s="7">
        <v>67.075999999999993</v>
      </c>
      <c r="P96" s="8">
        <f t="shared" si="3"/>
        <v>1123.75</v>
      </c>
    </row>
    <row r="97" spans="1:16" x14ac:dyDescent="0.3">
      <c r="A97" s="2" t="s">
        <v>74</v>
      </c>
      <c r="B97" s="2" t="s">
        <v>44</v>
      </c>
      <c r="C97" s="2" t="s">
        <v>21</v>
      </c>
      <c r="D97" s="7">
        <v>81.394000000000005</v>
      </c>
      <c r="E97" s="7">
        <v>200.96199999999999</v>
      </c>
      <c r="F97" s="7">
        <v>230.42</v>
      </c>
      <c r="G97" s="7">
        <v>187.58799999999999</v>
      </c>
      <c r="H97" s="7">
        <v>101</v>
      </c>
      <c r="I97" s="7">
        <v>42.103999999999999</v>
      </c>
      <c r="J97" s="7">
        <v>65.701999999999998</v>
      </c>
      <c r="K97" s="7">
        <v>46.954000000000001</v>
      </c>
      <c r="L97" s="7">
        <v>103.322</v>
      </c>
      <c r="M97" s="7">
        <v>50.954000000000001</v>
      </c>
      <c r="N97" s="7">
        <v>148.274</v>
      </c>
      <c r="O97" s="7">
        <v>59.59</v>
      </c>
      <c r="P97" s="8">
        <f t="shared" si="3"/>
        <v>1318.2639999999999</v>
      </c>
    </row>
    <row r="98" spans="1:16" x14ac:dyDescent="0.3">
      <c r="A98" s="2" t="s">
        <v>74</v>
      </c>
      <c r="B98" s="2" t="s">
        <v>44</v>
      </c>
      <c r="C98" s="2" t="s">
        <v>22</v>
      </c>
      <c r="D98" s="7">
        <v>139.64599999999999</v>
      </c>
      <c r="E98" s="7">
        <v>131.19999999999999</v>
      </c>
      <c r="F98" s="7">
        <v>346.36399999999998</v>
      </c>
      <c r="G98" s="7">
        <v>234.40799999999999</v>
      </c>
      <c r="H98" s="7">
        <v>140.57599999999999</v>
      </c>
      <c r="I98" s="7">
        <v>57.53</v>
      </c>
      <c r="J98" s="7">
        <v>93.95</v>
      </c>
      <c r="K98" s="7">
        <v>112.146</v>
      </c>
      <c r="L98" s="7">
        <v>110.37</v>
      </c>
      <c r="M98" s="7">
        <v>126.63200000000001</v>
      </c>
      <c r="N98" s="7">
        <v>130.946</v>
      </c>
      <c r="O98" s="7">
        <v>122.374</v>
      </c>
      <c r="P98" s="8">
        <f t="shared" si="3"/>
        <v>1746.1420000000001</v>
      </c>
    </row>
    <row r="99" spans="1:16" x14ac:dyDescent="0.3">
      <c r="A99" s="2" t="s">
        <v>74</v>
      </c>
      <c r="B99" s="2" t="s">
        <v>44</v>
      </c>
      <c r="C99" s="2" t="s">
        <v>23</v>
      </c>
      <c r="D99" s="7">
        <v>89.897999999999996</v>
      </c>
      <c r="E99" s="7">
        <v>353.80399999999997</v>
      </c>
      <c r="F99" s="7">
        <v>374.952</v>
      </c>
      <c r="G99" s="7">
        <v>170.14400000000001</v>
      </c>
      <c r="H99" s="7">
        <v>86.513999999999996</v>
      </c>
      <c r="I99" s="7">
        <v>128.24799999999999</v>
      </c>
      <c r="J99" s="7">
        <v>105.492</v>
      </c>
      <c r="K99" s="7">
        <v>77.224000000000004</v>
      </c>
      <c r="L99" s="7">
        <v>91.183999999999997</v>
      </c>
      <c r="M99" s="7">
        <v>94.811999999999998</v>
      </c>
      <c r="N99" s="7">
        <v>58.124000000000002</v>
      </c>
      <c r="O99" s="7">
        <v>81.231999999999999</v>
      </c>
      <c r="P99" s="8">
        <f t="shared" si="3"/>
        <v>1711.6279999999997</v>
      </c>
    </row>
    <row r="100" spans="1:16" x14ac:dyDescent="0.3">
      <c r="A100" s="2" t="s">
        <v>74</v>
      </c>
      <c r="B100" s="2" t="s">
        <v>44</v>
      </c>
      <c r="C100" s="2" t="s">
        <v>24</v>
      </c>
      <c r="D100" s="7">
        <v>33.283999999999999</v>
      </c>
      <c r="E100" s="7">
        <v>288.024</v>
      </c>
      <c r="F100" s="7">
        <v>466.05</v>
      </c>
      <c r="G100" s="7">
        <v>340.44600000000003</v>
      </c>
      <c r="H100" s="7">
        <v>145.33799999999999</v>
      </c>
      <c r="I100" s="7">
        <v>97.498000000000005</v>
      </c>
      <c r="J100" s="7">
        <v>103.95399999999999</v>
      </c>
      <c r="K100" s="7">
        <v>98.024000000000001</v>
      </c>
      <c r="L100" s="7">
        <v>157.148</v>
      </c>
      <c r="M100" s="7">
        <v>111.98</v>
      </c>
      <c r="N100" s="7">
        <v>94.242000000000004</v>
      </c>
      <c r="O100" s="7">
        <v>58.792000000000002</v>
      </c>
      <c r="P100" s="8">
        <f t="shared" si="3"/>
        <v>1994.7799999999997</v>
      </c>
    </row>
    <row r="101" spans="1:16" x14ac:dyDescent="0.3">
      <c r="A101" s="2" t="s">
        <v>74</v>
      </c>
      <c r="B101" s="2" t="s">
        <v>44</v>
      </c>
      <c r="C101" s="2" t="s">
        <v>25</v>
      </c>
      <c r="D101" s="7">
        <v>60.298000000000002</v>
      </c>
      <c r="E101" s="7">
        <v>283.49799999999999</v>
      </c>
      <c r="F101" s="7">
        <v>583.15599999999995</v>
      </c>
      <c r="G101" s="7">
        <v>485.12599999999998</v>
      </c>
      <c r="H101" s="7">
        <v>177.292</v>
      </c>
      <c r="I101" s="7">
        <v>106.36799999999999</v>
      </c>
      <c r="J101" s="7">
        <v>124.38800000000001</v>
      </c>
      <c r="K101" s="7">
        <v>94.078000000000003</v>
      </c>
      <c r="L101" s="7">
        <v>78.292000000000002</v>
      </c>
      <c r="M101" s="7">
        <v>80.147999999999996</v>
      </c>
      <c r="N101" s="7">
        <v>115.584</v>
      </c>
      <c r="O101" s="7">
        <v>132.23400000000001</v>
      </c>
      <c r="P101" s="8">
        <f t="shared" si="3"/>
        <v>2320.4619999999995</v>
      </c>
    </row>
    <row r="102" spans="1:16" x14ac:dyDescent="0.3">
      <c r="A102" s="2" t="s">
        <v>74</v>
      </c>
      <c r="B102" s="2" t="s">
        <v>44</v>
      </c>
      <c r="C102" s="2" t="s">
        <v>26</v>
      </c>
      <c r="D102" s="7">
        <v>70.835999999999999</v>
      </c>
      <c r="E102" s="7">
        <v>630.01600000000008</v>
      </c>
      <c r="F102" s="7">
        <v>709.01200000000006</v>
      </c>
      <c r="G102" s="7">
        <v>457.71600000000001</v>
      </c>
      <c r="H102" s="7">
        <v>211.72</v>
      </c>
      <c r="I102" s="7">
        <v>169.77600000000001</v>
      </c>
      <c r="J102" s="7">
        <v>95.475999999999999</v>
      </c>
      <c r="K102" s="7">
        <v>143.69399999999999</v>
      </c>
      <c r="L102" s="7">
        <v>73.27</v>
      </c>
      <c r="M102" s="7">
        <v>165.642</v>
      </c>
      <c r="N102" s="7">
        <v>83.203999999999994</v>
      </c>
      <c r="O102" s="7">
        <v>91.924000000000007</v>
      </c>
      <c r="P102" s="8">
        <f t="shared" si="3"/>
        <v>2902.2859999999996</v>
      </c>
    </row>
    <row r="103" spans="1:16" x14ac:dyDescent="0.3">
      <c r="A103" s="2" t="s">
        <v>74</v>
      </c>
      <c r="B103" s="2" t="s">
        <v>44</v>
      </c>
      <c r="C103" s="2" t="s">
        <v>27</v>
      </c>
      <c r="D103" s="7">
        <v>90.742000000000004</v>
      </c>
      <c r="E103" s="7">
        <v>445.11200000000002</v>
      </c>
      <c r="F103" s="7">
        <v>593.88199999999995</v>
      </c>
      <c r="G103" s="7">
        <v>486.18200000000002</v>
      </c>
      <c r="H103" s="7">
        <v>144.99700000000001</v>
      </c>
      <c r="I103" s="7">
        <v>228.26300000000001</v>
      </c>
      <c r="J103" s="7">
        <v>119.34399999999999</v>
      </c>
      <c r="K103" s="7">
        <v>197.524</v>
      </c>
      <c r="L103" s="7">
        <v>246.69300000000001</v>
      </c>
      <c r="M103" s="7">
        <v>145.02699999999999</v>
      </c>
      <c r="N103" s="7">
        <v>142.965</v>
      </c>
      <c r="O103" s="7">
        <v>93.483999999999995</v>
      </c>
      <c r="P103" s="8">
        <f t="shared" si="3"/>
        <v>2934.2150000000001</v>
      </c>
    </row>
    <row r="104" spans="1:16" x14ac:dyDescent="0.3">
      <c r="A104" s="2" t="s">
        <v>74</v>
      </c>
      <c r="B104" s="2" t="s">
        <v>44</v>
      </c>
      <c r="C104" s="2" t="s">
        <v>28</v>
      </c>
      <c r="D104" s="7">
        <v>85.078999999999994</v>
      </c>
      <c r="E104" s="7">
        <v>963.93600000000004</v>
      </c>
      <c r="F104" s="7">
        <v>749.15600000000006</v>
      </c>
      <c r="G104" s="7">
        <v>488.86399999999998</v>
      </c>
      <c r="H104" s="7">
        <v>299.48099999999999</v>
      </c>
      <c r="I104" s="7">
        <v>193.67</v>
      </c>
      <c r="J104" s="7">
        <v>106.95</v>
      </c>
      <c r="K104" s="7">
        <v>101.43600000000001</v>
      </c>
      <c r="L104" s="7">
        <v>119.887</v>
      </c>
      <c r="M104" s="7">
        <v>144.429</v>
      </c>
      <c r="N104" s="7">
        <v>123.896</v>
      </c>
      <c r="O104" s="7">
        <v>89.025000000000006</v>
      </c>
      <c r="P104" s="8">
        <f t="shared" si="3"/>
        <v>3465.8090000000011</v>
      </c>
    </row>
    <row r="105" spans="1:16" x14ac:dyDescent="0.3">
      <c r="A105" s="2" t="s">
        <v>74</v>
      </c>
      <c r="B105" s="2" t="s">
        <v>44</v>
      </c>
      <c r="C105" s="2" t="s">
        <v>29</v>
      </c>
      <c r="D105" s="7">
        <v>72.090999999999994</v>
      </c>
      <c r="E105" s="7">
        <v>904.72400000000005</v>
      </c>
      <c r="F105" s="7">
        <v>882.81000000000006</v>
      </c>
      <c r="G105" s="7">
        <v>483.02600000000001</v>
      </c>
      <c r="H105" s="7">
        <v>263.75299999999999</v>
      </c>
      <c r="I105" s="7">
        <v>168.934</v>
      </c>
      <c r="J105" s="7">
        <v>143.25</v>
      </c>
      <c r="K105" s="7">
        <v>117.557</v>
      </c>
      <c r="L105" s="7">
        <v>129.666</v>
      </c>
      <c r="M105" s="7">
        <v>130.43299999999999</v>
      </c>
      <c r="N105" s="7">
        <v>83.876000000000005</v>
      </c>
      <c r="O105" s="7">
        <v>67.472999999999999</v>
      </c>
      <c r="P105" s="8">
        <f t="shared" si="3"/>
        <v>3447.5930000000003</v>
      </c>
    </row>
    <row r="106" spans="1:16" x14ac:dyDescent="0.3">
      <c r="A106" s="2" t="s">
        <v>74</v>
      </c>
      <c r="B106" s="2" t="s">
        <v>44</v>
      </c>
      <c r="C106" s="2" t="s">
        <v>30</v>
      </c>
      <c r="D106" s="7">
        <v>62.462000000000003</v>
      </c>
      <c r="E106" s="7">
        <v>591.32500000000005</v>
      </c>
      <c r="F106" s="7">
        <v>863.51099999999997</v>
      </c>
      <c r="G106" s="7">
        <v>898.37699999999995</v>
      </c>
      <c r="H106" s="7">
        <v>354.99700000000001</v>
      </c>
      <c r="I106" s="7">
        <v>304.58499999999998</v>
      </c>
      <c r="J106" s="7">
        <v>189.00899999999999</v>
      </c>
      <c r="K106" s="7">
        <v>132.29599999999999</v>
      </c>
      <c r="L106" s="7">
        <v>122.196</v>
      </c>
      <c r="M106" s="7">
        <v>134.244</v>
      </c>
      <c r="N106" s="7">
        <v>134.15799999999999</v>
      </c>
      <c r="O106" s="7">
        <v>128.45599999999999</v>
      </c>
      <c r="P106" s="8">
        <f t="shared" si="3"/>
        <v>3915.616</v>
      </c>
    </row>
    <row r="107" spans="1:16" x14ac:dyDescent="0.3">
      <c r="A107" s="2" t="s">
        <v>74</v>
      </c>
      <c r="B107" s="2" t="s">
        <v>44</v>
      </c>
      <c r="C107" s="2" t="s">
        <v>31</v>
      </c>
      <c r="D107" s="7">
        <v>160.46100000000001</v>
      </c>
      <c r="E107" s="7">
        <v>947.91399999999999</v>
      </c>
      <c r="F107" s="7">
        <v>1010.629</v>
      </c>
      <c r="G107" s="7">
        <v>628.22199999999998</v>
      </c>
      <c r="H107" s="7">
        <v>396.39400000000001</v>
      </c>
      <c r="I107" s="7">
        <v>277.79000000000002</v>
      </c>
      <c r="J107" s="7">
        <v>252.124</v>
      </c>
      <c r="K107" s="7">
        <v>79.013000000000005</v>
      </c>
      <c r="L107" s="7">
        <v>119.651</v>
      </c>
      <c r="M107" s="7">
        <v>135.11699999999999</v>
      </c>
      <c r="N107" s="7">
        <v>100.17400000000001</v>
      </c>
      <c r="O107" s="7">
        <v>191.52699999999999</v>
      </c>
      <c r="P107" s="8">
        <f t="shared" si="3"/>
        <v>4299.0159999999996</v>
      </c>
    </row>
    <row r="108" spans="1:16" x14ac:dyDescent="0.3">
      <c r="A108" s="2" t="s">
        <v>74</v>
      </c>
      <c r="B108" s="2" t="s">
        <v>44</v>
      </c>
      <c r="C108" s="2" t="s">
        <v>32</v>
      </c>
      <c r="D108" s="7">
        <v>180.39599999999999</v>
      </c>
      <c r="E108" s="7">
        <v>776.71299999999997</v>
      </c>
      <c r="F108" s="7">
        <v>1245.499</v>
      </c>
      <c r="G108" s="7">
        <v>669.58199999999999</v>
      </c>
      <c r="H108" s="7">
        <v>520.04999999999995</v>
      </c>
      <c r="I108" s="7">
        <v>305.80200000000002</v>
      </c>
      <c r="J108" s="7">
        <v>126.176</v>
      </c>
      <c r="K108" s="7">
        <v>201.774</v>
      </c>
      <c r="L108" s="7">
        <v>162.99600000000001</v>
      </c>
      <c r="M108" s="7">
        <v>96.263000000000005</v>
      </c>
      <c r="N108" s="7">
        <v>115.54</v>
      </c>
      <c r="O108" s="7">
        <v>67.608000000000004</v>
      </c>
      <c r="P108" s="8">
        <f t="shared" si="3"/>
        <v>4468.3989999999994</v>
      </c>
    </row>
    <row r="109" spans="1:16" x14ac:dyDescent="0.3">
      <c r="A109" s="2" t="s">
        <v>74</v>
      </c>
      <c r="B109" s="2" t="s">
        <v>44</v>
      </c>
      <c r="C109" s="2" t="s">
        <v>33</v>
      </c>
      <c r="D109" s="7">
        <v>116.61499999999999</v>
      </c>
      <c r="E109" s="7">
        <v>767.24200000000008</v>
      </c>
      <c r="F109" s="7">
        <v>1298.441</v>
      </c>
      <c r="G109" s="7">
        <v>884.34500000000003</v>
      </c>
      <c r="H109" s="7">
        <v>290.161</v>
      </c>
      <c r="I109" s="7">
        <v>264.988</v>
      </c>
      <c r="J109" s="7">
        <v>265.255</v>
      </c>
      <c r="K109" s="7">
        <v>187.34100000000001</v>
      </c>
      <c r="L109" s="7">
        <v>221.608</v>
      </c>
      <c r="M109" s="7">
        <v>295.09899999999999</v>
      </c>
      <c r="N109" s="7">
        <v>265.96900000000011</v>
      </c>
      <c r="O109" s="7">
        <v>89.555999999999997</v>
      </c>
      <c r="P109" s="8">
        <f t="shared" si="3"/>
        <v>4946.62</v>
      </c>
    </row>
    <row r="110" spans="1:16" x14ac:dyDescent="0.3">
      <c r="A110" s="2" t="s">
        <v>74</v>
      </c>
      <c r="B110" s="2" t="s">
        <v>44</v>
      </c>
      <c r="C110" s="2" t="s">
        <v>34</v>
      </c>
      <c r="D110" s="7">
        <v>193.46100000000001</v>
      </c>
      <c r="E110" s="7">
        <v>977.33500000000015</v>
      </c>
      <c r="F110" s="7">
        <v>1520.9549999999999</v>
      </c>
      <c r="G110" s="7">
        <v>932.14499999999998</v>
      </c>
      <c r="H110" s="7">
        <v>94.296000000000006</v>
      </c>
      <c r="I110" s="7">
        <v>93.275000000000006</v>
      </c>
      <c r="J110" s="7">
        <v>107.19499999999999</v>
      </c>
      <c r="K110" s="7">
        <v>99.956000000000003</v>
      </c>
      <c r="L110" s="7">
        <v>261.84100000000001</v>
      </c>
      <c r="M110" s="7">
        <v>322.70299999999997</v>
      </c>
      <c r="N110" s="7">
        <v>546.08000000000004</v>
      </c>
      <c r="O110" s="7">
        <v>486.32</v>
      </c>
      <c r="P110" s="8">
        <f t="shared" si="3"/>
        <v>5635.5619999999999</v>
      </c>
    </row>
    <row r="111" spans="1:16" x14ac:dyDescent="0.3">
      <c r="A111" s="2" t="s">
        <v>74</v>
      </c>
      <c r="B111" s="2" t="s">
        <v>44</v>
      </c>
      <c r="C111" s="2" t="s">
        <v>35</v>
      </c>
      <c r="D111" s="7">
        <v>149.346</v>
      </c>
      <c r="E111" s="7">
        <v>205.923</v>
      </c>
      <c r="F111" s="7">
        <v>840.49400000000003</v>
      </c>
      <c r="G111" s="7">
        <v>786.14800000000002</v>
      </c>
      <c r="H111" s="7">
        <v>296.04199999999997</v>
      </c>
      <c r="I111" s="7">
        <v>158.73099999999999</v>
      </c>
      <c r="J111" s="7">
        <v>178.27500000000001</v>
      </c>
      <c r="K111" s="7">
        <v>158.76300000000001</v>
      </c>
      <c r="L111" s="7">
        <v>206.691</v>
      </c>
      <c r="M111" s="7">
        <v>246.232</v>
      </c>
      <c r="N111" s="7">
        <v>195.727</v>
      </c>
      <c r="O111" s="7">
        <v>164.649</v>
      </c>
      <c r="P111" s="8">
        <f t="shared" si="3"/>
        <v>3587.0209999999997</v>
      </c>
    </row>
    <row r="112" spans="1:16" x14ac:dyDescent="0.3">
      <c r="A112" s="2" t="s">
        <v>74</v>
      </c>
      <c r="B112" s="2" t="s">
        <v>44</v>
      </c>
      <c r="C112" s="2" t="s">
        <v>36</v>
      </c>
      <c r="D112" s="7">
        <v>207.78800000000001</v>
      </c>
      <c r="E112" s="7">
        <v>817.375</v>
      </c>
      <c r="F112" s="7">
        <v>924.42200000000003</v>
      </c>
      <c r="G112" s="7">
        <v>884.96699999999998</v>
      </c>
      <c r="H112" s="7">
        <v>464.87599999999998</v>
      </c>
      <c r="I112" s="7">
        <v>245.34299999999999</v>
      </c>
      <c r="J112" s="7">
        <v>269.71499999999997</v>
      </c>
      <c r="K112" s="7">
        <v>115.971</v>
      </c>
      <c r="L112" s="7">
        <v>217.99</v>
      </c>
      <c r="M112" s="7">
        <v>126.557</v>
      </c>
      <c r="N112" s="7">
        <v>113.929</v>
      </c>
      <c r="O112" s="7">
        <v>127.09399999999999</v>
      </c>
      <c r="P112" s="8">
        <f t="shared" si="3"/>
        <v>4516.027</v>
      </c>
    </row>
    <row r="113" spans="1:16" x14ac:dyDescent="0.3">
      <c r="A113" s="2" t="s">
        <v>74</v>
      </c>
      <c r="B113" s="2" t="s">
        <v>44</v>
      </c>
      <c r="C113" s="2" t="s">
        <v>37</v>
      </c>
      <c r="D113" s="7">
        <v>110.80200000000001</v>
      </c>
      <c r="E113" s="7">
        <v>975.01300000000003</v>
      </c>
      <c r="F113" s="7">
        <v>970.84799999999996</v>
      </c>
      <c r="G113" s="7">
        <v>797.07399999999996</v>
      </c>
      <c r="H113" s="7">
        <v>323.91399999999999</v>
      </c>
      <c r="I113" s="7">
        <v>119.337</v>
      </c>
      <c r="J113" s="7">
        <v>180.13200000000001</v>
      </c>
      <c r="K113" s="7">
        <v>157.11699999999999</v>
      </c>
      <c r="L113" s="7">
        <v>275.89400000000001</v>
      </c>
      <c r="M113" s="7">
        <v>109.675</v>
      </c>
      <c r="N113" s="7">
        <v>141.66900000000001</v>
      </c>
      <c r="O113" s="7">
        <v>116.17100000000001</v>
      </c>
      <c r="P113" s="8">
        <f t="shared" si="3"/>
        <v>4277.6460000000006</v>
      </c>
    </row>
    <row r="114" spans="1:16" x14ac:dyDescent="0.3">
      <c r="A114" s="2" t="s">
        <v>74</v>
      </c>
      <c r="B114" s="2" t="s">
        <v>44</v>
      </c>
      <c r="C114" s="2" t="s">
        <v>38</v>
      </c>
      <c r="D114" s="7">
        <v>106.404</v>
      </c>
      <c r="E114" s="7">
        <v>581.91899999999998</v>
      </c>
      <c r="F114" s="7">
        <v>1252.18</v>
      </c>
      <c r="G114" s="7">
        <v>919.95600000000002</v>
      </c>
      <c r="H114" s="7">
        <v>518.49599999999998</v>
      </c>
      <c r="I114" s="7">
        <v>173.35499999999999</v>
      </c>
      <c r="J114" s="7">
        <v>139.583</v>
      </c>
      <c r="K114" s="7">
        <v>106.554</v>
      </c>
      <c r="L114" s="7">
        <v>158.57599999999999</v>
      </c>
      <c r="M114" s="7">
        <v>87.843999999999994</v>
      </c>
      <c r="N114" s="7">
        <v>78.707999999999998</v>
      </c>
      <c r="O114" s="7">
        <v>109.331</v>
      </c>
      <c r="P114" s="8">
        <f t="shared" si="3"/>
        <v>4232.9060000000009</v>
      </c>
    </row>
    <row r="115" spans="1:16" x14ac:dyDescent="0.3">
      <c r="A115" s="2" t="s">
        <v>74</v>
      </c>
      <c r="B115" s="2" t="s">
        <v>44</v>
      </c>
      <c r="C115" s="2" t="s">
        <v>39</v>
      </c>
      <c r="D115" s="7">
        <v>85.350999999999999</v>
      </c>
      <c r="E115" s="7">
        <v>747.68600000000004</v>
      </c>
      <c r="F115" s="7">
        <v>1182.0070000000001</v>
      </c>
      <c r="G115" s="7">
        <v>1109.268</v>
      </c>
      <c r="H115" s="7">
        <v>449.91399999999999</v>
      </c>
      <c r="I115" s="7">
        <v>344.99799999999999</v>
      </c>
      <c r="J115" s="7">
        <v>140.94399999999999</v>
      </c>
      <c r="K115" s="7">
        <v>139.577</v>
      </c>
      <c r="L115" s="7">
        <v>138.749</v>
      </c>
      <c r="M115" s="7">
        <v>164.94499999999999</v>
      </c>
      <c r="N115" s="7">
        <v>248.155</v>
      </c>
      <c r="O115" s="7">
        <v>194.55199999999999</v>
      </c>
      <c r="P115" s="8">
        <f t="shared" si="3"/>
        <v>4946.1459999999988</v>
      </c>
    </row>
    <row r="116" spans="1:16" x14ac:dyDescent="0.3">
      <c r="A116" s="2" t="s">
        <v>74</v>
      </c>
      <c r="B116" s="2" t="s">
        <v>44</v>
      </c>
      <c r="C116" s="2" t="s">
        <v>40</v>
      </c>
      <c r="D116" s="7">
        <v>149.24799999999999</v>
      </c>
      <c r="E116" s="7">
        <v>884.70899999999995</v>
      </c>
      <c r="F116" s="7">
        <v>1515.279</v>
      </c>
      <c r="G116" s="7">
        <v>762.702</v>
      </c>
      <c r="H116" s="7">
        <v>547.39300000000003</v>
      </c>
      <c r="I116" s="7">
        <v>314.12799999999999</v>
      </c>
      <c r="J116" s="7">
        <v>261.23899999999998</v>
      </c>
      <c r="K116" s="7">
        <v>165.29599999999999</v>
      </c>
      <c r="L116" s="7">
        <v>233.339</v>
      </c>
      <c r="M116" s="7">
        <v>271.02</v>
      </c>
      <c r="N116" s="7">
        <v>261.529</v>
      </c>
      <c r="O116" s="7">
        <v>166.35900000000001</v>
      </c>
      <c r="P116" s="8">
        <f t="shared" si="3"/>
        <v>5532.241</v>
      </c>
    </row>
    <row r="117" spans="1:16" x14ac:dyDescent="0.3">
      <c r="A117" s="2" t="s">
        <v>74</v>
      </c>
      <c r="B117" s="2" t="s">
        <v>45</v>
      </c>
      <c r="C117" s="2" t="s">
        <v>18</v>
      </c>
      <c r="D117" s="7">
        <v>20.608000000000001</v>
      </c>
      <c r="E117" s="7">
        <v>66.47</v>
      </c>
      <c r="F117" s="7">
        <v>94.165999999999997</v>
      </c>
      <c r="G117" s="7">
        <v>49.485999999999997</v>
      </c>
      <c r="H117" s="7">
        <v>48.473999999999997</v>
      </c>
      <c r="I117" s="7">
        <v>45.636000000000003</v>
      </c>
      <c r="J117" s="7">
        <v>65.039999999999992</v>
      </c>
      <c r="K117" s="7">
        <v>70.314000000000007</v>
      </c>
      <c r="L117" s="7">
        <v>35.642000000000003</v>
      </c>
      <c r="M117" s="7">
        <v>53.802</v>
      </c>
      <c r="N117" s="7">
        <v>56.28</v>
      </c>
      <c r="O117" s="7">
        <v>45.014000000000003</v>
      </c>
      <c r="P117" s="8">
        <f t="shared" si="3"/>
        <v>650.93200000000002</v>
      </c>
    </row>
    <row r="118" spans="1:16" x14ac:dyDescent="0.3">
      <c r="A118" s="2" t="s">
        <v>74</v>
      </c>
      <c r="B118" s="2" t="s">
        <v>45</v>
      </c>
      <c r="C118" s="2" t="s">
        <v>19</v>
      </c>
      <c r="D118" s="7">
        <v>48.402000000000001</v>
      </c>
      <c r="E118" s="7">
        <v>66.085999999999984</v>
      </c>
      <c r="F118" s="7">
        <v>53.85</v>
      </c>
      <c r="G118" s="7">
        <v>64.97</v>
      </c>
      <c r="H118" s="7">
        <v>53.823999999999998</v>
      </c>
      <c r="I118" s="7">
        <v>35.286000000000001</v>
      </c>
      <c r="J118" s="7">
        <v>68.106000000000009</v>
      </c>
      <c r="K118" s="7">
        <v>58.304000000000002</v>
      </c>
      <c r="L118" s="7">
        <v>33.11</v>
      </c>
      <c r="M118" s="7">
        <v>70.418000000000006</v>
      </c>
      <c r="N118" s="7">
        <v>15.208</v>
      </c>
      <c r="O118" s="7">
        <v>19.2</v>
      </c>
      <c r="P118" s="8">
        <f t="shared" si="3"/>
        <v>586.76400000000001</v>
      </c>
    </row>
    <row r="119" spans="1:16" x14ac:dyDescent="0.3">
      <c r="A119" s="2" t="s">
        <v>74</v>
      </c>
      <c r="B119" s="2" t="s">
        <v>45</v>
      </c>
      <c r="C119" s="2" t="s">
        <v>20</v>
      </c>
      <c r="D119" s="7">
        <v>54.973999999999997</v>
      </c>
      <c r="E119" s="7">
        <v>36.485999999999997</v>
      </c>
      <c r="F119" s="7">
        <v>41.677999999999997</v>
      </c>
      <c r="G119" s="7">
        <v>22.734000000000002</v>
      </c>
      <c r="H119" s="7">
        <v>46.53</v>
      </c>
      <c r="I119" s="7">
        <v>44.362000000000002</v>
      </c>
      <c r="J119" s="7">
        <v>31.92</v>
      </c>
      <c r="K119" s="7">
        <v>34.177999999999997</v>
      </c>
      <c r="L119" s="7">
        <v>32.415999999999997</v>
      </c>
      <c r="M119" s="7">
        <v>15.63</v>
      </c>
      <c r="N119" s="7">
        <v>6.3699999999999992</v>
      </c>
      <c r="O119" s="7">
        <v>26.192</v>
      </c>
      <c r="P119" s="8">
        <f t="shared" si="3"/>
        <v>393.46999999999997</v>
      </c>
    </row>
    <row r="120" spans="1:16" x14ac:dyDescent="0.3">
      <c r="A120" s="2" t="s">
        <v>74</v>
      </c>
      <c r="B120" s="2" t="s">
        <v>45</v>
      </c>
      <c r="C120" s="2" t="s">
        <v>21</v>
      </c>
      <c r="D120" s="7">
        <v>30.847999999999999</v>
      </c>
      <c r="E120" s="7">
        <v>27.178000000000001</v>
      </c>
      <c r="F120" s="7">
        <v>33.703999999999994</v>
      </c>
      <c r="G120" s="7">
        <v>61.045999999999999</v>
      </c>
      <c r="H120" s="7">
        <v>39.201999999999998</v>
      </c>
      <c r="I120" s="7">
        <v>34.132000000000012</v>
      </c>
      <c r="J120" s="7">
        <v>26.8</v>
      </c>
      <c r="K120" s="7">
        <v>21.847999999999999</v>
      </c>
      <c r="L120" s="7">
        <v>18.917999999999999</v>
      </c>
      <c r="M120" s="7">
        <v>15.944000000000001</v>
      </c>
      <c r="N120" s="7">
        <v>13.156000000000001</v>
      </c>
      <c r="O120" s="7">
        <v>16.442</v>
      </c>
      <c r="P120" s="8">
        <f t="shared" si="3"/>
        <v>339.21800000000002</v>
      </c>
    </row>
    <row r="121" spans="1:16" x14ac:dyDescent="0.3">
      <c r="A121" s="2" t="s">
        <v>74</v>
      </c>
      <c r="B121" s="2" t="s">
        <v>45</v>
      </c>
      <c r="C121" s="2" t="s">
        <v>22</v>
      </c>
      <c r="D121" s="7">
        <v>20.132000000000001</v>
      </c>
      <c r="E121" s="7">
        <v>46.404000000000003</v>
      </c>
      <c r="F121" s="7">
        <v>35.796000000000006</v>
      </c>
      <c r="G121" s="7">
        <v>13.704000000000001</v>
      </c>
      <c r="H121" s="7">
        <v>24.716000000000001</v>
      </c>
      <c r="I121" s="7">
        <v>17.713999999999999</v>
      </c>
      <c r="J121" s="7">
        <v>18.111999999999998</v>
      </c>
      <c r="K121" s="7">
        <v>13.36</v>
      </c>
      <c r="L121" s="7">
        <v>9.7720000000000002</v>
      </c>
      <c r="M121" s="7">
        <v>10.576000000000001</v>
      </c>
      <c r="N121" s="7">
        <v>6.8960000000000008</v>
      </c>
      <c r="O121" s="7">
        <v>23.494</v>
      </c>
      <c r="P121" s="8">
        <f t="shared" si="3"/>
        <v>240.67599999999996</v>
      </c>
    </row>
    <row r="122" spans="1:16" x14ac:dyDescent="0.3">
      <c r="A122" s="2" t="s">
        <v>74</v>
      </c>
      <c r="B122" s="2" t="s">
        <v>45</v>
      </c>
      <c r="C122" s="2" t="s">
        <v>23</v>
      </c>
      <c r="D122" s="7">
        <v>23.506</v>
      </c>
      <c r="E122" s="7">
        <v>27.757999999999999</v>
      </c>
      <c r="F122" s="7">
        <v>24.297999999999998</v>
      </c>
      <c r="G122" s="7">
        <v>13.05</v>
      </c>
      <c r="H122" s="7">
        <v>28.757999999999999</v>
      </c>
      <c r="I122" s="7">
        <v>30.382000000000001</v>
      </c>
      <c r="J122" s="7">
        <v>34.914000000000001</v>
      </c>
      <c r="K122" s="7">
        <v>39.136000000000003</v>
      </c>
      <c r="L122" s="7">
        <v>21.327999999999999</v>
      </c>
      <c r="M122" s="7">
        <v>25.058</v>
      </c>
      <c r="N122" s="7">
        <v>17.510000000000002</v>
      </c>
      <c r="O122" s="7">
        <v>51.09</v>
      </c>
      <c r="P122" s="8">
        <f t="shared" si="3"/>
        <v>336.78800000000001</v>
      </c>
    </row>
    <row r="123" spans="1:16" x14ac:dyDescent="0.3">
      <c r="A123" s="2" t="s">
        <v>74</v>
      </c>
      <c r="B123" s="2" t="s">
        <v>45</v>
      </c>
      <c r="C123" s="2" t="s">
        <v>24</v>
      </c>
      <c r="D123" s="7">
        <v>30.373999999999999</v>
      </c>
      <c r="E123" s="7">
        <v>34.458000000000013</v>
      </c>
      <c r="F123" s="7">
        <v>18.338000000000001</v>
      </c>
      <c r="G123" s="7">
        <v>38.578000000000003</v>
      </c>
      <c r="H123" s="7">
        <v>29.364000000000001</v>
      </c>
      <c r="I123" s="7">
        <v>20.158000000000001</v>
      </c>
      <c r="J123" s="7">
        <v>20.673999999999999</v>
      </c>
      <c r="K123" s="7">
        <v>29.312000000000001</v>
      </c>
      <c r="L123" s="7">
        <v>30.768000000000001</v>
      </c>
      <c r="M123" s="7">
        <v>74.591999999999999</v>
      </c>
      <c r="N123" s="7">
        <v>8.9579999999999984</v>
      </c>
      <c r="O123" s="7">
        <v>14.984</v>
      </c>
      <c r="P123" s="8">
        <f t="shared" si="3"/>
        <v>350.55800000000005</v>
      </c>
    </row>
    <row r="124" spans="1:16" x14ac:dyDescent="0.3">
      <c r="A124" s="2" t="s">
        <v>74</v>
      </c>
      <c r="B124" s="2" t="s">
        <v>45</v>
      </c>
      <c r="C124" s="2" t="s">
        <v>25</v>
      </c>
      <c r="D124" s="7">
        <v>16.774000000000001</v>
      </c>
      <c r="E124" s="7">
        <v>48.48</v>
      </c>
      <c r="F124" s="7">
        <v>84.941999999999993</v>
      </c>
      <c r="G124" s="7">
        <v>32.918000000000013</v>
      </c>
      <c r="H124" s="7">
        <v>39.613999999999997</v>
      </c>
      <c r="I124" s="7">
        <v>36.286000000000001</v>
      </c>
      <c r="J124" s="7">
        <v>29.88</v>
      </c>
      <c r="K124" s="7">
        <v>27.992000000000001</v>
      </c>
      <c r="L124" s="7">
        <v>19.077999999999999</v>
      </c>
      <c r="M124" s="7">
        <v>15.688000000000001</v>
      </c>
      <c r="N124" s="7">
        <v>8.8360000000000003</v>
      </c>
      <c r="O124" s="7">
        <v>11.263999999999999</v>
      </c>
      <c r="P124" s="8">
        <f t="shared" si="3"/>
        <v>371.75200000000001</v>
      </c>
    </row>
    <row r="125" spans="1:16" x14ac:dyDescent="0.3">
      <c r="A125" s="2" t="s">
        <v>74</v>
      </c>
      <c r="B125" s="2" t="s">
        <v>45</v>
      </c>
      <c r="C125" s="2" t="s">
        <v>26</v>
      </c>
      <c r="D125" s="7">
        <v>12.404</v>
      </c>
      <c r="E125" s="7">
        <v>22.568000000000001</v>
      </c>
      <c r="F125" s="7">
        <v>8.532</v>
      </c>
      <c r="G125" s="7">
        <v>9.9619999999999997</v>
      </c>
      <c r="H125" s="7">
        <v>17.181999999999999</v>
      </c>
      <c r="I125" s="7">
        <v>18.829999999999998</v>
      </c>
      <c r="J125" s="7">
        <v>26.45</v>
      </c>
      <c r="K125" s="7">
        <v>28.588000000000001</v>
      </c>
      <c r="L125" s="7">
        <v>52.082000000000001</v>
      </c>
      <c r="M125" s="7">
        <v>28.902000000000001</v>
      </c>
      <c r="N125" s="7">
        <v>13.058</v>
      </c>
      <c r="O125" s="7">
        <v>27.712</v>
      </c>
      <c r="P125" s="8">
        <f t="shared" si="3"/>
        <v>266.27</v>
      </c>
    </row>
    <row r="126" spans="1:16" x14ac:dyDescent="0.3">
      <c r="A126" s="2" t="s">
        <v>74</v>
      </c>
      <c r="B126" s="2" t="s">
        <v>45</v>
      </c>
      <c r="C126" s="2" t="s">
        <v>27</v>
      </c>
      <c r="D126" s="7">
        <v>21.108000000000001</v>
      </c>
      <c r="E126" s="7">
        <v>28.454000000000001</v>
      </c>
      <c r="F126" s="7">
        <v>16.341999999999999</v>
      </c>
      <c r="G126" s="7">
        <v>14.731999999999999</v>
      </c>
      <c r="H126" s="7">
        <v>10.86</v>
      </c>
      <c r="I126" s="7">
        <v>24.803999999999998</v>
      </c>
      <c r="J126" s="7">
        <v>25.015000000000001</v>
      </c>
      <c r="K126" s="7">
        <v>13.531000000000001</v>
      </c>
      <c r="L126" s="7">
        <v>14.496</v>
      </c>
      <c r="M126" s="7">
        <v>17.109000000000002</v>
      </c>
      <c r="N126" s="7">
        <v>16.91</v>
      </c>
      <c r="O126" s="7">
        <v>29.103000000000002</v>
      </c>
      <c r="P126" s="8">
        <f t="shared" ref="P126:P157" si="4">SUM(D126:O126)</f>
        <v>232.46400000000003</v>
      </c>
    </row>
    <row r="127" spans="1:16" x14ac:dyDescent="0.3">
      <c r="A127" s="2" t="s">
        <v>74</v>
      </c>
      <c r="B127" s="2" t="s">
        <v>45</v>
      </c>
      <c r="C127" s="2" t="s">
        <v>28</v>
      </c>
      <c r="D127" s="7">
        <v>21.213000000000001</v>
      </c>
      <c r="E127" s="7">
        <v>28.146000000000001</v>
      </c>
      <c r="F127" s="7">
        <v>26.143000000000001</v>
      </c>
      <c r="G127" s="7">
        <v>50.96</v>
      </c>
      <c r="H127" s="7">
        <v>18.661000000000001</v>
      </c>
      <c r="I127" s="7">
        <v>15.182</v>
      </c>
      <c r="J127" s="7">
        <v>11.048999999999999</v>
      </c>
      <c r="K127" s="7">
        <v>19.289000000000001</v>
      </c>
      <c r="L127" s="7">
        <v>21.161999999999999</v>
      </c>
      <c r="M127" s="7">
        <v>16.265999999999998</v>
      </c>
      <c r="N127" s="7">
        <v>12.571</v>
      </c>
      <c r="O127" s="7">
        <v>16.954999999999998</v>
      </c>
      <c r="P127" s="8">
        <f t="shared" si="4"/>
        <v>257.59700000000004</v>
      </c>
    </row>
    <row r="128" spans="1:16" x14ac:dyDescent="0.3">
      <c r="A128" s="2" t="s">
        <v>74</v>
      </c>
      <c r="B128" s="2" t="s">
        <v>45</v>
      </c>
      <c r="C128" s="2" t="s">
        <v>29</v>
      </c>
      <c r="D128" s="7">
        <v>19.567</v>
      </c>
      <c r="E128" s="7">
        <v>29.170999999999999</v>
      </c>
      <c r="F128" s="7">
        <v>41.341999999999999</v>
      </c>
      <c r="G128" s="7">
        <v>13.493</v>
      </c>
      <c r="H128" s="7">
        <v>22.835000000000001</v>
      </c>
      <c r="I128" s="7">
        <v>27.736000000000001</v>
      </c>
      <c r="J128" s="7">
        <v>36.424999999999997</v>
      </c>
      <c r="K128" s="7">
        <v>38.643999999999998</v>
      </c>
      <c r="L128" s="7">
        <v>36.564</v>
      </c>
      <c r="M128" s="7">
        <v>25.57</v>
      </c>
      <c r="N128" s="7">
        <v>31.242000000000001</v>
      </c>
      <c r="O128" s="7">
        <v>20.497</v>
      </c>
      <c r="P128" s="8">
        <f t="shared" si="4"/>
        <v>343.08600000000001</v>
      </c>
    </row>
    <row r="129" spans="1:16" x14ac:dyDescent="0.3">
      <c r="A129" s="2" t="s">
        <v>74</v>
      </c>
      <c r="B129" s="2" t="s">
        <v>45</v>
      </c>
      <c r="C129" s="2" t="s">
        <v>30</v>
      </c>
      <c r="D129" s="7">
        <v>10.786</v>
      </c>
      <c r="E129" s="7">
        <v>24.28</v>
      </c>
      <c r="F129" s="7">
        <v>26.716000000000001</v>
      </c>
      <c r="G129" s="7">
        <v>38.985999999999997</v>
      </c>
      <c r="H129" s="7">
        <v>39.783999999999999</v>
      </c>
      <c r="I129" s="7">
        <v>32.631999999999998</v>
      </c>
      <c r="J129" s="7">
        <v>28.35</v>
      </c>
      <c r="K129" s="7">
        <v>37.027000000000001</v>
      </c>
      <c r="L129" s="7">
        <v>23.707999999999998</v>
      </c>
      <c r="M129" s="7">
        <v>29.45</v>
      </c>
      <c r="N129" s="7">
        <v>25.221</v>
      </c>
      <c r="O129" s="7">
        <v>12.456</v>
      </c>
      <c r="P129" s="8">
        <f t="shared" si="4"/>
        <v>329.39600000000002</v>
      </c>
    </row>
    <row r="130" spans="1:16" x14ac:dyDescent="0.3">
      <c r="A130" s="2" t="s">
        <v>74</v>
      </c>
      <c r="B130" s="2" t="s">
        <v>45</v>
      </c>
      <c r="C130" s="2" t="s">
        <v>31</v>
      </c>
      <c r="D130" s="7">
        <v>11.72</v>
      </c>
      <c r="E130" s="7">
        <v>30.302</v>
      </c>
      <c r="F130" s="7">
        <v>19.504999999999999</v>
      </c>
      <c r="G130" s="7">
        <v>17.045000000000002</v>
      </c>
      <c r="H130" s="7">
        <v>22.866</v>
      </c>
      <c r="I130" s="7">
        <v>21.135000000000002</v>
      </c>
      <c r="J130" s="7">
        <v>32.325000000000003</v>
      </c>
      <c r="K130" s="7">
        <v>40.286000000000001</v>
      </c>
      <c r="L130" s="7">
        <v>26.946999999999999</v>
      </c>
      <c r="M130" s="7">
        <v>31.501000000000001</v>
      </c>
      <c r="N130" s="7">
        <v>20.242999999999999</v>
      </c>
      <c r="O130" s="7">
        <v>45.209000000000003</v>
      </c>
      <c r="P130" s="8">
        <f t="shared" si="4"/>
        <v>319.08400000000006</v>
      </c>
    </row>
    <row r="131" spans="1:16" x14ac:dyDescent="0.3">
      <c r="A131" s="2" t="s">
        <v>74</v>
      </c>
      <c r="B131" s="2" t="s">
        <v>45</v>
      </c>
      <c r="C131" s="2" t="s">
        <v>32</v>
      </c>
      <c r="D131" s="7">
        <v>21.175999999999998</v>
      </c>
      <c r="E131" s="7">
        <v>38.536000000000001</v>
      </c>
      <c r="F131" s="7">
        <v>33.198999999999998</v>
      </c>
      <c r="G131" s="7">
        <v>27.254000000000001</v>
      </c>
      <c r="H131" s="7">
        <v>44.586000000000013</v>
      </c>
      <c r="I131" s="7">
        <v>41.01</v>
      </c>
      <c r="J131" s="7">
        <v>53.192999999999998</v>
      </c>
      <c r="K131" s="7">
        <v>46.572000000000003</v>
      </c>
      <c r="L131" s="7">
        <v>50.743000000000002</v>
      </c>
      <c r="M131" s="7">
        <v>43.695999999999998</v>
      </c>
      <c r="N131" s="7">
        <v>41.231000000000002</v>
      </c>
      <c r="O131" s="7">
        <v>41.441000000000003</v>
      </c>
      <c r="P131" s="8">
        <f t="shared" si="4"/>
        <v>482.63700000000006</v>
      </c>
    </row>
    <row r="132" spans="1:16" x14ac:dyDescent="0.3">
      <c r="A132" s="2" t="s">
        <v>74</v>
      </c>
      <c r="B132" s="2" t="s">
        <v>45</v>
      </c>
      <c r="C132" s="2" t="s">
        <v>33</v>
      </c>
      <c r="D132" s="7">
        <v>34.804000000000002</v>
      </c>
      <c r="E132" s="7">
        <v>45.28</v>
      </c>
      <c r="F132" s="7">
        <v>42.198999999999998</v>
      </c>
      <c r="G132" s="7">
        <v>35.834000000000003</v>
      </c>
      <c r="H132" s="7">
        <v>42.743000000000002</v>
      </c>
      <c r="I132" s="7">
        <v>40.891000000000012</v>
      </c>
      <c r="J132" s="7">
        <v>41.369</v>
      </c>
      <c r="K132" s="7">
        <v>38.378</v>
      </c>
      <c r="L132" s="7">
        <v>27.408000000000001</v>
      </c>
      <c r="M132" s="7">
        <v>49.965000000000003</v>
      </c>
      <c r="N132" s="7">
        <v>47.211000000000013</v>
      </c>
      <c r="O132" s="7">
        <v>88.378999999999991</v>
      </c>
      <c r="P132" s="8">
        <f t="shared" si="4"/>
        <v>534.46100000000001</v>
      </c>
    </row>
    <row r="133" spans="1:16" x14ac:dyDescent="0.3">
      <c r="A133" s="2" t="s">
        <v>74</v>
      </c>
      <c r="B133" s="2" t="s">
        <v>45</v>
      </c>
      <c r="C133" s="2" t="s">
        <v>34</v>
      </c>
      <c r="D133" s="7">
        <v>100.655</v>
      </c>
      <c r="E133" s="7">
        <v>138.80199999999999</v>
      </c>
      <c r="F133" s="7">
        <v>218.91399999999999</v>
      </c>
      <c r="G133" s="7">
        <v>171.21899999999999</v>
      </c>
      <c r="H133" s="7">
        <v>90.108000000000004</v>
      </c>
      <c r="I133" s="7">
        <v>64.77</v>
      </c>
      <c r="J133" s="7">
        <v>65.528999999999996</v>
      </c>
      <c r="K133" s="7">
        <v>92.063000000000002</v>
      </c>
      <c r="L133" s="7">
        <v>45.360999999999997</v>
      </c>
      <c r="M133" s="7">
        <v>60.116</v>
      </c>
      <c r="N133" s="7">
        <v>35.938000000000002</v>
      </c>
      <c r="O133" s="7">
        <v>47.469000000000001</v>
      </c>
      <c r="P133" s="8">
        <f t="shared" si="4"/>
        <v>1130.944</v>
      </c>
    </row>
    <row r="134" spans="1:16" x14ac:dyDescent="0.3">
      <c r="A134" s="2" t="s">
        <v>74</v>
      </c>
      <c r="B134" s="2" t="s">
        <v>45</v>
      </c>
      <c r="C134" s="2" t="s">
        <v>35</v>
      </c>
      <c r="D134" s="7">
        <v>35.361999999999988</v>
      </c>
      <c r="E134" s="7">
        <v>30.015999999999998</v>
      </c>
      <c r="F134" s="7">
        <v>16.771999999999998</v>
      </c>
      <c r="G134" s="7">
        <v>16.931000000000001</v>
      </c>
      <c r="H134" s="7">
        <v>17.498000000000001</v>
      </c>
      <c r="I134" s="7">
        <v>10.878</v>
      </c>
      <c r="J134" s="7">
        <v>15.907</v>
      </c>
      <c r="K134" s="7">
        <v>16.437999999999999</v>
      </c>
      <c r="L134" s="7">
        <v>12.74</v>
      </c>
      <c r="M134" s="7">
        <v>19.670999999999999</v>
      </c>
      <c r="N134" s="7">
        <v>23.306000000000001</v>
      </c>
      <c r="O134" s="7">
        <v>26.838000000000001</v>
      </c>
      <c r="P134" s="8">
        <f t="shared" si="4"/>
        <v>242.35699999999997</v>
      </c>
    </row>
    <row r="135" spans="1:16" x14ac:dyDescent="0.3">
      <c r="A135" s="2" t="s">
        <v>74</v>
      </c>
      <c r="B135" s="2" t="s">
        <v>45</v>
      </c>
      <c r="C135" s="2" t="s">
        <v>36</v>
      </c>
      <c r="D135" s="7">
        <v>38.082999999999998</v>
      </c>
      <c r="E135" s="7">
        <v>39.573999999999998</v>
      </c>
      <c r="F135" s="7">
        <v>65.051999999999992</v>
      </c>
      <c r="G135" s="7">
        <v>36.500999999999998</v>
      </c>
      <c r="H135" s="7">
        <v>50.533000000000001</v>
      </c>
      <c r="I135" s="7">
        <v>40.033999999999999</v>
      </c>
      <c r="J135" s="7">
        <v>47.802999999999997</v>
      </c>
      <c r="K135" s="7">
        <v>43.045999999999999</v>
      </c>
      <c r="L135" s="7">
        <v>25.599</v>
      </c>
      <c r="M135" s="7">
        <v>58.823</v>
      </c>
      <c r="N135" s="7">
        <v>44.402000000000001</v>
      </c>
      <c r="O135" s="7">
        <v>30.04</v>
      </c>
      <c r="P135" s="8">
        <f t="shared" si="4"/>
        <v>519.4899999999999</v>
      </c>
    </row>
    <row r="136" spans="1:16" x14ac:dyDescent="0.3">
      <c r="A136" s="2" t="s">
        <v>74</v>
      </c>
      <c r="B136" s="2" t="s">
        <v>45</v>
      </c>
      <c r="C136" s="2" t="s">
        <v>37</v>
      </c>
      <c r="D136" s="7">
        <v>35.393999999999998</v>
      </c>
      <c r="E136" s="7">
        <v>36.079000000000001</v>
      </c>
      <c r="F136" s="7">
        <v>50.61</v>
      </c>
      <c r="G136" s="7">
        <v>43.759</v>
      </c>
      <c r="H136" s="7">
        <v>47.345999999999997</v>
      </c>
      <c r="I136" s="7">
        <v>37.417000000000002</v>
      </c>
      <c r="J136" s="7">
        <v>65.498000000000005</v>
      </c>
      <c r="K136" s="7">
        <v>38.079000000000001</v>
      </c>
      <c r="L136" s="7">
        <v>43.962000000000003</v>
      </c>
      <c r="M136" s="7">
        <v>53.728999999999999</v>
      </c>
      <c r="N136" s="7">
        <v>59.238999999999997</v>
      </c>
      <c r="O136" s="7">
        <v>40.729999999999997</v>
      </c>
      <c r="P136" s="8">
        <f t="shared" si="4"/>
        <v>551.84199999999998</v>
      </c>
    </row>
    <row r="137" spans="1:16" x14ac:dyDescent="0.3">
      <c r="A137" s="2" t="s">
        <v>74</v>
      </c>
      <c r="B137" s="2" t="s">
        <v>45</v>
      </c>
      <c r="C137" s="2" t="s">
        <v>38</v>
      </c>
      <c r="D137" s="7">
        <v>36.6</v>
      </c>
      <c r="E137" s="7">
        <v>42.213000000000001</v>
      </c>
      <c r="F137" s="7">
        <v>45.435999999999993</v>
      </c>
      <c r="G137" s="7">
        <v>41.152000000000001</v>
      </c>
      <c r="H137" s="7">
        <v>43.506</v>
      </c>
      <c r="I137" s="7">
        <v>53.579000000000001</v>
      </c>
      <c r="J137" s="7">
        <v>54.45</v>
      </c>
      <c r="K137" s="7">
        <v>71.757999999999996</v>
      </c>
      <c r="L137" s="7">
        <v>35.770000000000003</v>
      </c>
      <c r="M137" s="7">
        <v>18.565000000000001</v>
      </c>
      <c r="N137" s="7">
        <v>15.895</v>
      </c>
      <c r="O137" s="7">
        <v>23.856000000000002</v>
      </c>
      <c r="P137" s="8">
        <f t="shared" si="4"/>
        <v>482.77999999999992</v>
      </c>
    </row>
    <row r="138" spans="1:16" x14ac:dyDescent="0.3">
      <c r="A138" s="2" t="s">
        <v>74</v>
      </c>
      <c r="B138" s="2" t="s">
        <v>45</v>
      </c>
      <c r="C138" s="2" t="s">
        <v>39</v>
      </c>
      <c r="D138" s="7">
        <v>37.281999999999996</v>
      </c>
      <c r="E138" s="7">
        <v>36.661000000000001</v>
      </c>
      <c r="F138" s="7">
        <v>29.901</v>
      </c>
      <c r="G138" s="7">
        <v>18.241</v>
      </c>
      <c r="H138" s="7">
        <v>23.649000000000001</v>
      </c>
      <c r="I138" s="7">
        <v>30.17</v>
      </c>
      <c r="J138" s="7">
        <v>34.978999999999999</v>
      </c>
      <c r="K138" s="7">
        <v>28.428999999999998</v>
      </c>
      <c r="L138" s="7">
        <v>40.298999999999999</v>
      </c>
      <c r="M138" s="7">
        <v>14.494</v>
      </c>
      <c r="N138" s="7">
        <v>16.800999999999998</v>
      </c>
      <c r="O138" s="7">
        <v>11.122</v>
      </c>
      <c r="P138" s="8">
        <f t="shared" si="4"/>
        <v>322.02800000000002</v>
      </c>
    </row>
    <row r="139" spans="1:16" x14ac:dyDescent="0.3">
      <c r="A139" s="2" t="s">
        <v>74</v>
      </c>
      <c r="B139" s="2" t="s">
        <v>45</v>
      </c>
      <c r="C139" s="2" t="s">
        <v>40</v>
      </c>
      <c r="D139" s="7">
        <v>17.318000000000001</v>
      </c>
      <c r="E139" s="7">
        <v>31.655999999999999</v>
      </c>
      <c r="F139" s="7">
        <v>27.745000000000001</v>
      </c>
      <c r="G139" s="7">
        <v>23.832000000000001</v>
      </c>
      <c r="H139" s="7">
        <v>30.484000000000002</v>
      </c>
      <c r="I139" s="7">
        <v>21.86</v>
      </c>
      <c r="J139" s="7">
        <v>21.24</v>
      </c>
      <c r="K139" s="7">
        <v>23.001999999999999</v>
      </c>
      <c r="L139" s="7">
        <v>20.617999999999999</v>
      </c>
      <c r="M139" s="7">
        <v>7.8540000000000001</v>
      </c>
      <c r="N139" s="7">
        <v>12.907999999999999</v>
      </c>
      <c r="O139" s="7">
        <v>28.882999999999999</v>
      </c>
      <c r="P139" s="8">
        <f t="shared" si="4"/>
        <v>267.40000000000003</v>
      </c>
    </row>
    <row r="140" spans="1:16" x14ac:dyDescent="0.3">
      <c r="A140" s="2" t="s">
        <v>74</v>
      </c>
      <c r="B140" s="2" t="s">
        <v>46</v>
      </c>
      <c r="C140" s="2" t="s">
        <v>18</v>
      </c>
      <c r="D140" s="7">
        <v>34.9</v>
      </c>
      <c r="E140" s="7">
        <v>34.9</v>
      </c>
      <c r="F140" s="7">
        <v>34.9</v>
      </c>
      <c r="G140" s="7">
        <v>34.9</v>
      </c>
      <c r="H140" s="7">
        <v>34.9</v>
      </c>
      <c r="I140" s="7">
        <v>34.9</v>
      </c>
      <c r="J140" s="7">
        <v>34.9</v>
      </c>
      <c r="K140" s="7">
        <v>34.9</v>
      </c>
      <c r="L140" s="7">
        <v>34.9</v>
      </c>
      <c r="M140" s="7">
        <v>34.9</v>
      </c>
      <c r="N140" s="7">
        <v>34.9</v>
      </c>
      <c r="O140" s="7">
        <v>34.9</v>
      </c>
      <c r="P140" s="8">
        <f t="shared" si="4"/>
        <v>418.7999999999999</v>
      </c>
    </row>
    <row r="141" spans="1:16" x14ac:dyDescent="0.3">
      <c r="A141" s="2" t="s">
        <v>74</v>
      </c>
      <c r="B141" s="2" t="s">
        <v>46</v>
      </c>
      <c r="C141" s="2" t="s">
        <v>19</v>
      </c>
      <c r="D141" s="7">
        <v>27.00833333333334</v>
      </c>
      <c r="E141" s="7">
        <v>27.00833333333334</v>
      </c>
      <c r="F141" s="7">
        <v>27.00833333333334</v>
      </c>
      <c r="G141" s="7">
        <v>27.00833333333334</v>
      </c>
      <c r="H141" s="7">
        <v>27.00833333333334</v>
      </c>
      <c r="I141" s="7">
        <v>27.00833333333334</v>
      </c>
      <c r="J141" s="7">
        <v>27.00833333333334</v>
      </c>
      <c r="K141" s="7">
        <v>27.00833333333334</v>
      </c>
      <c r="L141" s="7">
        <v>27.00833333333334</v>
      </c>
      <c r="M141" s="7">
        <v>27.00833333333334</v>
      </c>
      <c r="N141" s="7">
        <v>27.00833333333334</v>
      </c>
      <c r="O141" s="7">
        <v>27.00833333333334</v>
      </c>
      <c r="P141" s="8">
        <f t="shared" si="4"/>
        <v>324.09999999999997</v>
      </c>
    </row>
    <row r="142" spans="1:16" x14ac:dyDescent="0.3">
      <c r="A142" s="2" t="s">
        <v>74</v>
      </c>
      <c r="B142" s="2" t="s">
        <v>46</v>
      </c>
      <c r="C142" s="2" t="s">
        <v>20</v>
      </c>
      <c r="D142" s="7">
        <v>37.766666666666673</v>
      </c>
      <c r="E142" s="7">
        <v>37.766666666666673</v>
      </c>
      <c r="F142" s="7">
        <v>37.766666666666673</v>
      </c>
      <c r="G142" s="7">
        <v>37.766666666666673</v>
      </c>
      <c r="H142" s="7">
        <v>37.766666666666673</v>
      </c>
      <c r="I142" s="7">
        <v>37.766666666666673</v>
      </c>
      <c r="J142" s="7">
        <v>37.766666666666673</v>
      </c>
      <c r="K142" s="7">
        <v>37.766666666666673</v>
      </c>
      <c r="L142" s="7">
        <v>37.766666666666673</v>
      </c>
      <c r="M142" s="7">
        <v>37.766666666666673</v>
      </c>
      <c r="N142" s="7">
        <v>37.766666666666673</v>
      </c>
      <c r="O142" s="7">
        <v>37.766666666666673</v>
      </c>
      <c r="P142" s="8">
        <f t="shared" si="4"/>
        <v>453.2</v>
      </c>
    </row>
    <row r="143" spans="1:16" x14ac:dyDescent="0.3">
      <c r="A143" s="2" t="s">
        <v>74</v>
      </c>
      <c r="B143" s="2" t="s">
        <v>46</v>
      </c>
      <c r="C143" s="2" t="s">
        <v>21</v>
      </c>
      <c r="D143" s="7">
        <v>27.86666666666666</v>
      </c>
      <c r="E143" s="7">
        <v>27.86666666666666</v>
      </c>
      <c r="F143" s="7">
        <v>27.86666666666666</v>
      </c>
      <c r="G143" s="7">
        <v>27.86666666666666</v>
      </c>
      <c r="H143" s="7">
        <v>27.86666666666666</v>
      </c>
      <c r="I143" s="7">
        <v>27.86666666666666</v>
      </c>
      <c r="J143" s="7">
        <v>27.86666666666666</v>
      </c>
      <c r="K143" s="7">
        <v>27.86666666666666</v>
      </c>
      <c r="L143" s="7">
        <v>27.86666666666666</v>
      </c>
      <c r="M143" s="7">
        <v>27.86666666666666</v>
      </c>
      <c r="N143" s="7">
        <v>27.86666666666666</v>
      </c>
      <c r="O143" s="7">
        <v>27.86666666666666</v>
      </c>
      <c r="P143" s="8">
        <f t="shared" si="4"/>
        <v>334.40000000000003</v>
      </c>
    </row>
    <row r="144" spans="1:16" x14ac:dyDescent="0.3">
      <c r="A144" s="2" t="s">
        <v>74</v>
      </c>
      <c r="B144" s="2" t="s">
        <v>46</v>
      </c>
      <c r="C144" s="2" t="s">
        <v>22</v>
      </c>
      <c r="D144" s="7">
        <v>29.658333333333331</v>
      </c>
      <c r="E144" s="7">
        <v>29.658333333333331</v>
      </c>
      <c r="F144" s="7">
        <v>29.658333333333331</v>
      </c>
      <c r="G144" s="7">
        <v>29.658333333333331</v>
      </c>
      <c r="H144" s="7">
        <v>29.658333333333331</v>
      </c>
      <c r="I144" s="7">
        <v>29.658333333333331</v>
      </c>
      <c r="J144" s="7">
        <v>29.658333333333331</v>
      </c>
      <c r="K144" s="7">
        <v>29.658333333333331</v>
      </c>
      <c r="L144" s="7">
        <v>29.658333333333331</v>
      </c>
      <c r="M144" s="7">
        <v>29.658333333333331</v>
      </c>
      <c r="N144" s="7">
        <v>29.658333333333331</v>
      </c>
      <c r="O144" s="7">
        <v>29.658333333333331</v>
      </c>
      <c r="P144" s="8">
        <f t="shared" si="4"/>
        <v>355.89999999999986</v>
      </c>
    </row>
    <row r="145" spans="1:16" x14ac:dyDescent="0.3">
      <c r="A145" s="2" t="s">
        <v>74</v>
      </c>
      <c r="B145" s="2" t="s">
        <v>46</v>
      </c>
      <c r="C145" s="2" t="s">
        <v>23</v>
      </c>
      <c r="D145" s="7">
        <v>17.350000000000001</v>
      </c>
      <c r="E145" s="7">
        <v>17.350000000000001</v>
      </c>
      <c r="F145" s="7">
        <v>17.350000000000001</v>
      </c>
      <c r="G145" s="7">
        <v>17.350000000000001</v>
      </c>
      <c r="H145" s="7">
        <v>17.350000000000001</v>
      </c>
      <c r="I145" s="7">
        <v>17.350000000000001</v>
      </c>
      <c r="J145" s="7">
        <v>17.350000000000001</v>
      </c>
      <c r="K145" s="7">
        <v>17.350000000000001</v>
      </c>
      <c r="L145" s="7">
        <v>17.350000000000001</v>
      </c>
      <c r="M145" s="7">
        <v>17.350000000000001</v>
      </c>
      <c r="N145" s="7">
        <v>17.350000000000001</v>
      </c>
      <c r="O145" s="7">
        <v>17.350000000000001</v>
      </c>
      <c r="P145" s="8">
        <f t="shared" si="4"/>
        <v>208.19999999999996</v>
      </c>
    </row>
    <row r="146" spans="1:16" x14ac:dyDescent="0.3">
      <c r="A146" s="2" t="s">
        <v>74</v>
      </c>
      <c r="B146" s="2" t="s">
        <v>46</v>
      </c>
      <c r="C146" s="2" t="s">
        <v>24</v>
      </c>
      <c r="D146" s="7">
        <v>22.18333333333333</v>
      </c>
      <c r="E146" s="7">
        <v>22.18333333333333</v>
      </c>
      <c r="F146" s="7">
        <v>22.18333333333333</v>
      </c>
      <c r="G146" s="7">
        <v>22.18333333333333</v>
      </c>
      <c r="H146" s="7">
        <v>22.18333333333333</v>
      </c>
      <c r="I146" s="7">
        <v>22.18333333333333</v>
      </c>
      <c r="J146" s="7">
        <v>22.18333333333333</v>
      </c>
      <c r="K146" s="7">
        <v>22.18333333333333</v>
      </c>
      <c r="L146" s="7">
        <v>22.18333333333333</v>
      </c>
      <c r="M146" s="7">
        <v>22.18333333333333</v>
      </c>
      <c r="N146" s="7">
        <v>22.18333333333333</v>
      </c>
      <c r="O146" s="7">
        <v>22.18333333333333</v>
      </c>
      <c r="P146" s="8">
        <f t="shared" si="4"/>
        <v>266.2</v>
      </c>
    </row>
    <row r="147" spans="1:16" x14ac:dyDescent="0.3">
      <c r="A147" s="2" t="s">
        <v>74</v>
      </c>
      <c r="B147" s="2" t="s">
        <v>46</v>
      </c>
      <c r="C147" s="2" t="s">
        <v>25</v>
      </c>
      <c r="D147" s="7">
        <v>25.55833333333333</v>
      </c>
      <c r="E147" s="7">
        <v>25.55833333333333</v>
      </c>
      <c r="F147" s="7">
        <v>25.55833333333333</v>
      </c>
      <c r="G147" s="7">
        <v>25.55833333333333</v>
      </c>
      <c r="H147" s="7">
        <v>25.55833333333333</v>
      </c>
      <c r="I147" s="7">
        <v>25.55833333333333</v>
      </c>
      <c r="J147" s="7">
        <v>25.55833333333333</v>
      </c>
      <c r="K147" s="7">
        <v>25.55833333333333</v>
      </c>
      <c r="L147" s="7">
        <v>25.55833333333333</v>
      </c>
      <c r="M147" s="7">
        <v>25.55833333333333</v>
      </c>
      <c r="N147" s="7">
        <v>25.55833333333333</v>
      </c>
      <c r="O147" s="7">
        <v>25.55833333333333</v>
      </c>
      <c r="P147" s="8">
        <f t="shared" si="4"/>
        <v>306.7</v>
      </c>
    </row>
    <row r="148" spans="1:16" x14ac:dyDescent="0.3">
      <c r="A148" s="2" t="s">
        <v>74</v>
      </c>
      <c r="B148" s="2" t="s">
        <v>46</v>
      </c>
      <c r="C148" s="2" t="s">
        <v>26</v>
      </c>
      <c r="D148" s="7">
        <v>29.566666666666659</v>
      </c>
      <c r="E148" s="7">
        <v>29.566666666666659</v>
      </c>
      <c r="F148" s="7">
        <v>29.566666666666659</v>
      </c>
      <c r="G148" s="7">
        <v>29.566666666666659</v>
      </c>
      <c r="H148" s="7">
        <v>29.566666666666659</v>
      </c>
      <c r="I148" s="7">
        <v>29.566666666666659</v>
      </c>
      <c r="J148" s="7">
        <v>29.566666666666659</v>
      </c>
      <c r="K148" s="7">
        <v>29.566666666666659</v>
      </c>
      <c r="L148" s="7">
        <v>29.566666666666659</v>
      </c>
      <c r="M148" s="7">
        <v>29.566666666666659</v>
      </c>
      <c r="N148" s="7">
        <v>29.566666666666659</v>
      </c>
      <c r="O148" s="7">
        <v>29.566666666666659</v>
      </c>
      <c r="P148" s="8">
        <f t="shared" si="4"/>
        <v>354.7999999999999</v>
      </c>
    </row>
    <row r="149" spans="1:16" x14ac:dyDescent="0.3">
      <c r="A149" s="2" t="s">
        <v>74</v>
      </c>
      <c r="B149" s="2" t="s">
        <v>46</v>
      </c>
      <c r="C149" s="2" t="s">
        <v>27</v>
      </c>
      <c r="D149" s="7">
        <v>36.524999999999999</v>
      </c>
      <c r="E149" s="7">
        <v>36.524999999999999</v>
      </c>
      <c r="F149" s="7">
        <v>36.524999999999999</v>
      </c>
      <c r="G149" s="7">
        <v>36.524999999999999</v>
      </c>
      <c r="H149" s="7">
        <v>36.524999999999999</v>
      </c>
      <c r="I149" s="7">
        <v>36.524999999999999</v>
      </c>
      <c r="J149" s="7">
        <v>36.524999999999999</v>
      </c>
      <c r="K149" s="7">
        <v>36.524999999999999</v>
      </c>
      <c r="L149" s="7">
        <v>36.524999999999999</v>
      </c>
      <c r="M149" s="7">
        <v>36.524999999999999</v>
      </c>
      <c r="N149" s="7">
        <v>36.524999999999999</v>
      </c>
      <c r="O149" s="7">
        <v>36.524999999999999</v>
      </c>
      <c r="P149" s="8">
        <f t="shared" si="4"/>
        <v>438.2999999999999</v>
      </c>
    </row>
    <row r="150" spans="1:16" x14ac:dyDescent="0.3">
      <c r="A150" s="2" t="s">
        <v>74</v>
      </c>
      <c r="B150" s="2" t="s">
        <v>46</v>
      </c>
      <c r="C150" s="2" t="s">
        <v>28</v>
      </c>
      <c r="D150" s="7">
        <v>29.925000000000001</v>
      </c>
      <c r="E150" s="7">
        <v>29.925000000000001</v>
      </c>
      <c r="F150" s="7">
        <v>29.925000000000001</v>
      </c>
      <c r="G150" s="7">
        <v>29.925000000000001</v>
      </c>
      <c r="H150" s="7">
        <v>29.925000000000001</v>
      </c>
      <c r="I150" s="7">
        <v>29.925000000000001</v>
      </c>
      <c r="J150" s="7">
        <v>29.925000000000001</v>
      </c>
      <c r="K150" s="7">
        <v>29.925000000000001</v>
      </c>
      <c r="L150" s="7">
        <v>29.925000000000001</v>
      </c>
      <c r="M150" s="7">
        <v>29.925000000000001</v>
      </c>
      <c r="N150" s="7">
        <v>29.925000000000001</v>
      </c>
      <c r="O150" s="7">
        <v>29.925000000000001</v>
      </c>
      <c r="P150" s="8">
        <f t="shared" si="4"/>
        <v>359.10000000000008</v>
      </c>
    </row>
    <row r="151" spans="1:16" x14ac:dyDescent="0.3">
      <c r="A151" s="2" t="s">
        <v>74</v>
      </c>
      <c r="B151" s="2" t="s">
        <v>46</v>
      </c>
      <c r="C151" s="2" t="s">
        <v>29</v>
      </c>
      <c r="D151" s="7">
        <v>36.233333333333327</v>
      </c>
      <c r="E151" s="7">
        <v>36.233333333333327</v>
      </c>
      <c r="F151" s="7">
        <v>36.233333333333327</v>
      </c>
      <c r="G151" s="7">
        <v>36.233333333333327</v>
      </c>
      <c r="H151" s="7">
        <v>36.233333333333327</v>
      </c>
      <c r="I151" s="7">
        <v>36.233333333333327</v>
      </c>
      <c r="J151" s="7">
        <v>36.233333333333327</v>
      </c>
      <c r="K151" s="7">
        <v>36.233333333333327</v>
      </c>
      <c r="L151" s="7">
        <v>36.233333333333327</v>
      </c>
      <c r="M151" s="7">
        <v>36.233333333333327</v>
      </c>
      <c r="N151" s="7">
        <v>36.233333333333327</v>
      </c>
      <c r="O151" s="7">
        <v>36.233333333333327</v>
      </c>
      <c r="P151" s="8">
        <f t="shared" si="4"/>
        <v>434.8</v>
      </c>
    </row>
    <row r="152" spans="1:16" x14ac:dyDescent="0.3">
      <c r="A152" s="2" t="s">
        <v>74</v>
      </c>
      <c r="B152" s="2" t="s">
        <v>46</v>
      </c>
      <c r="C152" s="2" t="s">
        <v>30</v>
      </c>
      <c r="D152" s="7">
        <v>27.816666666666659</v>
      </c>
      <c r="E152" s="7">
        <v>27.816666666666659</v>
      </c>
      <c r="F152" s="7">
        <v>27.816666666666659</v>
      </c>
      <c r="G152" s="7">
        <v>27.816666666666659</v>
      </c>
      <c r="H152" s="7">
        <v>27.816666666666659</v>
      </c>
      <c r="I152" s="7">
        <v>27.816666666666659</v>
      </c>
      <c r="J152" s="7">
        <v>27.816666666666659</v>
      </c>
      <c r="K152" s="7">
        <v>27.816666666666659</v>
      </c>
      <c r="L152" s="7">
        <v>27.816666666666659</v>
      </c>
      <c r="M152" s="7">
        <v>27.816666666666659</v>
      </c>
      <c r="N152" s="7">
        <v>27.816666666666659</v>
      </c>
      <c r="O152" s="7">
        <v>27.816666666666659</v>
      </c>
      <c r="P152" s="8">
        <f t="shared" si="4"/>
        <v>333.7999999999999</v>
      </c>
    </row>
    <row r="153" spans="1:16" x14ac:dyDescent="0.3">
      <c r="A153" s="2" t="s">
        <v>74</v>
      </c>
      <c r="B153" s="2" t="s">
        <v>46</v>
      </c>
      <c r="C153" s="2" t="s">
        <v>31</v>
      </c>
      <c r="D153" s="7">
        <v>42.391666666666673</v>
      </c>
      <c r="E153" s="7">
        <v>42.391666666666673</v>
      </c>
      <c r="F153" s="7">
        <v>42.391666666666673</v>
      </c>
      <c r="G153" s="7">
        <v>42.391666666666673</v>
      </c>
      <c r="H153" s="7">
        <v>42.391666666666673</v>
      </c>
      <c r="I153" s="7">
        <v>42.391666666666673</v>
      </c>
      <c r="J153" s="7">
        <v>42.391666666666673</v>
      </c>
      <c r="K153" s="7">
        <v>42.391666666666673</v>
      </c>
      <c r="L153" s="7">
        <v>42.391666666666673</v>
      </c>
      <c r="M153" s="7">
        <v>42.391666666666673</v>
      </c>
      <c r="N153" s="7">
        <v>42.391666666666673</v>
      </c>
      <c r="O153" s="7">
        <v>42.391666666666673</v>
      </c>
      <c r="P153" s="8">
        <f t="shared" si="4"/>
        <v>508.7</v>
      </c>
    </row>
    <row r="154" spans="1:16" x14ac:dyDescent="0.3">
      <c r="A154" s="2" t="s">
        <v>74</v>
      </c>
      <c r="B154" s="2" t="s">
        <v>46</v>
      </c>
      <c r="C154" s="2" t="s">
        <v>32</v>
      </c>
      <c r="D154" s="7">
        <v>45.875</v>
      </c>
      <c r="E154" s="7">
        <v>45.875</v>
      </c>
      <c r="F154" s="7">
        <v>45.875</v>
      </c>
      <c r="G154" s="7">
        <v>45.875</v>
      </c>
      <c r="H154" s="7">
        <v>45.875</v>
      </c>
      <c r="I154" s="7">
        <v>45.875</v>
      </c>
      <c r="J154" s="7">
        <v>45.875</v>
      </c>
      <c r="K154" s="7">
        <v>45.875</v>
      </c>
      <c r="L154" s="7">
        <v>45.875</v>
      </c>
      <c r="M154" s="7">
        <v>45.875</v>
      </c>
      <c r="N154" s="7">
        <v>45.875</v>
      </c>
      <c r="O154" s="7">
        <v>45.875</v>
      </c>
      <c r="P154" s="8">
        <f t="shared" si="4"/>
        <v>550.5</v>
      </c>
    </row>
    <row r="155" spans="1:16" x14ac:dyDescent="0.3">
      <c r="A155" s="2" t="s">
        <v>74</v>
      </c>
      <c r="B155" s="2" t="s">
        <v>46</v>
      </c>
      <c r="C155" s="2" t="s">
        <v>33</v>
      </c>
      <c r="D155" s="7">
        <v>66.308333333333337</v>
      </c>
      <c r="E155" s="7">
        <v>66.308333333333337</v>
      </c>
      <c r="F155" s="7">
        <v>66.308333333333337</v>
      </c>
      <c r="G155" s="7">
        <v>66.308333333333337</v>
      </c>
      <c r="H155" s="7">
        <v>66.308333333333337</v>
      </c>
      <c r="I155" s="7">
        <v>66.308333333333337</v>
      </c>
      <c r="J155" s="7">
        <v>66.308333333333337</v>
      </c>
      <c r="K155" s="7">
        <v>66.308333333333337</v>
      </c>
      <c r="L155" s="7">
        <v>66.308333333333337</v>
      </c>
      <c r="M155" s="7">
        <v>66.308333333333337</v>
      </c>
      <c r="N155" s="7">
        <v>66.308333333333337</v>
      </c>
      <c r="O155" s="7">
        <v>66.308333333333337</v>
      </c>
      <c r="P155" s="8">
        <f t="shared" si="4"/>
        <v>795.70000000000027</v>
      </c>
    </row>
    <row r="156" spans="1:16" x14ac:dyDescent="0.3">
      <c r="A156" s="2" t="s">
        <v>74</v>
      </c>
      <c r="B156" s="2" t="s">
        <v>46</v>
      </c>
      <c r="C156" s="2" t="s">
        <v>34</v>
      </c>
      <c r="D156" s="7">
        <v>33.483333333333327</v>
      </c>
      <c r="E156" s="7">
        <v>33.483333333333327</v>
      </c>
      <c r="F156" s="7">
        <v>33.483333333333327</v>
      </c>
      <c r="G156" s="7">
        <v>33.483333333333327</v>
      </c>
      <c r="H156" s="7">
        <v>33.483333333333327</v>
      </c>
      <c r="I156" s="7">
        <v>33.483333333333327</v>
      </c>
      <c r="J156" s="7">
        <v>33.483333333333327</v>
      </c>
      <c r="K156" s="7">
        <v>33.483333333333327</v>
      </c>
      <c r="L156" s="7">
        <v>33.483333333333327</v>
      </c>
      <c r="M156" s="7">
        <v>33.483333333333327</v>
      </c>
      <c r="N156" s="7">
        <v>33.483333333333327</v>
      </c>
      <c r="O156" s="7">
        <v>33.483333333333327</v>
      </c>
      <c r="P156" s="8">
        <f t="shared" si="4"/>
        <v>401.8</v>
      </c>
    </row>
    <row r="157" spans="1:16" x14ac:dyDescent="0.3">
      <c r="A157" s="2" t="s">
        <v>74</v>
      </c>
      <c r="B157" s="2" t="s">
        <v>46</v>
      </c>
      <c r="C157" s="2" t="s">
        <v>35</v>
      </c>
      <c r="D157" s="7">
        <v>77.674999999999997</v>
      </c>
      <c r="E157" s="7">
        <v>77.674999999999997</v>
      </c>
      <c r="F157" s="7">
        <v>77.674999999999997</v>
      </c>
      <c r="G157" s="7">
        <v>77.674999999999997</v>
      </c>
      <c r="H157" s="7">
        <v>77.674999999999997</v>
      </c>
      <c r="I157" s="7">
        <v>77.674999999999997</v>
      </c>
      <c r="J157" s="7">
        <v>77.674999999999997</v>
      </c>
      <c r="K157" s="7">
        <v>77.674999999999997</v>
      </c>
      <c r="L157" s="7">
        <v>77.674999999999997</v>
      </c>
      <c r="M157" s="7">
        <v>77.674999999999997</v>
      </c>
      <c r="N157" s="7">
        <v>77.674999999999997</v>
      </c>
      <c r="O157" s="7">
        <v>77.674999999999997</v>
      </c>
      <c r="P157" s="8">
        <f t="shared" si="4"/>
        <v>932.0999999999998</v>
      </c>
    </row>
    <row r="158" spans="1:16" x14ac:dyDescent="0.3">
      <c r="A158" s="2" t="s">
        <v>74</v>
      </c>
      <c r="B158" s="2" t="s">
        <v>46</v>
      </c>
      <c r="C158" s="2" t="s">
        <v>36</v>
      </c>
      <c r="D158" s="7">
        <v>50.4</v>
      </c>
      <c r="E158" s="7">
        <v>50.4</v>
      </c>
      <c r="F158" s="7">
        <v>50.4</v>
      </c>
      <c r="G158" s="7">
        <v>50.4</v>
      </c>
      <c r="H158" s="7">
        <v>50.4</v>
      </c>
      <c r="I158" s="7">
        <v>50.4</v>
      </c>
      <c r="J158" s="7">
        <v>50.4</v>
      </c>
      <c r="K158" s="7">
        <v>50.4</v>
      </c>
      <c r="L158" s="7">
        <v>50.4</v>
      </c>
      <c r="M158" s="7">
        <v>50.4</v>
      </c>
      <c r="N158" s="7">
        <v>50.4</v>
      </c>
      <c r="O158" s="7">
        <v>50.4</v>
      </c>
      <c r="P158" s="8">
        <f t="shared" ref="P158:P189" si="5">SUM(D158:O158)</f>
        <v>604.79999999999984</v>
      </c>
    </row>
    <row r="159" spans="1:16" x14ac:dyDescent="0.3">
      <c r="A159" s="2" t="s">
        <v>74</v>
      </c>
      <c r="B159" s="2" t="s">
        <v>46</v>
      </c>
      <c r="C159" s="2" t="s">
        <v>37</v>
      </c>
      <c r="D159" s="7">
        <v>37.116666666666667</v>
      </c>
      <c r="E159" s="7">
        <v>37.116666666666667</v>
      </c>
      <c r="F159" s="7">
        <v>37.116666666666667</v>
      </c>
      <c r="G159" s="7">
        <v>37.116666666666667</v>
      </c>
      <c r="H159" s="7">
        <v>37.116666666666667</v>
      </c>
      <c r="I159" s="7">
        <v>37.116666666666667</v>
      </c>
      <c r="J159" s="7">
        <v>37.116666666666667</v>
      </c>
      <c r="K159" s="7">
        <v>37.116666666666667</v>
      </c>
      <c r="L159" s="7">
        <v>37.116666666666667</v>
      </c>
      <c r="M159" s="7">
        <v>37.116666666666667</v>
      </c>
      <c r="N159" s="7">
        <v>37.116666666666667</v>
      </c>
      <c r="O159" s="7">
        <v>37.116666666666667</v>
      </c>
      <c r="P159" s="8">
        <f t="shared" si="5"/>
        <v>445.40000000000003</v>
      </c>
    </row>
    <row r="160" spans="1:16" x14ac:dyDescent="0.3">
      <c r="A160" s="2" t="s">
        <v>74</v>
      </c>
      <c r="B160" s="2" t="s">
        <v>46</v>
      </c>
      <c r="C160" s="2" t="s">
        <v>38</v>
      </c>
      <c r="D160" s="7">
        <v>59.733333333333327</v>
      </c>
      <c r="E160" s="7">
        <v>59.733333333333327</v>
      </c>
      <c r="F160" s="7">
        <v>59.733333333333327</v>
      </c>
      <c r="G160" s="7">
        <v>59.733333333333327</v>
      </c>
      <c r="H160" s="7">
        <v>59.733333333333327</v>
      </c>
      <c r="I160" s="7">
        <v>59.733333333333327</v>
      </c>
      <c r="J160" s="7">
        <v>59.733333333333327</v>
      </c>
      <c r="K160" s="7">
        <v>59.733333333333327</v>
      </c>
      <c r="L160" s="7">
        <v>59.733333333333327</v>
      </c>
      <c r="M160" s="7">
        <v>59.733333333333327</v>
      </c>
      <c r="N160" s="7">
        <v>59.733333333333327</v>
      </c>
      <c r="O160" s="7">
        <v>59.733333333333327</v>
      </c>
      <c r="P160" s="8">
        <f t="shared" si="5"/>
        <v>716.80000000000007</v>
      </c>
    </row>
    <row r="161" spans="1:16" x14ac:dyDescent="0.3">
      <c r="A161" s="2" t="s">
        <v>74</v>
      </c>
      <c r="B161" s="2" t="s">
        <v>46</v>
      </c>
      <c r="C161" s="2" t="s">
        <v>39</v>
      </c>
      <c r="D161" s="7">
        <v>25.324999999999999</v>
      </c>
      <c r="E161" s="7">
        <v>25.324999999999999</v>
      </c>
      <c r="F161" s="7">
        <v>25.324999999999999</v>
      </c>
      <c r="G161" s="7">
        <v>25.324999999999999</v>
      </c>
      <c r="H161" s="7">
        <v>25.324999999999999</v>
      </c>
      <c r="I161" s="7">
        <v>25.324999999999999</v>
      </c>
      <c r="J161" s="7">
        <v>25.324999999999999</v>
      </c>
      <c r="K161" s="7">
        <v>25.324999999999999</v>
      </c>
      <c r="L161" s="7">
        <v>25.324999999999999</v>
      </c>
      <c r="M161" s="7">
        <v>25.324999999999999</v>
      </c>
      <c r="N161" s="7">
        <v>25.324999999999999</v>
      </c>
      <c r="O161" s="7">
        <v>25.324999999999999</v>
      </c>
      <c r="P161" s="8">
        <f t="shared" si="5"/>
        <v>303.89999999999992</v>
      </c>
    </row>
    <row r="162" spans="1:16" x14ac:dyDescent="0.3">
      <c r="A162" s="2" t="s">
        <v>74</v>
      </c>
      <c r="B162" s="2" t="s">
        <v>46</v>
      </c>
      <c r="C162" s="2" t="s">
        <v>40</v>
      </c>
      <c r="D162" s="7">
        <v>53.15</v>
      </c>
      <c r="E162" s="7">
        <v>53.15</v>
      </c>
      <c r="F162" s="7">
        <v>53.15</v>
      </c>
      <c r="G162" s="7">
        <v>53.15</v>
      </c>
      <c r="H162" s="7">
        <v>53.15</v>
      </c>
      <c r="I162" s="7">
        <v>53.15</v>
      </c>
      <c r="J162" s="7">
        <v>53.15</v>
      </c>
      <c r="K162" s="7">
        <v>53.15</v>
      </c>
      <c r="L162" s="7">
        <v>53.15</v>
      </c>
      <c r="M162" s="7">
        <v>53.15</v>
      </c>
      <c r="N162" s="7">
        <v>53.15</v>
      </c>
      <c r="O162" s="7">
        <v>53.15</v>
      </c>
      <c r="P162" s="8">
        <f t="shared" si="5"/>
        <v>637.79999999999984</v>
      </c>
    </row>
    <row r="163" spans="1:16" x14ac:dyDescent="0.3">
      <c r="A163" s="2" t="s">
        <v>74</v>
      </c>
      <c r="B163" s="2" t="s">
        <v>70</v>
      </c>
      <c r="C163" s="2" t="s">
        <v>18</v>
      </c>
      <c r="D163" s="7">
        <v>146.8666666666667</v>
      </c>
      <c r="E163" s="7">
        <v>146.8666666666667</v>
      </c>
      <c r="F163" s="7">
        <v>146.8666666666667</v>
      </c>
      <c r="G163" s="7">
        <v>146.8666666666667</v>
      </c>
      <c r="H163" s="7">
        <v>146.8666666666667</v>
      </c>
      <c r="I163" s="7">
        <v>146.8666666666667</v>
      </c>
      <c r="J163" s="7">
        <v>146.8666666666667</v>
      </c>
      <c r="K163" s="7">
        <v>146.8666666666667</v>
      </c>
      <c r="L163" s="7">
        <v>146.8666666666667</v>
      </c>
      <c r="M163" s="7">
        <v>146.8666666666667</v>
      </c>
      <c r="N163" s="7">
        <v>146.8666666666667</v>
      </c>
      <c r="O163" s="7">
        <v>146.8666666666667</v>
      </c>
      <c r="P163" s="8">
        <f t="shared" si="5"/>
        <v>1762.4000000000008</v>
      </c>
    </row>
    <row r="164" spans="1:16" x14ac:dyDescent="0.3">
      <c r="A164" s="2" t="s">
        <v>74</v>
      </c>
      <c r="B164" s="2" t="s">
        <v>70</v>
      </c>
      <c r="C164" s="2" t="s">
        <v>19</v>
      </c>
      <c r="D164" s="7">
        <v>125.0083333333333</v>
      </c>
      <c r="E164" s="7">
        <v>125.0083333333333</v>
      </c>
      <c r="F164" s="7">
        <v>125.0083333333333</v>
      </c>
      <c r="G164" s="7">
        <v>125.0083333333333</v>
      </c>
      <c r="H164" s="7">
        <v>125.0083333333333</v>
      </c>
      <c r="I164" s="7">
        <v>125.0083333333333</v>
      </c>
      <c r="J164" s="7">
        <v>125.0083333333333</v>
      </c>
      <c r="K164" s="7">
        <v>125.0083333333333</v>
      </c>
      <c r="L164" s="7">
        <v>125.0083333333333</v>
      </c>
      <c r="M164" s="7">
        <v>125.0083333333333</v>
      </c>
      <c r="N164" s="7">
        <v>125.0083333333333</v>
      </c>
      <c r="O164" s="7">
        <v>125.0083333333333</v>
      </c>
      <c r="P164" s="8">
        <f t="shared" si="5"/>
        <v>1500.0999999999995</v>
      </c>
    </row>
    <row r="165" spans="1:16" x14ac:dyDescent="0.3">
      <c r="A165" s="2" t="s">
        <v>74</v>
      </c>
      <c r="B165" s="2" t="s">
        <v>70</v>
      </c>
      <c r="C165" s="2" t="s">
        <v>20</v>
      </c>
      <c r="D165" s="7">
        <v>134.19166666666669</v>
      </c>
      <c r="E165" s="7">
        <v>134.19166666666669</v>
      </c>
      <c r="F165" s="7">
        <v>134.19166666666669</v>
      </c>
      <c r="G165" s="7">
        <v>134.19166666666669</v>
      </c>
      <c r="H165" s="7">
        <v>134.19166666666669</v>
      </c>
      <c r="I165" s="7">
        <v>134.19166666666669</v>
      </c>
      <c r="J165" s="7">
        <v>134.19166666666669</v>
      </c>
      <c r="K165" s="7">
        <v>134.19166666666669</v>
      </c>
      <c r="L165" s="7">
        <v>134.19166666666669</v>
      </c>
      <c r="M165" s="7">
        <v>134.19166666666669</v>
      </c>
      <c r="N165" s="7">
        <v>134.19166666666669</v>
      </c>
      <c r="O165" s="7">
        <v>134.19166666666669</v>
      </c>
      <c r="P165" s="8">
        <f t="shared" si="5"/>
        <v>1610.3</v>
      </c>
    </row>
    <row r="166" spans="1:16" x14ac:dyDescent="0.3">
      <c r="A166" s="2" t="s">
        <v>74</v>
      </c>
      <c r="B166" s="2" t="s">
        <v>70</v>
      </c>
      <c r="C166" s="2" t="s">
        <v>21</v>
      </c>
      <c r="D166" s="7">
        <v>124.43333333333329</v>
      </c>
      <c r="E166" s="7">
        <v>124.43333333333329</v>
      </c>
      <c r="F166" s="7">
        <v>124.43333333333329</v>
      </c>
      <c r="G166" s="7">
        <v>124.43333333333329</v>
      </c>
      <c r="H166" s="7">
        <v>124.43333333333329</v>
      </c>
      <c r="I166" s="7">
        <v>124.43333333333329</v>
      </c>
      <c r="J166" s="7">
        <v>124.43333333333329</v>
      </c>
      <c r="K166" s="7">
        <v>124.43333333333329</v>
      </c>
      <c r="L166" s="7">
        <v>124.43333333333329</v>
      </c>
      <c r="M166" s="7">
        <v>124.43333333333329</v>
      </c>
      <c r="N166" s="7">
        <v>124.43333333333329</v>
      </c>
      <c r="O166" s="7">
        <v>124.43333333333329</v>
      </c>
      <c r="P166" s="8">
        <f t="shared" si="5"/>
        <v>1493.1999999999998</v>
      </c>
    </row>
    <row r="167" spans="1:16" x14ac:dyDescent="0.3">
      <c r="A167" s="2" t="s">
        <v>74</v>
      </c>
      <c r="B167" s="2" t="s">
        <v>70</v>
      </c>
      <c r="C167" s="2" t="s">
        <v>22</v>
      </c>
      <c r="D167" s="7">
        <v>126.075</v>
      </c>
      <c r="E167" s="7">
        <v>126.075</v>
      </c>
      <c r="F167" s="7">
        <v>126.075</v>
      </c>
      <c r="G167" s="7">
        <v>126.075</v>
      </c>
      <c r="H167" s="7">
        <v>126.075</v>
      </c>
      <c r="I167" s="7">
        <v>126.075</v>
      </c>
      <c r="J167" s="7">
        <v>126.075</v>
      </c>
      <c r="K167" s="7">
        <v>126.075</v>
      </c>
      <c r="L167" s="7">
        <v>126.075</v>
      </c>
      <c r="M167" s="7">
        <v>126.075</v>
      </c>
      <c r="N167" s="7">
        <v>126.075</v>
      </c>
      <c r="O167" s="7">
        <v>126.075</v>
      </c>
      <c r="P167" s="8">
        <f t="shared" si="5"/>
        <v>1512.9000000000003</v>
      </c>
    </row>
    <row r="168" spans="1:16" x14ac:dyDescent="0.3">
      <c r="A168" s="2" t="s">
        <v>74</v>
      </c>
      <c r="B168" s="2" t="s">
        <v>70</v>
      </c>
      <c r="C168" s="2" t="s">
        <v>23</v>
      </c>
      <c r="D168" s="7">
        <v>112.2916666666667</v>
      </c>
      <c r="E168" s="7">
        <v>112.2916666666667</v>
      </c>
      <c r="F168" s="7">
        <v>112.2916666666667</v>
      </c>
      <c r="G168" s="7">
        <v>112.2916666666667</v>
      </c>
      <c r="H168" s="7">
        <v>112.2916666666667</v>
      </c>
      <c r="I168" s="7">
        <v>112.2916666666667</v>
      </c>
      <c r="J168" s="7">
        <v>112.2916666666667</v>
      </c>
      <c r="K168" s="7">
        <v>112.2916666666667</v>
      </c>
      <c r="L168" s="7">
        <v>112.2916666666667</v>
      </c>
      <c r="M168" s="7">
        <v>112.2916666666667</v>
      </c>
      <c r="N168" s="7">
        <v>112.2916666666667</v>
      </c>
      <c r="O168" s="7">
        <v>112.2916666666667</v>
      </c>
      <c r="P168" s="8">
        <f t="shared" si="5"/>
        <v>1347.5000000000007</v>
      </c>
    </row>
    <row r="169" spans="1:16" x14ac:dyDescent="0.3">
      <c r="A169" s="2" t="s">
        <v>74</v>
      </c>
      <c r="B169" s="2" t="s">
        <v>70</v>
      </c>
      <c r="C169" s="2" t="s">
        <v>24</v>
      </c>
      <c r="D169" s="7">
        <v>106.6583333333334</v>
      </c>
      <c r="E169" s="7">
        <v>106.6583333333334</v>
      </c>
      <c r="F169" s="7">
        <v>106.6583333333334</v>
      </c>
      <c r="G169" s="7">
        <v>106.6583333333334</v>
      </c>
      <c r="H169" s="7">
        <v>106.6583333333334</v>
      </c>
      <c r="I169" s="7">
        <v>106.6583333333334</v>
      </c>
      <c r="J169" s="7">
        <v>106.6583333333334</v>
      </c>
      <c r="K169" s="7">
        <v>106.6583333333334</v>
      </c>
      <c r="L169" s="7">
        <v>106.6583333333334</v>
      </c>
      <c r="M169" s="7">
        <v>106.6583333333334</v>
      </c>
      <c r="N169" s="7">
        <v>106.6583333333334</v>
      </c>
      <c r="O169" s="7">
        <v>106.6583333333334</v>
      </c>
      <c r="P169" s="8">
        <f t="shared" si="5"/>
        <v>1279.9000000000005</v>
      </c>
    </row>
    <row r="170" spans="1:16" x14ac:dyDescent="0.3">
      <c r="A170" s="2" t="s">
        <v>74</v>
      </c>
      <c r="B170" s="2" t="s">
        <v>70</v>
      </c>
      <c r="C170" s="2" t="s">
        <v>25</v>
      </c>
      <c r="D170" s="7">
        <v>107.73333333333331</v>
      </c>
      <c r="E170" s="7">
        <v>107.73333333333331</v>
      </c>
      <c r="F170" s="7">
        <v>107.73333333333331</v>
      </c>
      <c r="G170" s="7">
        <v>107.73333333333331</v>
      </c>
      <c r="H170" s="7">
        <v>107.73333333333331</v>
      </c>
      <c r="I170" s="7">
        <v>107.73333333333331</v>
      </c>
      <c r="J170" s="7">
        <v>107.73333333333331</v>
      </c>
      <c r="K170" s="7">
        <v>107.73333333333331</v>
      </c>
      <c r="L170" s="7">
        <v>107.73333333333331</v>
      </c>
      <c r="M170" s="7">
        <v>107.73333333333331</v>
      </c>
      <c r="N170" s="7">
        <v>107.73333333333331</v>
      </c>
      <c r="O170" s="7">
        <v>107.73333333333331</v>
      </c>
      <c r="P170" s="8">
        <f t="shared" si="5"/>
        <v>1292.8</v>
      </c>
    </row>
    <row r="171" spans="1:16" x14ac:dyDescent="0.3">
      <c r="A171" s="2" t="s">
        <v>74</v>
      </c>
      <c r="B171" s="2" t="s">
        <v>70</v>
      </c>
      <c r="C171" s="2" t="s">
        <v>26</v>
      </c>
      <c r="D171" s="7">
        <v>120.7</v>
      </c>
      <c r="E171" s="7">
        <v>120.7</v>
      </c>
      <c r="F171" s="7">
        <v>120.7</v>
      </c>
      <c r="G171" s="7">
        <v>120.7</v>
      </c>
      <c r="H171" s="7">
        <v>120.7</v>
      </c>
      <c r="I171" s="7">
        <v>120.7</v>
      </c>
      <c r="J171" s="7">
        <v>120.7</v>
      </c>
      <c r="K171" s="7">
        <v>120.7</v>
      </c>
      <c r="L171" s="7">
        <v>120.7</v>
      </c>
      <c r="M171" s="7">
        <v>120.7</v>
      </c>
      <c r="N171" s="7">
        <v>120.7</v>
      </c>
      <c r="O171" s="7">
        <v>120.7</v>
      </c>
      <c r="P171" s="8">
        <f t="shared" si="5"/>
        <v>1448.4000000000003</v>
      </c>
    </row>
    <row r="172" spans="1:16" x14ac:dyDescent="0.3">
      <c r="A172" s="2" t="s">
        <v>74</v>
      </c>
      <c r="B172" s="2" t="s">
        <v>70</v>
      </c>
      <c r="C172" s="2" t="s">
        <v>27</v>
      </c>
      <c r="D172" s="7">
        <v>117.51666666666669</v>
      </c>
      <c r="E172" s="7">
        <v>117.51666666666669</v>
      </c>
      <c r="F172" s="7">
        <v>117.51666666666669</v>
      </c>
      <c r="G172" s="7">
        <v>117.51666666666669</v>
      </c>
      <c r="H172" s="7">
        <v>117.51666666666669</v>
      </c>
      <c r="I172" s="7">
        <v>117.51666666666669</v>
      </c>
      <c r="J172" s="7">
        <v>117.51666666666669</v>
      </c>
      <c r="K172" s="7">
        <v>117.51666666666669</v>
      </c>
      <c r="L172" s="7">
        <v>117.51666666666669</v>
      </c>
      <c r="M172" s="7">
        <v>117.51666666666669</v>
      </c>
      <c r="N172" s="7">
        <v>117.51666666666669</v>
      </c>
      <c r="O172" s="7">
        <v>117.51666666666669</v>
      </c>
      <c r="P172" s="8">
        <f t="shared" si="5"/>
        <v>1410.2</v>
      </c>
    </row>
    <row r="173" spans="1:16" x14ac:dyDescent="0.3">
      <c r="A173" s="2" t="s">
        <v>74</v>
      </c>
      <c r="B173" s="2" t="s">
        <v>70</v>
      </c>
      <c r="C173" s="2" t="s">
        <v>28</v>
      </c>
      <c r="D173" s="7">
        <v>128.39166666666671</v>
      </c>
      <c r="E173" s="7">
        <v>128.39166666666671</v>
      </c>
      <c r="F173" s="7">
        <v>128.39166666666671</v>
      </c>
      <c r="G173" s="7">
        <v>128.39166666666671</v>
      </c>
      <c r="H173" s="7">
        <v>128.39166666666671</v>
      </c>
      <c r="I173" s="7">
        <v>128.39166666666671</v>
      </c>
      <c r="J173" s="7">
        <v>128.39166666666671</v>
      </c>
      <c r="K173" s="7">
        <v>128.39166666666671</v>
      </c>
      <c r="L173" s="7">
        <v>128.39166666666671</v>
      </c>
      <c r="M173" s="7">
        <v>128.39166666666671</v>
      </c>
      <c r="N173" s="7">
        <v>128.39166666666671</v>
      </c>
      <c r="O173" s="7">
        <v>128.39166666666671</v>
      </c>
      <c r="P173" s="8">
        <f t="shared" si="5"/>
        <v>1540.7</v>
      </c>
    </row>
    <row r="174" spans="1:16" x14ac:dyDescent="0.3">
      <c r="A174" s="2" t="s">
        <v>74</v>
      </c>
      <c r="B174" s="2" t="s">
        <v>70</v>
      </c>
      <c r="C174" s="2" t="s">
        <v>29</v>
      </c>
      <c r="D174" s="7">
        <v>127.05</v>
      </c>
      <c r="E174" s="7">
        <v>127.05</v>
      </c>
      <c r="F174" s="7">
        <v>127.05</v>
      </c>
      <c r="G174" s="7">
        <v>127.05</v>
      </c>
      <c r="H174" s="7">
        <v>127.05</v>
      </c>
      <c r="I174" s="7">
        <v>127.05</v>
      </c>
      <c r="J174" s="7">
        <v>127.05</v>
      </c>
      <c r="K174" s="7">
        <v>127.05</v>
      </c>
      <c r="L174" s="7">
        <v>127.05</v>
      </c>
      <c r="M174" s="7">
        <v>127.05</v>
      </c>
      <c r="N174" s="7">
        <v>127.05</v>
      </c>
      <c r="O174" s="7">
        <v>127.05</v>
      </c>
      <c r="P174" s="8">
        <f t="shared" si="5"/>
        <v>1524.5999999999997</v>
      </c>
    </row>
    <row r="175" spans="1:16" x14ac:dyDescent="0.3">
      <c r="A175" s="2" t="s">
        <v>74</v>
      </c>
      <c r="B175" s="2" t="s">
        <v>70</v>
      </c>
      <c r="C175" s="2" t="s">
        <v>30</v>
      </c>
      <c r="D175" s="7">
        <v>148.94999999999999</v>
      </c>
      <c r="E175" s="7">
        <v>148.94999999999999</v>
      </c>
      <c r="F175" s="7">
        <v>148.94999999999999</v>
      </c>
      <c r="G175" s="7">
        <v>148.94999999999999</v>
      </c>
      <c r="H175" s="7">
        <v>148.94999999999999</v>
      </c>
      <c r="I175" s="7">
        <v>148.94999999999999</v>
      </c>
      <c r="J175" s="7">
        <v>148.94999999999999</v>
      </c>
      <c r="K175" s="7">
        <v>148.94999999999999</v>
      </c>
      <c r="L175" s="7">
        <v>148.94999999999999</v>
      </c>
      <c r="M175" s="7">
        <v>148.94999999999999</v>
      </c>
      <c r="N175" s="7">
        <v>148.94999999999999</v>
      </c>
      <c r="O175" s="7">
        <v>148.94999999999999</v>
      </c>
      <c r="P175" s="8">
        <f t="shared" si="5"/>
        <v>1787.4000000000003</v>
      </c>
    </row>
    <row r="176" spans="1:16" x14ac:dyDescent="0.3">
      <c r="A176" s="2" t="s">
        <v>74</v>
      </c>
      <c r="B176" s="2" t="s">
        <v>70</v>
      </c>
      <c r="C176" s="2" t="s">
        <v>31</v>
      </c>
      <c r="D176" s="7">
        <v>160.23333333333329</v>
      </c>
      <c r="E176" s="7">
        <v>160.23333333333329</v>
      </c>
      <c r="F176" s="7">
        <v>160.23333333333329</v>
      </c>
      <c r="G176" s="7">
        <v>160.23333333333329</v>
      </c>
      <c r="H176" s="7">
        <v>160.23333333333329</v>
      </c>
      <c r="I176" s="7">
        <v>160.23333333333329</v>
      </c>
      <c r="J176" s="7">
        <v>160.23333333333329</v>
      </c>
      <c r="K176" s="7">
        <v>160.23333333333329</v>
      </c>
      <c r="L176" s="7">
        <v>160.23333333333329</v>
      </c>
      <c r="M176" s="7">
        <v>160.23333333333329</v>
      </c>
      <c r="N176" s="7">
        <v>160.23333333333329</v>
      </c>
      <c r="O176" s="7">
        <v>160.23333333333329</v>
      </c>
      <c r="P176" s="8">
        <f t="shared" si="5"/>
        <v>1922.8</v>
      </c>
    </row>
    <row r="177" spans="1:16" x14ac:dyDescent="0.3">
      <c r="A177" s="2" t="s">
        <v>74</v>
      </c>
      <c r="B177" s="2" t="s">
        <v>70</v>
      </c>
      <c r="C177" s="2" t="s">
        <v>32</v>
      </c>
      <c r="D177" s="7">
        <v>152.69166666666669</v>
      </c>
      <c r="E177" s="7">
        <v>152.69166666666669</v>
      </c>
      <c r="F177" s="7">
        <v>152.69166666666669</v>
      </c>
      <c r="G177" s="7">
        <v>152.69166666666669</v>
      </c>
      <c r="H177" s="7">
        <v>152.69166666666669</v>
      </c>
      <c r="I177" s="7">
        <v>152.69166666666669</v>
      </c>
      <c r="J177" s="7">
        <v>152.69166666666669</v>
      </c>
      <c r="K177" s="7">
        <v>152.69166666666669</v>
      </c>
      <c r="L177" s="7">
        <v>152.69166666666669</v>
      </c>
      <c r="M177" s="7">
        <v>152.69166666666669</v>
      </c>
      <c r="N177" s="7">
        <v>152.69166666666669</v>
      </c>
      <c r="O177" s="7">
        <v>152.69166666666669</v>
      </c>
      <c r="P177" s="8">
        <f t="shared" si="5"/>
        <v>1832.3</v>
      </c>
    </row>
    <row r="178" spans="1:16" x14ac:dyDescent="0.3">
      <c r="A178" s="2" t="s">
        <v>74</v>
      </c>
      <c r="B178" s="2" t="s">
        <v>70</v>
      </c>
      <c r="C178" s="2" t="s">
        <v>33</v>
      </c>
      <c r="D178" s="7">
        <v>164.0916666666667</v>
      </c>
      <c r="E178" s="7">
        <v>164.0916666666667</v>
      </c>
      <c r="F178" s="7">
        <v>164.0916666666667</v>
      </c>
      <c r="G178" s="7">
        <v>164.0916666666667</v>
      </c>
      <c r="H178" s="7">
        <v>164.0916666666667</v>
      </c>
      <c r="I178" s="7">
        <v>164.0916666666667</v>
      </c>
      <c r="J178" s="7">
        <v>164.0916666666667</v>
      </c>
      <c r="K178" s="7">
        <v>164.0916666666667</v>
      </c>
      <c r="L178" s="7">
        <v>164.0916666666667</v>
      </c>
      <c r="M178" s="7">
        <v>164.0916666666667</v>
      </c>
      <c r="N178" s="7">
        <v>164.0916666666667</v>
      </c>
      <c r="O178" s="7">
        <v>164.0916666666667</v>
      </c>
      <c r="P178" s="8">
        <f t="shared" si="5"/>
        <v>1969.1000000000004</v>
      </c>
    </row>
    <row r="179" spans="1:16" x14ac:dyDescent="0.3">
      <c r="A179" s="2" t="s">
        <v>74</v>
      </c>
      <c r="B179" s="2" t="s">
        <v>70</v>
      </c>
      <c r="C179" s="2" t="s">
        <v>34</v>
      </c>
      <c r="D179" s="7">
        <v>171.5083333333333</v>
      </c>
      <c r="E179" s="7">
        <v>171.5083333333333</v>
      </c>
      <c r="F179" s="7">
        <v>171.5083333333333</v>
      </c>
      <c r="G179" s="7">
        <v>171.5083333333333</v>
      </c>
      <c r="H179" s="7">
        <v>171.5083333333333</v>
      </c>
      <c r="I179" s="7">
        <v>171.5083333333333</v>
      </c>
      <c r="J179" s="7">
        <v>171.5083333333333</v>
      </c>
      <c r="K179" s="7">
        <v>171.5083333333333</v>
      </c>
      <c r="L179" s="7">
        <v>171.5083333333333</v>
      </c>
      <c r="M179" s="7">
        <v>171.5083333333333</v>
      </c>
      <c r="N179" s="7">
        <v>171.5083333333333</v>
      </c>
      <c r="O179" s="7">
        <v>171.5083333333333</v>
      </c>
      <c r="P179" s="8">
        <f t="shared" si="5"/>
        <v>2058.099999999999</v>
      </c>
    </row>
    <row r="180" spans="1:16" x14ac:dyDescent="0.3">
      <c r="A180" s="2" t="s">
        <v>74</v>
      </c>
      <c r="B180" s="2" t="s">
        <v>70</v>
      </c>
      <c r="C180" s="2" t="s">
        <v>35</v>
      </c>
      <c r="D180" s="7">
        <v>145.1333333333333</v>
      </c>
      <c r="E180" s="7">
        <v>145.1333333333333</v>
      </c>
      <c r="F180" s="7">
        <v>145.1333333333333</v>
      </c>
      <c r="G180" s="7">
        <v>145.1333333333333</v>
      </c>
      <c r="H180" s="7">
        <v>145.1333333333333</v>
      </c>
      <c r="I180" s="7">
        <v>145.1333333333333</v>
      </c>
      <c r="J180" s="7">
        <v>145.1333333333333</v>
      </c>
      <c r="K180" s="7">
        <v>145.1333333333333</v>
      </c>
      <c r="L180" s="7">
        <v>145.1333333333333</v>
      </c>
      <c r="M180" s="7">
        <v>145.1333333333333</v>
      </c>
      <c r="N180" s="7">
        <v>145.1333333333333</v>
      </c>
      <c r="O180" s="7">
        <v>145.1333333333333</v>
      </c>
      <c r="P180" s="8">
        <f t="shared" si="5"/>
        <v>1741.5999999999992</v>
      </c>
    </row>
    <row r="181" spans="1:16" x14ac:dyDescent="0.3">
      <c r="A181" s="2" t="s">
        <v>74</v>
      </c>
      <c r="B181" s="2" t="s">
        <v>70</v>
      </c>
      <c r="C181" s="2" t="s">
        <v>36</v>
      </c>
      <c r="D181" s="7">
        <v>136.30833333333331</v>
      </c>
      <c r="E181" s="7">
        <v>136.30833333333331</v>
      </c>
      <c r="F181" s="7">
        <v>136.30833333333331</v>
      </c>
      <c r="G181" s="7">
        <v>136.30833333333331</v>
      </c>
      <c r="H181" s="7">
        <v>136.30833333333331</v>
      </c>
      <c r="I181" s="7">
        <v>136.30833333333331</v>
      </c>
      <c r="J181" s="7">
        <v>136.30833333333331</v>
      </c>
      <c r="K181" s="7">
        <v>136.30833333333331</v>
      </c>
      <c r="L181" s="7">
        <v>136.30833333333331</v>
      </c>
      <c r="M181" s="7">
        <v>136.30833333333331</v>
      </c>
      <c r="N181" s="7">
        <v>136.30833333333331</v>
      </c>
      <c r="O181" s="7">
        <v>136.30833333333331</v>
      </c>
      <c r="P181" s="8">
        <f t="shared" si="5"/>
        <v>1635.7</v>
      </c>
    </row>
    <row r="182" spans="1:16" x14ac:dyDescent="0.3">
      <c r="A182" s="2" t="s">
        <v>74</v>
      </c>
      <c r="B182" s="2" t="s">
        <v>70</v>
      </c>
      <c r="C182" s="2" t="s">
        <v>37</v>
      </c>
      <c r="D182" s="7">
        <v>154.80000000000001</v>
      </c>
      <c r="E182" s="7">
        <v>154.80000000000001</v>
      </c>
      <c r="F182" s="7">
        <v>154.80000000000001</v>
      </c>
      <c r="G182" s="7">
        <v>154.80000000000001</v>
      </c>
      <c r="H182" s="7">
        <v>154.80000000000001</v>
      </c>
      <c r="I182" s="7">
        <v>154.80000000000001</v>
      </c>
      <c r="J182" s="7">
        <v>154.80000000000001</v>
      </c>
      <c r="K182" s="7">
        <v>154.80000000000001</v>
      </c>
      <c r="L182" s="7">
        <v>154.80000000000001</v>
      </c>
      <c r="M182" s="7">
        <v>154.80000000000001</v>
      </c>
      <c r="N182" s="7">
        <v>154.80000000000001</v>
      </c>
      <c r="O182" s="7">
        <v>154.80000000000001</v>
      </c>
      <c r="P182" s="8">
        <f t="shared" si="5"/>
        <v>1857.5999999999997</v>
      </c>
    </row>
    <row r="183" spans="1:16" x14ac:dyDescent="0.3">
      <c r="A183" s="2" t="s">
        <v>74</v>
      </c>
      <c r="B183" s="2" t="s">
        <v>70</v>
      </c>
      <c r="C183" s="2" t="s">
        <v>38</v>
      </c>
      <c r="D183" s="7">
        <v>147.31666666666669</v>
      </c>
      <c r="E183" s="7">
        <v>147.31666666666669</v>
      </c>
      <c r="F183" s="7">
        <v>147.31666666666669</v>
      </c>
      <c r="G183" s="7">
        <v>147.31666666666669</v>
      </c>
      <c r="H183" s="7">
        <v>147.31666666666669</v>
      </c>
      <c r="I183" s="7">
        <v>147.31666666666669</v>
      </c>
      <c r="J183" s="7">
        <v>147.31666666666669</v>
      </c>
      <c r="K183" s="7">
        <v>147.31666666666669</v>
      </c>
      <c r="L183" s="7">
        <v>147.31666666666669</v>
      </c>
      <c r="M183" s="7">
        <v>147.31666666666669</v>
      </c>
      <c r="N183" s="7">
        <v>147.31666666666669</v>
      </c>
      <c r="O183" s="7">
        <v>147.31666666666669</v>
      </c>
      <c r="P183" s="8">
        <f t="shared" si="5"/>
        <v>1767.8</v>
      </c>
    </row>
    <row r="184" spans="1:16" x14ac:dyDescent="0.3">
      <c r="A184" s="2" t="s">
        <v>74</v>
      </c>
      <c r="B184" s="2" t="s">
        <v>70</v>
      </c>
      <c r="C184" s="2" t="s">
        <v>39</v>
      </c>
      <c r="D184" s="7">
        <v>137.67500000000001</v>
      </c>
      <c r="E184" s="7">
        <v>137.67500000000001</v>
      </c>
      <c r="F184" s="7">
        <v>137.67500000000001</v>
      </c>
      <c r="G184" s="7">
        <v>137.67500000000001</v>
      </c>
      <c r="H184" s="7">
        <v>137.67500000000001</v>
      </c>
      <c r="I184" s="7">
        <v>137.67500000000001</v>
      </c>
      <c r="J184" s="7">
        <v>137.67500000000001</v>
      </c>
      <c r="K184" s="7">
        <v>137.67500000000001</v>
      </c>
      <c r="L184" s="7">
        <v>137.67500000000001</v>
      </c>
      <c r="M184" s="7">
        <v>137.67500000000001</v>
      </c>
      <c r="N184" s="7">
        <v>137.67500000000001</v>
      </c>
      <c r="O184" s="7">
        <v>137.67500000000001</v>
      </c>
      <c r="P184" s="8">
        <f t="shared" si="5"/>
        <v>1652.0999999999997</v>
      </c>
    </row>
    <row r="185" spans="1:16" x14ac:dyDescent="0.3">
      <c r="A185" s="2" t="s">
        <v>74</v>
      </c>
      <c r="B185" s="2" t="s">
        <v>70</v>
      </c>
      <c r="C185" s="2" t="s">
        <v>40</v>
      </c>
      <c r="D185" s="7">
        <v>139.85</v>
      </c>
      <c r="E185" s="7">
        <v>139.85</v>
      </c>
      <c r="F185" s="7">
        <v>139.85</v>
      </c>
      <c r="G185" s="7">
        <v>139.85</v>
      </c>
      <c r="H185" s="7">
        <v>139.85</v>
      </c>
      <c r="I185" s="7">
        <v>139.85</v>
      </c>
      <c r="J185" s="7">
        <v>139.85</v>
      </c>
      <c r="K185" s="7">
        <v>139.85</v>
      </c>
      <c r="L185" s="7">
        <v>139.85</v>
      </c>
      <c r="M185" s="7">
        <v>139.85</v>
      </c>
      <c r="N185" s="7">
        <v>139.85</v>
      </c>
      <c r="O185" s="7">
        <v>139.85</v>
      </c>
      <c r="P185" s="8">
        <f t="shared" si="5"/>
        <v>1678.1999999999996</v>
      </c>
    </row>
    <row r="186" spans="1:16" x14ac:dyDescent="0.3">
      <c r="A186" s="2" t="s">
        <v>74</v>
      </c>
      <c r="B186" s="2" t="s">
        <v>48</v>
      </c>
      <c r="C186" s="2" t="s">
        <v>18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8">
        <f t="shared" si="5"/>
        <v>0</v>
      </c>
    </row>
    <row r="187" spans="1:16" x14ac:dyDescent="0.3">
      <c r="A187" s="2" t="s">
        <v>74</v>
      </c>
      <c r="B187" s="2" t="s">
        <v>48</v>
      </c>
      <c r="C187" s="2" t="s">
        <v>19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8">
        <f t="shared" si="5"/>
        <v>0</v>
      </c>
    </row>
    <row r="188" spans="1:16" x14ac:dyDescent="0.3">
      <c r="A188" s="2" t="s">
        <v>74</v>
      </c>
      <c r="B188" s="2" t="s">
        <v>48</v>
      </c>
      <c r="C188" s="2" t="s">
        <v>20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8">
        <f t="shared" si="5"/>
        <v>0</v>
      </c>
    </row>
    <row r="189" spans="1:16" x14ac:dyDescent="0.3">
      <c r="A189" s="2" t="s">
        <v>74</v>
      </c>
      <c r="B189" s="2" t="s">
        <v>48</v>
      </c>
      <c r="C189" s="2" t="s">
        <v>21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8">
        <f t="shared" si="5"/>
        <v>0</v>
      </c>
    </row>
    <row r="190" spans="1:16" x14ac:dyDescent="0.3">
      <c r="A190" s="2" t="s">
        <v>74</v>
      </c>
      <c r="B190" s="2" t="s">
        <v>48</v>
      </c>
      <c r="C190" s="2" t="s">
        <v>22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8">
        <f t="shared" ref="P190:P221" si="6">SUM(D190:O190)</f>
        <v>0</v>
      </c>
    </row>
    <row r="191" spans="1:16" x14ac:dyDescent="0.3">
      <c r="A191" s="2" t="s">
        <v>74</v>
      </c>
      <c r="B191" s="2" t="s">
        <v>48</v>
      </c>
      <c r="C191" s="2" t="s">
        <v>23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8">
        <f t="shared" si="6"/>
        <v>0</v>
      </c>
    </row>
    <row r="192" spans="1:16" x14ac:dyDescent="0.3">
      <c r="A192" s="2" t="s">
        <v>74</v>
      </c>
      <c r="B192" s="2" t="s">
        <v>48</v>
      </c>
      <c r="C192" s="2" t="s">
        <v>24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8">
        <f t="shared" si="6"/>
        <v>0</v>
      </c>
    </row>
    <row r="193" spans="1:16" x14ac:dyDescent="0.3">
      <c r="A193" s="2" t="s">
        <v>74</v>
      </c>
      <c r="B193" s="2" t="s">
        <v>48</v>
      </c>
      <c r="C193" s="2" t="s">
        <v>25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8">
        <f t="shared" si="6"/>
        <v>0</v>
      </c>
    </row>
    <row r="194" spans="1:16" x14ac:dyDescent="0.3">
      <c r="A194" s="2" t="s">
        <v>74</v>
      </c>
      <c r="B194" s="2" t="s">
        <v>48</v>
      </c>
      <c r="C194" s="2" t="s">
        <v>26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8">
        <f t="shared" si="6"/>
        <v>0</v>
      </c>
    </row>
    <row r="195" spans="1:16" x14ac:dyDescent="0.3">
      <c r="A195" s="2" t="s">
        <v>74</v>
      </c>
      <c r="B195" s="2" t="s">
        <v>48</v>
      </c>
      <c r="C195" s="2" t="s">
        <v>27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8">
        <f t="shared" si="6"/>
        <v>0</v>
      </c>
    </row>
    <row r="196" spans="1:16" x14ac:dyDescent="0.3">
      <c r="A196" s="2" t="s">
        <v>74</v>
      </c>
      <c r="B196" s="2" t="s">
        <v>48</v>
      </c>
      <c r="C196" s="2" t="s">
        <v>28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8">
        <f t="shared" si="6"/>
        <v>0</v>
      </c>
    </row>
    <row r="197" spans="1:16" x14ac:dyDescent="0.3">
      <c r="A197" s="2" t="s">
        <v>74</v>
      </c>
      <c r="B197" s="2" t="s">
        <v>48</v>
      </c>
      <c r="C197" s="2" t="s">
        <v>29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8">
        <f t="shared" si="6"/>
        <v>0</v>
      </c>
    </row>
    <row r="198" spans="1:16" x14ac:dyDescent="0.3">
      <c r="A198" s="2" t="s">
        <v>74</v>
      </c>
      <c r="B198" s="2" t="s">
        <v>48</v>
      </c>
      <c r="C198" s="2" t="s">
        <v>30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8">
        <f t="shared" si="6"/>
        <v>0</v>
      </c>
    </row>
    <row r="199" spans="1:16" x14ac:dyDescent="0.3">
      <c r="A199" s="2" t="s">
        <v>74</v>
      </c>
      <c r="B199" s="2" t="s">
        <v>48</v>
      </c>
      <c r="C199" s="2" t="s">
        <v>31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8">
        <f t="shared" si="6"/>
        <v>0</v>
      </c>
    </row>
    <row r="200" spans="1:16" x14ac:dyDescent="0.3">
      <c r="A200" s="2" t="s">
        <v>74</v>
      </c>
      <c r="B200" s="2" t="s">
        <v>48</v>
      </c>
      <c r="C200" s="2" t="s">
        <v>32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8">
        <f t="shared" si="6"/>
        <v>0</v>
      </c>
    </row>
    <row r="201" spans="1:16" x14ac:dyDescent="0.3">
      <c r="A201" s="2" t="s">
        <v>74</v>
      </c>
      <c r="B201" s="2" t="s">
        <v>48</v>
      </c>
      <c r="C201" s="2" t="s">
        <v>33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8">
        <f t="shared" si="6"/>
        <v>0</v>
      </c>
    </row>
    <row r="202" spans="1:16" x14ac:dyDescent="0.3">
      <c r="A202" s="2" t="s">
        <v>74</v>
      </c>
      <c r="B202" s="2" t="s">
        <v>48</v>
      </c>
      <c r="C202" s="2" t="s">
        <v>34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8">
        <f t="shared" si="6"/>
        <v>0</v>
      </c>
    </row>
    <row r="203" spans="1:16" x14ac:dyDescent="0.3">
      <c r="A203" s="2" t="s">
        <v>74</v>
      </c>
      <c r="B203" s="2" t="s">
        <v>48</v>
      </c>
      <c r="C203" s="2" t="s">
        <v>35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8">
        <f t="shared" si="6"/>
        <v>0</v>
      </c>
    </row>
    <row r="204" spans="1:16" x14ac:dyDescent="0.3">
      <c r="A204" s="2" t="s">
        <v>74</v>
      </c>
      <c r="B204" s="2" t="s">
        <v>48</v>
      </c>
      <c r="C204" s="2" t="s">
        <v>36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8">
        <f t="shared" si="6"/>
        <v>0</v>
      </c>
    </row>
    <row r="205" spans="1:16" x14ac:dyDescent="0.3">
      <c r="A205" s="2" t="s">
        <v>74</v>
      </c>
      <c r="B205" s="2" t="s">
        <v>48</v>
      </c>
      <c r="C205" s="2" t="s">
        <v>37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8">
        <f t="shared" si="6"/>
        <v>0</v>
      </c>
    </row>
    <row r="206" spans="1:16" x14ac:dyDescent="0.3">
      <c r="A206" s="2" t="s">
        <v>74</v>
      </c>
      <c r="B206" s="2" t="s">
        <v>48</v>
      </c>
      <c r="C206" s="2" t="s">
        <v>38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8">
        <f t="shared" si="6"/>
        <v>0</v>
      </c>
    </row>
    <row r="207" spans="1:16" x14ac:dyDescent="0.3">
      <c r="A207" s="2" t="s">
        <v>74</v>
      </c>
      <c r="B207" s="2" t="s">
        <v>48</v>
      </c>
      <c r="C207" s="2" t="s">
        <v>39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8">
        <f t="shared" si="6"/>
        <v>0</v>
      </c>
    </row>
    <row r="208" spans="1:16" x14ac:dyDescent="0.3">
      <c r="A208" s="2" t="s">
        <v>74</v>
      </c>
      <c r="B208" s="2" t="s">
        <v>48</v>
      </c>
      <c r="C208" s="2" t="s">
        <v>40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8">
        <f t="shared" si="6"/>
        <v>0</v>
      </c>
    </row>
    <row r="209" spans="1:16" x14ac:dyDescent="0.3">
      <c r="A209" s="2" t="s">
        <v>74</v>
      </c>
      <c r="B209" s="2" t="s">
        <v>49</v>
      </c>
      <c r="C209" s="2" t="s">
        <v>18</v>
      </c>
      <c r="D209" s="7">
        <f t="shared" ref="D209:O209" si="7">D140+D163</f>
        <v>181.76666666666671</v>
      </c>
      <c r="E209" s="7">
        <f t="shared" si="7"/>
        <v>181.76666666666671</v>
      </c>
      <c r="F209" s="7">
        <f t="shared" si="7"/>
        <v>181.76666666666671</v>
      </c>
      <c r="G209" s="7">
        <f t="shared" si="7"/>
        <v>181.76666666666671</v>
      </c>
      <c r="H209" s="7">
        <f t="shared" si="7"/>
        <v>181.76666666666671</v>
      </c>
      <c r="I209" s="7">
        <f t="shared" si="7"/>
        <v>181.76666666666671</v>
      </c>
      <c r="J209" s="7">
        <f t="shared" si="7"/>
        <v>181.76666666666671</v>
      </c>
      <c r="K209" s="7">
        <f t="shared" si="7"/>
        <v>181.76666666666671</v>
      </c>
      <c r="L209" s="7">
        <f t="shared" si="7"/>
        <v>181.76666666666671</v>
      </c>
      <c r="M209" s="7">
        <f t="shared" si="7"/>
        <v>181.76666666666671</v>
      </c>
      <c r="N209" s="7">
        <f t="shared" si="7"/>
        <v>181.76666666666671</v>
      </c>
      <c r="O209" s="7">
        <f t="shared" si="7"/>
        <v>181.76666666666671</v>
      </c>
      <c r="P209" s="8">
        <f t="shared" si="6"/>
        <v>2181.2000000000003</v>
      </c>
    </row>
    <row r="210" spans="1:16" x14ac:dyDescent="0.3">
      <c r="A210" s="2" t="s">
        <v>74</v>
      </c>
      <c r="B210" s="2" t="s">
        <v>49</v>
      </c>
      <c r="C210" s="2" t="s">
        <v>19</v>
      </c>
      <c r="D210" s="7">
        <f t="shared" ref="D210:O210" si="8">D141+D164</f>
        <v>152.01666666666665</v>
      </c>
      <c r="E210" s="7">
        <f t="shared" si="8"/>
        <v>152.01666666666665</v>
      </c>
      <c r="F210" s="7">
        <f t="shared" si="8"/>
        <v>152.01666666666665</v>
      </c>
      <c r="G210" s="7">
        <f t="shared" si="8"/>
        <v>152.01666666666665</v>
      </c>
      <c r="H210" s="7">
        <f t="shared" si="8"/>
        <v>152.01666666666665</v>
      </c>
      <c r="I210" s="7">
        <f t="shared" si="8"/>
        <v>152.01666666666665</v>
      </c>
      <c r="J210" s="7">
        <f t="shared" si="8"/>
        <v>152.01666666666665</v>
      </c>
      <c r="K210" s="7">
        <f t="shared" si="8"/>
        <v>152.01666666666665</v>
      </c>
      <c r="L210" s="7">
        <f t="shared" si="8"/>
        <v>152.01666666666665</v>
      </c>
      <c r="M210" s="7">
        <f t="shared" si="8"/>
        <v>152.01666666666665</v>
      </c>
      <c r="N210" s="7">
        <f t="shared" si="8"/>
        <v>152.01666666666665</v>
      </c>
      <c r="O210" s="7">
        <f t="shared" si="8"/>
        <v>152.01666666666665</v>
      </c>
      <c r="P210" s="8">
        <f t="shared" si="6"/>
        <v>1824.1999999999998</v>
      </c>
    </row>
    <row r="211" spans="1:16" x14ac:dyDescent="0.3">
      <c r="A211" s="2" t="s">
        <v>74</v>
      </c>
      <c r="B211" s="2" t="s">
        <v>49</v>
      </c>
      <c r="C211" s="2" t="s">
        <v>20</v>
      </c>
      <c r="D211" s="7">
        <f t="shared" ref="D211:O211" si="9">D142+D165</f>
        <v>171.95833333333337</v>
      </c>
      <c r="E211" s="7">
        <f t="shared" si="9"/>
        <v>171.95833333333337</v>
      </c>
      <c r="F211" s="7">
        <f t="shared" si="9"/>
        <v>171.95833333333337</v>
      </c>
      <c r="G211" s="7">
        <f t="shared" si="9"/>
        <v>171.95833333333337</v>
      </c>
      <c r="H211" s="7">
        <f t="shared" si="9"/>
        <v>171.95833333333337</v>
      </c>
      <c r="I211" s="7">
        <f t="shared" si="9"/>
        <v>171.95833333333337</v>
      </c>
      <c r="J211" s="7">
        <f t="shared" si="9"/>
        <v>171.95833333333337</v>
      </c>
      <c r="K211" s="7">
        <f t="shared" si="9"/>
        <v>171.95833333333337</v>
      </c>
      <c r="L211" s="7">
        <f t="shared" si="9"/>
        <v>171.95833333333337</v>
      </c>
      <c r="M211" s="7">
        <f t="shared" si="9"/>
        <v>171.95833333333337</v>
      </c>
      <c r="N211" s="7">
        <f t="shared" si="9"/>
        <v>171.95833333333337</v>
      </c>
      <c r="O211" s="7">
        <f t="shared" si="9"/>
        <v>171.95833333333337</v>
      </c>
      <c r="P211" s="8">
        <f t="shared" si="6"/>
        <v>2063.5000000000009</v>
      </c>
    </row>
    <row r="212" spans="1:16" x14ac:dyDescent="0.3">
      <c r="A212" s="2" t="s">
        <v>74</v>
      </c>
      <c r="B212" s="2" t="s">
        <v>49</v>
      </c>
      <c r="C212" s="2" t="s">
        <v>21</v>
      </c>
      <c r="D212" s="7">
        <f t="shared" ref="D212:O212" si="10">D143+D166</f>
        <v>152.29999999999995</v>
      </c>
      <c r="E212" s="7">
        <f t="shared" si="10"/>
        <v>152.29999999999995</v>
      </c>
      <c r="F212" s="7">
        <f t="shared" si="10"/>
        <v>152.29999999999995</v>
      </c>
      <c r="G212" s="7">
        <f t="shared" si="10"/>
        <v>152.29999999999995</v>
      </c>
      <c r="H212" s="7">
        <f t="shared" si="10"/>
        <v>152.29999999999995</v>
      </c>
      <c r="I212" s="7">
        <f t="shared" si="10"/>
        <v>152.29999999999995</v>
      </c>
      <c r="J212" s="7">
        <f t="shared" si="10"/>
        <v>152.29999999999995</v>
      </c>
      <c r="K212" s="7">
        <f t="shared" si="10"/>
        <v>152.29999999999995</v>
      </c>
      <c r="L212" s="7">
        <f t="shared" si="10"/>
        <v>152.29999999999995</v>
      </c>
      <c r="M212" s="7">
        <f t="shared" si="10"/>
        <v>152.29999999999995</v>
      </c>
      <c r="N212" s="7">
        <f t="shared" si="10"/>
        <v>152.29999999999995</v>
      </c>
      <c r="O212" s="7">
        <f t="shared" si="10"/>
        <v>152.29999999999995</v>
      </c>
      <c r="P212" s="8">
        <f t="shared" si="6"/>
        <v>1827.5999999999995</v>
      </c>
    </row>
    <row r="213" spans="1:16" x14ac:dyDescent="0.3">
      <c r="A213" s="2" t="s">
        <v>74</v>
      </c>
      <c r="B213" s="2" t="s">
        <v>49</v>
      </c>
      <c r="C213" s="2" t="s">
        <v>22</v>
      </c>
      <c r="D213" s="7">
        <f t="shared" ref="D213:O213" si="11">D144+D167</f>
        <v>155.73333333333335</v>
      </c>
      <c r="E213" s="7">
        <f t="shared" si="11"/>
        <v>155.73333333333335</v>
      </c>
      <c r="F213" s="7">
        <f t="shared" si="11"/>
        <v>155.73333333333335</v>
      </c>
      <c r="G213" s="7">
        <f t="shared" si="11"/>
        <v>155.73333333333335</v>
      </c>
      <c r="H213" s="7">
        <f t="shared" si="11"/>
        <v>155.73333333333335</v>
      </c>
      <c r="I213" s="7">
        <f t="shared" si="11"/>
        <v>155.73333333333335</v>
      </c>
      <c r="J213" s="7">
        <f t="shared" si="11"/>
        <v>155.73333333333335</v>
      </c>
      <c r="K213" s="7">
        <f t="shared" si="11"/>
        <v>155.73333333333335</v>
      </c>
      <c r="L213" s="7">
        <f t="shared" si="11"/>
        <v>155.73333333333335</v>
      </c>
      <c r="M213" s="7">
        <f t="shared" si="11"/>
        <v>155.73333333333335</v>
      </c>
      <c r="N213" s="7">
        <f t="shared" si="11"/>
        <v>155.73333333333335</v>
      </c>
      <c r="O213" s="7">
        <f t="shared" si="11"/>
        <v>155.73333333333335</v>
      </c>
      <c r="P213" s="8">
        <f t="shared" si="6"/>
        <v>1868.8000000000002</v>
      </c>
    </row>
    <row r="214" spans="1:16" x14ac:dyDescent="0.3">
      <c r="A214" s="2" t="s">
        <v>74</v>
      </c>
      <c r="B214" s="2" t="s">
        <v>49</v>
      </c>
      <c r="C214" s="2" t="s">
        <v>23</v>
      </c>
      <c r="D214" s="7">
        <f t="shared" ref="D214:O214" si="12">D145+D168</f>
        <v>129.64166666666671</v>
      </c>
      <c r="E214" s="7">
        <f t="shared" si="12"/>
        <v>129.64166666666671</v>
      </c>
      <c r="F214" s="7">
        <f t="shared" si="12"/>
        <v>129.64166666666671</v>
      </c>
      <c r="G214" s="7">
        <f t="shared" si="12"/>
        <v>129.64166666666671</v>
      </c>
      <c r="H214" s="7">
        <f t="shared" si="12"/>
        <v>129.64166666666671</v>
      </c>
      <c r="I214" s="7">
        <f t="shared" si="12"/>
        <v>129.64166666666671</v>
      </c>
      <c r="J214" s="7">
        <f t="shared" si="12"/>
        <v>129.64166666666671</v>
      </c>
      <c r="K214" s="7">
        <f t="shared" si="12"/>
        <v>129.64166666666671</v>
      </c>
      <c r="L214" s="7">
        <f t="shared" si="12"/>
        <v>129.64166666666671</v>
      </c>
      <c r="M214" s="7">
        <f t="shared" si="12"/>
        <v>129.64166666666671</v>
      </c>
      <c r="N214" s="7">
        <f t="shared" si="12"/>
        <v>129.64166666666671</v>
      </c>
      <c r="O214" s="7">
        <f t="shared" si="12"/>
        <v>129.64166666666671</v>
      </c>
      <c r="P214" s="8">
        <f t="shared" si="6"/>
        <v>1555.7</v>
      </c>
    </row>
    <row r="215" spans="1:16" x14ac:dyDescent="0.3">
      <c r="A215" s="2" t="s">
        <v>74</v>
      </c>
      <c r="B215" s="2" t="s">
        <v>49</v>
      </c>
      <c r="C215" s="2" t="s">
        <v>24</v>
      </c>
      <c r="D215" s="7">
        <f t="shared" ref="D215:O215" si="13">D146+D169</f>
        <v>128.84166666666673</v>
      </c>
      <c r="E215" s="7">
        <f t="shared" si="13"/>
        <v>128.84166666666673</v>
      </c>
      <c r="F215" s="7">
        <f t="shared" si="13"/>
        <v>128.84166666666673</v>
      </c>
      <c r="G215" s="7">
        <f t="shared" si="13"/>
        <v>128.84166666666673</v>
      </c>
      <c r="H215" s="7">
        <f t="shared" si="13"/>
        <v>128.84166666666673</v>
      </c>
      <c r="I215" s="7">
        <f t="shared" si="13"/>
        <v>128.84166666666673</v>
      </c>
      <c r="J215" s="7">
        <f t="shared" si="13"/>
        <v>128.84166666666673</v>
      </c>
      <c r="K215" s="7">
        <f t="shared" si="13"/>
        <v>128.84166666666673</v>
      </c>
      <c r="L215" s="7">
        <f t="shared" si="13"/>
        <v>128.84166666666673</v>
      </c>
      <c r="M215" s="7">
        <f t="shared" si="13"/>
        <v>128.84166666666673</v>
      </c>
      <c r="N215" s="7">
        <f t="shared" si="13"/>
        <v>128.84166666666673</v>
      </c>
      <c r="O215" s="7">
        <f t="shared" si="13"/>
        <v>128.84166666666673</v>
      </c>
      <c r="P215" s="8">
        <f t="shared" si="6"/>
        <v>1546.1000000000006</v>
      </c>
    </row>
    <row r="216" spans="1:16" x14ac:dyDescent="0.3">
      <c r="A216" s="2" t="s">
        <v>74</v>
      </c>
      <c r="B216" s="2" t="s">
        <v>49</v>
      </c>
      <c r="C216" s="2" t="s">
        <v>25</v>
      </c>
      <c r="D216" s="7">
        <f t="shared" ref="D216:O216" si="14">D147+D170</f>
        <v>133.29166666666663</v>
      </c>
      <c r="E216" s="7">
        <f t="shared" si="14"/>
        <v>133.29166666666663</v>
      </c>
      <c r="F216" s="7">
        <f t="shared" si="14"/>
        <v>133.29166666666663</v>
      </c>
      <c r="G216" s="7">
        <f t="shared" si="14"/>
        <v>133.29166666666663</v>
      </c>
      <c r="H216" s="7">
        <f t="shared" si="14"/>
        <v>133.29166666666663</v>
      </c>
      <c r="I216" s="7">
        <f t="shared" si="14"/>
        <v>133.29166666666663</v>
      </c>
      <c r="J216" s="7">
        <f t="shared" si="14"/>
        <v>133.29166666666663</v>
      </c>
      <c r="K216" s="7">
        <f t="shared" si="14"/>
        <v>133.29166666666663</v>
      </c>
      <c r="L216" s="7">
        <f t="shared" si="14"/>
        <v>133.29166666666663</v>
      </c>
      <c r="M216" s="7">
        <f t="shared" si="14"/>
        <v>133.29166666666663</v>
      </c>
      <c r="N216" s="7">
        <f t="shared" si="14"/>
        <v>133.29166666666663</v>
      </c>
      <c r="O216" s="7">
        <f t="shared" si="14"/>
        <v>133.29166666666663</v>
      </c>
      <c r="P216" s="8">
        <f t="shared" si="6"/>
        <v>1599.4999999999991</v>
      </c>
    </row>
    <row r="217" spans="1:16" x14ac:dyDescent="0.3">
      <c r="A217" s="2" t="s">
        <v>74</v>
      </c>
      <c r="B217" s="2" t="s">
        <v>49</v>
      </c>
      <c r="C217" s="2" t="s">
        <v>26</v>
      </c>
      <c r="D217" s="7">
        <f t="shared" ref="D217:O217" si="15">D148+D171</f>
        <v>150.26666666666665</v>
      </c>
      <c r="E217" s="7">
        <f t="shared" si="15"/>
        <v>150.26666666666665</v>
      </c>
      <c r="F217" s="7">
        <f t="shared" si="15"/>
        <v>150.26666666666665</v>
      </c>
      <c r="G217" s="7">
        <f t="shared" si="15"/>
        <v>150.26666666666665</v>
      </c>
      <c r="H217" s="7">
        <f t="shared" si="15"/>
        <v>150.26666666666665</v>
      </c>
      <c r="I217" s="7">
        <f t="shared" si="15"/>
        <v>150.26666666666665</v>
      </c>
      <c r="J217" s="7">
        <f t="shared" si="15"/>
        <v>150.26666666666665</v>
      </c>
      <c r="K217" s="7">
        <f t="shared" si="15"/>
        <v>150.26666666666665</v>
      </c>
      <c r="L217" s="7">
        <f t="shared" si="15"/>
        <v>150.26666666666665</v>
      </c>
      <c r="M217" s="7">
        <f t="shared" si="15"/>
        <v>150.26666666666665</v>
      </c>
      <c r="N217" s="7">
        <f t="shared" si="15"/>
        <v>150.26666666666665</v>
      </c>
      <c r="O217" s="7">
        <f t="shared" si="15"/>
        <v>150.26666666666665</v>
      </c>
      <c r="P217" s="8">
        <f t="shared" si="6"/>
        <v>1803.1999999999998</v>
      </c>
    </row>
    <row r="218" spans="1:16" x14ac:dyDescent="0.3">
      <c r="A218" s="2" t="s">
        <v>74</v>
      </c>
      <c r="B218" s="2" t="s">
        <v>49</v>
      </c>
      <c r="C218" s="2" t="s">
        <v>27</v>
      </c>
      <c r="D218" s="7">
        <f t="shared" ref="D218:O218" si="16">D149+D172</f>
        <v>154.04166666666669</v>
      </c>
      <c r="E218" s="7">
        <f t="shared" si="16"/>
        <v>154.04166666666669</v>
      </c>
      <c r="F218" s="7">
        <f t="shared" si="16"/>
        <v>154.04166666666669</v>
      </c>
      <c r="G218" s="7">
        <f t="shared" si="16"/>
        <v>154.04166666666669</v>
      </c>
      <c r="H218" s="7">
        <f t="shared" si="16"/>
        <v>154.04166666666669</v>
      </c>
      <c r="I218" s="7">
        <f t="shared" si="16"/>
        <v>154.04166666666669</v>
      </c>
      <c r="J218" s="7">
        <f t="shared" si="16"/>
        <v>154.04166666666669</v>
      </c>
      <c r="K218" s="7">
        <f t="shared" si="16"/>
        <v>154.04166666666669</v>
      </c>
      <c r="L218" s="7">
        <f t="shared" si="16"/>
        <v>154.04166666666669</v>
      </c>
      <c r="M218" s="7">
        <f t="shared" si="16"/>
        <v>154.04166666666669</v>
      </c>
      <c r="N218" s="7">
        <f t="shared" si="16"/>
        <v>154.04166666666669</v>
      </c>
      <c r="O218" s="7">
        <f t="shared" si="16"/>
        <v>154.04166666666669</v>
      </c>
      <c r="P218" s="8">
        <f t="shared" si="6"/>
        <v>1848.5000000000007</v>
      </c>
    </row>
    <row r="219" spans="1:16" x14ac:dyDescent="0.3">
      <c r="A219" s="2" t="s">
        <v>74</v>
      </c>
      <c r="B219" s="2" t="s">
        <v>49</v>
      </c>
      <c r="C219" s="2" t="s">
        <v>28</v>
      </c>
      <c r="D219" s="7">
        <f t="shared" ref="D219:O219" si="17">D150+D173</f>
        <v>158.31666666666672</v>
      </c>
      <c r="E219" s="7">
        <f t="shared" si="17"/>
        <v>158.31666666666672</v>
      </c>
      <c r="F219" s="7">
        <f t="shared" si="17"/>
        <v>158.31666666666672</v>
      </c>
      <c r="G219" s="7">
        <f t="shared" si="17"/>
        <v>158.31666666666672</v>
      </c>
      <c r="H219" s="7">
        <f t="shared" si="17"/>
        <v>158.31666666666672</v>
      </c>
      <c r="I219" s="7">
        <f t="shared" si="17"/>
        <v>158.31666666666672</v>
      </c>
      <c r="J219" s="7">
        <f t="shared" si="17"/>
        <v>158.31666666666672</v>
      </c>
      <c r="K219" s="7">
        <f t="shared" si="17"/>
        <v>158.31666666666672</v>
      </c>
      <c r="L219" s="7">
        <f t="shared" si="17"/>
        <v>158.31666666666672</v>
      </c>
      <c r="M219" s="7">
        <f t="shared" si="17"/>
        <v>158.31666666666672</v>
      </c>
      <c r="N219" s="7">
        <f t="shared" si="17"/>
        <v>158.31666666666672</v>
      </c>
      <c r="O219" s="7">
        <f t="shared" si="17"/>
        <v>158.31666666666672</v>
      </c>
      <c r="P219" s="8">
        <f t="shared" si="6"/>
        <v>1899.8000000000002</v>
      </c>
    </row>
    <row r="220" spans="1:16" x14ac:dyDescent="0.3">
      <c r="A220" s="2" t="s">
        <v>74</v>
      </c>
      <c r="B220" s="2" t="s">
        <v>49</v>
      </c>
      <c r="C220" s="2" t="s">
        <v>29</v>
      </c>
      <c r="D220" s="7">
        <f t="shared" ref="D220:O220" si="18">D151+D174</f>
        <v>163.28333333333333</v>
      </c>
      <c r="E220" s="7">
        <f t="shared" si="18"/>
        <v>163.28333333333333</v>
      </c>
      <c r="F220" s="7">
        <f t="shared" si="18"/>
        <v>163.28333333333333</v>
      </c>
      <c r="G220" s="7">
        <f t="shared" si="18"/>
        <v>163.28333333333333</v>
      </c>
      <c r="H220" s="7">
        <f t="shared" si="18"/>
        <v>163.28333333333333</v>
      </c>
      <c r="I220" s="7">
        <f t="shared" si="18"/>
        <v>163.28333333333333</v>
      </c>
      <c r="J220" s="7">
        <f t="shared" si="18"/>
        <v>163.28333333333333</v>
      </c>
      <c r="K220" s="7">
        <f t="shared" si="18"/>
        <v>163.28333333333333</v>
      </c>
      <c r="L220" s="7">
        <f t="shared" si="18"/>
        <v>163.28333333333333</v>
      </c>
      <c r="M220" s="7">
        <f t="shared" si="18"/>
        <v>163.28333333333333</v>
      </c>
      <c r="N220" s="7">
        <f t="shared" si="18"/>
        <v>163.28333333333333</v>
      </c>
      <c r="O220" s="7">
        <f t="shared" si="18"/>
        <v>163.28333333333333</v>
      </c>
      <c r="P220" s="8">
        <f t="shared" si="6"/>
        <v>1959.3999999999999</v>
      </c>
    </row>
    <row r="221" spans="1:16" x14ac:dyDescent="0.3">
      <c r="A221" s="2" t="s">
        <v>74</v>
      </c>
      <c r="B221" s="2" t="s">
        <v>49</v>
      </c>
      <c r="C221" s="2" t="s">
        <v>30</v>
      </c>
      <c r="D221" s="7">
        <f t="shared" ref="D221:O221" si="19">D152+D175</f>
        <v>176.76666666666665</v>
      </c>
      <c r="E221" s="7">
        <f t="shared" si="19"/>
        <v>176.76666666666665</v>
      </c>
      <c r="F221" s="7">
        <f t="shared" si="19"/>
        <v>176.76666666666665</v>
      </c>
      <c r="G221" s="7">
        <f t="shared" si="19"/>
        <v>176.76666666666665</v>
      </c>
      <c r="H221" s="7">
        <f t="shared" si="19"/>
        <v>176.76666666666665</v>
      </c>
      <c r="I221" s="7">
        <f t="shared" si="19"/>
        <v>176.76666666666665</v>
      </c>
      <c r="J221" s="7">
        <f t="shared" si="19"/>
        <v>176.76666666666665</v>
      </c>
      <c r="K221" s="7">
        <f t="shared" si="19"/>
        <v>176.76666666666665</v>
      </c>
      <c r="L221" s="7">
        <f t="shared" si="19"/>
        <v>176.76666666666665</v>
      </c>
      <c r="M221" s="7">
        <f t="shared" si="19"/>
        <v>176.76666666666665</v>
      </c>
      <c r="N221" s="7">
        <f t="shared" si="19"/>
        <v>176.76666666666665</v>
      </c>
      <c r="O221" s="7">
        <f t="shared" si="19"/>
        <v>176.76666666666665</v>
      </c>
      <c r="P221" s="8">
        <f t="shared" si="6"/>
        <v>2121.1999999999998</v>
      </c>
    </row>
    <row r="222" spans="1:16" x14ac:dyDescent="0.3">
      <c r="A222" s="2" t="s">
        <v>74</v>
      </c>
      <c r="B222" s="2" t="s">
        <v>49</v>
      </c>
      <c r="C222" s="2" t="s">
        <v>31</v>
      </c>
      <c r="D222" s="7">
        <f t="shared" ref="D222:O222" si="20">D153+D176</f>
        <v>202.62499999999997</v>
      </c>
      <c r="E222" s="7">
        <f t="shared" si="20"/>
        <v>202.62499999999997</v>
      </c>
      <c r="F222" s="7">
        <f t="shared" si="20"/>
        <v>202.62499999999997</v>
      </c>
      <c r="G222" s="7">
        <f t="shared" si="20"/>
        <v>202.62499999999997</v>
      </c>
      <c r="H222" s="7">
        <f t="shared" si="20"/>
        <v>202.62499999999997</v>
      </c>
      <c r="I222" s="7">
        <f t="shared" si="20"/>
        <v>202.62499999999997</v>
      </c>
      <c r="J222" s="7">
        <f t="shared" si="20"/>
        <v>202.62499999999997</v>
      </c>
      <c r="K222" s="7">
        <f t="shared" si="20"/>
        <v>202.62499999999997</v>
      </c>
      <c r="L222" s="7">
        <f t="shared" si="20"/>
        <v>202.62499999999997</v>
      </c>
      <c r="M222" s="7">
        <f t="shared" si="20"/>
        <v>202.62499999999997</v>
      </c>
      <c r="N222" s="7">
        <f t="shared" si="20"/>
        <v>202.62499999999997</v>
      </c>
      <c r="O222" s="7">
        <f t="shared" si="20"/>
        <v>202.62499999999997</v>
      </c>
      <c r="P222" s="8">
        <f t="shared" ref="P222:P253" si="21">SUM(D222:O222)</f>
        <v>2431.4999999999995</v>
      </c>
    </row>
    <row r="223" spans="1:16" x14ac:dyDescent="0.3">
      <c r="A223" s="2" t="s">
        <v>74</v>
      </c>
      <c r="B223" s="2" t="s">
        <v>49</v>
      </c>
      <c r="C223" s="2" t="s">
        <v>32</v>
      </c>
      <c r="D223" s="7">
        <f t="shared" ref="D223:O223" si="22">D154+D177</f>
        <v>198.56666666666669</v>
      </c>
      <c r="E223" s="7">
        <f t="shared" si="22"/>
        <v>198.56666666666669</v>
      </c>
      <c r="F223" s="7">
        <f t="shared" si="22"/>
        <v>198.56666666666669</v>
      </c>
      <c r="G223" s="7">
        <f t="shared" si="22"/>
        <v>198.56666666666669</v>
      </c>
      <c r="H223" s="7">
        <f t="shared" si="22"/>
        <v>198.56666666666669</v>
      </c>
      <c r="I223" s="7">
        <f t="shared" si="22"/>
        <v>198.56666666666669</v>
      </c>
      <c r="J223" s="7">
        <f t="shared" si="22"/>
        <v>198.56666666666669</v>
      </c>
      <c r="K223" s="7">
        <f t="shared" si="22"/>
        <v>198.56666666666669</v>
      </c>
      <c r="L223" s="7">
        <f t="shared" si="22"/>
        <v>198.56666666666669</v>
      </c>
      <c r="M223" s="7">
        <f t="shared" si="22"/>
        <v>198.56666666666669</v>
      </c>
      <c r="N223" s="7">
        <f t="shared" si="22"/>
        <v>198.56666666666669</v>
      </c>
      <c r="O223" s="7">
        <f t="shared" si="22"/>
        <v>198.56666666666669</v>
      </c>
      <c r="P223" s="8">
        <f t="shared" si="21"/>
        <v>2382.7999999999997</v>
      </c>
    </row>
    <row r="224" spans="1:16" x14ac:dyDescent="0.3">
      <c r="A224" s="2" t="s">
        <v>74</v>
      </c>
      <c r="B224" s="2" t="s">
        <v>49</v>
      </c>
      <c r="C224" s="2" t="s">
        <v>33</v>
      </c>
      <c r="D224" s="7">
        <f t="shared" ref="D224:O224" si="23">D155+D178</f>
        <v>230.40000000000003</v>
      </c>
      <c r="E224" s="7">
        <f t="shared" si="23"/>
        <v>230.40000000000003</v>
      </c>
      <c r="F224" s="7">
        <f t="shared" si="23"/>
        <v>230.40000000000003</v>
      </c>
      <c r="G224" s="7">
        <f t="shared" si="23"/>
        <v>230.40000000000003</v>
      </c>
      <c r="H224" s="7">
        <f t="shared" si="23"/>
        <v>230.40000000000003</v>
      </c>
      <c r="I224" s="7">
        <f t="shared" si="23"/>
        <v>230.40000000000003</v>
      </c>
      <c r="J224" s="7">
        <f t="shared" si="23"/>
        <v>230.40000000000003</v>
      </c>
      <c r="K224" s="7">
        <f t="shared" si="23"/>
        <v>230.40000000000003</v>
      </c>
      <c r="L224" s="7">
        <f t="shared" si="23"/>
        <v>230.40000000000003</v>
      </c>
      <c r="M224" s="7">
        <f t="shared" si="23"/>
        <v>230.40000000000003</v>
      </c>
      <c r="N224" s="7">
        <f t="shared" si="23"/>
        <v>230.40000000000003</v>
      </c>
      <c r="O224" s="7">
        <f t="shared" si="23"/>
        <v>230.40000000000003</v>
      </c>
      <c r="P224" s="8">
        <f t="shared" si="21"/>
        <v>2764.8000000000006</v>
      </c>
    </row>
    <row r="225" spans="1:16" x14ac:dyDescent="0.3">
      <c r="A225" s="2" t="s">
        <v>74</v>
      </c>
      <c r="B225" s="2" t="s">
        <v>49</v>
      </c>
      <c r="C225" s="2" t="s">
        <v>34</v>
      </c>
      <c r="D225" s="7">
        <f t="shared" ref="D225:O225" si="24">D156+D179</f>
        <v>204.99166666666662</v>
      </c>
      <c r="E225" s="7">
        <f t="shared" si="24"/>
        <v>204.99166666666662</v>
      </c>
      <c r="F225" s="7">
        <f t="shared" si="24"/>
        <v>204.99166666666662</v>
      </c>
      <c r="G225" s="7">
        <f t="shared" si="24"/>
        <v>204.99166666666662</v>
      </c>
      <c r="H225" s="7">
        <f t="shared" si="24"/>
        <v>204.99166666666662</v>
      </c>
      <c r="I225" s="7">
        <f t="shared" si="24"/>
        <v>204.99166666666662</v>
      </c>
      <c r="J225" s="7">
        <f t="shared" si="24"/>
        <v>204.99166666666662</v>
      </c>
      <c r="K225" s="7">
        <f t="shared" si="24"/>
        <v>204.99166666666662</v>
      </c>
      <c r="L225" s="7">
        <f t="shared" si="24"/>
        <v>204.99166666666662</v>
      </c>
      <c r="M225" s="7">
        <f t="shared" si="24"/>
        <v>204.99166666666662</v>
      </c>
      <c r="N225" s="7">
        <f t="shared" si="24"/>
        <v>204.99166666666662</v>
      </c>
      <c r="O225" s="7">
        <f t="shared" si="24"/>
        <v>204.99166666666662</v>
      </c>
      <c r="P225" s="8">
        <f t="shared" si="21"/>
        <v>2459.8999999999996</v>
      </c>
    </row>
    <row r="226" spans="1:16" x14ac:dyDescent="0.3">
      <c r="A226" s="2" t="s">
        <v>74</v>
      </c>
      <c r="B226" s="2" t="s">
        <v>49</v>
      </c>
      <c r="C226" s="2" t="s">
        <v>35</v>
      </c>
      <c r="D226" s="7">
        <f t="shared" ref="D226:O226" si="25">D157+D180</f>
        <v>222.80833333333328</v>
      </c>
      <c r="E226" s="7">
        <f t="shared" si="25"/>
        <v>222.80833333333328</v>
      </c>
      <c r="F226" s="7">
        <f t="shared" si="25"/>
        <v>222.80833333333328</v>
      </c>
      <c r="G226" s="7">
        <f t="shared" si="25"/>
        <v>222.80833333333328</v>
      </c>
      <c r="H226" s="7">
        <f t="shared" si="25"/>
        <v>222.80833333333328</v>
      </c>
      <c r="I226" s="7">
        <f t="shared" si="25"/>
        <v>222.80833333333328</v>
      </c>
      <c r="J226" s="7">
        <f t="shared" si="25"/>
        <v>222.80833333333328</v>
      </c>
      <c r="K226" s="7">
        <f t="shared" si="25"/>
        <v>222.80833333333328</v>
      </c>
      <c r="L226" s="7">
        <f t="shared" si="25"/>
        <v>222.80833333333328</v>
      </c>
      <c r="M226" s="7">
        <f t="shared" si="25"/>
        <v>222.80833333333328</v>
      </c>
      <c r="N226" s="7">
        <f t="shared" si="25"/>
        <v>222.80833333333328</v>
      </c>
      <c r="O226" s="7">
        <f t="shared" si="25"/>
        <v>222.80833333333328</v>
      </c>
      <c r="P226" s="8">
        <f t="shared" si="21"/>
        <v>2673.7000000000003</v>
      </c>
    </row>
    <row r="227" spans="1:16" x14ac:dyDescent="0.3">
      <c r="A227" s="2" t="s">
        <v>74</v>
      </c>
      <c r="B227" s="2" t="s">
        <v>49</v>
      </c>
      <c r="C227" s="2" t="s">
        <v>36</v>
      </c>
      <c r="D227" s="7">
        <f t="shared" ref="D227:O227" si="26">D158+D181</f>
        <v>186.70833333333331</v>
      </c>
      <c r="E227" s="7">
        <f t="shared" si="26"/>
        <v>186.70833333333331</v>
      </c>
      <c r="F227" s="7">
        <f t="shared" si="26"/>
        <v>186.70833333333331</v>
      </c>
      <c r="G227" s="7">
        <f t="shared" si="26"/>
        <v>186.70833333333331</v>
      </c>
      <c r="H227" s="7">
        <f t="shared" si="26"/>
        <v>186.70833333333331</v>
      </c>
      <c r="I227" s="7">
        <f t="shared" si="26"/>
        <v>186.70833333333331</v>
      </c>
      <c r="J227" s="7">
        <f t="shared" si="26"/>
        <v>186.70833333333331</v>
      </c>
      <c r="K227" s="7">
        <f t="shared" si="26"/>
        <v>186.70833333333331</v>
      </c>
      <c r="L227" s="7">
        <f t="shared" si="26"/>
        <v>186.70833333333331</v>
      </c>
      <c r="M227" s="7">
        <f t="shared" si="26"/>
        <v>186.70833333333331</v>
      </c>
      <c r="N227" s="7">
        <f t="shared" si="26"/>
        <v>186.70833333333331</v>
      </c>
      <c r="O227" s="7">
        <f t="shared" si="26"/>
        <v>186.70833333333331</v>
      </c>
      <c r="P227" s="8">
        <f t="shared" si="21"/>
        <v>2240.4999999999995</v>
      </c>
    </row>
    <row r="228" spans="1:16" x14ac:dyDescent="0.3">
      <c r="A228" s="2" t="s">
        <v>74</v>
      </c>
      <c r="B228" s="2" t="s">
        <v>49</v>
      </c>
      <c r="C228" s="2" t="s">
        <v>37</v>
      </c>
      <c r="D228" s="7">
        <f t="shared" ref="D228:O228" si="27">D159+D182</f>
        <v>191.91666666666669</v>
      </c>
      <c r="E228" s="7">
        <f t="shared" si="27"/>
        <v>191.91666666666669</v>
      </c>
      <c r="F228" s="7">
        <f t="shared" si="27"/>
        <v>191.91666666666669</v>
      </c>
      <c r="G228" s="7">
        <f t="shared" si="27"/>
        <v>191.91666666666669</v>
      </c>
      <c r="H228" s="7">
        <f t="shared" si="27"/>
        <v>191.91666666666669</v>
      </c>
      <c r="I228" s="7">
        <f t="shared" si="27"/>
        <v>191.91666666666669</v>
      </c>
      <c r="J228" s="7">
        <f t="shared" si="27"/>
        <v>191.91666666666669</v>
      </c>
      <c r="K228" s="7">
        <f t="shared" si="27"/>
        <v>191.91666666666669</v>
      </c>
      <c r="L228" s="7">
        <f t="shared" si="27"/>
        <v>191.91666666666669</v>
      </c>
      <c r="M228" s="7">
        <f t="shared" si="27"/>
        <v>191.91666666666669</v>
      </c>
      <c r="N228" s="7">
        <f t="shared" si="27"/>
        <v>191.91666666666669</v>
      </c>
      <c r="O228" s="7">
        <f t="shared" si="27"/>
        <v>191.91666666666669</v>
      </c>
      <c r="P228" s="8">
        <f t="shared" si="21"/>
        <v>2303.0000000000005</v>
      </c>
    </row>
    <row r="229" spans="1:16" x14ac:dyDescent="0.3">
      <c r="A229" s="2" t="s">
        <v>74</v>
      </c>
      <c r="B229" s="2" t="s">
        <v>49</v>
      </c>
      <c r="C229" s="2" t="s">
        <v>38</v>
      </c>
      <c r="D229" s="7">
        <f t="shared" ref="D229:O229" si="28">D160+D183</f>
        <v>207.05</v>
      </c>
      <c r="E229" s="7">
        <f t="shared" si="28"/>
        <v>207.05</v>
      </c>
      <c r="F229" s="7">
        <f t="shared" si="28"/>
        <v>207.05</v>
      </c>
      <c r="G229" s="7">
        <f t="shared" si="28"/>
        <v>207.05</v>
      </c>
      <c r="H229" s="7">
        <f t="shared" si="28"/>
        <v>207.05</v>
      </c>
      <c r="I229" s="7">
        <f t="shared" si="28"/>
        <v>207.05</v>
      </c>
      <c r="J229" s="7">
        <f t="shared" si="28"/>
        <v>207.05</v>
      </c>
      <c r="K229" s="7">
        <f t="shared" si="28"/>
        <v>207.05</v>
      </c>
      <c r="L229" s="7">
        <f t="shared" si="28"/>
        <v>207.05</v>
      </c>
      <c r="M229" s="7">
        <f t="shared" si="28"/>
        <v>207.05</v>
      </c>
      <c r="N229" s="7">
        <f t="shared" si="28"/>
        <v>207.05</v>
      </c>
      <c r="O229" s="7">
        <f t="shared" si="28"/>
        <v>207.05</v>
      </c>
      <c r="P229" s="8">
        <f t="shared" si="21"/>
        <v>2484.6000000000004</v>
      </c>
    </row>
    <row r="230" spans="1:16" x14ac:dyDescent="0.3">
      <c r="A230" s="2" t="s">
        <v>74</v>
      </c>
      <c r="B230" s="2" t="s">
        <v>49</v>
      </c>
      <c r="C230" s="2" t="s">
        <v>39</v>
      </c>
      <c r="D230" s="7">
        <f t="shared" ref="D230:O230" si="29">D161+D184</f>
        <v>163</v>
      </c>
      <c r="E230" s="7">
        <f t="shared" si="29"/>
        <v>163</v>
      </c>
      <c r="F230" s="7">
        <f t="shared" si="29"/>
        <v>163</v>
      </c>
      <c r="G230" s="7">
        <f t="shared" si="29"/>
        <v>163</v>
      </c>
      <c r="H230" s="7">
        <f t="shared" si="29"/>
        <v>163</v>
      </c>
      <c r="I230" s="7">
        <f t="shared" si="29"/>
        <v>163</v>
      </c>
      <c r="J230" s="7">
        <f t="shared" si="29"/>
        <v>163</v>
      </c>
      <c r="K230" s="7">
        <f t="shared" si="29"/>
        <v>163</v>
      </c>
      <c r="L230" s="7">
        <f t="shared" si="29"/>
        <v>163</v>
      </c>
      <c r="M230" s="7">
        <f t="shared" si="29"/>
        <v>163</v>
      </c>
      <c r="N230" s="7">
        <f t="shared" si="29"/>
        <v>163</v>
      </c>
      <c r="O230" s="7">
        <f t="shared" si="29"/>
        <v>163</v>
      </c>
      <c r="P230" s="8">
        <f t="shared" si="21"/>
        <v>1956</v>
      </c>
    </row>
    <row r="231" spans="1:16" x14ac:dyDescent="0.3">
      <c r="A231" s="2" t="s">
        <v>74</v>
      </c>
      <c r="B231" s="2" t="s">
        <v>49</v>
      </c>
      <c r="C231" s="2" t="s">
        <v>40</v>
      </c>
      <c r="D231" s="7">
        <f t="shared" ref="D231:O231" si="30">D162+D185</f>
        <v>193</v>
      </c>
      <c r="E231" s="7">
        <f t="shared" si="30"/>
        <v>193</v>
      </c>
      <c r="F231" s="7">
        <f t="shared" si="30"/>
        <v>193</v>
      </c>
      <c r="G231" s="7">
        <f t="shared" si="30"/>
        <v>193</v>
      </c>
      <c r="H231" s="7">
        <f t="shared" si="30"/>
        <v>193</v>
      </c>
      <c r="I231" s="7">
        <f t="shared" si="30"/>
        <v>193</v>
      </c>
      <c r="J231" s="7">
        <f t="shared" si="30"/>
        <v>193</v>
      </c>
      <c r="K231" s="7">
        <f t="shared" si="30"/>
        <v>193</v>
      </c>
      <c r="L231" s="7">
        <f t="shared" si="30"/>
        <v>193</v>
      </c>
      <c r="M231" s="7">
        <f t="shared" si="30"/>
        <v>193</v>
      </c>
      <c r="N231" s="7">
        <f t="shared" si="30"/>
        <v>193</v>
      </c>
      <c r="O231" s="7">
        <f t="shared" si="30"/>
        <v>193</v>
      </c>
      <c r="P231" s="8">
        <f t="shared" si="21"/>
        <v>2316</v>
      </c>
    </row>
    <row r="232" spans="1:16" x14ac:dyDescent="0.3">
      <c r="A232" s="2" t="s">
        <v>74</v>
      </c>
      <c r="B232" s="2" t="s">
        <v>50</v>
      </c>
      <c r="C232" s="2" t="s">
        <v>18</v>
      </c>
      <c r="D232" s="7">
        <v>8.8184999999999345</v>
      </c>
      <c r="E232" s="7">
        <v>8.8184999999999345</v>
      </c>
      <c r="F232" s="7">
        <v>8.8184999999999345</v>
      </c>
      <c r="G232" s="7">
        <v>8.8184999999999345</v>
      </c>
      <c r="H232" s="7">
        <v>8.8184999999999345</v>
      </c>
      <c r="I232" s="7">
        <v>8.8184999999999345</v>
      </c>
      <c r="J232" s="7">
        <v>8.8184999999999345</v>
      </c>
      <c r="K232" s="7">
        <v>8.8184999999999345</v>
      </c>
      <c r="L232" s="7">
        <v>8.8184999999999345</v>
      </c>
      <c r="M232" s="7">
        <v>8.8184999999999345</v>
      </c>
      <c r="N232" s="7">
        <v>8.8184999999999345</v>
      </c>
      <c r="O232" s="7">
        <v>8.8184999999999345</v>
      </c>
      <c r="P232" s="8">
        <f t="shared" si="21"/>
        <v>105.82199999999919</v>
      </c>
    </row>
    <row r="233" spans="1:16" x14ac:dyDescent="0.3">
      <c r="A233" s="2" t="s">
        <v>74</v>
      </c>
      <c r="B233" s="2" t="s">
        <v>50</v>
      </c>
      <c r="C233" s="2" t="s">
        <v>19</v>
      </c>
      <c r="D233" s="7">
        <v>10.585166666666741</v>
      </c>
      <c r="E233" s="7">
        <v>10.585166666666741</v>
      </c>
      <c r="F233" s="7">
        <v>10.585166666666741</v>
      </c>
      <c r="G233" s="7">
        <v>10.585166666666741</v>
      </c>
      <c r="H233" s="7">
        <v>10.585166666666741</v>
      </c>
      <c r="I233" s="7">
        <v>10.585166666666741</v>
      </c>
      <c r="J233" s="7">
        <v>10.585166666666741</v>
      </c>
      <c r="K233" s="7">
        <v>10.585166666666741</v>
      </c>
      <c r="L233" s="7">
        <v>10.585166666666741</v>
      </c>
      <c r="M233" s="7">
        <v>10.585166666666741</v>
      </c>
      <c r="N233" s="7">
        <v>10.585166666666741</v>
      </c>
      <c r="O233" s="7">
        <v>10.585166666666741</v>
      </c>
      <c r="P233" s="8">
        <f t="shared" si="21"/>
        <v>127.02200000000086</v>
      </c>
    </row>
    <row r="234" spans="1:16" x14ac:dyDescent="0.3">
      <c r="A234" s="2" t="s">
        <v>74</v>
      </c>
      <c r="B234" s="2" t="s">
        <v>50</v>
      </c>
      <c r="C234" s="2" t="s">
        <v>20</v>
      </c>
      <c r="D234" s="7">
        <v>10.009999999999989</v>
      </c>
      <c r="E234" s="7">
        <v>10.009999999999989</v>
      </c>
      <c r="F234" s="7">
        <v>10.009999999999989</v>
      </c>
      <c r="G234" s="7">
        <v>10.009999999999989</v>
      </c>
      <c r="H234" s="7">
        <v>10.009999999999989</v>
      </c>
      <c r="I234" s="7">
        <v>10.009999999999989</v>
      </c>
      <c r="J234" s="7">
        <v>10.009999999999989</v>
      </c>
      <c r="K234" s="7">
        <v>10.009999999999989</v>
      </c>
      <c r="L234" s="7">
        <v>10.009999999999989</v>
      </c>
      <c r="M234" s="7">
        <v>10.009999999999989</v>
      </c>
      <c r="N234" s="7">
        <v>10.009999999999989</v>
      </c>
      <c r="O234" s="7">
        <v>10.009999999999989</v>
      </c>
      <c r="P234" s="8">
        <f t="shared" si="21"/>
        <v>120.11999999999988</v>
      </c>
    </row>
    <row r="235" spans="1:16" x14ac:dyDescent="0.3">
      <c r="A235" s="2" t="s">
        <v>74</v>
      </c>
      <c r="B235" s="2" t="s">
        <v>50</v>
      </c>
      <c r="C235" s="2" t="s">
        <v>21</v>
      </c>
      <c r="D235" s="7">
        <v>10.3294999999999</v>
      </c>
      <c r="E235" s="7">
        <v>10.3294999999999</v>
      </c>
      <c r="F235" s="7">
        <v>10.3294999999999</v>
      </c>
      <c r="G235" s="7">
        <v>10.3294999999999</v>
      </c>
      <c r="H235" s="7">
        <v>10.3294999999999</v>
      </c>
      <c r="I235" s="7">
        <v>10.3294999999999</v>
      </c>
      <c r="J235" s="7">
        <v>10.3294999999999</v>
      </c>
      <c r="K235" s="7">
        <v>10.3294999999999</v>
      </c>
      <c r="L235" s="7">
        <v>10.3294999999999</v>
      </c>
      <c r="M235" s="7">
        <v>10.3294999999999</v>
      </c>
      <c r="N235" s="7">
        <v>10.3294999999999</v>
      </c>
      <c r="O235" s="7">
        <v>10.3294999999999</v>
      </c>
      <c r="P235" s="8">
        <f t="shared" si="21"/>
        <v>123.95399999999877</v>
      </c>
    </row>
    <row r="236" spans="1:16" x14ac:dyDescent="0.3">
      <c r="A236" s="2" t="s">
        <v>74</v>
      </c>
      <c r="B236" s="2" t="s">
        <v>50</v>
      </c>
      <c r="C236" s="2" t="s">
        <v>22</v>
      </c>
      <c r="D236" s="7">
        <v>9.6861666666667006</v>
      </c>
      <c r="E236" s="7">
        <v>9.6861666666667006</v>
      </c>
      <c r="F236" s="7">
        <v>9.6861666666667006</v>
      </c>
      <c r="G236" s="7">
        <v>9.6861666666667006</v>
      </c>
      <c r="H236" s="7">
        <v>9.6861666666667006</v>
      </c>
      <c r="I236" s="7">
        <v>9.6861666666667006</v>
      </c>
      <c r="J236" s="7">
        <v>9.6861666666667006</v>
      </c>
      <c r="K236" s="7">
        <v>9.6861666666667006</v>
      </c>
      <c r="L236" s="7">
        <v>9.6861666666667006</v>
      </c>
      <c r="M236" s="7">
        <v>9.6861666666667006</v>
      </c>
      <c r="N236" s="7">
        <v>9.6861666666667006</v>
      </c>
      <c r="O236" s="7">
        <v>9.6861666666667006</v>
      </c>
      <c r="P236" s="8">
        <f t="shared" si="21"/>
        <v>116.23400000000044</v>
      </c>
    </row>
    <row r="237" spans="1:16" x14ac:dyDescent="0.3">
      <c r="A237" s="2" t="s">
        <v>74</v>
      </c>
      <c r="B237" s="2" t="s">
        <v>50</v>
      </c>
      <c r="C237" s="2" t="s">
        <v>23</v>
      </c>
      <c r="D237" s="7">
        <v>9.1383333333332448</v>
      </c>
      <c r="E237" s="7">
        <v>9.1383333333332448</v>
      </c>
      <c r="F237" s="7">
        <v>9.1383333333332448</v>
      </c>
      <c r="G237" s="7">
        <v>9.1383333333332448</v>
      </c>
      <c r="H237" s="7">
        <v>9.1383333333332448</v>
      </c>
      <c r="I237" s="7">
        <v>9.1383333333332448</v>
      </c>
      <c r="J237" s="7">
        <v>9.1383333333332448</v>
      </c>
      <c r="K237" s="7">
        <v>9.1383333333332448</v>
      </c>
      <c r="L237" s="7">
        <v>9.1383333333332448</v>
      </c>
      <c r="M237" s="7">
        <v>9.1383333333332448</v>
      </c>
      <c r="N237" s="7">
        <v>9.1383333333332448</v>
      </c>
      <c r="O237" s="7">
        <v>9.1383333333332448</v>
      </c>
      <c r="P237" s="8">
        <f t="shared" si="21"/>
        <v>109.65999999999896</v>
      </c>
    </row>
    <row r="238" spans="1:16" x14ac:dyDescent="0.3">
      <c r="A238" s="2" t="s">
        <v>74</v>
      </c>
      <c r="B238" s="2" t="s">
        <v>50</v>
      </c>
      <c r="C238" s="2" t="s">
        <v>24</v>
      </c>
      <c r="D238" s="7">
        <v>3.464833333333293</v>
      </c>
      <c r="E238" s="7">
        <v>3.464833333333293</v>
      </c>
      <c r="F238" s="7">
        <v>3.464833333333293</v>
      </c>
      <c r="G238" s="7">
        <v>3.464833333333293</v>
      </c>
      <c r="H238" s="7">
        <v>3.464833333333293</v>
      </c>
      <c r="I238" s="7">
        <v>3.464833333333293</v>
      </c>
      <c r="J238" s="7">
        <v>3.464833333333293</v>
      </c>
      <c r="K238" s="7">
        <v>3.464833333333293</v>
      </c>
      <c r="L238" s="7">
        <v>3.464833333333293</v>
      </c>
      <c r="M238" s="7">
        <v>3.464833333333293</v>
      </c>
      <c r="N238" s="7">
        <v>3.464833333333293</v>
      </c>
      <c r="O238" s="7">
        <v>3.464833333333293</v>
      </c>
      <c r="P238" s="8">
        <f t="shared" si="21"/>
        <v>41.57799999999952</v>
      </c>
    </row>
    <row r="239" spans="1:16" x14ac:dyDescent="0.3">
      <c r="A239" s="2" t="s">
        <v>74</v>
      </c>
      <c r="B239" s="2" t="s">
        <v>50</v>
      </c>
      <c r="C239" s="2" t="s">
        <v>25</v>
      </c>
      <c r="D239" s="7">
        <v>-4.3008333333333439</v>
      </c>
      <c r="E239" s="7">
        <v>-4.3008333333333439</v>
      </c>
      <c r="F239" s="7">
        <v>-4.3008333333333439</v>
      </c>
      <c r="G239" s="7">
        <v>-4.3008333333333439</v>
      </c>
      <c r="H239" s="7">
        <v>-4.3008333333333439</v>
      </c>
      <c r="I239" s="7">
        <v>-4.3008333333333439</v>
      </c>
      <c r="J239" s="7">
        <v>-4.3008333333333439</v>
      </c>
      <c r="K239" s="7">
        <v>-4.3008333333333439</v>
      </c>
      <c r="L239" s="7">
        <v>-4.3008333333333439</v>
      </c>
      <c r="M239" s="7">
        <v>-4.3008333333333439</v>
      </c>
      <c r="N239" s="7">
        <v>-4.3008333333333439</v>
      </c>
      <c r="O239" s="7">
        <v>-4.3008333333333439</v>
      </c>
      <c r="P239" s="8">
        <f t="shared" si="21"/>
        <v>-51.610000000000127</v>
      </c>
    </row>
    <row r="240" spans="1:16" x14ac:dyDescent="0.3">
      <c r="A240" s="2" t="s">
        <v>74</v>
      </c>
      <c r="B240" s="2" t="s">
        <v>50</v>
      </c>
      <c r="C240" s="2" t="s">
        <v>26</v>
      </c>
      <c r="D240" s="7">
        <v>1.1570000000000009</v>
      </c>
      <c r="E240" s="7">
        <v>1.1570000000000009</v>
      </c>
      <c r="F240" s="7">
        <v>1.1570000000000009</v>
      </c>
      <c r="G240" s="7">
        <v>1.1570000000000009</v>
      </c>
      <c r="H240" s="7">
        <v>1.1570000000000009</v>
      </c>
      <c r="I240" s="7">
        <v>1.1570000000000009</v>
      </c>
      <c r="J240" s="7">
        <v>1.1570000000000009</v>
      </c>
      <c r="K240" s="7">
        <v>1.1570000000000009</v>
      </c>
      <c r="L240" s="7">
        <v>1.1570000000000009</v>
      </c>
      <c r="M240" s="7">
        <v>1.1570000000000009</v>
      </c>
      <c r="N240" s="7">
        <v>1.1570000000000009</v>
      </c>
      <c r="O240" s="7">
        <v>1.1570000000000009</v>
      </c>
      <c r="P240" s="8">
        <f t="shared" si="21"/>
        <v>13.884000000000007</v>
      </c>
    </row>
    <row r="241" spans="1:16" x14ac:dyDescent="0.3">
      <c r="A241" s="2" t="s">
        <v>74</v>
      </c>
      <c r="B241" s="2" t="s">
        <v>50</v>
      </c>
      <c r="C241" s="2" t="s">
        <v>27</v>
      </c>
      <c r="D241" s="7">
        <v>-1.545916666666685</v>
      </c>
      <c r="E241" s="7">
        <v>-1.545916666666685</v>
      </c>
      <c r="F241" s="7">
        <v>-1.545916666666685</v>
      </c>
      <c r="G241" s="7">
        <v>-1.545916666666685</v>
      </c>
      <c r="H241" s="7">
        <v>-1.545916666666685</v>
      </c>
      <c r="I241" s="7">
        <v>-1.545916666666685</v>
      </c>
      <c r="J241" s="7">
        <v>-1.545916666666685</v>
      </c>
      <c r="K241" s="7">
        <v>-1.545916666666685</v>
      </c>
      <c r="L241" s="7">
        <v>-1.545916666666685</v>
      </c>
      <c r="M241" s="7">
        <v>-1.545916666666685</v>
      </c>
      <c r="N241" s="7">
        <v>-1.545916666666685</v>
      </c>
      <c r="O241" s="7">
        <v>-1.545916666666685</v>
      </c>
      <c r="P241" s="8">
        <f t="shared" si="21"/>
        <v>-18.551000000000219</v>
      </c>
    </row>
    <row r="242" spans="1:16" x14ac:dyDescent="0.3">
      <c r="A242" s="2" t="s">
        <v>74</v>
      </c>
      <c r="B242" s="2" t="s">
        <v>50</v>
      </c>
      <c r="C242" s="2" t="s">
        <v>28</v>
      </c>
      <c r="D242" s="7">
        <v>4.3490000000001601</v>
      </c>
      <c r="E242" s="7">
        <v>4.3490000000001601</v>
      </c>
      <c r="F242" s="7">
        <v>4.3490000000001601</v>
      </c>
      <c r="G242" s="7">
        <v>4.3490000000001601</v>
      </c>
      <c r="H242" s="7">
        <v>4.3490000000001601</v>
      </c>
      <c r="I242" s="7">
        <v>4.3490000000001601</v>
      </c>
      <c r="J242" s="7">
        <v>4.3490000000001601</v>
      </c>
      <c r="K242" s="7">
        <v>4.3490000000001601</v>
      </c>
      <c r="L242" s="7">
        <v>4.3490000000001601</v>
      </c>
      <c r="M242" s="7">
        <v>4.3490000000001601</v>
      </c>
      <c r="N242" s="7">
        <v>4.3490000000001601</v>
      </c>
      <c r="O242" s="7">
        <v>4.3490000000001601</v>
      </c>
      <c r="P242" s="8">
        <f t="shared" si="21"/>
        <v>52.188000000001921</v>
      </c>
    </row>
    <row r="243" spans="1:16" x14ac:dyDescent="0.3">
      <c r="A243" s="2" t="s">
        <v>74</v>
      </c>
      <c r="B243" s="2" t="s">
        <v>50</v>
      </c>
      <c r="C243" s="2" t="s">
        <v>29</v>
      </c>
      <c r="D243" s="7">
        <v>17.682750000000031</v>
      </c>
      <c r="E243" s="7">
        <v>17.682750000000031</v>
      </c>
      <c r="F243" s="7">
        <v>17.682750000000031</v>
      </c>
      <c r="G243" s="7">
        <v>17.682750000000031</v>
      </c>
      <c r="H243" s="7">
        <v>17.682750000000031</v>
      </c>
      <c r="I243" s="7">
        <v>17.682750000000031</v>
      </c>
      <c r="J243" s="7">
        <v>17.682750000000031</v>
      </c>
      <c r="K243" s="7">
        <v>17.682750000000031</v>
      </c>
      <c r="L243" s="7">
        <v>17.682750000000031</v>
      </c>
      <c r="M243" s="7">
        <v>17.682750000000031</v>
      </c>
      <c r="N243" s="7">
        <v>17.682750000000031</v>
      </c>
      <c r="O243" s="7">
        <v>17.682750000000031</v>
      </c>
      <c r="P243" s="8">
        <f t="shared" si="21"/>
        <v>212.19300000000035</v>
      </c>
    </row>
    <row r="244" spans="1:16" x14ac:dyDescent="0.3">
      <c r="A244" s="2" t="s">
        <v>74</v>
      </c>
      <c r="B244" s="2" t="s">
        <v>50</v>
      </c>
      <c r="C244" s="2" t="s">
        <v>30</v>
      </c>
      <c r="D244" s="7">
        <v>9.7566666666666126</v>
      </c>
      <c r="E244" s="7">
        <v>9.7566666666666126</v>
      </c>
      <c r="F244" s="7">
        <v>9.7566666666666126</v>
      </c>
      <c r="G244" s="7">
        <v>9.7566666666666126</v>
      </c>
      <c r="H244" s="7">
        <v>9.7566666666666126</v>
      </c>
      <c r="I244" s="7">
        <v>9.7566666666666126</v>
      </c>
      <c r="J244" s="7">
        <v>9.7566666666666126</v>
      </c>
      <c r="K244" s="7">
        <v>9.7566666666666126</v>
      </c>
      <c r="L244" s="7">
        <v>9.7566666666666126</v>
      </c>
      <c r="M244" s="7">
        <v>9.7566666666666126</v>
      </c>
      <c r="N244" s="7">
        <v>9.7566666666666126</v>
      </c>
      <c r="O244" s="7">
        <v>9.7566666666666126</v>
      </c>
      <c r="P244" s="8">
        <f t="shared" si="21"/>
        <v>117.07999999999937</v>
      </c>
    </row>
    <row r="245" spans="1:16" x14ac:dyDescent="0.3">
      <c r="A245" s="2" t="s">
        <v>74</v>
      </c>
      <c r="B245" s="2" t="s">
        <v>50</v>
      </c>
      <c r="C245" s="2" t="s">
        <v>31</v>
      </c>
      <c r="D245" s="7">
        <v>10.239000000000139</v>
      </c>
      <c r="E245" s="7">
        <v>10.239000000000139</v>
      </c>
      <c r="F245" s="7">
        <v>10.239000000000139</v>
      </c>
      <c r="G245" s="7">
        <v>10.239000000000139</v>
      </c>
      <c r="H245" s="7">
        <v>10.239000000000139</v>
      </c>
      <c r="I245" s="7">
        <v>10.239000000000139</v>
      </c>
      <c r="J245" s="7">
        <v>10.239000000000139</v>
      </c>
      <c r="K245" s="7">
        <v>10.239000000000139</v>
      </c>
      <c r="L245" s="7">
        <v>10.239000000000139</v>
      </c>
      <c r="M245" s="7">
        <v>10.239000000000139</v>
      </c>
      <c r="N245" s="7">
        <v>10.239000000000139</v>
      </c>
      <c r="O245" s="7">
        <v>10.239000000000139</v>
      </c>
      <c r="P245" s="8">
        <f t="shared" si="21"/>
        <v>122.8680000000017</v>
      </c>
    </row>
    <row r="246" spans="1:16" x14ac:dyDescent="0.3">
      <c r="A246" s="2" t="s">
        <v>74</v>
      </c>
      <c r="B246" s="2" t="s">
        <v>50</v>
      </c>
      <c r="C246" s="2" t="s">
        <v>32</v>
      </c>
      <c r="D246" s="7">
        <v>21.044833333333301</v>
      </c>
      <c r="E246" s="7">
        <v>21.044833333333301</v>
      </c>
      <c r="F246" s="7">
        <v>21.044833333333301</v>
      </c>
      <c r="G246" s="7">
        <v>21.044833333333301</v>
      </c>
      <c r="H246" s="7">
        <v>21.044833333333301</v>
      </c>
      <c r="I246" s="7">
        <v>21.044833333333301</v>
      </c>
      <c r="J246" s="7">
        <v>21.044833333333301</v>
      </c>
      <c r="K246" s="7">
        <v>21.044833333333301</v>
      </c>
      <c r="L246" s="7">
        <v>21.044833333333301</v>
      </c>
      <c r="M246" s="7">
        <v>21.044833333333301</v>
      </c>
      <c r="N246" s="7">
        <v>21.044833333333301</v>
      </c>
      <c r="O246" s="7">
        <v>21.044833333333301</v>
      </c>
      <c r="P246" s="8">
        <f t="shared" si="21"/>
        <v>252.53799999999967</v>
      </c>
    </row>
    <row r="247" spans="1:16" x14ac:dyDescent="0.3">
      <c r="A247" s="2" t="s">
        <v>74</v>
      </c>
      <c r="B247" s="2" t="s">
        <v>50</v>
      </c>
      <c r="C247" s="2" t="s">
        <v>33</v>
      </c>
      <c r="D247" s="7">
        <v>20.278416666666491</v>
      </c>
      <c r="E247" s="7">
        <v>20.278416666666491</v>
      </c>
      <c r="F247" s="7">
        <v>20.278416666666491</v>
      </c>
      <c r="G247" s="7">
        <v>20.278416666666491</v>
      </c>
      <c r="H247" s="7">
        <v>20.278416666666491</v>
      </c>
      <c r="I247" s="7">
        <v>20.278416666666491</v>
      </c>
      <c r="J247" s="7">
        <v>20.278416666666491</v>
      </c>
      <c r="K247" s="7">
        <v>20.278416666666491</v>
      </c>
      <c r="L247" s="7">
        <v>20.278416666666491</v>
      </c>
      <c r="M247" s="7">
        <v>20.278416666666491</v>
      </c>
      <c r="N247" s="7">
        <v>20.278416666666491</v>
      </c>
      <c r="O247" s="7">
        <v>20.278416666666491</v>
      </c>
      <c r="P247" s="8">
        <f t="shared" si="21"/>
        <v>243.34099999999788</v>
      </c>
    </row>
    <row r="248" spans="1:16" x14ac:dyDescent="0.3">
      <c r="A248" s="2" t="s">
        <v>74</v>
      </c>
      <c r="B248" s="2" t="s">
        <v>50</v>
      </c>
      <c r="C248" s="2" t="s">
        <v>34</v>
      </c>
      <c r="D248" s="7">
        <v>33.63183333333361</v>
      </c>
      <c r="E248" s="7">
        <v>33.63183333333361</v>
      </c>
      <c r="F248" s="7">
        <v>33.63183333333361</v>
      </c>
      <c r="G248" s="7">
        <v>33.63183333333361</v>
      </c>
      <c r="H248" s="7">
        <v>33.63183333333361</v>
      </c>
      <c r="I248" s="7">
        <v>33.63183333333361</v>
      </c>
      <c r="J248" s="7">
        <v>33.63183333333361</v>
      </c>
      <c r="K248" s="7">
        <v>33.63183333333361</v>
      </c>
      <c r="L248" s="7">
        <v>33.63183333333361</v>
      </c>
      <c r="M248" s="7">
        <v>33.63183333333361</v>
      </c>
      <c r="N248" s="7">
        <v>33.63183333333361</v>
      </c>
      <c r="O248" s="7">
        <v>33.63183333333361</v>
      </c>
      <c r="P248" s="8">
        <f t="shared" si="21"/>
        <v>403.58200000000323</v>
      </c>
    </row>
    <row r="249" spans="1:16" x14ac:dyDescent="0.3">
      <c r="A249" s="2" t="s">
        <v>74</v>
      </c>
      <c r="B249" s="2" t="s">
        <v>50</v>
      </c>
      <c r="C249" s="2" t="s">
        <v>35</v>
      </c>
      <c r="D249" s="7">
        <v>17.119666666666902</v>
      </c>
      <c r="E249" s="7">
        <v>17.119666666666902</v>
      </c>
      <c r="F249" s="7">
        <v>17.119666666666902</v>
      </c>
      <c r="G249" s="7">
        <v>17.119666666666902</v>
      </c>
      <c r="H249" s="7">
        <v>17.119666666666902</v>
      </c>
      <c r="I249" s="7">
        <v>17.119666666666902</v>
      </c>
      <c r="J249" s="7">
        <v>17.119666666666902</v>
      </c>
      <c r="K249" s="7">
        <v>17.119666666666902</v>
      </c>
      <c r="L249" s="7">
        <v>17.119666666666902</v>
      </c>
      <c r="M249" s="7">
        <v>17.119666666666902</v>
      </c>
      <c r="N249" s="7">
        <v>17.119666666666902</v>
      </c>
      <c r="O249" s="7">
        <v>17.119666666666902</v>
      </c>
      <c r="P249" s="8">
        <f t="shared" si="21"/>
        <v>205.43600000000276</v>
      </c>
    </row>
    <row r="250" spans="1:16" x14ac:dyDescent="0.3">
      <c r="A250" s="2" t="s">
        <v>74</v>
      </c>
      <c r="B250" s="2" t="s">
        <v>50</v>
      </c>
      <c r="C250" s="2" t="s">
        <v>36</v>
      </c>
      <c r="D250" s="7">
        <v>37.238583333333366</v>
      </c>
      <c r="E250" s="7">
        <v>37.238583333333366</v>
      </c>
      <c r="F250" s="7">
        <v>37.238583333333366</v>
      </c>
      <c r="G250" s="7">
        <v>37.238583333333366</v>
      </c>
      <c r="H250" s="7">
        <v>37.238583333333366</v>
      </c>
      <c r="I250" s="7">
        <v>37.238583333333366</v>
      </c>
      <c r="J250" s="7">
        <v>37.238583333333366</v>
      </c>
      <c r="K250" s="7">
        <v>37.238583333333366</v>
      </c>
      <c r="L250" s="7">
        <v>37.238583333333366</v>
      </c>
      <c r="M250" s="7">
        <v>37.238583333333366</v>
      </c>
      <c r="N250" s="7">
        <v>37.238583333333366</v>
      </c>
      <c r="O250" s="7">
        <v>37.238583333333366</v>
      </c>
      <c r="P250" s="8">
        <f t="shared" si="21"/>
        <v>446.86300000000051</v>
      </c>
    </row>
    <row r="251" spans="1:16" x14ac:dyDescent="0.3">
      <c r="A251" s="2" t="s">
        <v>74</v>
      </c>
      <c r="B251" s="2" t="s">
        <v>50</v>
      </c>
      <c r="C251" s="2" t="s">
        <v>37</v>
      </c>
      <c r="D251" s="7">
        <v>16.991333333333259</v>
      </c>
      <c r="E251" s="7">
        <v>16.991333333333259</v>
      </c>
      <c r="F251" s="7">
        <v>16.991333333333259</v>
      </c>
      <c r="G251" s="7">
        <v>16.991333333333259</v>
      </c>
      <c r="H251" s="7">
        <v>16.991333333333259</v>
      </c>
      <c r="I251" s="7">
        <v>16.991333333333259</v>
      </c>
      <c r="J251" s="7">
        <v>16.991333333333259</v>
      </c>
      <c r="K251" s="7">
        <v>16.991333333333259</v>
      </c>
      <c r="L251" s="7">
        <v>16.991333333333259</v>
      </c>
      <c r="M251" s="7">
        <v>16.991333333333259</v>
      </c>
      <c r="N251" s="7">
        <v>16.991333333333259</v>
      </c>
      <c r="O251" s="7">
        <v>16.991333333333259</v>
      </c>
      <c r="P251" s="8">
        <f t="shared" si="21"/>
        <v>203.89599999999916</v>
      </c>
    </row>
    <row r="252" spans="1:16" x14ac:dyDescent="0.3">
      <c r="A252" s="2" t="s">
        <v>74</v>
      </c>
      <c r="B252" s="2" t="s">
        <v>50</v>
      </c>
      <c r="C252" s="2" t="s">
        <v>38</v>
      </c>
      <c r="D252" s="7">
        <v>18.647833333333448</v>
      </c>
      <c r="E252" s="7">
        <v>18.647833333333448</v>
      </c>
      <c r="F252" s="7">
        <v>18.647833333333448</v>
      </c>
      <c r="G252" s="7">
        <v>18.647833333333448</v>
      </c>
      <c r="H252" s="7">
        <v>18.647833333333448</v>
      </c>
      <c r="I252" s="7">
        <v>18.647833333333448</v>
      </c>
      <c r="J252" s="7">
        <v>18.647833333333448</v>
      </c>
      <c r="K252" s="7">
        <v>18.647833333333448</v>
      </c>
      <c r="L252" s="7">
        <v>18.647833333333448</v>
      </c>
      <c r="M252" s="7">
        <v>18.647833333333448</v>
      </c>
      <c r="N252" s="7">
        <v>18.647833333333448</v>
      </c>
      <c r="O252" s="7">
        <v>18.647833333333448</v>
      </c>
      <c r="P252" s="8">
        <f t="shared" si="21"/>
        <v>223.77400000000134</v>
      </c>
    </row>
    <row r="253" spans="1:16" x14ac:dyDescent="0.3">
      <c r="A253" s="2" t="s">
        <v>74</v>
      </c>
      <c r="B253" s="2" t="s">
        <v>50</v>
      </c>
      <c r="C253" s="2" t="s">
        <v>39</v>
      </c>
      <c r="D253" s="7">
        <v>18.473500000000101</v>
      </c>
      <c r="E253" s="7">
        <v>18.473500000000101</v>
      </c>
      <c r="F253" s="7">
        <v>18.473500000000101</v>
      </c>
      <c r="G253" s="7">
        <v>18.473500000000101</v>
      </c>
      <c r="H253" s="7">
        <v>18.473500000000101</v>
      </c>
      <c r="I253" s="7">
        <v>18.473500000000101</v>
      </c>
      <c r="J253" s="7">
        <v>18.473500000000101</v>
      </c>
      <c r="K253" s="7">
        <v>18.473500000000101</v>
      </c>
      <c r="L253" s="7">
        <v>18.473500000000101</v>
      </c>
      <c r="M253" s="7">
        <v>18.473500000000101</v>
      </c>
      <c r="N253" s="7">
        <v>18.473500000000101</v>
      </c>
      <c r="O253" s="7">
        <v>18.473500000000101</v>
      </c>
      <c r="P253" s="8">
        <f t="shared" si="21"/>
        <v>221.68200000000127</v>
      </c>
    </row>
    <row r="254" spans="1:16" x14ac:dyDescent="0.3">
      <c r="A254" s="2" t="s">
        <v>74</v>
      </c>
      <c r="B254" s="2" t="s">
        <v>50</v>
      </c>
      <c r="C254" s="2" t="s">
        <v>40</v>
      </c>
      <c r="D254" s="7">
        <v>20.163250000000041</v>
      </c>
      <c r="E254" s="7">
        <v>20.163250000000041</v>
      </c>
      <c r="F254" s="7">
        <v>20.163250000000041</v>
      </c>
      <c r="G254" s="7">
        <v>20.163250000000041</v>
      </c>
      <c r="H254" s="7">
        <v>20.163250000000041</v>
      </c>
      <c r="I254" s="7">
        <v>20.163250000000041</v>
      </c>
      <c r="J254" s="7">
        <v>20.163250000000041</v>
      </c>
      <c r="K254" s="7">
        <v>20.163250000000041</v>
      </c>
      <c r="L254" s="7">
        <v>20.163250000000041</v>
      </c>
      <c r="M254" s="7">
        <v>20.163250000000041</v>
      </c>
      <c r="N254" s="7">
        <v>20.163250000000041</v>
      </c>
      <c r="O254" s="7">
        <v>20.163250000000041</v>
      </c>
      <c r="P254" s="8">
        <f t="shared" ref="P254" si="31">SUM(D254:O254)</f>
        <v>241.95900000000043</v>
      </c>
    </row>
    <row r="255" spans="1:16" x14ac:dyDescent="0.3">
      <c r="A255" s="2" t="s">
        <v>74</v>
      </c>
      <c r="B255" s="2" t="s">
        <v>51</v>
      </c>
      <c r="C255" s="2" t="s">
        <v>18</v>
      </c>
      <c r="D255" s="7">
        <f>171.8+D71+D117-D94-D209-D232-D186</f>
        <v>2324.6428333333333</v>
      </c>
      <c r="E255" s="7">
        <f t="shared" ref="E255:O255" si="32">D255+E71+E117-E94-E209-E232-E186</f>
        <v>2085.0236666666665</v>
      </c>
      <c r="F255" s="7">
        <f t="shared" si="32"/>
        <v>1845.7905000000001</v>
      </c>
      <c r="G255" s="7">
        <f t="shared" si="32"/>
        <v>1550.9673333333337</v>
      </c>
      <c r="H255" s="7">
        <f t="shared" si="32"/>
        <v>1374.7541666666671</v>
      </c>
      <c r="I255" s="7">
        <f t="shared" si="32"/>
        <v>1189.3170000000005</v>
      </c>
      <c r="J255" s="7">
        <f t="shared" si="32"/>
        <v>1020.8538333333339</v>
      </c>
      <c r="K255" s="7">
        <f t="shared" si="32"/>
        <v>856.18466666666734</v>
      </c>
      <c r="L255" s="7">
        <f t="shared" si="32"/>
        <v>653.40750000000082</v>
      </c>
      <c r="M255" s="7">
        <f t="shared" si="32"/>
        <v>467.17033333333427</v>
      </c>
      <c r="N255" s="7">
        <f t="shared" si="32"/>
        <v>309.84316666666763</v>
      </c>
      <c r="O255" s="7">
        <f t="shared" si="32"/>
        <v>145.00000000000099</v>
      </c>
      <c r="P255" s="8">
        <f t="shared" ref="P255:P277" si="33">O255</f>
        <v>145.00000000000099</v>
      </c>
    </row>
    <row r="256" spans="1:16" x14ac:dyDescent="0.3">
      <c r="A256" s="2" t="s">
        <v>74</v>
      </c>
      <c r="B256" s="2" t="s">
        <v>51</v>
      </c>
      <c r="C256" s="2" t="s">
        <v>19</v>
      </c>
      <c r="D256" s="7">
        <f t="shared" ref="D256:D277" si="34">O255+D72+D118-D95-D210-D233-D187</f>
        <v>2279.1121666666677</v>
      </c>
      <c r="E256" s="7">
        <f t="shared" ref="E256:O256" si="35">D256+E72+E118-E95-E210-E233-E187</f>
        <v>2020.6343333333341</v>
      </c>
      <c r="F256" s="7">
        <f t="shared" si="35"/>
        <v>1642.5625000000009</v>
      </c>
      <c r="G256" s="7">
        <f t="shared" si="35"/>
        <v>1428.2206666666675</v>
      </c>
      <c r="H256" s="7">
        <f t="shared" si="35"/>
        <v>1285.2588333333342</v>
      </c>
      <c r="I256" s="7">
        <f t="shared" si="35"/>
        <v>1124.161000000001</v>
      </c>
      <c r="J256" s="7">
        <f t="shared" si="35"/>
        <v>992.40516666666758</v>
      </c>
      <c r="K256" s="7">
        <f t="shared" si="35"/>
        <v>850.68133333333424</v>
      </c>
      <c r="L256" s="7">
        <f t="shared" si="35"/>
        <v>650.24750000000085</v>
      </c>
      <c r="M256" s="7">
        <f t="shared" si="35"/>
        <v>504.03966666666747</v>
      </c>
      <c r="N256" s="7">
        <f t="shared" si="35"/>
        <v>319.27183333333403</v>
      </c>
      <c r="O256" s="7">
        <f t="shared" si="35"/>
        <v>140.00000000000063</v>
      </c>
      <c r="P256" s="8">
        <f t="shared" si="33"/>
        <v>140.00000000000063</v>
      </c>
    </row>
    <row r="257" spans="1:16" x14ac:dyDescent="0.3">
      <c r="A257" s="2" t="s">
        <v>74</v>
      </c>
      <c r="B257" s="2" t="s">
        <v>51</v>
      </c>
      <c r="C257" s="2" t="s">
        <v>20</v>
      </c>
      <c r="D257" s="7">
        <f t="shared" si="34"/>
        <v>3022.0416666666674</v>
      </c>
      <c r="E257" s="7">
        <f t="shared" ref="E257:O257" si="36">D257+E73+E119-E96-E211-E234-E188</f>
        <v>2693.1533333333341</v>
      </c>
      <c r="F257" s="7">
        <f t="shared" si="36"/>
        <v>2294.1930000000007</v>
      </c>
      <c r="G257" s="7">
        <f t="shared" si="36"/>
        <v>1968.482666666667</v>
      </c>
      <c r="H257" s="7">
        <f t="shared" si="36"/>
        <v>1793.6823333333334</v>
      </c>
      <c r="I257" s="7">
        <f t="shared" si="36"/>
        <v>1618.798</v>
      </c>
      <c r="J257" s="7">
        <f t="shared" si="36"/>
        <v>1397.8276666666668</v>
      </c>
      <c r="K257" s="7">
        <f t="shared" si="36"/>
        <v>1193.5253333333337</v>
      </c>
      <c r="L257" s="7">
        <f t="shared" si="36"/>
        <v>984.63500000000033</v>
      </c>
      <c r="M257" s="7">
        <f t="shared" si="36"/>
        <v>757.35466666666696</v>
      </c>
      <c r="N257" s="7">
        <f t="shared" si="36"/>
        <v>492.8523333333336</v>
      </c>
      <c r="O257" s="7">
        <f t="shared" si="36"/>
        <v>270.00000000000023</v>
      </c>
      <c r="P257" s="8">
        <f t="shared" si="33"/>
        <v>270.00000000000023</v>
      </c>
    </row>
    <row r="258" spans="1:16" x14ac:dyDescent="0.3">
      <c r="A258" s="2" t="s">
        <v>74</v>
      </c>
      <c r="B258" s="2" t="s">
        <v>51</v>
      </c>
      <c r="C258" s="2" t="s">
        <v>21</v>
      </c>
      <c r="D258" s="7">
        <f t="shared" si="34"/>
        <v>3212.4245000000001</v>
      </c>
      <c r="E258" s="7">
        <f t="shared" ref="E258:O258" si="37">D258+E74+E120-E97-E212-E235-E189</f>
        <v>2876.0110000000004</v>
      </c>
      <c r="F258" s="7">
        <f t="shared" si="37"/>
        <v>2516.665500000001</v>
      </c>
      <c r="G258" s="7">
        <f t="shared" si="37"/>
        <v>2227.4940000000006</v>
      </c>
      <c r="H258" s="7">
        <f t="shared" si="37"/>
        <v>2003.066500000001</v>
      </c>
      <c r="I258" s="7">
        <f t="shared" si="37"/>
        <v>1832.4650000000013</v>
      </c>
      <c r="J258" s="7">
        <f t="shared" si="37"/>
        <v>1630.9335000000015</v>
      </c>
      <c r="K258" s="7">
        <f t="shared" si="37"/>
        <v>1443.1980000000017</v>
      </c>
      <c r="L258" s="7">
        <f t="shared" si="37"/>
        <v>1196.1645000000019</v>
      </c>
      <c r="M258" s="7">
        <f t="shared" si="37"/>
        <v>998.52500000000202</v>
      </c>
      <c r="N258" s="7">
        <f t="shared" si="37"/>
        <v>700.77750000000208</v>
      </c>
      <c r="O258" s="7">
        <f t="shared" si="37"/>
        <v>495.00000000000222</v>
      </c>
      <c r="P258" s="8">
        <f t="shared" si="33"/>
        <v>495.00000000000222</v>
      </c>
    </row>
    <row r="259" spans="1:16" x14ac:dyDescent="0.3">
      <c r="A259" s="2" t="s">
        <v>74</v>
      </c>
      <c r="B259" s="2" t="s">
        <v>51</v>
      </c>
      <c r="C259" s="2" t="s">
        <v>22</v>
      </c>
      <c r="D259" s="7">
        <f t="shared" si="34"/>
        <v>3675.5665000000022</v>
      </c>
      <c r="E259" s="7">
        <f t="shared" ref="E259:O259" si="38">D259+E75+E121-E98-E213-E236-E190</f>
        <v>3425.3510000000019</v>
      </c>
      <c r="F259" s="7">
        <f t="shared" si="38"/>
        <v>2949.3635000000017</v>
      </c>
      <c r="G259" s="7">
        <f t="shared" si="38"/>
        <v>2563.2400000000021</v>
      </c>
      <c r="H259" s="7">
        <f t="shared" si="38"/>
        <v>2281.9605000000015</v>
      </c>
      <c r="I259" s="7">
        <f t="shared" si="38"/>
        <v>2076.7250000000008</v>
      </c>
      <c r="J259" s="7">
        <f t="shared" si="38"/>
        <v>1835.4675000000009</v>
      </c>
      <c r="K259" s="7">
        <f t="shared" si="38"/>
        <v>1571.2620000000009</v>
      </c>
      <c r="L259" s="7">
        <f t="shared" si="38"/>
        <v>1305.2445000000007</v>
      </c>
      <c r="M259" s="7">
        <f t="shared" si="38"/>
        <v>1023.7690000000006</v>
      </c>
      <c r="N259" s="7">
        <f t="shared" si="38"/>
        <v>734.29950000000053</v>
      </c>
      <c r="O259" s="7">
        <f t="shared" si="38"/>
        <v>470.00000000000051</v>
      </c>
      <c r="P259" s="8">
        <f t="shared" si="33"/>
        <v>470.00000000000051</v>
      </c>
    </row>
    <row r="260" spans="1:16" x14ac:dyDescent="0.3">
      <c r="A260" s="2" t="s">
        <v>74</v>
      </c>
      <c r="B260" s="2" t="s">
        <v>51</v>
      </c>
      <c r="C260" s="2" t="s">
        <v>23</v>
      </c>
      <c r="D260" s="7">
        <f t="shared" si="34"/>
        <v>2951.0279999999998</v>
      </c>
      <c r="E260" s="7">
        <f t="shared" ref="E260:O260" si="39">D260+E76+E122-E99-E214-E237-E191</f>
        <v>2486.2019999999993</v>
      </c>
      <c r="F260" s="7">
        <f t="shared" si="39"/>
        <v>1996.7679999999989</v>
      </c>
      <c r="G260" s="7">
        <f t="shared" si="39"/>
        <v>1700.8939999999989</v>
      </c>
      <c r="H260" s="7">
        <f t="shared" si="39"/>
        <v>1504.357999999999</v>
      </c>
      <c r="I260" s="7">
        <f t="shared" si="39"/>
        <v>1267.7119999999991</v>
      </c>
      <c r="J260" s="7">
        <f t="shared" si="39"/>
        <v>1058.3539999999991</v>
      </c>
      <c r="K260" s="7">
        <f t="shared" si="39"/>
        <v>881.48599999999908</v>
      </c>
      <c r="L260" s="7">
        <f t="shared" si="39"/>
        <v>672.84999999999911</v>
      </c>
      <c r="M260" s="7">
        <f t="shared" si="39"/>
        <v>464.31599999999912</v>
      </c>
      <c r="N260" s="7">
        <f t="shared" si="39"/>
        <v>284.92199999999912</v>
      </c>
      <c r="O260" s="7">
        <f t="shared" si="39"/>
        <v>115.99999999999919</v>
      </c>
      <c r="P260" s="8">
        <f t="shared" si="33"/>
        <v>115.99999999999919</v>
      </c>
    </row>
    <row r="261" spans="1:16" x14ac:dyDescent="0.3">
      <c r="A261" s="2" t="s">
        <v>74</v>
      </c>
      <c r="B261" s="2" t="s">
        <v>51</v>
      </c>
      <c r="C261" s="2" t="s">
        <v>24</v>
      </c>
      <c r="D261" s="7">
        <f t="shared" si="34"/>
        <v>3316.6834999999987</v>
      </c>
      <c r="E261" s="7">
        <f t="shared" ref="E261:O261" si="40">D261+E77+E123-E100-E215-E238-E192</f>
        <v>2930.8109999999988</v>
      </c>
      <c r="F261" s="7">
        <f t="shared" si="40"/>
        <v>2350.7924999999987</v>
      </c>
      <c r="G261" s="7">
        <f t="shared" si="40"/>
        <v>1916.6179999999988</v>
      </c>
      <c r="H261" s="7">
        <f t="shared" si="40"/>
        <v>1668.337499999999</v>
      </c>
      <c r="I261" s="7">
        <f t="shared" si="40"/>
        <v>1458.6909999999989</v>
      </c>
      <c r="J261" s="7">
        <f t="shared" si="40"/>
        <v>1243.104499999999</v>
      </c>
      <c r="K261" s="7">
        <f t="shared" si="40"/>
        <v>1042.0859999999991</v>
      </c>
      <c r="L261" s="7">
        <f t="shared" si="40"/>
        <v>783.39949999999908</v>
      </c>
      <c r="M261" s="7">
        <f t="shared" si="40"/>
        <v>613.70499999999902</v>
      </c>
      <c r="N261" s="7">
        <f t="shared" si="40"/>
        <v>396.11449999999905</v>
      </c>
      <c r="O261" s="7">
        <f t="shared" si="40"/>
        <v>219.99999999999898</v>
      </c>
      <c r="P261" s="8">
        <f t="shared" si="33"/>
        <v>219.99999999999898</v>
      </c>
    </row>
    <row r="262" spans="1:16" x14ac:dyDescent="0.3">
      <c r="A262" s="2" t="s">
        <v>74</v>
      </c>
      <c r="B262" s="2" t="s">
        <v>51</v>
      </c>
      <c r="C262" s="2" t="s">
        <v>25</v>
      </c>
      <c r="D262" s="7">
        <f t="shared" si="34"/>
        <v>3629.0851666666658</v>
      </c>
      <c r="E262" s="7">
        <f t="shared" ref="E262:O262" si="41">D262+E78+E124-E101-E216-E239-E193</f>
        <v>3265.0763333333325</v>
      </c>
      <c r="F262" s="7">
        <f t="shared" si="41"/>
        <v>2637.8714999999993</v>
      </c>
      <c r="G262" s="7">
        <f t="shared" si="41"/>
        <v>2056.6726666666664</v>
      </c>
      <c r="H262" s="7">
        <f t="shared" si="41"/>
        <v>1790.0038333333332</v>
      </c>
      <c r="I262" s="7">
        <f t="shared" si="41"/>
        <v>1590.931</v>
      </c>
      <c r="J262" s="7">
        <f t="shared" si="41"/>
        <v>1367.4321666666669</v>
      </c>
      <c r="K262" s="7">
        <f t="shared" si="41"/>
        <v>1172.3553333333334</v>
      </c>
      <c r="L262" s="7">
        <f t="shared" si="41"/>
        <v>984.15050000000019</v>
      </c>
      <c r="M262" s="7">
        <f t="shared" si="41"/>
        <v>790.69966666666687</v>
      </c>
      <c r="N262" s="7">
        <f t="shared" si="41"/>
        <v>554.96083333333354</v>
      </c>
      <c r="O262" s="7">
        <f t="shared" si="41"/>
        <v>305.00000000000023</v>
      </c>
      <c r="P262" s="8">
        <f t="shared" si="33"/>
        <v>305.00000000000023</v>
      </c>
    </row>
    <row r="263" spans="1:16" x14ac:dyDescent="0.3">
      <c r="A263" s="2" t="s">
        <v>74</v>
      </c>
      <c r="B263" s="2" t="s">
        <v>51</v>
      </c>
      <c r="C263" s="2" t="s">
        <v>26</v>
      </c>
      <c r="D263" s="7">
        <f t="shared" si="34"/>
        <v>4539.744333333334</v>
      </c>
      <c r="E263" s="7">
        <f t="shared" ref="E263:O263" si="42">D263+E79+E125-E102-E217-E240-E194</f>
        <v>3780.8726666666671</v>
      </c>
      <c r="F263" s="7">
        <f t="shared" si="42"/>
        <v>2928.9690000000001</v>
      </c>
      <c r="G263" s="7">
        <f t="shared" si="42"/>
        <v>2329.7913333333336</v>
      </c>
      <c r="H263" s="7">
        <f t="shared" si="42"/>
        <v>1983.829666666667</v>
      </c>
      <c r="I263" s="7">
        <f t="shared" si="42"/>
        <v>1681.4600000000003</v>
      </c>
      <c r="J263" s="7">
        <f t="shared" si="42"/>
        <v>1461.0103333333336</v>
      </c>
      <c r="K263" s="7">
        <f t="shared" si="42"/>
        <v>1194.480666666667</v>
      </c>
      <c r="L263" s="7">
        <f t="shared" si="42"/>
        <v>1021.8690000000005</v>
      </c>
      <c r="M263" s="7">
        <f t="shared" si="42"/>
        <v>733.70533333333367</v>
      </c>
      <c r="N263" s="7">
        <f t="shared" si="42"/>
        <v>512.13566666666702</v>
      </c>
      <c r="O263" s="7">
        <f t="shared" si="42"/>
        <v>296.5000000000004</v>
      </c>
      <c r="P263" s="8">
        <f t="shared" si="33"/>
        <v>296.5000000000004</v>
      </c>
    </row>
    <row r="264" spans="1:16" x14ac:dyDescent="0.3">
      <c r="A264" s="2" t="s">
        <v>74</v>
      </c>
      <c r="B264" s="2" t="s">
        <v>51</v>
      </c>
      <c r="C264" s="2" t="s">
        <v>27</v>
      </c>
      <c r="D264" s="7">
        <f t="shared" si="34"/>
        <v>4540.8702499999999</v>
      </c>
      <c r="E264" s="7">
        <f t="shared" ref="E264:O264" si="43">D264+E80+E126-E103-E218-E241-E195</f>
        <v>3971.7164999999995</v>
      </c>
      <c r="F264" s="7">
        <f t="shared" si="43"/>
        <v>3241.6807499999995</v>
      </c>
      <c r="G264" s="7">
        <f t="shared" si="43"/>
        <v>2617.7349999999997</v>
      </c>
      <c r="H264" s="7">
        <f t="shared" si="43"/>
        <v>2331.1022499999999</v>
      </c>
      <c r="I264" s="7">
        <f t="shared" si="43"/>
        <v>1975.1475</v>
      </c>
      <c r="J264" s="7">
        <f t="shared" si="43"/>
        <v>1728.32275</v>
      </c>
      <c r="K264" s="7">
        <f t="shared" si="43"/>
        <v>1391.8339999999998</v>
      </c>
      <c r="L264" s="7">
        <f t="shared" si="43"/>
        <v>1007.1412499999999</v>
      </c>
      <c r="M264" s="7">
        <f t="shared" si="43"/>
        <v>726.72749999999974</v>
      </c>
      <c r="N264" s="7">
        <f t="shared" si="43"/>
        <v>448.17674999999969</v>
      </c>
      <c r="O264" s="7">
        <f t="shared" si="43"/>
        <v>231.29999999999973</v>
      </c>
      <c r="P264" s="8">
        <f t="shared" si="33"/>
        <v>231.29999999999973</v>
      </c>
    </row>
    <row r="265" spans="1:16" x14ac:dyDescent="0.3">
      <c r="A265" s="2" t="s">
        <v>74</v>
      </c>
      <c r="B265" s="2" t="s">
        <v>51</v>
      </c>
      <c r="C265" s="2" t="s">
        <v>28</v>
      </c>
      <c r="D265" s="7">
        <f t="shared" si="34"/>
        <v>5091.1683333333322</v>
      </c>
      <c r="E265" s="7">
        <f t="shared" ref="E265:O265" si="44">D265+E81+E127-E104-E219-E242-E196</f>
        <v>3992.7126666666654</v>
      </c>
      <c r="F265" s="7">
        <f t="shared" si="44"/>
        <v>3107.0339999999987</v>
      </c>
      <c r="G265" s="7">
        <f t="shared" si="44"/>
        <v>2506.464333333332</v>
      </c>
      <c r="H265" s="7">
        <f t="shared" si="44"/>
        <v>2062.978666666665</v>
      </c>
      <c r="I265" s="7">
        <f t="shared" si="44"/>
        <v>1721.824999999998</v>
      </c>
      <c r="J265" s="7">
        <f t="shared" si="44"/>
        <v>1463.2583333333309</v>
      </c>
      <c r="K265" s="7">
        <f t="shared" si="44"/>
        <v>1218.4456666666642</v>
      </c>
      <c r="L265" s="7">
        <f t="shared" si="44"/>
        <v>957.05499999999745</v>
      </c>
      <c r="M265" s="7">
        <f t="shared" si="44"/>
        <v>666.22633333333056</v>
      </c>
      <c r="N265" s="7">
        <f t="shared" si="44"/>
        <v>392.23566666666375</v>
      </c>
      <c r="O265" s="7">
        <f t="shared" si="44"/>
        <v>157.49999999999682</v>
      </c>
      <c r="P265" s="8">
        <f t="shared" si="33"/>
        <v>157.49999999999682</v>
      </c>
    </row>
    <row r="266" spans="1:16" x14ac:dyDescent="0.3">
      <c r="A266" s="2" t="s">
        <v>74</v>
      </c>
      <c r="B266" s="2" t="s">
        <v>51</v>
      </c>
      <c r="C266" s="2" t="s">
        <v>29</v>
      </c>
      <c r="D266" s="7">
        <f t="shared" si="34"/>
        <v>5279.909916666662</v>
      </c>
      <c r="E266" s="7">
        <f t="shared" ref="E266:O266" si="45">D266+E82+E128-E105-E220-E243-E197</f>
        <v>4223.3908333333284</v>
      </c>
      <c r="F266" s="7">
        <f t="shared" si="45"/>
        <v>3200.9567499999948</v>
      </c>
      <c r="G266" s="7">
        <f t="shared" si="45"/>
        <v>2550.4576666666617</v>
      </c>
      <c r="H266" s="7">
        <f t="shared" si="45"/>
        <v>2128.5735833333283</v>
      </c>
      <c r="I266" s="7">
        <f t="shared" si="45"/>
        <v>1806.409499999995</v>
      </c>
      <c r="J266" s="7">
        <f t="shared" si="45"/>
        <v>1518.6184166666617</v>
      </c>
      <c r="K266" s="7">
        <f t="shared" si="45"/>
        <v>1258.7393333333284</v>
      </c>
      <c r="L266" s="7">
        <f t="shared" si="45"/>
        <v>984.67124999999521</v>
      </c>
      <c r="M266" s="7">
        <f t="shared" si="45"/>
        <v>698.84216666666191</v>
      </c>
      <c r="N266" s="7">
        <f t="shared" si="45"/>
        <v>465.24208333332854</v>
      </c>
      <c r="O266" s="7">
        <f t="shared" si="45"/>
        <v>237.29999999999518</v>
      </c>
      <c r="P266" s="8">
        <f t="shared" si="33"/>
        <v>237.29999999999518</v>
      </c>
    </row>
    <row r="267" spans="1:16" x14ac:dyDescent="0.3">
      <c r="A267" s="2" t="s">
        <v>74</v>
      </c>
      <c r="B267" s="2" t="s">
        <v>51</v>
      </c>
      <c r="C267" s="2" t="s">
        <v>30</v>
      </c>
      <c r="D267" s="7">
        <f t="shared" si="34"/>
        <v>6043.9006666666619</v>
      </c>
      <c r="E267" s="7">
        <f t="shared" ref="E267:O267" si="46">D267+E83+E129-E106-E221-E244-E198</f>
        <v>5290.3323333333292</v>
      </c>
      <c r="F267" s="7">
        <f t="shared" si="46"/>
        <v>4267.0139999999974</v>
      </c>
      <c r="G267" s="7">
        <f t="shared" si="46"/>
        <v>3221.0996666666638</v>
      </c>
      <c r="H267" s="7">
        <f t="shared" si="46"/>
        <v>2719.3633333333305</v>
      </c>
      <c r="I267" s="7">
        <f t="shared" si="46"/>
        <v>2260.8869999999974</v>
      </c>
      <c r="J267" s="7">
        <f t="shared" si="46"/>
        <v>1913.704666666664</v>
      </c>
      <c r="K267" s="7">
        <f t="shared" si="46"/>
        <v>1631.9123333333307</v>
      </c>
      <c r="L267" s="7">
        <f t="shared" si="46"/>
        <v>1346.9009999999976</v>
      </c>
      <c r="M267" s="7">
        <f t="shared" si="46"/>
        <v>1055.5836666666644</v>
      </c>
      <c r="N267" s="7">
        <f t="shared" si="46"/>
        <v>760.12333333333106</v>
      </c>
      <c r="O267" s="7">
        <f t="shared" si="46"/>
        <v>457.59999999999781</v>
      </c>
      <c r="P267" s="8">
        <f t="shared" si="33"/>
        <v>457.59999999999781</v>
      </c>
    </row>
    <row r="268" spans="1:16" x14ac:dyDescent="0.3">
      <c r="A268" s="2" t="s">
        <v>74</v>
      </c>
      <c r="B268" s="2" t="s">
        <v>51</v>
      </c>
      <c r="C268" s="2" t="s">
        <v>31</v>
      </c>
      <c r="D268" s="7">
        <f t="shared" si="34"/>
        <v>6552.2949999999973</v>
      </c>
      <c r="E268" s="7">
        <f t="shared" ref="E268:O268" si="47">D268+E84+E130-E107-E222-E245-E199</f>
        <v>5421.8189999999968</v>
      </c>
      <c r="F268" s="7">
        <f t="shared" si="47"/>
        <v>4217.8309999999965</v>
      </c>
      <c r="G268" s="7">
        <f t="shared" si="47"/>
        <v>3393.7899999999968</v>
      </c>
      <c r="H268" s="7">
        <f t="shared" si="47"/>
        <v>2807.397999999997</v>
      </c>
      <c r="I268" s="7">
        <f t="shared" si="47"/>
        <v>2337.8789999999972</v>
      </c>
      <c r="J268" s="7">
        <f t="shared" si="47"/>
        <v>1905.2159999999972</v>
      </c>
      <c r="K268" s="7">
        <f t="shared" si="47"/>
        <v>1653.6249999999973</v>
      </c>
      <c r="L268" s="7">
        <f t="shared" si="47"/>
        <v>1348.0569999999971</v>
      </c>
      <c r="M268" s="7">
        <f t="shared" si="47"/>
        <v>1031.576999999997</v>
      </c>
      <c r="N268" s="7">
        <f t="shared" si="47"/>
        <v>738.78199999999686</v>
      </c>
      <c r="O268" s="7">
        <f t="shared" si="47"/>
        <v>379.59999999999661</v>
      </c>
      <c r="P268" s="8">
        <f t="shared" si="33"/>
        <v>379.59999999999661</v>
      </c>
    </row>
    <row r="269" spans="1:16" x14ac:dyDescent="0.3">
      <c r="A269" s="2" t="s">
        <v>74</v>
      </c>
      <c r="B269" s="2" t="s">
        <v>51</v>
      </c>
      <c r="C269" s="2" t="s">
        <v>32</v>
      </c>
      <c r="D269" s="7">
        <f t="shared" si="34"/>
        <v>6597.2684999999974</v>
      </c>
      <c r="E269" s="7">
        <f t="shared" ref="E269:O269" si="48">D269+E85+E131-E108-E223-E246-E200</f>
        <v>5639.4799999999977</v>
      </c>
      <c r="F269" s="7">
        <f t="shared" si="48"/>
        <v>4207.5684999999976</v>
      </c>
      <c r="G269" s="7">
        <f t="shared" si="48"/>
        <v>3345.6289999999976</v>
      </c>
      <c r="H269" s="7">
        <f t="shared" si="48"/>
        <v>2650.5534999999973</v>
      </c>
      <c r="I269" s="7">
        <f t="shared" si="48"/>
        <v>2166.1499999999974</v>
      </c>
      <c r="J269" s="7">
        <f t="shared" si="48"/>
        <v>1873.5554999999977</v>
      </c>
      <c r="K269" s="7">
        <f t="shared" si="48"/>
        <v>1498.7419999999979</v>
      </c>
      <c r="L269" s="7">
        <f t="shared" si="48"/>
        <v>1166.8774999999978</v>
      </c>
      <c r="M269" s="7">
        <f t="shared" si="48"/>
        <v>894.6989999999978</v>
      </c>
      <c r="N269" s="7">
        <f t="shared" si="48"/>
        <v>600.77849999999785</v>
      </c>
      <c r="O269" s="7">
        <f t="shared" si="48"/>
        <v>354.9999999999979</v>
      </c>
      <c r="P269" s="8">
        <f t="shared" si="33"/>
        <v>354.9999999999979</v>
      </c>
    </row>
    <row r="270" spans="1:16" x14ac:dyDescent="0.3">
      <c r="A270" s="2" t="s">
        <v>74</v>
      </c>
      <c r="B270" s="2" t="s">
        <v>51</v>
      </c>
      <c r="C270" s="2" t="s">
        <v>33</v>
      </c>
      <c r="D270" s="7">
        <f t="shared" si="34"/>
        <v>7739.1105833333331</v>
      </c>
      <c r="E270" s="7">
        <f t="shared" ref="E270:O270" si="49">D270+E86+E132-E109-E224-E247-E201</f>
        <v>6766.470166666667</v>
      </c>
      <c r="F270" s="7">
        <f t="shared" si="49"/>
        <v>5259.549750000001</v>
      </c>
      <c r="G270" s="7">
        <f t="shared" si="49"/>
        <v>4160.3603333333349</v>
      </c>
      <c r="H270" s="7">
        <f t="shared" si="49"/>
        <v>3662.2639166666686</v>
      </c>
      <c r="I270" s="7">
        <f t="shared" si="49"/>
        <v>3187.4885000000022</v>
      </c>
      <c r="J270" s="7">
        <f t="shared" si="49"/>
        <v>2712.9240833333356</v>
      </c>
      <c r="K270" s="7">
        <f t="shared" si="49"/>
        <v>2313.2826666666692</v>
      </c>
      <c r="L270" s="7">
        <f t="shared" si="49"/>
        <v>1868.4042500000023</v>
      </c>
      <c r="M270" s="7">
        <f t="shared" si="49"/>
        <v>1372.5918333333357</v>
      </c>
      <c r="N270" s="7">
        <f t="shared" si="49"/>
        <v>903.155416666669</v>
      </c>
      <c r="O270" s="7">
        <f t="shared" si="49"/>
        <v>651.30000000000246</v>
      </c>
      <c r="P270" s="8">
        <f t="shared" si="33"/>
        <v>651.30000000000246</v>
      </c>
    </row>
    <row r="271" spans="1:16" x14ac:dyDescent="0.3">
      <c r="A271" s="2" t="s">
        <v>74</v>
      </c>
      <c r="B271" s="2" t="s">
        <v>51</v>
      </c>
      <c r="C271" s="2" t="s">
        <v>34</v>
      </c>
      <c r="D271" s="7">
        <f t="shared" si="34"/>
        <v>7736.4705000000022</v>
      </c>
      <c r="E271" s="7">
        <f t="shared" ref="E271:O271" si="50">D271+E87+E133-E110-E225-E248-E202</f>
        <v>6659.3140000000012</v>
      </c>
      <c r="F271" s="7">
        <f t="shared" si="50"/>
        <v>5118.6495000000004</v>
      </c>
      <c r="G271" s="7">
        <f t="shared" si="50"/>
        <v>4119.0999999999995</v>
      </c>
      <c r="H271" s="7">
        <f t="shared" si="50"/>
        <v>3876.2884999999987</v>
      </c>
      <c r="I271" s="7">
        <f t="shared" si="50"/>
        <v>3609.159999999998</v>
      </c>
      <c r="J271" s="7">
        <f t="shared" si="50"/>
        <v>3328.8704999999973</v>
      </c>
      <c r="K271" s="7">
        <f t="shared" si="50"/>
        <v>3082.3539999999966</v>
      </c>
      <c r="L271" s="7">
        <f t="shared" si="50"/>
        <v>2627.250499999996</v>
      </c>
      <c r="M271" s="7">
        <f t="shared" si="50"/>
        <v>2126.0399999999954</v>
      </c>
      <c r="N271" s="7">
        <f t="shared" si="50"/>
        <v>1377.2744999999954</v>
      </c>
      <c r="O271" s="7">
        <f t="shared" si="50"/>
        <v>699.79999999999541</v>
      </c>
      <c r="P271" s="8">
        <f t="shared" si="33"/>
        <v>699.79999999999541</v>
      </c>
    </row>
    <row r="272" spans="1:16" x14ac:dyDescent="0.3">
      <c r="A272" s="2" t="s">
        <v>74</v>
      </c>
      <c r="B272" s="2" t="s">
        <v>51</v>
      </c>
      <c r="C272" s="2" t="s">
        <v>35</v>
      </c>
      <c r="D272" s="7">
        <f t="shared" si="34"/>
        <v>6490.9879999999957</v>
      </c>
      <c r="E272" s="7">
        <f t="shared" ref="E272:O272" si="51">D272+E88+E134-E111-E226-E249-E203</f>
        <v>6075.1529999999957</v>
      </c>
      <c r="F272" s="7">
        <f t="shared" si="51"/>
        <v>5011.5029999999961</v>
      </c>
      <c r="G272" s="7">
        <f t="shared" si="51"/>
        <v>4002.3579999999952</v>
      </c>
      <c r="H272" s="7">
        <f t="shared" si="51"/>
        <v>3483.885999999995</v>
      </c>
      <c r="I272" s="7">
        <f t="shared" si="51"/>
        <v>3096.1049999999946</v>
      </c>
      <c r="J272" s="7">
        <f t="shared" si="51"/>
        <v>2693.8089999999943</v>
      </c>
      <c r="K272" s="7">
        <f t="shared" si="51"/>
        <v>2311.5559999999941</v>
      </c>
      <c r="L272" s="7">
        <f t="shared" si="51"/>
        <v>1877.6769999999938</v>
      </c>
      <c r="M272" s="7">
        <f t="shared" si="51"/>
        <v>1411.1879999999937</v>
      </c>
      <c r="N272" s="7">
        <f t="shared" si="51"/>
        <v>998.83899999999346</v>
      </c>
      <c r="O272" s="7">
        <f t="shared" si="51"/>
        <v>621.09999999999332</v>
      </c>
      <c r="P272" s="8">
        <f t="shared" si="33"/>
        <v>621.09999999999332</v>
      </c>
    </row>
    <row r="273" spans="1:16" x14ac:dyDescent="0.3">
      <c r="A273" s="2" t="s">
        <v>74</v>
      </c>
      <c r="B273" s="2" t="s">
        <v>51</v>
      </c>
      <c r="C273" s="2" t="s">
        <v>36</v>
      </c>
      <c r="D273" s="7">
        <f t="shared" si="34"/>
        <v>6586.0480833333268</v>
      </c>
      <c r="E273" s="7">
        <f t="shared" ref="E273:O273" si="52">D273+E89+E135-E112-E227-E250-E204</f>
        <v>5584.3001666666596</v>
      </c>
      <c r="F273" s="7">
        <f t="shared" si="52"/>
        <v>4500.9832499999929</v>
      </c>
      <c r="G273" s="7">
        <f t="shared" si="52"/>
        <v>3428.5703333333263</v>
      </c>
      <c r="H273" s="7">
        <f t="shared" si="52"/>
        <v>2790.2804166666592</v>
      </c>
      <c r="I273" s="7">
        <f t="shared" si="52"/>
        <v>2361.0244999999927</v>
      </c>
      <c r="J273" s="7">
        <f t="shared" si="52"/>
        <v>1915.1655833333259</v>
      </c>
      <c r="K273" s="7">
        <f t="shared" si="52"/>
        <v>1618.2936666666594</v>
      </c>
      <c r="L273" s="7">
        <f t="shared" si="52"/>
        <v>1201.9557499999928</v>
      </c>
      <c r="M273" s="7">
        <f t="shared" si="52"/>
        <v>910.27483333332623</v>
      </c>
      <c r="N273" s="7">
        <f t="shared" si="52"/>
        <v>616.80091666665965</v>
      </c>
      <c r="O273" s="7">
        <f t="shared" si="52"/>
        <v>295.79999999999302</v>
      </c>
      <c r="P273" s="8">
        <f t="shared" si="33"/>
        <v>295.79999999999302</v>
      </c>
    </row>
    <row r="274" spans="1:16" x14ac:dyDescent="0.3">
      <c r="A274" s="2" t="s">
        <v>74</v>
      </c>
      <c r="B274" s="2" t="s">
        <v>51</v>
      </c>
      <c r="C274" s="2" t="s">
        <v>37</v>
      </c>
      <c r="D274" s="7">
        <f t="shared" si="34"/>
        <v>6235.4839999999931</v>
      </c>
      <c r="E274" s="7">
        <f t="shared" ref="E274:O274" si="53">D274+E90+E136-E113-E228-E251-E205</f>
        <v>5087.6419999999925</v>
      </c>
      <c r="F274" s="7">
        <f t="shared" si="53"/>
        <v>3958.4959999999924</v>
      </c>
      <c r="G274" s="7">
        <f t="shared" si="53"/>
        <v>2996.2729999999924</v>
      </c>
      <c r="H274" s="7">
        <f t="shared" si="53"/>
        <v>2510.7969999999927</v>
      </c>
      <c r="I274" s="7">
        <f t="shared" si="53"/>
        <v>2219.9689999999928</v>
      </c>
      <c r="J274" s="7">
        <f t="shared" si="53"/>
        <v>1896.4269999999929</v>
      </c>
      <c r="K274" s="7">
        <f t="shared" si="53"/>
        <v>1568.4809999999929</v>
      </c>
      <c r="L274" s="7">
        <f t="shared" si="53"/>
        <v>1127.640999999993</v>
      </c>
      <c r="M274" s="7">
        <f t="shared" si="53"/>
        <v>862.7869999999931</v>
      </c>
      <c r="N274" s="7">
        <f t="shared" si="53"/>
        <v>571.44899999999313</v>
      </c>
      <c r="O274" s="7">
        <f t="shared" si="53"/>
        <v>287.0999999999932</v>
      </c>
      <c r="P274" s="8">
        <f t="shared" si="33"/>
        <v>287.0999999999932</v>
      </c>
    </row>
    <row r="275" spans="1:16" x14ac:dyDescent="0.3">
      <c r="A275" s="2" t="s">
        <v>74</v>
      </c>
      <c r="B275" s="2" t="s">
        <v>51</v>
      </c>
      <c r="C275" s="2" t="s">
        <v>38</v>
      </c>
      <c r="D275" s="7">
        <f t="shared" si="34"/>
        <v>6534.7981666666601</v>
      </c>
      <c r="E275" s="7">
        <f t="shared" ref="E275:O275" si="54">D275+E91+E137-E114-E229-E252-E206</f>
        <v>5769.3943333333264</v>
      </c>
      <c r="F275" s="7">
        <f t="shared" si="54"/>
        <v>4336.9524999999921</v>
      </c>
      <c r="G275" s="7">
        <f t="shared" si="54"/>
        <v>3232.4506666666584</v>
      </c>
      <c r="H275" s="7">
        <f t="shared" si="54"/>
        <v>2531.7628333333246</v>
      </c>
      <c r="I275" s="7">
        <f t="shared" si="54"/>
        <v>2186.2889999999911</v>
      </c>
      <c r="J275" s="7">
        <f t="shared" si="54"/>
        <v>1875.4581666666575</v>
      </c>
      <c r="K275" s="7">
        <f t="shared" si="54"/>
        <v>1614.964333333324</v>
      </c>
      <c r="L275" s="7">
        <f t="shared" si="54"/>
        <v>1266.4604999999906</v>
      </c>
      <c r="M275" s="7">
        <f t="shared" si="54"/>
        <v>971.4836666666572</v>
      </c>
      <c r="N275" s="7">
        <f t="shared" si="54"/>
        <v>682.97283333332371</v>
      </c>
      <c r="O275" s="7">
        <f t="shared" si="54"/>
        <v>371.79999999999023</v>
      </c>
      <c r="P275" s="8">
        <f t="shared" si="33"/>
        <v>371.79999999999023</v>
      </c>
    </row>
    <row r="276" spans="1:16" x14ac:dyDescent="0.3">
      <c r="A276" s="2" t="s">
        <v>74</v>
      </c>
      <c r="B276" s="2" t="s">
        <v>51</v>
      </c>
      <c r="C276" s="2" t="s">
        <v>39</v>
      </c>
      <c r="D276" s="7">
        <f t="shared" si="34"/>
        <v>7177.6574999999903</v>
      </c>
      <c r="E276" s="7">
        <f t="shared" ref="E276:O276" si="55">D276+E92+E138-E115-E230-E253-E207</f>
        <v>6285.1589999999906</v>
      </c>
      <c r="F276" s="7">
        <f t="shared" si="55"/>
        <v>4951.5794999999907</v>
      </c>
      <c r="G276" s="7">
        <f t="shared" si="55"/>
        <v>3679.0789999999906</v>
      </c>
      <c r="H276" s="7">
        <f t="shared" si="55"/>
        <v>3071.3404999999902</v>
      </c>
      <c r="I276" s="7">
        <f t="shared" si="55"/>
        <v>2575.0389999999902</v>
      </c>
      <c r="J276" s="7">
        <f t="shared" si="55"/>
        <v>2287.60049999999</v>
      </c>
      <c r="K276" s="7">
        <f t="shared" si="55"/>
        <v>1994.9789999999903</v>
      </c>
      <c r="L276" s="7">
        <f t="shared" si="55"/>
        <v>1715.0554999999902</v>
      </c>
      <c r="M276" s="7">
        <f t="shared" si="55"/>
        <v>1383.1309999999901</v>
      </c>
      <c r="N276" s="7">
        <f t="shared" si="55"/>
        <v>970.30349999998998</v>
      </c>
      <c r="O276" s="7">
        <f t="shared" si="55"/>
        <v>605.39999999998986</v>
      </c>
      <c r="P276" s="8">
        <f t="shared" si="33"/>
        <v>605.39999999998986</v>
      </c>
    </row>
    <row r="277" spans="1:16" x14ac:dyDescent="0.3">
      <c r="A277" s="2" t="s">
        <v>74</v>
      </c>
      <c r="B277" s="2" t="s">
        <v>51</v>
      </c>
      <c r="C277" s="2" t="s">
        <v>40</v>
      </c>
      <c r="D277" s="7">
        <f t="shared" si="34"/>
        <v>7988.6067499999899</v>
      </c>
      <c r="E277" s="7">
        <f t="shared" ref="E277:O277" si="56">D277+E93+E139-E116-E231-E254-E208</f>
        <v>6922.3904999999904</v>
      </c>
      <c r="F277" s="7">
        <f t="shared" si="56"/>
        <v>5221.6932499999912</v>
      </c>
      <c r="G277" s="7">
        <f t="shared" si="56"/>
        <v>4269.6599999999917</v>
      </c>
      <c r="H277" s="7">
        <f t="shared" si="56"/>
        <v>3539.587749999992</v>
      </c>
      <c r="I277" s="7">
        <f t="shared" si="56"/>
        <v>3034.1564999999919</v>
      </c>
      <c r="J277" s="7">
        <f t="shared" si="56"/>
        <v>2580.9942499999916</v>
      </c>
      <c r="K277" s="7">
        <f t="shared" si="56"/>
        <v>2225.5369999999916</v>
      </c>
      <c r="L277" s="7">
        <f t="shared" si="56"/>
        <v>1799.6527499999916</v>
      </c>
      <c r="M277" s="7">
        <f t="shared" si="56"/>
        <v>1323.3234999999916</v>
      </c>
      <c r="N277" s="7">
        <f t="shared" si="56"/>
        <v>861.5392499999914</v>
      </c>
      <c r="O277" s="7">
        <f t="shared" si="56"/>
        <v>510.89999999999134</v>
      </c>
      <c r="P277" s="8">
        <f t="shared" si="33"/>
        <v>510.89999999999134</v>
      </c>
    </row>
  </sheetData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32"/>
  <sheetViews>
    <sheetView workbookViewId="0">
      <pane xSplit="3" ySplit="2" topLeftCell="D3" activePane="bottomRight" state="frozen"/>
      <selection pane="topRight"/>
      <selection pane="bottomLeft"/>
      <selection pane="bottomRight" activeCell="A25" sqref="A25:XFD32"/>
    </sheetView>
  </sheetViews>
  <sheetFormatPr defaultRowHeight="14.4" x14ac:dyDescent="0.3"/>
  <cols>
    <col min="1" max="1" width="18" customWidth="1"/>
    <col min="2" max="2" width="22" customWidth="1"/>
    <col min="3" max="3" width="9" customWidth="1"/>
    <col min="4" max="26" width="10" customWidth="1"/>
  </cols>
  <sheetData>
    <row r="1" spans="1:26" ht="25.8" x14ac:dyDescent="0.5">
      <c r="A1" s="9" t="s">
        <v>74</v>
      </c>
    </row>
    <row r="2" spans="1:26" x14ac:dyDescent="0.3">
      <c r="A2" s="10" t="s">
        <v>0</v>
      </c>
      <c r="B2" s="10" t="s">
        <v>1</v>
      </c>
      <c r="C2" s="10" t="s">
        <v>53</v>
      </c>
      <c r="D2" s="10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10" t="s">
        <v>23</v>
      </c>
      <c r="J2" s="10" t="s">
        <v>24</v>
      </c>
      <c r="K2" s="10" t="s">
        <v>25</v>
      </c>
      <c r="L2" s="10" t="s">
        <v>26</v>
      </c>
      <c r="M2" s="10" t="s">
        <v>27</v>
      </c>
      <c r="N2" s="10" t="s">
        <v>28</v>
      </c>
      <c r="O2" s="10" t="s">
        <v>29</v>
      </c>
      <c r="P2" s="10" t="s">
        <v>30</v>
      </c>
      <c r="Q2" s="10" t="s">
        <v>31</v>
      </c>
      <c r="R2" s="10" t="s">
        <v>32</v>
      </c>
      <c r="S2" s="10" t="s">
        <v>33</v>
      </c>
      <c r="T2" s="10" t="s">
        <v>34</v>
      </c>
      <c r="U2" s="10" t="s">
        <v>35</v>
      </c>
      <c r="V2" s="10" t="s">
        <v>36</v>
      </c>
      <c r="W2" s="10" t="s">
        <v>37</v>
      </c>
      <c r="X2" s="10" t="s">
        <v>38</v>
      </c>
      <c r="Y2" s="10" t="s">
        <v>39</v>
      </c>
      <c r="Z2" s="10" t="s">
        <v>40</v>
      </c>
    </row>
    <row r="3" spans="1:26" x14ac:dyDescent="0.3">
      <c r="A3" s="11" t="s">
        <v>74</v>
      </c>
      <c r="B3" s="11" t="s">
        <v>17</v>
      </c>
      <c r="C3" s="12" t="s">
        <v>54</v>
      </c>
      <c r="D3" s="13">
        <f>SUMIFS(Soybeans_Mo!$P:$P,Soybeans_Mo!$B:$B,"Planted Area",Soybeans_Mo!$C:$C,RIGHT(D$2,5))</f>
        <v>2.5461</v>
      </c>
      <c r="E3" s="13">
        <f>SUMIFS(Soybeans_Mo!$P:$P,Soybeans_Mo!$B:$B,"Planted Area",Soybeans_Mo!$C:$C,RIGHT(E$2,5))</f>
        <v>2.6015999999999999</v>
      </c>
      <c r="F3" s="13">
        <f>SUMIFS(Soybeans_Mo!$P:$P,Soybeans_Mo!$B:$B,"Planted Area",Soybeans_Mo!$C:$C,RIGHT(F$2,5))</f>
        <v>3.0222000000000002</v>
      </c>
      <c r="G3" s="13">
        <f>SUMIFS(Soybeans_Mo!$P:$P,Soybeans_Mo!$B:$B,"Planted Area",Soybeans_Mo!$C:$C,RIGHT(G$2,5))</f>
        <v>2.8971</v>
      </c>
      <c r="H3" s="13">
        <f>SUMIFS(Soybeans_Mo!$P:$P,Soybeans_Mo!$B:$B,"Planted Area",Soybeans_Mo!$C:$C,RIGHT(H$2,5))</f>
        <v>2.9983689999999998</v>
      </c>
      <c r="I3" s="13">
        <f>SUMIFS(Soybeans_Mo!$P:$P,Soybeans_Mo!$B:$B,"Planted Area",Soybeans_Mo!$C:$C,RIGHT(I$2,5))</f>
        <v>2.9009</v>
      </c>
      <c r="J3" s="13">
        <f>SUMIFS(Soybeans_Mo!$P:$P,Soybeans_Mo!$B:$B,"Planted Area",Soybeans_Mo!$C:$C,RIGHT(J$2,5))</f>
        <v>2.9712999999999998</v>
      </c>
      <c r="K3" s="13">
        <f>SUMIFS(Soybeans_Mo!$P:$P,Soybeans_Mo!$B:$B,"Planted Area",Soybeans_Mo!$C:$C,RIGHT(K$2,5))</f>
        <v>3.5179999999999998</v>
      </c>
      <c r="L3" s="13">
        <f>SUMIFS(Soybeans_Mo!$P:$P,Soybeans_Mo!$B:$B,"Planted Area",Soybeans_Mo!$C:$C,RIGHT(L$2,5))</f>
        <v>3.7387999999999999</v>
      </c>
      <c r="M3" s="13">
        <f>SUMIFS(Soybeans_Mo!$P:$P,Soybeans_Mo!$B:$B,"Planted Area",Soybeans_Mo!$C:$C,RIGHT(M$2,5))</f>
        <v>3.8516620000000001</v>
      </c>
      <c r="N3" s="13">
        <f>SUMIFS(Soybeans_Mo!$P:$P,Soybeans_Mo!$B:$B,"Planted Area",Soybeans_Mo!$C:$C,RIGHT(N$2,5))</f>
        <v>4.1920000000000002</v>
      </c>
      <c r="O3" s="13">
        <f>SUMIFS(Soybeans_Mo!$P:$P,Soybeans_Mo!$B:$B,"Planted Area",Soybeans_Mo!$C:$C,RIGHT(O$2,5))</f>
        <v>4.6332000000000004</v>
      </c>
      <c r="P3" s="13">
        <f>SUMIFS(Soybeans_Mo!$P:$P,Soybeans_Mo!$B:$B,"Planted Area",Soybeans_Mo!$C:$C,RIGHT(P$2,5))</f>
        <v>5.6130000000000004</v>
      </c>
      <c r="Q3" s="13">
        <f>SUMIFS(Soybeans_Mo!$P:$P,Soybeans_Mo!$B:$B,"Planted Area",Soybeans_Mo!$C:$C,RIGHT(Q$2,5))</f>
        <v>5.532</v>
      </c>
      <c r="R3" s="13">
        <f>SUMIFS(Soybeans_Mo!$P:$P,Soybeans_Mo!$B:$B,"Planted Area",Soybeans_Mo!$C:$C,RIGHT(R$2,5))</f>
        <v>5.6073969999999997</v>
      </c>
      <c r="S3" s="13">
        <f>SUMIFS(Soybeans_Mo!$P:$P,Soybeans_Mo!$B:$B,"Planted Area",Soybeans_Mo!$C:$C,RIGHT(S$2,5))</f>
        <v>7.282</v>
      </c>
      <c r="T3" s="13">
        <f>SUMIFS(Soybeans_Mo!$P:$P,Soybeans_Mo!$B:$B,"Planted Area",Soybeans_Mo!$C:$C,RIGHT(T$2,5))</f>
        <v>6.3201000000000001</v>
      </c>
      <c r="U3" s="13">
        <f>SUMIFS(Soybeans_Mo!$P:$P,Soybeans_Mo!$B:$B,"Planted Area",Soybeans_Mo!$C:$C,RIGHT(U$2,5))</f>
        <v>5.7142999999999997</v>
      </c>
      <c r="V3" s="13">
        <f>SUMIFS(Soybeans_Mo!$P:$P,Soybeans_Mo!$B:$B,"Planted Area",Soybeans_Mo!$C:$C,RIGHT(V$2,5))</f>
        <v>5.0702999999999996</v>
      </c>
      <c r="W3" s="13">
        <f>SUMIFS(Soybeans_Mo!$P:$P,Soybeans_Mo!$B:$B,"Planted Area",Soybeans_Mo!$C:$C,RIGHT(W$2,5))</f>
        <v>5.1579860000000002</v>
      </c>
      <c r="X3" s="13">
        <f>SUMIFS(Soybeans_Mo!$P:$P,Soybeans_Mo!$B:$B,"Planted Area",Soybeans_Mo!$C:$C,RIGHT(X$2,5))</f>
        <v>5.2742000000000004</v>
      </c>
      <c r="Y3" s="13">
        <f>SUMIFS(Soybeans_Mo!$P:$P,Soybeans_Mo!$B:$B,"Planted Area",Soybeans_Mo!$C:$C,RIGHT(Y$2,5))</f>
        <v>5.6307</v>
      </c>
      <c r="Z3" s="13">
        <f>SUMIFS(Soybeans_Mo!$P:$P,Soybeans_Mo!$B:$B,"Planted Area",Soybeans_Mo!$C:$C,RIGHT(Z$2,5))</f>
        <v>5.7096999999999998</v>
      </c>
    </row>
    <row r="4" spans="1:26" x14ac:dyDescent="0.3">
      <c r="A4" s="11" t="s">
        <v>74</v>
      </c>
      <c r="B4" s="11" t="s">
        <v>41</v>
      </c>
      <c r="C4" s="12" t="s">
        <v>54</v>
      </c>
      <c r="D4" s="13">
        <f>SUMIFS(Soybeans_Mo!$P:$P,Soybeans_Mo!$B:$B,"Harvested Area",Soybeans_Mo!$C:$C,RIGHT(D$2,5))</f>
        <v>2.5299</v>
      </c>
      <c r="E4" s="13">
        <f>SUMIFS(Soybeans_Mo!$P:$P,Soybeans_Mo!$B:$B,"Harvested Area",Soybeans_Mo!$C:$C,RIGHT(E$2,5))</f>
        <v>2.5914000000000001</v>
      </c>
      <c r="F4" s="13">
        <f>SUMIFS(Soybeans_Mo!$P:$P,Soybeans_Mo!$B:$B,"Harvested Area",Soybeans_Mo!$C:$C,RIGHT(F$2,5))</f>
        <v>2.8997000000000002</v>
      </c>
      <c r="G4" s="13">
        <f>SUMIFS(Soybeans_Mo!$P:$P,Soybeans_Mo!$B:$B,"Harvested Area",Soybeans_Mo!$C:$C,RIGHT(G$2,5))</f>
        <v>2.8795999999999999</v>
      </c>
      <c r="H4" s="13">
        <f>SUMIFS(Soybeans_Mo!$P:$P,Soybeans_Mo!$B:$B,"Harvested Area",Soybeans_Mo!$C:$C,RIGHT(H$2,5))</f>
        <v>2.9681999999999999</v>
      </c>
      <c r="I4" s="13">
        <f>SUMIFS(Soybeans_Mo!$P:$P,Soybeans_Mo!$B:$B,"Harvested Area",Soybeans_Mo!$C:$C,RIGHT(I$2,5))</f>
        <v>2.8847</v>
      </c>
      <c r="J4" s="13">
        <f>SUMIFS(Soybeans_Mo!$P:$P,Soybeans_Mo!$B:$B,"Harvested Area",Soybeans_Mo!$C:$C,RIGHT(J$2,5))</f>
        <v>2.9539</v>
      </c>
      <c r="K4" s="13">
        <f>SUMIFS(Soybeans_Mo!$P:$P,Soybeans_Mo!$B:$B,"Harvested Area",Soybeans_Mo!$C:$C,RIGHT(K$2,5))</f>
        <v>3.4881000000000002</v>
      </c>
      <c r="L4" s="13">
        <f>SUMIFS(Soybeans_Mo!$P:$P,Soybeans_Mo!$B:$B,"Harvested Area",Soybeans_Mo!$C:$C,RIGHT(L$2,5))</f>
        <v>3.7212999999999998</v>
      </c>
      <c r="M4" s="13">
        <f>SUMIFS(Soybeans_Mo!$P:$P,Soybeans_Mo!$B:$B,"Harvested Area",Soybeans_Mo!$C:$C,RIGHT(M$2,5))</f>
        <v>3.8408000000000002</v>
      </c>
      <c r="N4" s="13">
        <f>SUMIFS(Soybeans_Mo!$P:$P,Soybeans_Mo!$B:$B,"Harvested Area",Soybeans_Mo!$C:$C,RIGHT(N$2,5))</f>
        <v>4.1885000000000003</v>
      </c>
      <c r="O4" s="13">
        <f>SUMIFS(Soybeans_Mo!$P:$P,Soybeans_Mo!$B:$B,"Harvested Area",Soybeans_Mo!$C:$C,RIGHT(O$2,5))</f>
        <v>4.6086999999999998</v>
      </c>
      <c r="P4" s="13">
        <f>SUMIFS(Soybeans_Mo!$P:$P,Soybeans_Mo!$B:$B,"Harvested Area",Soybeans_Mo!$C:$C,RIGHT(P$2,5))</f>
        <v>5.5765000000000002</v>
      </c>
      <c r="Q4" s="13">
        <f>SUMIFS(Soybeans_Mo!$P:$P,Soybeans_Mo!$B:$B,"Harvested Area",Soybeans_Mo!$C:$C,RIGHT(Q$2,5))</f>
        <v>5.5164999999999997</v>
      </c>
      <c r="R4" s="13">
        <f>SUMIFS(Soybeans_Mo!$P:$P,Soybeans_Mo!$B:$B,"Harvested Area",Soybeans_Mo!$C:$C,RIGHT(R$2,5))</f>
        <v>5.5147000000000004</v>
      </c>
      <c r="S4" s="13">
        <f>SUMIFS(Soybeans_Mo!$P:$P,Soybeans_Mo!$B:$B,"Harvested Area",Soybeans_Mo!$C:$C,RIGHT(S$2,5))</f>
        <v>7.2519999999999998</v>
      </c>
      <c r="T4" s="13">
        <f>SUMIFS(Soybeans_Mo!$P:$P,Soybeans_Mo!$B:$B,"Harvested Area",Soybeans_Mo!$C:$C,RIGHT(T$2,5))</f>
        <v>6.2755000000000001</v>
      </c>
      <c r="U4" s="13">
        <f>SUMIFS(Soybeans_Mo!$P:$P,Soybeans_Mo!$B:$B,"Harvested Area",Soybeans_Mo!$C:$C,RIGHT(U$2,5))</f>
        <v>5.6104000000000003</v>
      </c>
      <c r="V4" s="13">
        <f>SUMIFS(Soybeans_Mo!$P:$P,Soybeans_Mo!$B:$B,"Harvested Area",Soybeans_Mo!$C:$C,RIGHT(V$2,5))</f>
        <v>5.0439999999999996</v>
      </c>
      <c r="W4" s="13">
        <f>SUMIFS(Soybeans_Mo!$P:$P,Soybeans_Mo!$B:$B,"Harvested Area",Soybeans_Mo!$C:$C,RIGHT(W$2,5))</f>
        <v>5.1400030000000001</v>
      </c>
      <c r="X4" s="13">
        <f>SUMIFS(Soybeans_Mo!$P:$P,Soybeans_Mo!$B:$B,"Harvested Area",Soybeans_Mo!$C:$C,RIGHT(X$2,5))</f>
        <v>5.2335000000000003</v>
      </c>
      <c r="Y4" s="13">
        <f>SUMIFS(Soybeans_Mo!$P:$P,Soybeans_Mo!$B:$B,"Harvested Area",Soybeans_Mo!$C:$C,RIGHT(Y$2,5))</f>
        <v>5.5876000000000001</v>
      </c>
      <c r="Z4" s="13">
        <f>SUMIFS(Soybeans_Mo!$P:$P,Soybeans_Mo!$B:$B,"Harvested Area",Soybeans_Mo!$C:$C,RIGHT(Z$2,5))</f>
        <v>5.6577999999999999</v>
      </c>
    </row>
    <row r="5" spans="1:26" x14ac:dyDescent="0.3">
      <c r="A5" s="11" t="s">
        <v>74</v>
      </c>
      <c r="B5" s="11" t="s">
        <v>55</v>
      </c>
      <c r="C5" s="12" t="s">
        <v>56</v>
      </c>
      <c r="D5" s="14">
        <f t="shared" ref="D5:Z5" si="0">IF(D3&lt;&gt;0,D4/D3,"")</f>
        <v>0.99363732767762458</v>
      </c>
      <c r="E5" s="14">
        <f t="shared" si="0"/>
        <v>0.99607933579335806</v>
      </c>
      <c r="F5" s="14">
        <f t="shared" si="0"/>
        <v>0.95946661372510089</v>
      </c>
      <c r="G5" s="14">
        <f t="shared" si="0"/>
        <v>0.99395947671809737</v>
      </c>
      <c r="H5" s="14">
        <f t="shared" si="0"/>
        <v>0.98993819639944258</v>
      </c>
      <c r="I5" s="14">
        <f t="shared" si="0"/>
        <v>0.99441552621600193</v>
      </c>
      <c r="J5" s="14">
        <f t="shared" si="0"/>
        <v>0.9941439773836368</v>
      </c>
      <c r="K5" s="14">
        <f t="shared" si="0"/>
        <v>0.99150085275724853</v>
      </c>
      <c r="L5" s="14">
        <f t="shared" si="0"/>
        <v>0.99531935380335934</v>
      </c>
      <c r="M5" s="14">
        <f t="shared" si="0"/>
        <v>0.9971799186948388</v>
      </c>
      <c r="N5" s="14">
        <f t="shared" si="0"/>
        <v>0.99916507633587792</v>
      </c>
      <c r="O5" s="14">
        <f t="shared" si="0"/>
        <v>0.99471207804541129</v>
      </c>
      <c r="P5" s="14">
        <f t="shared" si="0"/>
        <v>0.99349723855335825</v>
      </c>
      <c r="Q5" s="14">
        <f t="shared" si="0"/>
        <v>0.99719812002892261</v>
      </c>
      <c r="R5" s="14">
        <f t="shared" si="0"/>
        <v>0.98346880022941141</v>
      </c>
      <c r="S5" s="14">
        <f t="shared" si="0"/>
        <v>0.99588025267783575</v>
      </c>
      <c r="T5" s="14">
        <f t="shared" si="0"/>
        <v>0.99294314963370833</v>
      </c>
      <c r="U5" s="14">
        <f t="shared" si="0"/>
        <v>0.98181754545613642</v>
      </c>
      <c r="V5" s="14">
        <f t="shared" si="0"/>
        <v>0.99481293020136874</v>
      </c>
      <c r="W5" s="14">
        <f t="shared" si="0"/>
        <v>0.9965135616886126</v>
      </c>
      <c r="X5" s="14">
        <f t="shared" si="0"/>
        <v>0.99228318986765762</v>
      </c>
      <c r="Y5" s="14">
        <f t="shared" si="0"/>
        <v>0.99234553430301742</v>
      </c>
      <c r="Z5" s="14">
        <f t="shared" si="0"/>
        <v>0.99091020543986552</v>
      </c>
    </row>
    <row r="6" spans="1:26" x14ac:dyDescent="0.3">
      <c r="A6" s="11" t="s">
        <v>74</v>
      </c>
      <c r="B6" s="11" t="s">
        <v>42</v>
      </c>
      <c r="C6" s="12" t="s">
        <v>57</v>
      </c>
      <c r="D6" s="15">
        <f>SUMIFS(Soybeans_Mo!$P:$P,Soybeans_Mo!$B:$B,"Yield",Soybeans_Mo!$C:$C,RIGHT(D$2,5))</f>
        <v>33.923182770069957</v>
      </c>
      <c r="E6" s="15">
        <f>SUMIFS(Soybeans_Mo!$P:$P,Soybeans_Mo!$B:$B,"Yield",Soybeans_Mo!$C:$C,RIGHT(E$2,5))</f>
        <v>32.233330713128034</v>
      </c>
      <c r="F6" s="15">
        <f>SUMIFS(Soybeans_Mo!$P:$P,Soybeans_Mo!$B:$B,"Yield",Soybeans_Mo!$C:$C,RIGHT(F$2,5))</f>
        <v>38.570937831499798</v>
      </c>
      <c r="G6" s="15">
        <f>SUMIFS(Soybeans_Mo!$P:$P,Soybeans_Mo!$B:$B,"Yield",Soybeans_Mo!$C:$C,RIGHT(G$2,5))</f>
        <v>40.265460383386568</v>
      </c>
      <c r="H6" s="15">
        <f>SUMIFS(Soybeans_Mo!$P:$P,Soybeans_Mo!$B:$B,"Yield",Soybeans_Mo!$C:$C,RIGHT(H$2,5))</f>
        <v>42.89983570851021</v>
      </c>
      <c r="I6" s="15">
        <f>SUMIFS(Soybeans_Mo!$P:$P,Soybeans_Mo!$B:$B,"Yield",Soybeans_Mo!$C:$C,RIGHT(I$2,5))</f>
        <v>34.215317689881097</v>
      </c>
      <c r="J6" s="15">
        <f>SUMIFS(Soybeans_Mo!$P:$P,Soybeans_Mo!$B:$B,"Yield",Soybeans_Mo!$C:$C,RIGHT(J$2,5))</f>
        <v>41.495415833305117</v>
      </c>
      <c r="K6" s="15">
        <f>SUMIFS(Soybeans_Mo!$P:$P,Soybeans_Mo!$B:$B,"Yield",Soybeans_Mo!$C:$C,RIGHT(K$2,5))</f>
        <v>37.728630463576152</v>
      </c>
      <c r="L6" s="15">
        <f>SUMIFS(Soybeans_Mo!$P:$P,Soybeans_Mo!$B:$B,"Yield",Soybeans_Mo!$C:$C,RIGHT(L$2,5))</f>
        <v>43.885483304221637</v>
      </c>
      <c r="M6" s="15">
        <f>SUMIFS(Soybeans_Mo!$P:$P,Soybeans_Mo!$B:$B,"Yield",Soybeans_Mo!$C:$C,RIGHT(M$2,5))</f>
        <v>42.729570935742551</v>
      </c>
      <c r="N6" s="15">
        <f>SUMIFS(Soybeans_Mo!$P:$P,Soybeans_Mo!$B:$B,"Yield",Soybeans_Mo!$C:$C,RIGHT(N$2,5))</f>
        <v>44.620545703712537</v>
      </c>
      <c r="O6" s="15">
        <f>SUMIFS(Soybeans_Mo!$P:$P,Soybeans_Mo!$B:$B,"Yield",Soybeans_Mo!$C:$C,RIGHT(O$2,5))</f>
        <v>42.700888066048989</v>
      </c>
      <c r="P6" s="15">
        <f>SUMIFS(Soybeans_Mo!$P:$P,Soybeans_Mo!$B:$B,"Yield",Soybeans_Mo!$C:$C,RIGHT(P$2,5))</f>
        <v>39.829340582802843</v>
      </c>
      <c r="Q6" s="15">
        <f>SUMIFS(Soybeans_Mo!$P:$P,Soybeans_Mo!$B:$B,"Yield",Soybeans_Mo!$C:$C,RIGHT(Q$2,5))</f>
        <v>43.003417077857343</v>
      </c>
      <c r="R6" s="15">
        <f>SUMIFS(Soybeans_Mo!$P:$P,Soybeans_Mo!$B:$B,"Yield",Soybeans_Mo!$C:$C,RIGHT(R$2,5))</f>
        <v>43.951587040092839</v>
      </c>
      <c r="S6" s="15">
        <f>SUMIFS(Soybeans_Mo!$P:$P,Soybeans_Mo!$B:$B,"Yield",Soybeans_Mo!$C:$C,RIGHT(S$2,5))</f>
        <v>39.097688281853273</v>
      </c>
      <c r="T6" s="15">
        <f>SUMIFS(Soybeans_Mo!$P:$P,Soybeans_Mo!$B:$B,"Yield",Soybeans_Mo!$C:$C,RIGHT(T$2,5))</f>
        <v>43.424958237590623</v>
      </c>
      <c r="U6" s="15">
        <f>SUMIFS(Soybeans_Mo!$P:$P,Soybeans_Mo!$B:$B,"Yield",Soybeans_Mo!$C:$C,RIGHT(U$2,5))</f>
        <v>40.24556375124768</v>
      </c>
      <c r="V6" s="15">
        <f>SUMIFS(Soybeans_Mo!$P:$P,Soybeans_Mo!$B:$B,"Yield",Soybeans_Mo!$C:$C,RIGHT(V$2,5))</f>
        <v>46.320081447264073</v>
      </c>
      <c r="W6" s="15">
        <f>SUMIFS(Soybeans_Mo!$P:$P,Soybeans_Mo!$B:$B,"Yield",Soybeans_Mo!$C:$C,RIGHT(W$2,5))</f>
        <v>44.492734498403991</v>
      </c>
      <c r="X6" s="15">
        <f>SUMIFS(Soybeans_Mo!$P:$P,Soybeans_Mo!$B:$B,"Yield",Soybeans_Mo!$C:$C,RIGHT(X$2,5))</f>
        <v>45.938927646890228</v>
      </c>
      <c r="Y6" s="15">
        <f>SUMIFS(Soybeans_Mo!$P:$P,Soybeans_Mo!$B:$B,"Yield",Soybeans_Mo!$C:$C,RIGHT(Y$2,5))</f>
        <v>46.264340142458288</v>
      </c>
      <c r="Z6" s="15">
        <f>SUMIFS(Soybeans_Mo!$P:$P,Soybeans_Mo!$B:$B,"Yield",Soybeans_Mo!$C:$C,RIGHT(Z$2,5))</f>
        <v>50.19023944112552</v>
      </c>
    </row>
    <row r="8" spans="1:26" x14ac:dyDescent="0.3">
      <c r="A8" s="11" t="s">
        <v>74</v>
      </c>
      <c r="B8" s="11" t="s">
        <v>58</v>
      </c>
      <c r="C8" s="12" t="s">
        <v>59</v>
      </c>
      <c r="D8" s="16">
        <f>SUMIFS(Soybeans_Mo!$D:$D,Soybeans_Mo!$B:$B,"STOCKS",Soybeans_Mo!$C:$C,RIGHT(D$2,5))-SUMIFS(Soybeans_Mo!$D:$D,Soybeans_Mo!$B:$B,"Production",Soybeans_Mo!$C:$C,RIGHT(D$2,5))-SUMIFS(Soybeans_Mo!$D:$D,Soybeans_Mo!$B:$B,"Imports",Soybeans_Mo!$C:$C,RIGHT(D$2,5))+SUMIFS(Soybeans_Mo!$D:$D,Soybeans_Mo!$B:$B,"Exports",Soybeans_Mo!$C:$C,RIGHT(D$2,5))+SUMIFS(Soybeans_Mo!$D:$D,Soybeans_Mo!$B:$B,"Food &amp; Processing",Soybeans_Mo!$C:$C,RIGHT(D$2,5))+SUMIFS(Soybeans_Mo!$D:$D,Soybeans_Mo!$B:$B,"FSR",Soybeans_Mo!$C:$C,RIGHT(D$2,5))+SUMIFS(Soybeans_Mo!$D:$D,Soybeans_Mo!$B:$B,"Seed",Soybeans_Mo!$C:$C,RIGHT(D$2,5))</f>
        <v>171.80000000000015</v>
      </c>
      <c r="E8" s="16">
        <f t="shared" ref="E8:Z8" si="1">D19</f>
        <v>145</v>
      </c>
      <c r="F8" s="16">
        <f t="shared" si="1"/>
        <v>140</v>
      </c>
      <c r="G8" s="16">
        <f t="shared" si="1"/>
        <v>270</v>
      </c>
      <c r="H8" s="16">
        <f t="shared" si="1"/>
        <v>495.00000000000182</v>
      </c>
      <c r="I8" s="16">
        <f t="shared" si="1"/>
        <v>470.00000000000091</v>
      </c>
      <c r="J8" s="16">
        <f t="shared" si="1"/>
        <v>116.00000000000136</v>
      </c>
      <c r="K8" s="16">
        <f t="shared" si="1"/>
        <v>220.00000000000182</v>
      </c>
      <c r="L8" s="16">
        <f t="shared" si="1"/>
        <v>305.00000000000227</v>
      </c>
      <c r="M8" s="16">
        <f t="shared" si="1"/>
        <v>296.50000000000273</v>
      </c>
      <c r="N8" s="16">
        <f t="shared" si="1"/>
        <v>231.30000000000291</v>
      </c>
      <c r="O8" s="16">
        <f t="shared" si="1"/>
        <v>157.49999999999909</v>
      </c>
      <c r="P8" s="16">
        <f t="shared" si="1"/>
        <v>237.29999999999927</v>
      </c>
      <c r="Q8" s="16">
        <f t="shared" si="1"/>
        <v>457.59999999999945</v>
      </c>
      <c r="R8" s="16">
        <f t="shared" si="1"/>
        <v>379.59999999999764</v>
      </c>
      <c r="S8" s="16">
        <f t="shared" si="1"/>
        <v>354.99999999999818</v>
      </c>
      <c r="T8" s="16">
        <f t="shared" si="1"/>
        <v>651.29999999999927</v>
      </c>
      <c r="U8" s="16">
        <f t="shared" si="1"/>
        <v>699.79999999999745</v>
      </c>
      <c r="V8" s="16">
        <f t="shared" si="1"/>
        <v>621.09999999999673</v>
      </c>
      <c r="W8" s="16">
        <f t="shared" si="1"/>
        <v>295.79999999999654</v>
      </c>
      <c r="X8" s="16">
        <f t="shared" si="1"/>
        <v>287.09999999999673</v>
      </c>
      <c r="Y8" s="16">
        <f t="shared" si="1"/>
        <v>371.79999999999382</v>
      </c>
      <c r="Z8" s="16">
        <f t="shared" si="1"/>
        <v>605.39999999999418</v>
      </c>
    </row>
    <row r="9" spans="1:26" x14ac:dyDescent="0.3">
      <c r="A9" s="11" t="s">
        <v>74</v>
      </c>
      <c r="B9" s="11" t="s">
        <v>45</v>
      </c>
      <c r="C9" s="12" t="s">
        <v>59</v>
      </c>
      <c r="D9" s="16">
        <f>SUMIFS(Soybeans_Mo!$P:$P,Soybeans_Mo!$B:$B,"Imports",Soybeans_Mo!$C:$C,RIGHT(D$2,5))</f>
        <v>650.93200000000002</v>
      </c>
      <c r="E9" s="16">
        <f>SUMIFS(Soybeans_Mo!$P:$P,Soybeans_Mo!$B:$B,"Imports",Soybeans_Mo!$C:$C,RIGHT(E$2,5))</f>
        <v>586.76400000000001</v>
      </c>
      <c r="F9" s="16">
        <f>SUMIFS(Soybeans_Mo!$P:$P,Soybeans_Mo!$B:$B,"Imports",Soybeans_Mo!$C:$C,RIGHT(F$2,5))</f>
        <v>393.46999999999997</v>
      </c>
      <c r="G9" s="16">
        <f>SUMIFS(Soybeans_Mo!$P:$P,Soybeans_Mo!$B:$B,"Imports",Soybeans_Mo!$C:$C,RIGHT(G$2,5))</f>
        <v>339.21800000000002</v>
      </c>
      <c r="H9" s="16">
        <f>SUMIFS(Soybeans_Mo!$P:$P,Soybeans_Mo!$B:$B,"Imports",Soybeans_Mo!$C:$C,RIGHT(H$2,5))</f>
        <v>240.67599999999996</v>
      </c>
      <c r="I9" s="16">
        <f>SUMIFS(Soybeans_Mo!$P:$P,Soybeans_Mo!$B:$B,"Imports",Soybeans_Mo!$C:$C,RIGHT(I$2,5))</f>
        <v>336.78800000000001</v>
      </c>
      <c r="J9" s="16">
        <f>SUMIFS(Soybeans_Mo!$P:$P,Soybeans_Mo!$B:$B,"Imports",Soybeans_Mo!$C:$C,RIGHT(J$2,5))</f>
        <v>350.55800000000005</v>
      </c>
      <c r="K9" s="16">
        <f>SUMIFS(Soybeans_Mo!$P:$P,Soybeans_Mo!$B:$B,"Imports",Soybeans_Mo!$C:$C,RIGHT(K$2,5))</f>
        <v>371.75200000000001</v>
      </c>
      <c r="L9" s="16">
        <f>SUMIFS(Soybeans_Mo!$P:$P,Soybeans_Mo!$B:$B,"Imports",Soybeans_Mo!$C:$C,RIGHT(L$2,5))</f>
        <v>266.27</v>
      </c>
      <c r="M9" s="16">
        <f>SUMIFS(Soybeans_Mo!$P:$P,Soybeans_Mo!$B:$B,"Imports",Soybeans_Mo!$C:$C,RIGHT(M$2,5))</f>
        <v>232.46400000000003</v>
      </c>
      <c r="N9" s="16">
        <f>SUMIFS(Soybeans_Mo!$P:$P,Soybeans_Mo!$B:$B,"Imports",Soybeans_Mo!$C:$C,RIGHT(N$2,5))</f>
        <v>257.59700000000004</v>
      </c>
      <c r="O9" s="16">
        <f>SUMIFS(Soybeans_Mo!$P:$P,Soybeans_Mo!$B:$B,"Imports",Soybeans_Mo!$C:$C,RIGHT(O$2,5))</f>
        <v>343.08600000000001</v>
      </c>
      <c r="P9" s="16">
        <f>SUMIFS(Soybeans_Mo!$P:$P,Soybeans_Mo!$B:$B,"Imports",Soybeans_Mo!$C:$C,RIGHT(P$2,5))</f>
        <v>329.39600000000002</v>
      </c>
      <c r="Q9" s="16">
        <f>SUMIFS(Soybeans_Mo!$P:$P,Soybeans_Mo!$B:$B,"Imports",Soybeans_Mo!$C:$C,RIGHT(Q$2,5))</f>
        <v>319.08400000000006</v>
      </c>
      <c r="R9" s="16">
        <f>SUMIFS(Soybeans_Mo!$P:$P,Soybeans_Mo!$B:$B,"Imports",Soybeans_Mo!$C:$C,RIGHT(R$2,5))</f>
        <v>482.63700000000006</v>
      </c>
      <c r="S9" s="16">
        <f>SUMIFS(Soybeans_Mo!$P:$P,Soybeans_Mo!$B:$B,"Imports",Soybeans_Mo!$C:$C,RIGHT(S$2,5))</f>
        <v>534.46100000000001</v>
      </c>
      <c r="T9" s="16">
        <f>SUMIFS(Soybeans_Mo!$P:$P,Soybeans_Mo!$B:$B,"Imports",Soybeans_Mo!$C:$C,RIGHT(T$2,5))</f>
        <v>1130.944</v>
      </c>
      <c r="U9" s="16">
        <f>SUMIFS(Soybeans_Mo!$P:$P,Soybeans_Mo!$B:$B,"Imports",Soybeans_Mo!$C:$C,RIGHT(U$2,5))</f>
        <v>242.35699999999997</v>
      </c>
      <c r="V9" s="16">
        <f>SUMIFS(Soybeans_Mo!$P:$P,Soybeans_Mo!$B:$B,"Imports",Soybeans_Mo!$C:$C,RIGHT(V$2,5))</f>
        <v>519.4899999999999</v>
      </c>
      <c r="W9" s="16">
        <f>SUMIFS(Soybeans_Mo!$P:$P,Soybeans_Mo!$B:$B,"Imports",Soybeans_Mo!$C:$C,RIGHT(W$2,5))</f>
        <v>551.84199999999998</v>
      </c>
      <c r="X9" s="16">
        <f>SUMIFS(Soybeans_Mo!$P:$P,Soybeans_Mo!$B:$B,"Imports",Soybeans_Mo!$C:$C,RIGHT(X$2,5))</f>
        <v>482.77999999999992</v>
      </c>
      <c r="Y9" s="16">
        <f>SUMIFS(Soybeans_Mo!$P:$P,Soybeans_Mo!$B:$B,"Imports",Soybeans_Mo!$C:$C,RIGHT(Y$2,5))</f>
        <v>322.02800000000002</v>
      </c>
      <c r="Z9" s="16">
        <f>SUMIFS(Soybeans_Mo!$P:$P,Soybeans_Mo!$B:$B,"Imports",Soybeans_Mo!$C:$C,RIGHT(Z$2,5))</f>
        <v>267.40000000000003</v>
      </c>
    </row>
    <row r="10" spans="1:26" x14ac:dyDescent="0.3">
      <c r="A10" s="11" t="s">
        <v>74</v>
      </c>
      <c r="B10" s="11" t="s">
        <v>43</v>
      </c>
      <c r="C10" s="12" t="s">
        <v>59</v>
      </c>
      <c r="D10" s="16">
        <f>SUMIFS(Soybeans_Mo!$P:$P,Soybeans_Mo!$B:$B,"Production",Soybeans_Mo!$C:$C,RIGHT(D$2,5))</f>
        <v>2335.6999999999998</v>
      </c>
      <c r="E10" s="16">
        <f>SUMIFS(Soybeans_Mo!$P:$P,Soybeans_Mo!$B:$B,"Production",Soybeans_Mo!$C:$C,RIGHT(E$2,5))</f>
        <v>2273.3000000000002</v>
      </c>
      <c r="F10" s="16">
        <f>SUMIFS(Soybeans_Mo!$P:$P,Soybeans_Mo!$B:$B,"Production",Soybeans_Mo!$C:$C,RIGHT(F$2,5))</f>
        <v>3043.9</v>
      </c>
      <c r="G10" s="16">
        <f>SUMIFS(Soybeans_Mo!$P:$P,Soybeans_Mo!$B:$B,"Production",Soybeans_Mo!$C:$C,RIGHT(G$2,5))</f>
        <v>3155.6</v>
      </c>
      <c r="H10" s="16">
        <f>SUMIFS(Soybeans_Mo!$P:$P,Soybeans_Mo!$B:$B,"Production",Soybeans_Mo!$C:$C,RIGHT(H$2,5))</f>
        <v>3465.5</v>
      </c>
      <c r="I10" s="16">
        <f>SUMIFS(Soybeans_Mo!$P:$P,Soybeans_Mo!$B:$B,"Production",Soybeans_Mo!$C:$C,RIGHT(I$2,5))</f>
        <v>2686.2</v>
      </c>
      <c r="J10" s="16">
        <f>SUMIFS(Soybeans_Mo!$P:$P,Soybeans_Mo!$B:$B,"Production",Soybeans_Mo!$C:$C,RIGHT(J$2,5))</f>
        <v>3335.9</v>
      </c>
      <c r="K10" s="16">
        <f>SUMIFS(Soybeans_Mo!$P:$P,Soybeans_Mo!$B:$B,"Production",Soybeans_Mo!$C:$C,RIGHT(K$2,5))</f>
        <v>3581.6</v>
      </c>
      <c r="L10" s="16">
        <f>SUMIFS(Soybeans_Mo!$P:$P,Soybeans_Mo!$B:$B,"Production",Soybeans_Mo!$C:$C,RIGHT(L$2,5))</f>
        <v>4444.6000000000004</v>
      </c>
      <c r="M10" s="16">
        <f>SUMIFS(Soybeans_Mo!$P:$P,Soybeans_Mo!$B:$B,"Production",Soybeans_Mo!$C:$C,RIGHT(M$2,5))</f>
        <v>4466.5</v>
      </c>
      <c r="N10" s="16">
        <f>SUMIFS(Soybeans_Mo!$P:$P,Soybeans_Mo!$B:$B,"Production",Soybeans_Mo!$C:$C,RIGHT(N$2,5))</f>
        <v>5086.3999999999996</v>
      </c>
      <c r="O10" s="16">
        <f>SUMIFS(Soybeans_Mo!$P:$P,Soybeans_Mo!$B:$B,"Production",Soybeans_Mo!$C:$C,RIGHT(O$2,5))</f>
        <v>5355.9</v>
      </c>
      <c r="P10" s="16">
        <f>SUMIFS(Soybeans_Mo!$P:$P,Soybeans_Mo!$B:$B,"Production",Soybeans_Mo!$C:$C,RIGHT(P$2,5))</f>
        <v>6044.8</v>
      </c>
      <c r="Q10" s="16">
        <f>SUMIFS(Soybeans_Mo!$P:$P,Soybeans_Mo!$B:$B,"Production",Soybeans_Mo!$C:$C,RIGHT(Q$2,5))</f>
        <v>6456.3</v>
      </c>
      <c r="R10" s="16">
        <f>SUMIFS(Soybeans_Mo!$P:$P,Soybeans_Mo!$B:$B,"Production",Soybeans_Mo!$C:$C,RIGHT(R$2,5))</f>
        <v>6596.5</v>
      </c>
      <c r="S10" s="16">
        <f>SUMIFS(Soybeans_Mo!$P:$P,Soybeans_Mo!$B:$B,"Production",Soybeans_Mo!$C:$C,RIGHT(S$2,5))</f>
        <v>7716.6</v>
      </c>
      <c r="T10" s="16">
        <f>SUMIFS(Soybeans_Mo!$P:$P,Soybeans_Mo!$B:$B,"Production",Soybeans_Mo!$C:$C,RIGHT(T$2,5))</f>
        <v>7416.6</v>
      </c>
      <c r="U10" s="16">
        <f>SUMIFS(Soybeans_Mo!$P:$P,Soybeans_Mo!$B:$B,"Production",Soybeans_Mo!$C:$C,RIGHT(U$2,5))</f>
        <v>6145.1</v>
      </c>
      <c r="V10" s="16">
        <f>SUMIFS(Soybeans_Mo!$P:$P,Soybeans_Mo!$B:$B,"Production",Soybeans_Mo!$C:$C,RIGHT(V$2,5))</f>
        <v>6358.6</v>
      </c>
      <c r="W10" s="16">
        <f>SUMIFS(Soybeans_Mo!$P:$P,Soybeans_Mo!$B:$B,"Production",Soybeans_Mo!$C:$C,RIGHT(W$2,5))</f>
        <v>6224</v>
      </c>
      <c r="X10" s="16">
        <f>SUMIFS(Soybeans_Mo!$P:$P,Soybeans_Mo!$B:$B,"Production",Soybeans_Mo!$C:$C,RIGHT(X$2,5))</f>
        <v>6543.2</v>
      </c>
      <c r="Y10" s="16">
        <f>SUMIFS(Soybeans_Mo!$P:$P,Soybeans_Mo!$B:$B,"Production",Soybeans_Mo!$C:$C,RIGHT(Y$2,5))</f>
        <v>7035.4</v>
      </c>
      <c r="Z10" s="16">
        <f>SUMIFS(Soybeans_Mo!$P:$P,Soybeans_Mo!$B:$B,"Production",Soybeans_Mo!$C:$C,RIGHT(Z$2,5))</f>
        <v>7728.3</v>
      </c>
    </row>
    <row r="11" spans="1:26" x14ac:dyDescent="0.3">
      <c r="A11" s="17" t="s">
        <v>74</v>
      </c>
      <c r="B11" s="17" t="s">
        <v>60</v>
      </c>
      <c r="C11" s="18" t="s">
        <v>59</v>
      </c>
      <c r="D11" s="19">
        <f t="shared" ref="D11:Z11" si="2">D8+D9+D10</f>
        <v>3158.4319999999998</v>
      </c>
      <c r="E11" s="19">
        <f t="shared" si="2"/>
        <v>3005.0640000000003</v>
      </c>
      <c r="F11" s="19">
        <f t="shared" si="2"/>
        <v>3577.37</v>
      </c>
      <c r="G11" s="19">
        <f t="shared" si="2"/>
        <v>3764.8180000000002</v>
      </c>
      <c r="H11" s="19">
        <f t="shared" si="2"/>
        <v>4201.1760000000013</v>
      </c>
      <c r="I11" s="19">
        <f t="shared" si="2"/>
        <v>3492.9880000000007</v>
      </c>
      <c r="J11" s="19">
        <f t="shared" si="2"/>
        <v>3802.4580000000014</v>
      </c>
      <c r="K11" s="19">
        <f t="shared" si="2"/>
        <v>4173.3520000000017</v>
      </c>
      <c r="L11" s="19">
        <f t="shared" si="2"/>
        <v>5015.8700000000026</v>
      </c>
      <c r="M11" s="19">
        <f t="shared" si="2"/>
        <v>4995.4640000000027</v>
      </c>
      <c r="N11" s="19">
        <f t="shared" si="2"/>
        <v>5575.2970000000023</v>
      </c>
      <c r="O11" s="19">
        <f t="shared" si="2"/>
        <v>5856.485999999999</v>
      </c>
      <c r="P11" s="19">
        <f t="shared" si="2"/>
        <v>6611.4959999999992</v>
      </c>
      <c r="Q11" s="19">
        <f t="shared" si="2"/>
        <v>7232.9839999999995</v>
      </c>
      <c r="R11" s="19">
        <f t="shared" si="2"/>
        <v>7458.7369999999974</v>
      </c>
      <c r="S11" s="19">
        <f t="shared" si="2"/>
        <v>8606.0609999999979</v>
      </c>
      <c r="T11" s="19">
        <f t="shared" si="2"/>
        <v>9198.8439999999991</v>
      </c>
      <c r="U11" s="19">
        <f t="shared" si="2"/>
        <v>7087.2569999999978</v>
      </c>
      <c r="V11" s="19">
        <f t="shared" si="2"/>
        <v>7499.1899999999969</v>
      </c>
      <c r="W11" s="19">
        <f t="shared" si="2"/>
        <v>7071.6419999999962</v>
      </c>
      <c r="X11" s="19">
        <f t="shared" si="2"/>
        <v>7313.0799999999963</v>
      </c>
      <c r="Y11" s="19">
        <f t="shared" si="2"/>
        <v>7729.2279999999937</v>
      </c>
      <c r="Z11" s="19">
        <f t="shared" si="2"/>
        <v>8601.0999999999949</v>
      </c>
    </row>
    <row r="13" spans="1:26" x14ac:dyDescent="0.3">
      <c r="A13" s="11" t="s">
        <v>74</v>
      </c>
      <c r="B13" s="11" t="s">
        <v>46</v>
      </c>
      <c r="C13" s="12" t="s">
        <v>59</v>
      </c>
      <c r="D13" s="16">
        <f>SUMIFS(Soybeans_Mo!$P:$P,Soybeans_Mo!$B:$B,"Food",Soybeans_Mo!$C:$C,RIGHT(D$2,5))</f>
        <v>418.7999999999999</v>
      </c>
      <c r="E13" s="16">
        <f>SUMIFS(Soybeans_Mo!$P:$P,Soybeans_Mo!$B:$B,"Food",Soybeans_Mo!$C:$C,RIGHT(E$2,5))</f>
        <v>324.09999999999997</v>
      </c>
      <c r="F13" s="16">
        <f>SUMIFS(Soybeans_Mo!$P:$P,Soybeans_Mo!$B:$B,"Food",Soybeans_Mo!$C:$C,RIGHT(F$2,5))</f>
        <v>453.2</v>
      </c>
      <c r="G13" s="16">
        <f>SUMIFS(Soybeans_Mo!$P:$P,Soybeans_Mo!$B:$B,"Food",Soybeans_Mo!$C:$C,RIGHT(G$2,5))</f>
        <v>334.40000000000003</v>
      </c>
      <c r="H13" s="16">
        <f>SUMIFS(Soybeans_Mo!$P:$P,Soybeans_Mo!$B:$B,"Food",Soybeans_Mo!$C:$C,RIGHT(H$2,5))</f>
        <v>355.89999999999986</v>
      </c>
      <c r="I13" s="16">
        <f>SUMIFS(Soybeans_Mo!$P:$P,Soybeans_Mo!$B:$B,"Food",Soybeans_Mo!$C:$C,RIGHT(I$2,5))</f>
        <v>208.19999999999996</v>
      </c>
      <c r="J13" s="16">
        <f>SUMIFS(Soybeans_Mo!$P:$P,Soybeans_Mo!$B:$B,"Food",Soybeans_Mo!$C:$C,RIGHT(J$2,5))</f>
        <v>266.2</v>
      </c>
      <c r="K13" s="16">
        <f>SUMIFS(Soybeans_Mo!$P:$P,Soybeans_Mo!$B:$B,"Food",Soybeans_Mo!$C:$C,RIGHT(K$2,5))</f>
        <v>306.7</v>
      </c>
      <c r="L13" s="16">
        <f>SUMIFS(Soybeans_Mo!$P:$P,Soybeans_Mo!$B:$B,"Food",Soybeans_Mo!$C:$C,RIGHT(L$2,5))</f>
        <v>354.7999999999999</v>
      </c>
      <c r="M13" s="16">
        <f>SUMIFS(Soybeans_Mo!$P:$P,Soybeans_Mo!$B:$B,"Food",Soybeans_Mo!$C:$C,RIGHT(M$2,5))</f>
        <v>438.2999999999999</v>
      </c>
      <c r="N13" s="16">
        <f>SUMIFS(Soybeans_Mo!$P:$P,Soybeans_Mo!$B:$B,"Food",Soybeans_Mo!$C:$C,RIGHT(N$2,5))</f>
        <v>359.10000000000008</v>
      </c>
      <c r="O13" s="16">
        <f>SUMIFS(Soybeans_Mo!$P:$P,Soybeans_Mo!$B:$B,"Food",Soybeans_Mo!$C:$C,RIGHT(O$2,5))</f>
        <v>434.8</v>
      </c>
      <c r="P13" s="16">
        <f>SUMIFS(Soybeans_Mo!$P:$P,Soybeans_Mo!$B:$B,"Food",Soybeans_Mo!$C:$C,RIGHT(P$2,5))</f>
        <v>333.7999999999999</v>
      </c>
      <c r="Q13" s="16">
        <f>SUMIFS(Soybeans_Mo!$P:$P,Soybeans_Mo!$B:$B,"Food",Soybeans_Mo!$C:$C,RIGHT(Q$2,5))</f>
        <v>508.7</v>
      </c>
      <c r="R13" s="16">
        <f>SUMIFS(Soybeans_Mo!$P:$P,Soybeans_Mo!$B:$B,"Food",Soybeans_Mo!$C:$C,RIGHT(R$2,5))</f>
        <v>550.5</v>
      </c>
      <c r="S13" s="16">
        <f>SUMIFS(Soybeans_Mo!$P:$P,Soybeans_Mo!$B:$B,"Food",Soybeans_Mo!$C:$C,RIGHT(S$2,5))</f>
        <v>795.70000000000027</v>
      </c>
      <c r="T13" s="16">
        <f>SUMIFS(Soybeans_Mo!$P:$P,Soybeans_Mo!$B:$B,"Food",Soybeans_Mo!$C:$C,RIGHT(T$2,5))</f>
        <v>401.8</v>
      </c>
      <c r="U13" s="16">
        <f>SUMIFS(Soybeans_Mo!$P:$P,Soybeans_Mo!$B:$B,"Food",Soybeans_Mo!$C:$C,RIGHT(U$2,5))</f>
        <v>932.0999999999998</v>
      </c>
      <c r="V13" s="16">
        <f>SUMIFS(Soybeans_Mo!$P:$P,Soybeans_Mo!$B:$B,"Food",Soybeans_Mo!$C:$C,RIGHT(V$2,5))</f>
        <v>604.79999999999984</v>
      </c>
      <c r="W13" s="16">
        <f>SUMIFS(Soybeans_Mo!$P:$P,Soybeans_Mo!$B:$B,"Food",Soybeans_Mo!$C:$C,RIGHT(W$2,5))</f>
        <v>445.40000000000003</v>
      </c>
      <c r="X13" s="16">
        <f>SUMIFS(Soybeans_Mo!$P:$P,Soybeans_Mo!$B:$B,"Food",Soybeans_Mo!$C:$C,RIGHT(X$2,5))</f>
        <v>716.80000000000007</v>
      </c>
      <c r="Y13" s="16">
        <f>SUMIFS(Soybeans_Mo!$P:$P,Soybeans_Mo!$B:$B,"Food",Soybeans_Mo!$C:$C,RIGHT(Y$2,5))</f>
        <v>303.89999999999992</v>
      </c>
      <c r="Z13" s="16">
        <f>SUMIFS(Soybeans_Mo!$P:$P,Soybeans_Mo!$B:$B,"Food",Soybeans_Mo!$C:$C,RIGHT(Z$2,5))</f>
        <v>637.79999999999984</v>
      </c>
    </row>
    <row r="14" spans="1:26" x14ac:dyDescent="0.3">
      <c r="A14" s="11" t="s">
        <v>74</v>
      </c>
      <c r="B14" s="11" t="s">
        <v>70</v>
      </c>
      <c r="C14" s="12" t="s">
        <v>59</v>
      </c>
      <c r="D14" s="16">
        <f>SUMIFS(Soybeans_Mo!$P:$P,Soybeans_Mo!$B:$B,"Crush",Soybeans_Mo!$C:$C,RIGHT(D$2,5))</f>
        <v>1762.4000000000008</v>
      </c>
      <c r="E14" s="16">
        <f>SUMIFS(Soybeans_Mo!$P:$P,Soybeans_Mo!$B:$B,"Crush",Soybeans_Mo!$C:$C,RIGHT(E$2,5))</f>
        <v>1500.0999999999995</v>
      </c>
      <c r="F14" s="16">
        <f>SUMIFS(Soybeans_Mo!$P:$P,Soybeans_Mo!$B:$B,"Crush",Soybeans_Mo!$C:$C,RIGHT(F$2,5))</f>
        <v>1610.3</v>
      </c>
      <c r="G14" s="16">
        <f>SUMIFS(Soybeans_Mo!$P:$P,Soybeans_Mo!$B:$B,"Crush",Soybeans_Mo!$C:$C,RIGHT(G$2,5))</f>
        <v>1493.1999999999998</v>
      </c>
      <c r="H14" s="16">
        <f>SUMIFS(Soybeans_Mo!$P:$P,Soybeans_Mo!$B:$B,"Crush",Soybeans_Mo!$C:$C,RIGHT(H$2,5))</f>
        <v>1512.9000000000003</v>
      </c>
      <c r="I14" s="16">
        <f>SUMIFS(Soybeans_Mo!$P:$P,Soybeans_Mo!$B:$B,"Crush",Soybeans_Mo!$C:$C,RIGHT(I$2,5))</f>
        <v>1347.5000000000007</v>
      </c>
      <c r="J14" s="16">
        <f>SUMIFS(Soybeans_Mo!$P:$P,Soybeans_Mo!$B:$B,"Crush",Soybeans_Mo!$C:$C,RIGHT(J$2,5))</f>
        <v>1279.9000000000005</v>
      </c>
      <c r="K14" s="16">
        <f>SUMIFS(Soybeans_Mo!$P:$P,Soybeans_Mo!$B:$B,"Crush",Soybeans_Mo!$C:$C,RIGHT(K$2,5))</f>
        <v>1292.8</v>
      </c>
      <c r="L14" s="16">
        <f>SUMIFS(Soybeans_Mo!$P:$P,Soybeans_Mo!$B:$B,"Crush",Soybeans_Mo!$C:$C,RIGHT(L$2,5))</f>
        <v>1448.4000000000003</v>
      </c>
      <c r="M14" s="16">
        <f>SUMIFS(Soybeans_Mo!$P:$P,Soybeans_Mo!$B:$B,"Crush",Soybeans_Mo!$C:$C,RIGHT(M$2,5))</f>
        <v>1410.2</v>
      </c>
      <c r="N14" s="16">
        <f>SUMIFS(Soybeans_Mo!$P:$P,Soybeans_Mo!$B:$B,"Crush",Soybeans_Mo!$C:$C,RIGHT(N$2,5))</f>
        <v>1540.7</v>
      </c>
      <c r="O14" s="16">
        <f>SUMIFS(Soybeans_Mo!$P:$P,Soybeans_Mo!$B:$B,"Crush",Soybeans_Mo!$C:$C,RIGHT(O$2,5))</f>
        <v>1524.5999999999997</v>
      </c>
      <c r="P14" s="16">
        <f>SUMIFS(Soybeans_Mo!$P:$P,Soybeans_Mo!$B:$B,"Crush",Soybeans_Mo!$C:$C,RIGHT(P$2,5))</f>
        <v>1787.4000000000003</v>
      </c>
      <c r="Q14" s="16">
        <f>SUMIFS(Soybeans_Mo!$P:$P,Soybeans_Mo!$B:$B,"Crush",Soybeans_Mo!$C:$C,RIGHT(Q$2,5))</f>
        <v>1922.8</v>
      </c>
      <c r="R14" s="16">
        <f>SUMIFS(Soybeans_Mo!$P:$P,Soybeans_Mo!$B:$B,"Crush",Soybeans_Mo!$C:$C,RIGHT(R$2,5))</f>
        <v>1832.3</v>
      </c>
      <c r="S14" s="16">
        <f>SUMIFS(Soybeans_Mo!$P:$P,Soybeans_Mo!$B:$B,"Crush",Soybeans_Mo!$C:$C,RIGHT(S$2,5))</f>
        <v>1969.1000000000004</v>
      </c>
      <c r="T14" s="16">
        <f>SUMIFS(Soybeans_Mo!$P:$P,Soybeans_Mo!$B:$B,"Crush",Soybeans_Mo!$C:$C,RIGHT(T$2,5))</f>
        <v>2058.099999999999</v>
      </c>
      <c r="U14" s="16">
        <f>SUMIFS(Soybeans_Mo!$P:$P,Soybeans_Mo!$B:$B,"Crush",Soybeans_Mo!$C:$C,RIGHT(U$2,5))</f>
        <v>1741.5999999999992</v>
      </c>
      <c r="V14" s="16">
        <f>SUMIFS(Soybeans_Mo!$P:$P,Soybeans_Mo!$B:$B,"Crush",Soybeans_Mo!$C:$C,RIGHT(V$2,5))</f>
        <v>1635.7</v>
      </c>
      <c r="W14" s="16">
        <f>SUMIFS(Soybeans_Mo!$P:$P,Soybeans_Mo!$B:$B,"Crush",Soybeans_Mo!$C:$C,RIGHT(W$2,5))</f>
        <v>1857.5999999999997</v>
      </c>
      <c r="X14" s="16">
        <f>SUMIFS(Soybeans_Mo!$P:$P,Soybeans_Mo!$B:$B,"Crush",Soybeans_Mo!$C:$C,RIGHT(X$2,5))</f>
        <v>1767.8</v>
      </c>
      <c r="Y14" s="16">
        <f>SUMIFS(Soybeans_Mo!$P:$P,Soybeans_Mo!$B:$B,"Crush",Soybeans_Mo!$C:$C,RIGHT(Y$2,5))</f>
        <v>1652.0999999999997</v>
      </c>
      <c r="Z14" s="16">
        <f>SUMIFS(Soybeans_Mo!$P:$P,Soybeans_Mo!$B:$B,"Crush",Soybeans_Mo!$C:$C,RIGHT(Z$2,5))</f>
        <v>1678.1999999999996</v>
      </c>
    </row>
    <row r="15" spans="1:26" x14ac:dyDescent="0.3">
      <c r="A15" s="11" t="s">
        <v>74</v>
      </c>
      <c r="B15" s="11" t="s">
        <v>50</v>
      </c>
      <c r="C15" s="12" t="s">
        <v>59</v>
      </c>
      <c r="D15" s="16">
        <f>SUMIFS(Soybeans_Mo!$P:$P,Soybeans_Mo!$B:$B,"FSR",Soybeans_Mo!$C:$C,RIGHT(D$2,5))+SUMIFS(Soybeans_Mo!$P:$P,Soybeans_Mo!$B:$B,"Seed",Soybeans_Mo!$C:$C,RIGHT(D$2,5))</f>
        <v>105.82199999999919</v>
      </c>
      <c r="E15" s="16">
        <f>SUMIFS(Soybeans_Mo!$P:$P,Soybeans_Mo!$B:$B,"FSR",Soybeans_Mo!$C:$C,RIGHT(E$2,5))+SUMIFS(Soybeans_Mo!$P:$P,Soybeans_Mo!$B:$B,"Seed",Soybeans_Mo!$C:$C,RIGHT(E$2,5))</f>
        <v>127.02200000000086</v>
      </c>
      <c r="F15" s="16">
        <f>SUMIFS(Soybeans_Mo!$P:$P,Soybeans_Mo!$B:$B,"FSR",Soybeans_Mo!$C:$C,RIGHT(F$2,5))+SUMIFS(Soybeans_Mo!$P:$P,Soybeans_Mo!$B:$B,"Seed",Soybeans_Mo!$C:$C,RIGHT(F$2,5))</f>
        <v>120.11999999999988</v>
      </c>
      <c r="G15" s="16">
        <f>SUMIFS(Soybeans_Mo!$P:$P,Soybeans_Mo!$B:$B,"FSR",Soybeans_Mo!$C:$C,RIGHT(G$2,5))+SUMIFS(Soybeans_Mo!$P:$P,Soybeans_Mo!$B:$B,"Seed",Soybeans_Mo!$C:$C,RIGHT(G$2,5))</f>
        <v>123.95399999999877</v>
      </c>
      <c r="H15" s="16">
        <f>SUMIFS(Soybeans_Mo!$P:$P,Soybeans_Mo!$B:$B,"FSR",Soybeans_Mo!$C:$C,RIGHT(H$2,5))+SUMIFS(Soybeans_Mo!$P:$P,Soybeans_Mo!$B:$B,"Seed",Soybeans_Mo!$C:$C,RIGHT(H$2,5))</f>
        <v>116.23400000000044</v>
      </c>
      <c r="I15" s="16">
        <f>SUMIFS(Soybeans_Mo!$P:$P,Soybeans_Mo!$B:$B,"FSR",Soybeans_Mo!$C:$C,RIGHT(I$2,5))+SUMIFS(Soybeans_Mo!$P:$P,Soybeans_Mo!$B:$B,"Seed",Soybeans_Mo!$C:$C,RIGHT(I$2,5))</f>
        <v>109.65999999999896</v>
      </c>
      <c r="J15" s="16">
        <f>SUMIFS(Soybeans_Mo!$P:$P,Soybeans_Mo!$B:$B,"FSR",Soybeans_Mo!$C:$C,RIGHT(J$2,5))+SUMIFS(Soybeans_Mo!$P:$P,Soybeans_Mo!$B:$B,"Seed",Soybeans_Mo!$C:$C,RIGHT(J$2,5))</f>
        <v>41.57799999999952</v>
      </c>
      <c r="K15" s="16">
        <f>SUMIFS(Soybeans_Mo!$P:$P,Soybeans_Mo!$B:$B,"FSR",Soybeans_Mo!$C:$C,RIGHT(K$2,5))+SUMIFS(Soybeans_Mo!$P:$P,Soybeans_Mo!$B:$B,"Seed",Soybeans_Mo!$C:$C,RIGHT(K$2,5))</f>
        <v>-51.610000000000127</v>
      </c>
      <c r="L15" s="16">
        <f>SUMIFS(Soybeans_Mo!$P:$P,Soybeans_Mo!$B:$B,"FSR",Soybeans_Mo!$C:$C,RIGHT(L$2,5))+SUMIFS(Soybeans_Mo!$P:$P,Soybeans_Mo!$B:$B,"Seed",Soybeans_Mo!$C:$C,RIGHT(L$2,5))</f>
        <v>13.884000000000007</v>
      </c>
      <c r="M15" s="16">
        <f>SUMIFS(Soybeans_Mo!$P:$P,Soybeans_Mo!$B:$B,"FSR",Soybeans_Mo!$C:$C,RIGHT(M$2,5))+SUMIFS(Soybeans_Mo!$P:$P,Soybeans_Mo!$B:$B,"Seed",Soybeans_Mo!$C:$C,RIGHT(M$2,5))</f>
        <v>-18.551000000000219</v>
      </c>
      <c r="N15" s="16">
        <f>SUMIFS(Soybeans_Mo!$P:$P,Soybeans_Mo!$B:$B,"FSR",Soybeans_Mo!$C:$C,RIGHT(N$2,5))+SUMIFS(Soybeans_Mo!$P:$P,Soybeans_Mo!$B:$B,"Seed",Soybeans_Mo!$C:$C,RIGHT(N$2,5))</f>
        <v>52.188000000001921</v>
      </c>
      <c r="O15" s="16">
        <f>SUMIFS(Soybeans_Mo!$P:$P,Soybeans_Mo!$B:$B,"FSR",Soybeans_Mo!$C:$C,RIGHT(O$2,5))+SUMIFS(Soybeans_Mo!$P:$P,Soybeans_Mo!$B:$B,"Seed",Soybeans_Mo!$C:$C,RIGHT(O$2,5))</f>
        <v>212.19300000000035</v>
      </c>
      <c r="P15" s="16">
        <f>SUMIFS(Soybeans_Mo!$P:$P,Soybeans_Mo!$B:$B,"FSR",Soybeans_Mo!$C:$C,RIGHT(P$2,5))+SUMIFS(Soybeans_Mo!$P:$P,Soybeans_Mo!$B:$B,"Seed",Soybeans_Mo!$C:$C,RIGHT(P$2,5))</f>
        <v>117.07999999999937</v>
      </c>
      <c r="Q15" s="16">
        <f>SUMIFS(Soybeans_Mo!$P:$P,Soybeans_Mo!$B:$B,"FSR",Soybeans_Mo!$C:$C,RIGHT(Q$2,5))+SUMIFS(Soybeans_Mo!$P:$P,Soybeans_Mo!$B:$B,"Seed",Soybeans_Mo!$C:$C,RIGHT(Q$2,5))</f>
        <v>122.8680000000017</v>
      </c>
      <c r="R15" s="16">
        <f>SUMIFS(Soybeans_Mo!$P:$P,Soybeans_Mo!$B:$B,"FSR",Soybeans_Mo!$C:$C,RIGHT(R$2,5))+SUMIFS(Soybeans_Mo!$P:$P,Soybeans_Mo!$B:$B,"Seed",Soybeans_Mo!$C:$C,RIGHT(R$2,5))</f>
        <v>252.53799999999967</v>
      </c>
      <c r="S15" s="16">
        <f>SUMIFS(Soybeans_Mo!$P:$P,Soybeans_Mo!$B:$B,"FSR",Soybeans_Mo!$C:$C,RIGHT(S$2,5))+SUMIFS(Soybeans_Mo!$P:$P,Soybeans_Mo!$B:$B,"Seed",Soybeans_Mo!$C:$C,RIGHT(S$2,5))</f>
        <v>243.34099999999788</v>
      </c>
      <c r="T15" s="16">
        <f>SUMIFS(Soybeans_Mo!$P:$P,Soybeans_Mo!$B:$B,"FSR",Soybeans_Mo!$C:$C,RIGHT(T$2,5))+SUMIFS(Soybeans_Mo!$P:$P,Soybeans_Mo!$B:$B,"Seed",Soybeans_Mo!$C:$C,RIGHT(T$2,5))</f>
        <v>403.58200000000323</v>
      </c>
      <c r="U15" s="16">
        <f>SUMIFS(Soybeans_Mo!$P:$P,Soybeans_Mo!$B:$B,"FSR",Soybeans_Mo!$C:$C,RIGHT(U$2,5))+SUMIFS(Soybeans_Mo!$P:$P,Soybeans_Mo!$B:$B,"Seed",Soybeans_Mo!$C:$C,RIGHT(U$2,5))</f>
        <v>205.43600000000276</v>
      </c>
      <c r="V15" s="16">
        <f>SUMIFS(Soybeans_Mo!$P:$P,Soybeans_Mo!$B:$B,"FSR",Soybeans_Mo!$C:$C,RIGHT(V$2,5))+SUMIFS(Soybeans_Mo!$P:$P,Soybeans_Mo!$B:$B,"Seed",Soybeans_Mo!$C:$C,RIGHT(V$2,5))</f>
        <v>446.86300000000051</v>
      </c>
      <c r="W15" s="16">
        <f>SUMIFS(Soybeans_Mo!$P:$P,Soybeans_Mo!$B:$B,"FSR",Soybeans_Mo!$C:$C,RIGHT(W$2,5))+SUMIFS(Soybeans_Mo!$P:$P,Soybeans_Mo!$B:$B,"Seed",Soybeans_Mo!$C:$C,RIGHT(W$2,5))</f>
        <v>203.89599999999916</v>
      </c>
      <c r="X15" s="16">
        <f>SUMIFS(Soybeans_Mo!$P:$P,Soybeans_Mo!$B:$B,"FSR",Soybeans_Mo!$C:$C,RIGHT(X$2,5))+SUMIFS(Soybeans_Mo!$P:$P,Soybeans_Mo!$B:$B,"Seed",Soybeans_Mo!$C:$C,RIGHT(X$2,5))</f>
        <v>223.77400000000134</v>
      </c>
      <c r="Y15" s="16">
        <f>SUMIFS(Soybeans_Mo!$P:$P,Soybeans_Mo!$B:$B,"FSR",Soybeans_Mo!$C:$C,RIGHT(Y$2,5))+SUMIFS(Soybeans_Mo!$P:$P,Soybeans_Mo!$B:$B,"Seed",Soybeans_Mo!$C:$C,RIGHT(Y$2,5))</f>
        <v>221.68200000000127</v>
      </c>
      <c r="Z15" s="16">
        <f>SUMIFS(Soybeans_Mo!$P:$P,Soybeans_Mo!$B:$B,"FSR",Soybeans_Mo!$C:$C,RIGHT(Z$2,5))+SUMIFS(Soybeans_Mo!$P:$P,Soybeans_Mo!$B:$B,"Seed",Soybeans_Mo!$C:$C,RIGHT(Z$2,5))</f>
        <v>241.95900000000043</v>
      </c>
    </row>
    <row r="16" spans="1:26" x14ac:dyDescent="0.3">
      <c r="A16" s="11" t="s">
        <v>74</v>
      </c>
      <c r="B16" s="11" t="s">
        <v>44</v>
      </c>
      <c r="C16" s="12" t="s">
        <v>59</v>
      </c>
      <c r="D16" s="16">
        <f>SUMIFS(Soybeans_Mo!$P:$P,Soybeans_Mo!$B:$B,"Exports",Soybeans_Mo!$C:$C,RIGHT(D$2,5))</f>
        <v>726.41000000000008</v>
      </c>
      <c r="E16" s="16">
        <f>SUMIFS(Soybeans_Mo!$P:$P,Soybeans_Mo!$B:$B,"Exports",Soybeans_Mo!$C:$C,RIGHT(E$2,5))</f>
        <v>913.8420000000001</v>
      </c>
      <c r="F16" s="16">
        <f>SUMIFS(Soybeans_Mo!$P:$P,Soybeans_Mo!$B:$B,"Exports",Soybeans_Mo!$C:$C,RIGHT(F$2,5))</f>
        <v>1123.75</v>
      </c>
      <c r="G16" s="16">
        <f>SUMIFS(Soybeans_Mo!$P:$P,Soybeans_Mo!$B:$B,"Exports",Soybeans_Mo!$C:$C,RIGHT(G$2,5))</f>
        <v>1318.2639999999999</v>
      </c>
      <c r="H16" s="16">
        <f>SUMIFS(Soybeans_Mo!$P:$P,Soybeans_Mo!$B:$B,"Exports",Soybeans_Mo!$C:$C,RIGHT(H$2,5))</f>
        <v>1746.1420000000001</v>
      </c>
      <c r="I16" s="16">
        <f>SUMIFS(Soybeans_Mo!$P:$P,Soybeans_Mo!$B:$B,"Exports",Soybeans_Mo!$C:$C,RIGHT(I$2,5))</f>
        <v>1711.6279999999997</v>
      </c>
      <c r="J16" s="16">
        <f>SUMIFS(Soybeans_Mo!$P:$P,Soybeans_Mo!$B:$B,"Exports",Soybeans_Mo!$C:$C,RIGHT(J$2,5))</f>
        <v>1994.7799999999997</v>
      </c>
      <c r="K16" s="16">
        <f>SUMIFS(Soybeans_Mo!$P:$P,Soybeans_Mo!$B:$B,"Exports",Soybeans_Mo!$C:$C,RIGHT(K$2,5))</f>
        <v>2320.4619999999995</v>
      </c>
      <c r="L16" s="16">
        <f>SUMIFS(Soybeans_Mo!$P:$P,Soybeans_Mo!$B:$B,"Exports",Soybeans_Mo!$C:$C,RIGHT(L$2,5))</f>
        <v>2902.2859999999996</v>
      </c>
      <c r="M16" s="16">
        <f>SUMIFS(Soybeans_Mo!$P:$P,Soybeans_Mo!$B:$B,"Exports",Soybeans_Mo!$C:$C,RIGHT(M$2,5))</f>
        <v>2934.2150000000001</v>
      </c>
      <c r="N16" s="16">
        <f>SUMIFS(Soybeans_Mo!$P:$P,Soybeans_Mo!$B:$B,"Exports",Soybeans_Mo!$C:$C,RIGHT(N$2,5))</f>
        <v>3465.8090000000011</v>
      </c>
      <c r="O16" s="16">
        <f>SUMIFS(Soybeans_Mo!$P:$P,Soybeans_Mo!$B:$B,"Exports",Soybeans_Mo!$C:$C,RIGHT(O$2,5))</f>
        <v>3447.5930000000003</v>
      </c>
      <c r="P16" s="16">
        <f>SUMIFS(Soybeans_Mo!$P:$P,Soybeans_Mo!$B:$B,"Exports",Soybeans_Mo!$C:$C,RIGHT(P$2,5))</f>
        <v>3915.616</v>
      </c>
      <c r="Q16" s="16">
        <f>SUMIFS(Soybeans_Mo!$P:$P,Soybeans_Mo!$B:$B,"Exports",Soybeans_Mo!$C:$C,RIGHT(Q$2,5))</f>
        <v>4299.0159999999996</v>
      </c>
      <c r="R16" s="16">
        <f>SUMIFS(Soybeans_Mo!$P:$P,Soybeans_Mo!$B:$B,"Exports",Soybeans_Mo!$C:$C,RIGHT(R$2,5))</f>
        <v>4468.3989999999994</v>
      </c>
      <c r="S16" s="16">
        <f>SUMIFS(Soybeans_Mo!$P:$P,Soybeans_Mo!$B:$B,"Exports",Soybeans_Mo!$C:$C,RIGHT(S$2,5))</f>
        <v>4946.62</v>
      </c>
      <c r="T16" s="16">
        <f>SUMIFS(Soybeans_Mo!$P:$P,Soybeans_Mo!$B:$B,"Exports",Soybeans_Mo!$C:$C,RIGHT(T$2,5))</f>
        <v>5635.5619999999999</v>
      </c>
      <c r="U16" s="16">
        <f>SUMIFS(Soybeans_Mo!$P:$P,Soybeans_Mo!$B:$B,"Exports",Soybeans_Mo!$C:$C,RIGHT(U$2,5))</f>
        <v>3587.0209999999997</v>
      </c>
      <c r="V16" s="16">
        <f>SUMIFS(Soybeans_Mo!$P:$P,Soybeans_Mo!$B:$B,"Exports",Soybeans_Mo!$C:$C,RIGHT(V$2,5))</f>
        <v>4516.027</v>
      </c>
      <c r="W16" s="16">
        <f>SUMIFS(Soybeans_Mo!$P:$P,Soybeans_Mo!$B:$B,"Exports",Soybeans_Mo!$C:$C,RIGHT(W$2,5))</f>
        <v>4277.6460000000006</v>
      </c>
      <c r="X16" s="16">
        <f>SUMIFS(Soybeans_Mo!$P:$P,Soybeans_Mo!$B:$B,"Exports",Soybeans_Mo!$C:$C,RIGHT(X$2,5))</f>
        <v>4232.9060000000009</v>
      </c>
      <c r="Y16" s="16">
        <f>SUMIFS(Soybeans_Mo!$P:$P,Soybeans_Mo!$B:$B,"Exports",Soybeans_Mo!$C:$C,RIGHT(Y$2,5))</f>
        <v>4946.1459999999988</v>
      </c>
      <c r="Z16" s="16">
        <f>SUMIFS(Soybeans_Mo!$P:$P,Soybeans_Mo!$B:$B,"Exports",Soybeans_Mo!$C:$C,RIGHT(Z$2,5))</f>
        <v>5532.241</v>
      </c>
    </row>
    <row r="17" spans="1:26" x14ac:dyDescent="0.3">
      <c r="A17" s="17" t="s">
        <v>74</v>
      </c>
      <c r="B17" s="17" t="s">
        <v>61</v>
      </c>
      <c r="C17" s="18" t="s">
        <v>59</v>
      </c>
      <c r="D17" s="19">
        <f t="shared" ref="D17:Z17" si="3">D13+D14+D15+D16</f>
        <v>3013.4319999999998</v>
      </c>
      <c r="E17" s="19">
        <f t="shared" si="3"/>
        <v>2865.0640000000003</v>
      </c>
      <c r="F17" s="19">
        <f t="shared" si="3"/>
        <v>3307.37</v>
      </c>
      <c r="G17" s="19">
        <f t="shared" si="3"/>
        <v>3269.8179999999984</v>
      </c>
      <c r="H17" s="19">
        <f t="shared" si="3"/>
        <v>3731.1760000000004</v>
      </c>
      <c r="I17" s="19">
        <f t="shared" si="3"/>
        <v>3376.9879999999994</v>
      </c>
      <c r="J17" s="19">
        <f t="shared" si="3"/>
        <v>3582.4579999999996</v>
      </c>
      <c r="K17" s="19">
        <f t="shared" si="3"/>
        <v>3868.3519999999994</v>
      </c>
      <c r="L17" s="19">
        <f t="shared" si="3"/>
        <v>4719.37</v>
      </c>
      <c r="M17" s="19">
        <f t="shared" si="3"/>
        <v>4764.1639999999998</v>
      </c>
      <c r="N17" s="19">
        <f t="shared" si="3"/>
        <v>5417.7970000000032</v>
      </c>
      <c r="O17" s="19">
        <f t="shared" si="3"/>
        <v>5619.1859999999997</v>
      </c>
      <c r="P17" s="19">
        <f t="shared" si="3"/>
        <v>6153.8959999999997</v>
      </c>
      <c r="Q17" s="19">
        <f t="shared" si="3"/>
        <v>6853.3840000000018</v>
      </c>
      <c r="R17" s="19">
        <f t="shared" si="3"/>
        <v>7103.7369999999992</v>
      </c>
      <c r="S17" s="19">
        <f t="shared" si="3"/>
        <v>7954.7609999999986</v>
      </c>
      <c r="T17" s="19">
        <f t="shared" si="3"/>
        <v>8499.0440000000017</v>
      </c>
      <c r="U17" s="19">
        <f t="shared" si="3"/>
        <v>6466.1570000000011</v>
      </c>
      <c r="V17" s="19">
        <f t="shared" si="3"/>
        <v>7203.39</v>
      </c>
      <c r="W17" s="19">
        <f t="shared" si="3"/>
        <v>6784.5419999999995</v>
      </c>
      <c r="X17" s="19">
        <f t="shared" si="3"/>
        <v>6941.2800000000025</v>
      </c>
      <c r="Y17" s="19">
        <f t="shared" si="3"/>
        <v>7123.8279999999995</v>
      </c>
      <c r="Z17" s="19">
        <f t="shared" si="3"/>
        <v>8090.2</v>
      </c>
    </row>
    <row r="19" spans="1:26" x14ac:dyDescent="0.3">
      <c r="A19" s="20" t="s">
        <v>74</v>
      </c>
      <c r="B19" s="20" t="s">
        <v>62</v>
      </c>
      <c r="C19" s="21" t="s">
        <v>59</v>
      </c>
      <c r="D19" s="22">
        <f t="shared" ref="D19:Z19" si="4">D11-D17</f>
        <v>145</v>
      </c>
      <c r="E19" s="22">
        <f t="shared" si="4"/>
        <v>140</v>
      </c>
      <c r="F19" s="22">
        <f t="shared" si="4"/>
        <v>270</v>
      </c>
      <c r="G19" s="22">
        <f t="shared" si="4"/>
        <v>495.00000000000182</v>
      </c>
      <c r="H19" s="22">
        <f t="shared" si="4"/>
        <v>470.00000000000091</v>
      </c>
      <c r="I19" s="22">
        <f t="shared" si="4"/>
        <v>116.00000000000136</v>
      </c>
      <c r="J19" s="22">
        <f t="shared" si="4"/>
        <v>220.00000000000182</v>
      </c>
      <c r="K19" s="22">
        <f t="shared" si="4"/>
        <v>305.00000000000227</v>
      </c>
      <c r="L19" s="22">
        <f t="shared" si="4"/>
        <v>296.50000000000273</v>
      </c>
      <c r="M19" s="22">
        <f t="shared" si="4"/>
        <v>231.30000000000291</v>
      </c>
      <c r="N19" s="22">
        <f t="shared" si="4"/>
        <v>157.49999999999909</v>
      </c>
      <c r="O19" s="22">
        <f t="shared" si="4"/>
        <v>237.29999999999927</v>
      </c>
      <c r="P19" s="22">
        <f t="shared" si="4"/>
        <v>457.59999999999945</v>
      </c>
      <c r="Q19" s="22">
        <f t="shared" si="4"/>
        <v>379.59999999999764</v>
      </c>
      <c r="R19" s="22">
        <f t="shared" si="4"/>
        <v>354.99999999999818</v>
      </c>
      <c r="S19" s="22">
        <f t="shared" si="4"/>
        <v>651.29999999999927</v>
      </c>
      <c r="T19" s="22">
        <f t="shared" si="4"/>
        <v>699.79999999999745</v>
      </c>
      <c r="U19" s="22">
        <f t="shared" si="4"/>
        <v>621.09999999999673</v>
      </c>
      <c r="V19" s="22">
        <f t="shared" si="4"/>
        <v>295.79999999999654</v>
      </c>
      <c r="W19" s="22">
        <f t="shared" si="4"/>
        <v>287.09999999999673</v>
      </c>
      <c r="X19" s="22">
        <f t="shared" si="4"/>
        <v>371.79999999999382</v>
      </c>
      <c r="Y19" s="22">
        <f t="shared" si="4"/>
        <v>605.39999999999418</v>
      </c>
      <c r="Z19" s="22">
        <f t="shared" si="4"/>
        <v>510.89999999999509</v>
      </c>
    </row>
    <row r="20" spans="1:26" x14ac:dyDescent="0.3">
      <c r="A20" s="11" t="s">
        <v>74</v>
      </c>
      <c r="B20" s="11" t="s">
        <v>63</v>
      </c>
      <c r="C20" s="12" t="s">
        <v>56</v>
      </c>
      <c r="D20" s="14">
        <f t="shared" ref="D20:Z20" si="5">IF(D17&lt;&gt;0,D19/D17,"")</f>
        <v>4.8117893484903598E-2</v>
      </c>
      <c r="E20" s="14">
        <f t="shared" si="5"/>
        <v>4.8864527982620976E-2</v>
      </c>
      <c r="F20" s="14">
        <f t="shared" si="5"/>
        <v>8.163586172699154E-2</v>
      </c>
      <c r="G20" s="14">
        <f t="shared" si="5"/>
        <v>0.1513845724746766</v>
      </c>
      <c r="H20" s="14">
        <f t="shared" si="5"/>
        <v>0.12596564729189963</v>
      </c>
      <c r="I20" s="14">
        <f t="shared" si="5"/>
        <v>3.4350136867528518E-2</v>
      </c>
      <c r="J20" s="14">
        <f t="shared" si="5"/>
        <v>6.1410350100406436E-2</v>
      </c>
      <c r="K20" s="14">
        <f t="shared" si="5"/>
        <v>7.8844944824049704E-2</v>
      </c>
      <c r="L20" s="14">
        <f t="shared" si="5"/>
        <v>6.2826182308232392E-2</v>
      </c>
      <c r="M20" s="14">
        <f t="shared" si="5"/>
        <v>4.8549965954153326E-2</v>
      </c>
      <c r="N20" s="14">
        <f t="shared" si="5"/>
        <v>2.9070856660003874E-2</v>
      </c>
      <c r="O20" s="14">
        <f t="shared" si="5"/>
        <v>4.2230315921202695E-2</v>
      </c>
      <c r="P20" s="14">
        <f t="shared" si="5"/>
        <v>7.4359397688878628E-2</v>
      </c>
      <c r="Q20" s="14">
        <f t="shared" si="5"/>
        <v>5.5388695569954571E-2</v>
      </c>
      <c r="R20" s="14">
        <f t="shared" si="5"/>
        <v>4.9973696942890514E-2</v>
      </c>
      <c r="S20" s="14">
        <f t="shared" si="5"/>
        <v>8.1875495693710901E-2</v>
      </c>
      <c r="T20" s="14">
        <f t="shared" si="5"/>
        <v>8.2338672443629815E-2</v>
      </c>
      <c r="U20" s="14">
        <f t="shared" si="5"/>
        <v>9.6053962191143302E-2</v>
      </c>
      <c r="V20" s="14">
        <f t="shared" si="5"/>
        <v>4.1063999033787775E-2</v>
      </c>
      <c r="W20" s="14">
        <f t="shared" si="5"/>
        <v>4.2316784242767858E-2</v>
      </c>
      <c r="X20" s="14">
        <f t="shared" si="5"/>
        <v>5.3563607864830935E-2</v>
      </c>
      <c r="Y20" s="14">
        <f t="shared" si="5"/>
        <v>8.4982399911956635E-2</v>
      </c>
      <c r="Z20" s="14">
        <f t="shared" si="5"/>
        <v>6.3150478356529524E-2</v>
      </c>
    </row>
    <row r="21" spans="1:26" x14ac:dyDescent="0.3">
      <c r="A21" s="11" t="s">
        <v>74</v>
      </c>
      <c r="B21" s="11" t="s">
        <v>64</v>
      </c>
      <c r="C21" s="12" t="s">
        <v>65</v>
      </c>
      <c r="D21" s="16">
        <f t="shared" ref="D21:Z21" si="6">IF(D17&lt;&gt;0,D19/D17*365,"")</f>
        <v>17.563031121989813</v>
      </c>
      <c r="E21" s="16">
        <f t="shared" si="6"/>
        <v>17.835552713656657</v>
      </c>
      <c r="F21" s="16">
        <f t="shared" si="6"/>
        <v>29.797089530351911</v>
      </c>
      <c r="G21" s="16">
        <f t="shared" si="6"/>
        <v>55.255368953256955</v>
      </c>
      <c r="H21" s="16">
        <f t="shared" si="6"/>
        <v>45.977461261543368</v>
      </c>
      <c r="I21" s="16">
        <f t="shared" si="6"/>
        <v>12.537799956647909</v>
      </c>
      <c r="J21" s="16">
        <f t="shared" si="6"/>
        <v>22.414777786648347</v>
      </c>
      <c r="K21" s="16">
        <f t="shared" si="6"/>
        <v>28.778404860778142</v>
      </c>
      <c r="L21" s="16">
        <f t="shared" si="6"/>
        <v>22.931556542504822</v>
      </c>
      <c r="M21" s="16">
        <f t="shared" si="6"/>
        <v>17.720737573265964</v>
      </c>
      <c r="N21" s="16">
        <f t="shared" si="6"/>
        <v>10.610862680901414</v>
      </c>
      <c r="O21" s="16">
        <f t="shared" si="6"/>
        <v>15.414065311238984</v>
      </c>
      <c r="P21" s="16">
        <f t="shared" si="6"/>
        <v>27.141180156440701</v>
      </c>
      <c r="Q21" s="16">
        <f t="shared" si="6"/>
        <v>20.216873883033418</v>
      </c>
      <c r="R21" s="16">
        <f t="shared" si="6"/>
        <v>18.240399384155037</v>
      </c>
      <c r="S21" s="16">
        <f t="shared" si="6"/>
        <v>29.884555928204477</v>
      </c>
      <c r="T21" s="16">
        <f t="shared" si="6"/>
        <v>30.053615441924883</v>
      </c>
      <c r="U21" s="16">
        <f t="shared" si="6"/>
        <v>35.059696199767302</v>
      </c>
      <c r="V21" s="16">
        <f t="shared" si="6"/>
        <v>14.988359647332539</v>
      </c>
      <c r="W21" s="16">
        <f t="shared" si="6"/>
        <v>15.445626248610267</v>
      </c>
      <c r="X21" s="16">
        <f t="shared" si="6"/>
        <v>19.55071687066329</v>
      </c>
      <c r="Y21" s="16">
        <f t="shared" si="6"/>
        <v>31.018575967864173</v>
      </c>
      <c r="Z21" s="16">
        <f t="shared" si="6"/>
        <v>23.049924600133277</v>
      </c>
    </row>
    <row r="22" spans="1:26" x14ac:dyDescent="0.3">
      <c r="A22" s="20" t="s">
        <v>74</v>
      </c>
      <c r="B22" s="20" t="s">
        <v>66</v>
      </c>
      <c r="C22" s="21" t="s">
        <v>59</v>
      </c>
      <c r="D22" s="22">
        <f>D19-SUMIFS(Soybeans_Mo!$P:$P,Soybeans_Mo!$B:$B,"STOCKS",Soybeans_Mo!$C:$C,RIGHT(D$2,5))</f>
        <v>-9.9475983006414026E-13</v>
      </c>
      <c r="E22" s="22">
        <f>E19-SUMIFS(Soybeans_Mo!$P:$P,Soybeans_Mo!$B:$B,"STOCKS",Soybeans_Mo!$C:$C,RIGHT(E$2,5))</f>
        <v>-6.2527760746888816E-13</v>
      </c>
      <c r="F22" s="22">
        <f>F19-SUMIFS(Soybeans_Mo!$P:$P,Soybeans_Mo!$B:$B,"STOCKS",Soybeans_Mo!$C:$C,RIGHT(F$2,5))</f>
        <v>0</v>
      </c>
      <c r="G22" s="22">
        <f>G19-SUMIFS(Soybeans_Mo!$P:$P,Soybeans_Mo!$B:$B,"STOCKS",Soybeans_Mo!$C:$C,RIGHT(G$2,5))</f>
        <v>0</v>
      </c>
      <c r="H22" s="22">
        <f>H19-SUMIFS(Soybeans_Mo!$P:$P,Soybeans_Mo!$B:$B,"STOCKS",Soybeans_Mo!$C:$C,RIGHT(H$2,5))</f>
        <v>0</v>
      </c>
      <c r="I22" s="22">
        <f>I19-SUMIFS(Soybeans_Mo!$P:$P,Soybeans_Mo!$B:$B,"STOCKS",Soybeans_Mo!$C:$C,RIGHT(I$2,5))</f>
        <v>2.1742607714259066E-12</v>
      </c>
      <c r="J22" s="22">
        <f>J19-SUMIFS(Soybeans_Mo!$P:$P,Soybeans_Mo!$B:$B,"STOCKS",Soybeans_Mo!$C:$C,RIGHT(J$2,5))</f>
        <v>2.8421709430404007E-12</v>
      </c>
      <c r="K22" s="22">
        <f>K19-SUMIFS(Soybeans_Mo!$P:$P,Soybeans_Mo!$B:$B,"STOCKS",Soybeans_Mo!$C:$C,RIGHT(K$2,5))</f>
        <v>2.0463630789890885E-12</v>
      </c>
      <c r="L22" s="22">
        <f>L19-SUMIFS(Soybeans_Mo!$P:$P,Soybeans_Mo!$B:$B,"STOCKS",Soybeans_Mo!$C:$C,RIGHT(L$2,5))</f>
        <v>2.3305801732931286E-12</v>
      </c>
      <c r="M22" s="22">
        <f>M19-SUMIFS(Soybeans_Mo!$P:$P,Soybeans_Mo!$B:$B,"STOCKS",Soybeans_Mo!$C:$C,RIGHT(M$2,5))</f>
        <v>3.1832314562052488E-12</v>
      </c>
      <c r="N22" s="22">
        <f>N19-SUMIFS(Soybeans_Mo!$P:$P,Soybeans_Mo!$B:$B,"STOCKS",Soybeans_Mo!$C:$C,RIGHT(N$2,5))</f>
        <v>2.2737367544323206E-12</v>
      </c>
      <c r="O22" s="22">
        <f>O19-SUMIFS(Soybeans_Mo!$P:$P,Soybeans_Mo!$B:$B,"STOCKS",Soybeans_Mo!$C:$C,RIGHT(O$2,5))</f>
        <v>4.0927261579781771E-12</v>
      </c>
      <c r="P22" s="22">
        <f>P19-SUMIFS(Soybeans_Mo!$P:$P,Soybeans_Mo!$B:$B,"STOCKS",Soybeans_Mo!$C:$C,RIGHT(P$2,5))</f>
        <v>1.6484591469634324E-12</v>
      </c>
      <c r="Q22" s="22">
        <f>Q19-SUMIFS(Soybeans_Mo!$P:$P,Soybeans_Mo!$B:$B,"STOCKS",Soybeans_Mo!$C:$C,RIGHT(Q$2,5))</f>
        <v>1.0231815394945443E-12</v>
      </c>
      <c r="R22" s="22">
        <f>R19-SUMIFS(Soybeans_Mo!$P:$P,Soybeans_Mo!$B:$B,"STOCKS",Soybeans_Mo!$C:$C,RIGHT(R$2,5))</f>
        <v>0</v>
      </c>
      <c r="S22" s="22">
        <f>S19-SUMIFS(Soybeans_Mo!$P:$P,Soybeans_Mo!$B:$B,"STOCKS",Soybeans_Mo!$C:$C,RIGHT(S$2,5))</f>
        <v>-3.1832314562052488E-12</v>
      </c>
      <c r="T22" s="22">
        <f>T19-SUMIFS(Soybeans_Mo!$P:$P,Soybeans_Mo!$B:$B,"STOCKS",Soybeans_Mo!$C:$C,RIGHT(T$2,5))</f>
        <v>2.0463630789890885E-12</v>
      </c>
      <c r="U22" s="22">
        <f>U19-SUMIFS(Soybeans_Mo!$P:$P,Soybeans_Mo!$B:$B,"STOCKS",Soybeans_Mo!$C:$C,RIGHT(U$2,5))</f>
        <v>3.4106051316484809E-12</v>
      </c>
      <c r="V22" s="22">
        <f>V19-SUMIFS(Soybeans_Mo!$P:$P,Soybeans_Mo!$B:$B,"STOCKS",Soybeans_Mo!$C:$C,RIGHT(V$2,5))</f>
        <v>3.5242919693700969E-12</v>
      </c>
      <c r="W22" s="22">
        <f>W19-SUMIFS(Soybeans_Mo!$P:$P,Soybeans_Mo!$B:$B,"STOCKS",Soybeans_Mo!$C:$C,RIGHT(W$2,5))</f>
        <v>3.5242919693700969E-12</v>
      </c>
      <c r="X22" s="22">
        <f>X19-SUMIFS(Soybeans_Mo!$P:$P,Soybeans_Mo!$B:$B,"STOCKS",Soybeans_Mo!$C:$C,RIGHT(X$2,5))</f>
        <v>3.5811353882309049E-12</v>
      </c>
      <c r="Y22" s="22">
        <f>Y19-SUMIFS(Soybeans_Mo!$P:$P,Soybeans_Mo!$B:$B,"STOCKS",Soybeans_Mo!$C:$C,RIGHT(Y$2,5))</f>
        <v>4.3200998334214091E-12</v>
      </c>
      <c r="Z22" s="22">
        <f>Z19-SUMIFS(Soybeans_Mo!$P:$P,Soybeans_Mo!$B:$B,"STOCKS",Soybeans_Mo!$C:$C,RIGHT(Z$2,5))</f>
        <v>3.751665644813329E-12</v>
      </c>
    </row>
    <row r="25" spans="1:26" s="25" customFormat="1" ht="13.8" x14ac:dyDescent="0.3">
      <c r="A25" s="25" t="str">
        <f>A22</f>
        <v>Soybeans</v>
      </c>
      <c r="B25" s="25" t="s">
        <v>81</v>
      </c>
      <c r="D25" s="40" cm="1">
        <f t="array" ref="D25">SUM(D13:D14/D$10)</f>
        <v>0.93385280643918356</v>
      </c>
      <c r="E25" s="40" cm="1">
        <f t="array" ref="E25">SUM(E13:E14/E$10)</f>
        <v>0.80244578366251673</v>
      </c>
      <c r="F25" s="40" cm="1">
        <f t="array" ref="F25">SUM(F13:F14/F$10)</f>
        <v>0.67791320345609252</v>
      </c>
      <c r="G25" s="40" cm="1">
        <f t="array" ref="G25">SUM(G13:G14/G$10)</f>
        <v>0.5791608568893396</v>
      </c>
      <c r="H25" s="40" cm="1">
        <f t="array" ref="H25">SUM(H13:H14/H$10)</f>
        <v>0.53925840427066807</v>
      </c>
      <c r="I25" s="40" cm="1">
        <f t="array" ref="I25">SUM(I13:I14/I$10)</f>
        <v>0.57914526096344299</v>
      </c>
      <c r="J25" s="40" cm="1">
        <f t="array" ref="J25">SUM(J13:J14/J$10)</f>
        <v>0.46347312569321641</v>
      </c>
      <c r="K25" s="40" cm="1">
        <f t="array" ref="K25">SUM(K13:K14/K$10)</f>
        <v>0.44658811704266249</v>
      </c>
      <c r="L25" s="40" cm="1">
        <f t="array" ref="L25">SUM(L13:L14/L$10)</f>
        <v>0.40570580029698966</v>
      </c>
      <c r="M25" s="40" cm="1">
        <f t="array" ref="M25">SUM(M13:M14/M$10)</f>
        <v>0.41385872607186835</v>
      </c>
      <c r="N25" s="40" cm="1">
        <f t="array" ref="N25">SUM(N13:N14/N$10)</f>
        <v>0.37350581944007555</v>
      </c>
      <c r="O25" s="40" cm="1">
        <f t="array" ref="O25">SUM(O13:O14/O$10)</f>
        <v>0.36583954144028075</v>
      </c>
      <c r="P25" s="40" cm="1">
        <f t="array" ref="P25">SUM(P13:P14/P$10)</f>
        <v>0.3509131815775543</v>
      </c>
      <c r="Q25" s="40" cm="1">
        <f t="array" ref="Q25">SUM(Q13:Q14/Q$10)</f>
        <v>0.37660889363877142</v>
      </c>
      <c r="R25" s="40" cm="1">
        <f t="array" ref="R25">SUM(R13:R14/R$10)</f>
        <v>0.36122186007731372</v>
      </c>
      <c r="S25" s="40" cm="1">
        <f t="array" ref="S25">SUM(S13:S14/S$10)</f>
        <v>0.35829251224632619</v>
      </c>
      <c r="T25" s="40" cm="1">
        <f t="array" ref="T25">SUM(T13:T14/T$10)</f>
        <v>0.33167489145969842</v>
      </c>
      <c r="U25" s="40" cm="1">
        <f t="array" ref="U25">SUM(U13:U14/U$10)</f>
        <v>0.43509462824038647</v>
      </c>
      <c r="V25" s="40" cm="1">
        <f t="array" ref="V25">SUM(V13:V14/V$10)</f>
        <v>0.35235743717170442</v>
      </c>
      <c r="W25" s="40" cm="1">
        <f t="array" ref="W25">SUM(W13:W14/W$10)</f>
        <v>0.3700192802056555</v>
      </c>
      <c r="X25" s="40" cm="1">
        <f t="array" ref="X25">SUM(X13:X14/X$10)</f>
        <v>0.37972245995843013</v>
      </c>
      <c r="Y25" s="40" cm="1">
        <f t="array" ref="Y25">SUM(Y13:Y14/Y$10)</f>
        <v>0.27802257156664861</v>
      </c>
      <c r="Z25" s="40" cm="1">
        <f t="array" ref="Z25">SUM(Z13:Z14/Z$10)</f>
        <v>0.29967780753852713</v>
      </c>
    </row>
    <row r="26" spans="1:26" s="25" customFormat="1" ht="13.8" x14ac:dyDescent="0.3">
      <c r="A26" s="25" t="str">
        <f>A25</f>
        <v>Soybeans</v>
      </c>
      <c r="B26" s="25" t="s">
        <v>82</v>
      </c>
      <c r="D26" s="40">
        <f t="shared" ref="D26:Z27" si="7">D15/D$10</f>
        <v>4.5306332148820141E-2</v>
      </c>
      <c r="E26" s="40">
        <f t="shared" si="7"/>
        <v>5.5875599348964432E-2</v>
      </c>
      <c r="F26" s="40">
        <f t="shared" si="7"/>
        <v>3.9462531620618246E-2</v>
      </c>
      <c r="G26" s="40">
        <f t="shared" si="7"/>
        <v>3.9280643934592081E-2</v>
      </c>
      <c r="H26" s="40">
        <f t="shared" si="7"/>
        <v>3.3540326071274114E-2</v>
      </c>
      <c r="I26" s="40">
        <f t="shared" si="7"/>
        <v>4.0823468096194984E-2</v>
      </c>
      <c r="J26" s="40">
        <f t="shared" si="7"/>
        <v>1.2463802871788578E-2</v>
      </c>
      <c r="K26" s="40">
        <f t="shared" si="7"/>
        <v>-1.4409761000670127E-2</v>
      </c>
      <c r="L26" s="40">
        <f t="shared" si="7"/>
        <v>3.1237906673266449E-3</v>
      </c>
      <c r="M26" s="40">
        <f t="shared" si="7"/>
        <v>-4.1533639314900303E-3</v>
      </c>
      <c r="N26" s="40">
        <f t="shared" si="7"/>
        <v>1.0260301981755647E-2</v>
      </c>
      <c r="O26" s="40">
        <f t="shared" si="7"/>
        <v>3.9618551503948982E-2</v>
      </c>
      <c r="P26" s="40">
        <f t="shared" si="7"/>
        <v>1.9368713605081949E-2</v>
      </c>
      <c r="Q26" s="40">
        <f t="shared" si="7"/>
        <v>1.9030714186144028E-2</v>
      </c>
      <c r="R26" s="40">
        <f t="shared" si="7"/>
        <v>3.8283635261123272E-2</v>
      </c>
      <c r="S26" s="40">
        <f t="shared" si="7"/>
        <v>3.1534743280719209E-2</v>
      </c>
      <c r="T26" s="40">
        <f t="shared" si="7"/>
        <v>5.4416039694739265E-2</v>
      </c>
      <c r="U26" s="40">
        <f t="shared" si="7"/>
        <v>3.3430863614913139E-2</v>
      </c>
      <c r="V26" s="40">
        <f t="shared" si="7"/>
        <v>7.0276947755795377E-2</v>
      </c>
      <c r="W26" s="40">
        <f t="shared" si="7"/>
        <v>3.2759640102827628E-2</v>
      </c>
      <c r="X26" s="40">
        <f t="shared" si="7"/>
        <v>3.4199474263357586E-2</v>
      </c>
      <c r="Y26" s="40">
        <f t="shared" si="7"/>
        <v>3.1509509054211737E-2</v>
      </c>
      <c r="Z26" s="40">
        <f t="shared" si="7"/>
        <v>3.1308179030317199E-2</v>
      </c>
    </row>
    <row r="27" spans="1:26" s="25" customFormat="1" ht="13.8" x14ac:dyDescent="0.3">
      <c r="A27" s="25" t="str">
        <f>A26</f>
        <v>Soybeans</v>
      </c>
      <c r="B27" s="25" t="s">
        <v>83</v>
      </c>
      <c r="D27" s="40">
        <f t="shared" si="7"/>
        <v>0.31100312540137864</v>
      </c>
      <c r="E27" s="40">
        <f t="shared" si="7"/>
        <v>0.40198917872696083</v>
      </c>
      <c r="F27" s="40">
        <f t="shared" si="7"/>
        <v>0.36918098492066098</v>
      </c>
      <c r="G27" s="40">
        <f t="shared" si="7"/>
        <v>0.41775383445303588</v>
      </c>
      <c r="H27" s="40">
        <f t="shared" si="7"/>
        <v>0.50386437743471357</v>
      </c>
      <c r="I27" s="40">
        <f t="shared" si="7"/>
        <v>0.6371930608294244</v>
      </c>
      <c r="J27" s="40">
        <f t="shared" si="7"/>
        <v>0.59797356035852389</v>
      </c>
      <c r="K27" s="40">
        <f t="shared" si="7"/>
        <v>0.6478841858387312</v>
      </c>
      <c r="L27" s="40">
        <f t="shared" si="7"/>
        <v>0.65299149529766443</v>
      </c>
      <c r="M27" s="40">
        <f t="shared" si="7"/>
        <v>0.65693831859397744</v>
      </c>
      <c r="N27" s="40">
        <f t="shared" si="7"/>
        <v>0.68138742529097229</v>
      </c>
      <c r="O27" s="40">
        <f t="shared" si="7"/>
        <v>0.64370003174069723</v>
      </c>
      <c r="P27" s="40">
        <f t="shared" si="7"/>
        <v>0.6477660137638962</v>
      </c>
      <c r="Q27" s="40">
        <f t="shared" si="7"/>
        <v>0.66586373000015486</v>
      </c>
      <c r="R27" s="40">
        <f t="shared" si="7"/>
        <v>0.6773893731524292</v>
      </c>
      <c r="S27" s="40">
        <f t="shared" si="7"/>
        <v>0.6410362076562216</v>
      </c>
      <c r="T27" s="40">
        <f t="shared" si="7"/>
        <v>0.75985788636302343</v>
      </c>
      <c r="U27" s="40">
        <f t="shared" si="7"/>
        <v>0.5837205252965777</v>
      </c>
      <c r="V27" s="40">
        <f t="shared" si="7"/>
        <v>0.71022347686597675</v>
      </c>
      <c r="W27" s="40">
        <f t="shared" si="7"/>
        <v>0.68728245501285357</v>
      </c>
      <c r="X27" s="40">
        <f t="shared" si="7"/>
        <v>0.64691679911969691</v>
      </c>
      <c r="Y27" s="40">
        <f t="shared" si="7"/>
        <v>0.70303692753787972</v>
      </c>
      <c r="Z27" s="40">
        <f>Z16/Z$10</f>
        <v>0.71584190572312145</v>
      </c>
    </row>
    <row r="28" spans="1:26" s="25" customFormat="1" ht="13.8" x14ac:dyDescent="0.3"/>
    <row r="29" spans="1:26" s="25" customFormat="1" ht="13.8" x14ac:dyDescent="0.3">
      <c r="D29" s="39" t="e">
        <f t="shared" ref="D29:Y32" si="8">(D13-C13)/C13</f>
        <v>#VALUE!</v>
      </c>
      <c r="E29" s="39">
        <f t="shared" si="8"/>
        <v>-0.22612225405921671</v>
      </c>
      <c r="F29" s="39">
        <f t="shared" si="8"/>
        <v>0.39833384757790818</v>
      </c>
      <c r="G29" s="39">
        <f t="shared" si="8"/>
        <v>-0.26213592233009697</v>
      </c>
      <c r="H29" s="39">
        <f t="shared" si="8"/>
        <v>6.4294258373205224E-2</v>
      </c>
      <c r="I29" s="39">
        <f t="shared" si="8"/>
        <v>-0.41500421466704118</v>
      </c>
      <c r="J29" s="39">
        <f t="shared" si="8"/>
        <v>0.27857829010566781</v>
      </c>
      <c r="K29" s="39">
        <f t="shared" si="8"/>
        <v>0.15214124718256949</v>
      </c>
      <c r="L29" s="39">
        <f t="shared" si="8"/>
        <v>0.15683077926312328</v>
      </c>
      <c r="M29" s="39">
        <f t="shared" si="8"/>
        <v>0.23534385569334842</v>
      </c>
      <c r="N29" s="39">
        <f t="shared" si="8"/>
        <v>-0.18069815195071831</v>
      </c>
      <c r="O29" s="39">
        <f t="shared" si="8"/>
        <v>0.21080478975215794</v>
      </c>
      <c r="P29" s="39">
        <f t="shared" si="8"/>
        <v>-0.23229070837166538</v>
      </c>
      <c r="Q29" s="39">
        <f t="shared" si="8"/>
        <v>0.52396644697423655</v>
      </c>
      <c r="R29" s="39">
        <f t="shared" si="8"/>
        <v>8.2170237861214884E-2</v>
      </c>
      <c r="S29" s="39">
        <f t="shared" si="8"/>
        <v>0.44541326067211673</v>
      </c>
      <c r="T29" s="39">
        <f t="shared" si="8"/>
        <v>-0.4950358175191657</v>
      </c>
      <c r="U29" s="39">
        <f t="shared" si="8"/>
        <v>1.3198108511697355</v>
      </c>
      <c r="V29" s="39">
        <f t="shared" si="8"/>
        <v>-0.35114258126810433</v>
      </c>
      <c r="W29" s="39">
        <f t="shared" si="8"/>
        <v>-0.26355820105820082</v>
      </c>
      <c r="X29" s="39">
        <f t="shared" si="8"/>
        <v>0.60933991917377639</v>
      </c>
      <c r="Y29" s="39">
        <f t="shared" si="8"/>
        <v>-0.57603236607142871</v>
      </c>
      <c r="Z29" s="39">
        <f>(Z13-Y13)/Y13</f>
        <v>1.0987166831194473</v>
      </c>
    </row>
    <row r="30" spans="1:26" s="25" customFormat="1" ht="13.8" x14ac:dyDescent="0.3">
      <c r="D30" s="39" t="e">
        <f t="shared" si="8"/>
        <v>#VALUE!</v>
      </c>
      <c r="E30" s="39">
        <f t="shared" si="8"/>
        <v>-0.14883113935542511</v>
      </c>
      <c r="F30" s="39">
        <f t="shared" si="8"/>
        <v>7.3461769215385997E-2</v>
      </c>
      <c r="G30" s="39">
        <f t="shared" si="8"/>
        <v>-7.2719369061665609E-2</v>
      </c>
      <c r="H30" s="39">
        <f t="shared" si="8"/>
        <v>1.3193142244843626E-2</v>
      </c>
      <c r="I30" s="39">
        <f t="shared" si="8"/>
        <v>-0.10932645911824945</v>
      </c>
      <c r="J30" s="39">
        <f t="shared" si="8"/>
        <v>-5.016697588126167E-2</v>
      </c>
      <c r="K30" s="39">
        <f t="shared" si="8"/>
        <v>1.0078912415031959E-2</v>
      </c>
      <c r="L30" s="39">
        <f t="shared" si="8"/>
        <v>0.1203589108910894</v>
      </c>
      <c r="M30" s="39">
        <f t="shared" si="8"/>
        <v>-2.6373929853631777E-2</v>
      </c>
      <c r="N30" s="39">
        <f t="shared" si="8"/>
        <v>9.2540065238973193E-2</v>
      </c>
      <c r="O30" s="39">
        <f t="shared" si="8"/>
        <v>-1.0449795547478654E-2</v>
      </c>
      <c r="P30" s="39">
        <f t="shared" si="8"/>
        <v>0.172373081463991</v>
      </c>
      <c r="Q30" s="39">
        <f t="shared" si="8"/>
        <v>7.5752489649770396E-2</v>
      </c>
      <c r="R30" s="39">
        <f t="shared" si="8"/>
        <v>-4.7066777615976704E-2</v>
      </c>
      <c r="S30" s="39">
        <f t="shared" si="8"/>
        <v>7.466026305735983E-2</v>
      </c>
      <c r="T30" s="39">
        <f t="shared" si="8"/>
        <v>4.5198313950535078E-2</v>
      </c>
      <c r="U30" s="39">
        <f t="shared" si="8"/>
        <v>-0.15378261503328308</v>
      </c>
      <c r="V30" s="39">
        <f t="shared" si="8"/>
        <v>-6.0806155259531022E-2</v>
      </c>
      <c r="W30" s="39">
        <f t="shared" si="8"/>
        <v>0.13566057345478977</v>
      </c>
      <c r="X30" s="39">
        <f t="shared" si="8"/>
        <v>-4.8341946597760414E-2</v>
      </c>
      <c r="Y30" s="39">
        <f t="shared" si="8"/>
        <v>-6.544858015612641E-2</v>
      </c>
      <c r="Z30" s="39">
        <f t="shared" ref="Z30:Z32" si="9">(Z14-Y14)/Y14</f>
        <v>1.5798075177047344E-2</v>
      </c>
    </row>
    <row r="31" spans="1:26" s="25" customFormat="1" ht="13.8" x14ac:dyDescent="0.3">
      <c r="D31" s="39" t="e">
        <f t="shared" si="8"/>
        <v>#VALUE!</v>
      </c>
      <c r="E31" s="39">
        <f t="shared" si="8"/>
        <v>0.20033641397820706</v>
      </c>
      <c r="F31" s="39">
        <f t="shared" si="8"/>
        <v>-5.4337043976641332E-2</v>
      </c>
      <c r="G31" s="39">
        <f t="shared" si="8"/>
        <v>3.1918081918072751E-2</v>
      </c>
      <c r="H31" s="39">
        <f t="shared" si="8"/>
        <v>-6.2281168820678738E-2</v>
      </c>
      <c r="I31" s="39">
        <f t="shared" si="8"/>
        <v>-5.6558322005621858E-2</v>
      </c>
      <c r="J31" s="39">
        <f t="shared" si="8"/>
        <v>-0.62084625205179722</v>
      </c>
      <c r="K31" s="39">
        <f t="shared" si="8"/>
        <v>-2.2412814469190612</v>
      </c>
      <c r="L31" s="39">
        <f t="shared" si="8"/>
        <v>-1.2690176322418132</v>
      </c>
      <c r="M31" s="39">
        <f t="shared" si="8"/>
        <v>-2.3361423220973934</v>
      </c>
      <c r="N31" s="39">
        <f t="shared" si="8"/>
        <v>-3.813217616301078</v>
      </c>
      <c r="O31" s="39">
        <f t="shared" si="8"/>
        <v>3.0659346976314965</v>
      </c>
      <c r="P31" s="39">
        <f t="shared" si="8"/>
        <v>-0.44823816054252885</v>
      </c>
      <c r="Q31" s="39">
        <f t="shared" si="8"/>
        <v>4.9436282883518604E-2</v>
      </c>
      <c r="R31" s="39">
        <f t="shared" si="8"/>
        <v>1.0553602239801754</v>
      </c>
      <c r="S31" s="39">
        <f t="shared" si="8"/>
        <v>-3.6418281605151724E-2</v>
      </c>
      <c r="T31" s="39">
        <f t="shared" si="8"/>
        <v>0.65850391015080378</v>
      </c>
      <c r="U31" s="39">
        <f t="shared" si="8"/>
        <v>-0.4909683781734539</v>
      </c>
      <c r="V31" s="39">
        <f t="shared" si="8"/>
        <v>1.1751932475320512</v>
      </c>
      <c r="W31" s="39">
        <f t="shared" si="8"/>
        <v>-0.54371697813424036</v>
      </c>
      <c r="X31" s="39">
        <f t="shared" si="8"/>
        <v>9.7490877702369125E-2</v>
      </c>
      <c r="Y31" s="39">
        <f t="shared" si="8"/>
        <v>-9.348717902884416E-3</v>
      </c>
      <c r="Z31" s="39">
        <f t="shared" si="9"/>
        <v>9.1468860800601973E-2</v>
      </c>
    </row>
    <row r="32" spans="1:26" s="25" customFormat="1" ht="13.8" x14ac:dyDescent="0.3">
      <c r="D32" s="39" t="e">
        <f t="shared" si="8"/>
        <v>#VALUE!</v>
      </c>
      <c r="E32" s="39">
        <f t="shared" si="8"/>
        <v>0.25802508225382359</v>
      </c>
      <c r="F32" s="39">
        <f t="shared" si="8"/>
        <v>0.22969835048071754</v>
      </c>
      <c r="G32" s="39">
        <f t="shared" si="8"/>
        <v>0.1730936596218019</v>
      </c>
      <c r="H32" s="39">
        <f t="shared" si="8"/>
        <v>0.32457686775941708</v>
      </c>
      <c r="I32" s="39">
        <f t="shared" si="8"/>
        <v>-1.9765860966634071E-2</v>
      </c>
      <c r="J32" s="39">
        <f t="shared" si="8"/>
        <v>0.16542846927019195</v>
      </c>
      <c r="K32" s="39">
        <f t="shared" si="8"/>
        <v>0.16326712720199713</v>
      </c>
      <c r="L32" s="39">
        <f t="shared" si="8"/>
        <v>0.250736275793355</v>
      </c>
      <c r="M32" s="39">
        <f t="shared" si="8"/>
        <v>1.1001327918751131E-2</v>
      </c>
      <c r="N32" s="39">
        <f t="shared" si="8"/>
        <v>0.18117077310285748</v>
      </c>
      <c r="O32" s="39">
        <f t="shared" si="8"/>
        <v>-5.2559157183794027E-3</v>
      </c>
      <c r="P32" s="39">
        <f t="shared" si="8"/>
        <v>0.13575355327615518</v>
      </c>
      <c r="Q32" s="39">
        <f t="shared" si="8"/>
        <v>9.7915628090190568E-2</v>
      </c>
      <c r="R32" s="39">
        <f t="shared" si="8"/>
        <v>3.9400411629079729E-2</v>
      </c>
      <c r="S32" s="39">
        <f t="shared" si="8"/>
        <v>0.107022895672477</v>
      </c>
      <c r="T32" s="39">
        <f t="shared" si="8"/>
        <v>0.13927530313628297</v>
      </c>
      <c r="U32" s="39">
        <f t="shared" si="8"/>
        <v>-0.36350252201998667</v>
      </c>
      <c r="V32" s="39">
        <f t="shared" si="8"/>
        <v>0.25899095656256277</v>
      </c>
      <c r="W32" s="39">
        <f t="shared" si="8"/>
        <v>-5.2785556862259546E-2</v>
      </c>
      <c r="X32" s="39">
        <f t="shared" si="8"/>
        <v>-1.0459023490957358E-2</v>
      </c>
      <c r="Y32" s="39">
        <f t="shared" si="8"/>
        <v>0.16849889886522351</v>
      </c>
      <c r="Z32" s="39">
        <f t="shared" si="9"/>
        <v>0.11849528905940127</v>
      </c>
    </row>
  </sheetData>
  <conditionalFormatting sqref="D22:Z22">
    <cfRule type="cellIs" dxfId="10" priority="3" operator="between">
      <formula>-0.0009</formula>
      <formula>0.0009</formula>
    </cfRule>
  </conditionalFormatting>
  <conditionalFormatting sqref="D25:Z25">
    <cfRule type="colorScale" priority="2">
      <colorScale>
        <cfvo type="min"/>
        <cfvo type="max"/>
        <color rgb="FFFCFCFF"/>
        <color rgb="FF63BE7B"/>
      </colorScale>
    </cfRule>
  </conditionalFormatting>
  <conditionalFormatting sqref="D27:Z27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77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20" customWidth="1"/>
    <col min="3" max="16" width="7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75</v>
      </c>
      <c r="B2" s="2" t="s">
        <v>17</v>
      </c>
      <c r="C2" s="2" t="s">
        <v>18</v>
      </c>
      <c r="D2" s="3">
        <v>2.99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>
        <f t="shared" ref="P2:P33" si="0">D2</f>
        <v>2.99</v>
      </c>
    </row>
    <row r="3" spans="1:16" x14ac:dyDescent="0.3">
      <c r="A3" s="2" t="s">
        <v>75</v>
      </c>
      <c r="B3" s="2" t="s">
        <v>17</v>
      </c>
      <c r="C3" s="2" t="s">
        <v>19</v>
      </c>
      <c r="D3" s="3">
        <v>2.89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>
        <f t="shared" si="0"/>
        <v>2.89</v>
      </c>
    </row>
    <row r="4" spans="1:16" x14ac:dyDescent="0.3">
      <c r="A4" s="2" t="s">
        <v>75</v>
      </c>
      <c r="B4" s="2" t="s">
        <v>17</v>
      </c>
      <c r="C4" s="2" t="s">
        <v>20</v>
      </c>
      <c r="D4" s="3">
        <v>3.17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>
        <f t="shared" si="0"/>
        <v>3.17</v>
      </c>
    </row>
    <row r="5" spans="1:16" x14ac:dyDescent="0.3">
      <c r="A5" s="2" t="s">
        <v>75</v>
      </c>
      <c r="B5" s="2" t="s">
        <v>17</v>
      </c>
      <c r="C5" s="2" t="s">
        <v>21</v>
      </c>
      <c r="D5" s="3">
        <v>3.22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>
        <f t="shared" si="0"/>
        <v>3.22</v>
      </c>
    </row>
    <row r="6" spans="1:16" x14ac:dyDescent="0.3">
      <c r="A6" s="2" t="s">
        <v>75</v>
      </c>
      <c r="B6" s="2" t="s">
        <v>17</v>
      </c>
      <c r="C6" s="2" t="s">
        <v>22</v>
      </c>
      <c r="D6" s="3">
        <v>3.1155149999999998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>
        <f t="shared" si="0"/>
        <v>3.1155149999999998</v>
      </c>
    </row>
    <row r="7" spans="1:16" x14ac:dyDescent="0.3">
      <c r="A7" s="2" t="s">
        <v>75</v>
      </c>
      <c r="B7" s="2" t="s">
        <v>17</v>
      </c>
      <c r="C7" s="2" t="s">
        <v>23</v>
      </c>
      <c r="D7" s="3">
        <v>3.63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>
        <f t="shared" si="0"/>
        <v>3.63</v>
      </c>
    </row>
    <row r="8" spans="1:16" x14ac:dyDescent="0.3">
      <c r="A8" s="2" t="s">
        <v>75</v>
      </c>
      <c r="B8" s="2" t="s">
        <v>17</v>
      </c>
      <c r="C8" s="2" t="s">
        <v>24</v>
      </c>
      <c r="D8" s="3">
        <v>3.9849999999999999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>
        <f t="shared" si="0"/>
        <v>3.9849999999999999</v>
      </c>
    </row>
    <row r="9" spans="1:16" x14ac:dyDescent="0.3">
      <c r="A9" s="2" t="s">
        <v>75</v>
      </c>
      <c r="B9" s="2" t="s">
        <v>17</v>
      </c>
      <c r="C9" s="2" t="s">
        <v>25</v>
      </c>
      <c r="D9" s="3">
        <v>3.76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>
        <f t="shared" si="0"/>
        <v>3.76</v>
      </c>
    </row>
    <row r="10" spans="1:16" x14ac:dyDescent="0.3">
      <c r="A10" s="2" t="s">
        <v>75</v>
      </c>
      <c r="B10" s="2" t="s">
        <v>17</v>
      </c>
      <c r="C10" s="2" t="s">
        <v>26</v>
      </c>
      <c r="D10" s="3">
        <v>3.625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>
        <f t="shared" si="0"/>
        <v>3.625</v>
      </c>
    </row>
    <row r="11" spans="1:16" x14ac:dyDescent="0.3">
      <c r="A11" s="2" t="s">
        <v>75</v>
      </c>
      <c r="B11" s="2" t="s">
        <v>17</v>
      </c>
      <c r="C11" s="2" t="s">
        <v>27</v>
      </c>
      <c r="D11" s="3">
        <v>2.4367260000000002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>
        <f t="shared" si="0"/>
        <v>2.4367260000000002</v>
      </c>
    </row>
    <row r="12" spans="1:16" x14ac:dyDescent="0.3">
      <c r="A12" s="2" t="s">
        <v>75</v>
      </c>
      <c r="B12" s="2" t="s">
        <v>17</v>
      </c>
      <c r="C12" s="2" t="s">
        <v>28</v>
      </c>
      <c r="D12" s="3">
        <v>3.73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>
        <f t="shared" si="0"/>
        <v>3.73</v>
      </c>
    </row>
    <row r="13" spans="1:16" x14ac:dyDescent="0.3">
      <c r="A13" s="2" t="s">
        <v>75</v>
      </c>
      <c r="B13" s="2" t="s">
        <v>17</v>
      </c>
      <c r="C13" s="2" t="s">
        <v>29</v>
      </c>
      <c r="D13" s="3">
        <v>3.35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>
        <f t="shared" si="0"/>
        <v>3.35</v>
      </c>
    </row>
    <row r="14" spans="1:16" x14ac:dyDescent="0.3">
      <c r="A14" s="2" t="s">
        <v>75</v>
      </c>
      <c r="B14" s="2" t="s">
        <v>17</v>
      </c>
      <c r="C14" s="2" t="s">
        <v>30</v>
      </c>
      <c r="D14" s="3">
        <v>4.04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>
        <f t="shared" si="0"/>
        <v>4.04</v>
      </c>
    </row>
    <row r="15" spans="1:16" x14ac:dyDescent="0.3">
      <c r="A15" s="2" t="s">
        <v>75</v>
      </c>
      <c r="B15" s="2" t="s">
        <v>17</v>
      </c>
      <c r="C15" s="2" t="s">
        <v>31</v>
      </c>
      <c r="D15" s="3">
        <v>3.75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>
        <f t="shared" si="0"/>
        <v>3.75</v>
      </c>
    </row>
    <row r="16" spans="1:16" x14ac:dyDescent="0.3">
      <c r="A16" s="2" t="s">
        <v>75</v>
      </c>
      <c r="B16" s="2" t="s">
        <v>17</v>
      </c>
      <c r="C16" s="2" t="s">
        <v>32</v>
      </c>
      <c r="D16" s="3">
        <v>4.2816999999999998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>
        <f t="shared" si="0"/>
        <v>4.2816999999999998</v>
      </c>
    </row>
    <row r="17" spans="1:16" x14ac:dyDescent="0.3">
      <c r="A17" s="2" t="s">
        <v>75</v>
      </c>
      <c r="B17" s="2" t="s">
        <v>17</v>
      </c>
      <c r="C17" s="2" t="s">
        <v>33</v>
      </c>
      <c r="D17" s="3">
        <v>4.093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>
        <f t="shared" si="0"/>
        <v>4.093</v>
      </c>
    </row>
    <row r="18" spans="1:16" x14ac:dyDescent="0.3">
      <c r="A18" s="2" t="s">
        <v>75</v>
      </c>
      <c r="B18" s="2" t="s">
        <v>17</v>
      </c>
      <c r="C18" s="2" t="s">
        <v>34</v>
      </c>
      <c r="D18" s="3">
        <v>3.6153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>
        <f t="shared" si="0"/>
        <v>3.6153</v>
      </c>
    </row>
    <row r="19" spans="1:16" x14ac:dyDescent="0.3">
      <c r="A19" s="2" t="s">
        <v>75</v>
      </c>
      <c r="B19" s="2" t="s">
        <v>17</v>
      </c>
      <c r="C19" s="2" t="s">
        <v>35</v>
      </c>
      <c r="D19" s="3">
        <v>4.3327999999999998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>
        <f t="shared" si="0"/>
        <v>4.3327999999999998</v>
      </c>
    </row>
    <row r="20" spans="1:16" x14ac:dyDescent="0.3">
      <c r="A20" s="2" t="s">
        <v>75</v>
      </c>
      <c r="B20" s="2" t="s">
        <v>17</v>
      </c>
      <c r="C20" s="2" t="s">
        <v>36</v>
      </c>
      <c r="D20" s="3">
        <v>4.2553999999999998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>
        <f t="shared" si="0"/>
        <v>4.2553999999999998</v>
      </c>
    </row>
    <row r="21" spans="1:16" x14ac:dyDescent="0.3">
      <c r="A21" s="2" t="s">
        <v>75</v>
      </c>
      <c r="B21" s="2" t="s">
        <v>17</v>
      </c>
      <c r="C21" s="2" t="s">
        <v>37</v>
      </c>
      <c r="D21" s="3">
        <v>3.8547289999999998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>
        <f t="shared" si="0"/>
        <v>3.8547289999999998</v>
      </c>
    </row>
    <row r="22" spans="1:16" x14ac:dyDescent="0.3">
      <c r="A22" s="2" t="s">
        <v>75</v>
      </c>
      <c r="B22" s="2" t="s">
        <v>17</v>
      </c>
      <c r="C22" s="2" t="s">
        <v>38</v>
      </c>
      <c r="D22" s="3">
        <v>3.3681000000000001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>
        <f t="shared" si="0"/>
        <v>3.3681000000000001</v>
      </c>
    </row>
    <row r="23" spans="1:16" x14ac:dyDescent="0.3">
      <c r="A23" s="2" t="s">
        <v>75</v>
      </c>
      <c r="B23" s="2" t="s">
        <v>17</v>
      </c>
      <c r="C23" s="2" t="s">
        <v>39</v>
      </c>
      <c r="D23" s="3">
        <v>3.0476000000000001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>
        <f t="shared" si="0"/>
        <v>3.0476000000000001</v>
      </c>
    </row>
    <row r="24" spans="1:16" x14ac:dyDescent="0.3">
      <c r="A24" s="2" t="s">
        <v>75</v>
      </c>
      <c r="B24" s="2" t="s">
        <v>17</v>
      </c>
      <c r="C24" s="2" t="s">
        <v>40</v>
      </c>
      <c r="D24" s="3">
        <v>3.2128000000000001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>
        <f t="shared" si="0"/>
        <v>3.2128000000000001</v>
      </c>
    </row>
    <row r="25" spans="1:16" x14ac:dyDescent="0.3">
      <c r="A25" s="2" t="s">
        <v>75</v>
      </c>
      <c r="B25" s="2" t="s">
        <v>41</v>
      </c>
      <c r="C25" s="2" t="s">
        <v>18</v>
      </c>
      <c r="D25" s="3">
        <v>2.42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>
        <f t="shared" si="0"/>
        <v>2.42</v>
      </c>
    </row>
    <row r="26" spans="1:16" x14ac:dyDescent="0.3">
      <c r="A26" s="2" t="s">
        <v>75</v>
      </c>
      <c r="B26" s="2" t="s">
        <v>41</v>
      </c>
      <c r="C26" s="2" t="s">
        <v>19</v>
      </c>
      <c r="D26" s="3">
        <v>2.84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>
        <f t="shared" si="0"/>
        <v>2.84</v>
      </c>
    </row>
    <row r="27" spans="1:16" x14ac:dyDescent="0.3">
      <c r="A27" s="2" t="s">
        <v>75</v>
      </c>
      <c r="B27" s="2" t="s">
        <v>41</v>
      </c>
      <c r="C27" s="2" t="s">
        <v>20</v>
      </c>
      <c r="D27" s="3">
        <v>3.0739999999999998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>
        <f t="shared" si="0"/>
        <v>3.0739999999999998</v>
      </c>
    </row>
    <row r="28" spans="1:16" x14ac:dyDescent="0.3">
      <c r="A28" s="2" t="s">
        <v>75</v>
      </c>
      <c r="B28" s="2" t="s">
        <v>41</v>
      </c>
      <c r="C28" s="2" t="s">
        <v>21</v>
      </c>
      <c r="D28" s="3">
        <v>3.13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>
        <f t="shared" si="0"/>
        <v>3.13</v>
      </c>
    </row>
    <row r="29" spans="1:16" x14ac:dyDescent="0.3">
      <c r="A29" s="2" t="s">
        <v>75</v>
      </c>
      <c r="B29" s="2" t="s">
        <v>41</v>
      </c>
      <c r="C29" s="2" t="s">
        <v>22</v>
      </c>
      <c r="D29" s="3">
        <v>3.0409999999999999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>
        <f t="shared" si="0"/>
        <v>3.0409999999999999</v>
      </c>
    </row>
    <row r="30" spans="1:16" x14ac:dyDescent="0.3">
      <c r="A30" s="2" t="s">
        <v>75</v>
      </c>
      <c r="B30" s="2" t="s">
        <v>41</v>
      </c>
      <c r="C30" s="2" t="s">
        <v>23</v>
      </c>
      <c r="D30" s="3">
        <v>3.5649999999999999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>
        <f t="shared" si="0"/>
        <v>3.5649999999999999</v>
      </c>
    </row>
    <row r="31" spans="1:16" x14ac:dyDescent="0.3">
      <c r="A31" s="2" t="s">
        <v>75</v>
      </c>
      <c r="B31" s="2" t="s">
        <v>41</v>
      </c>
      <c r="C31" s="2" t="s">
        <v>24</v>
      </c>
      <c r="D31" s="3">
        <v>3.895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>
        <f t="shared" si="0"/>
        <v>3.895</v>
      </c>
    </row>
    <row r="32" spans="1:16" x14ac:dyDescent="0.3">
      <c r="A32" s="2" t="s">
        <v>75</v>
      </c>
      <c r="B32" s="2" t="s">
        <v>41</v>
      </c>
      <c r="C32" s="2" t="s">
        <v>25</v>
      </c>
      <c r="D32" s="3">
        <v>3.6749999999999998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>
        <f t="shared" si="0"/>
        <v>3.6749999999999998</v>
      </c>
    </row>
    <row r="33" spans="1:16" x14ac:dyDescent="0.3">
      <c r="A33" s="2" t="s">
        <v>75</v>
      </c>
      <c r="B33" s="2" t="s">
        <v>41</v>
      </c>
      <c r="C33" s="2" t="s">
        <v>26</v>
      </c>
      <c r="D33" s="3">
        <v>3.4319999999999999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>
        <f t="shared" si="0"/>
        <v>3.4319999999999999</v>
      </c>
    </row>
    <row r="34" spans="1:16" x14ac:dyDescent="0.3">
      <c r="A34" s="2" t="s">
        <v>75</v>
      </c>
      <c r="B34" s="2" t="s">
        <v>41</v>
      </c>
      <c r="C34" s="2" t="s">
        <v>27</v>
      </c>
      <c r="D34" s="3">
        <v>2.407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>
        <f t="shared" ref="P34:P65" si="1">D34</f>
        <v>2.407</v>
      </c>
    </row>
    <row r="35" spans="1:16" x14ac:dyDescent="0.3">
      <c r="A35" s="2" t="s">
        <v>75</v>
      </c>
      <c r="B35" s="2" t="s">
        <v>41</v>
      </c>
      <c r="C35" s="2" t="s">
        <v>28</v>
      </c>
      <c r="D35" s="3">
        <v>3.645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>
        <f t="shared" si="1"/>
        <v>3.645</v>
      </c>
    </row>
    <row r="36" spans="1:16" x14ac:dyDescent="0.3">
      <c r="A36" s="2" t="s">
        <v>75</v>
      </c>
      <c r="B36" s="2" t="s">
        <v>41</v>
      </c>
      <c r="C36" s="2" t="s">
        <v>29</v>
      </c>
      <c r="D36" s="3">
        <v>3.3149999999999999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>
        <f t="shared" si="1"/>
        <v>3.3149999999999999</v>
      </c>
    </row>
    <row r="37" spans="1:16" x14ac:dyDescent="0.3">
      <c r="A37" s="2" t="s">
        <v>75</v>
      </c>
      <c r="B37" s="2" t="s">
        <v>41</v>
      </c>
      <c r="C37" s="2" t="s">
        <v>30</v>
      </c>
      <c r="D37" s="3">
        <v>3.968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>
        <f t="shared" si="1"/>
        <v>3.968</v>
      </c>
    </row>
    <row r="38" spans="1:16" x14ac:dyDescent="0.3">
      <c r="A38" s="2" t="s">
        <v>75</v>
      </c>
      <c r="B38" s="2" t="s">
        <v>41</v>
      </c>
      <c r="C38" s="2" t="s">
        <v>31</v>
      </c>
      <c r="D38" s="3">
        <v>3.6920000000000002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>
        <f t="shared" si="1"/>
        <v>3.6920000000000002</v>
      </c>
    </row>
    <row r="39" spans="1:16" x14ac:dyDescent="0.3">
      <c r="A39" s="2" t="s">
        <v>75</v>
      </c>
      <c r="B39" s="2" t="s">
        <v>41</v>
      </c>
      <c r="C39" s="2" t="s">
        <v>32</v>
      </c>
      <c r="D39" s="3">
        <v>4.1440000000000001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>
        <f t="shared" si="1"/>
        <v>4.1440000000000001</v>
      </c>
    </row>
    <row r="40" spans="1:16" x14ac:dyDescent="0.3">
      <c r="A40" s="2" t="s">
        <v>75</v>
      </c>
      <c r="B40" s="2" t="s">
        <v>41</v>
      </c>
      <c r="C40" s="2" t="s">
        <v>33</v>
      </c>
      <c r="D40" s="3">
        <v>4.0579999999999998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>
        <f t="shared" si="1"/>
        <v>4.0579999999999998</v>
      </c>
    </row>
    <row r="41" spans="1:16" x14ac:dyDescent="0.3">
      <c r="A41" s="2" t="s">
        <v>75</v>
      </c>
      <c r="B41" s="2" t="s">
        <v>41</v>
      </c>
      <c r="C41" s="2" t="s">
        <v>34</v>
      </c>
      <c r="D41" s="3">
        <v>3.5365000000000002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>
        <f t="shared" si="1"/>
        <v>3.5365000000000002</v>
      </c>
    </row>
    <row r="42" spans="1:16" x14ac:dyDescent="0.3">
      <c r="A42" s="2" t="s">
        <v>75</v>
      </c>
      <c r="B42" s="2" t="s">
        <v>41</v>
      </c>
      <c r="C42" s="2" t="s">
        <v>35</v>
      </c>
      <c r="D42" s="3">
        <v>4.2276999999999996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>
        <f t="shared" si="1"/>
        <v>4.2276999999999996</v>
      </c>
    </row>
    <row r="43" spans="1:16" x14ac:dyDescent="0.3">
      <c r="A43" s="2" t="s">
        <v>75</v>
      </c>
      <c r="B43" s="2" t="s">
        <v>41</v>
      </c>
      <c r="C43" s="2" t="s">
        <v>36</v>
      </c>
      <c r="D43" s="3">
        <v>4.1631999999999998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>
        <f t="shared" si="1"/>
        <v>4.1631999999999998</v>
      </c>
    </row>
    <row r="44" spans="1:16" x14ac:dyDescent="0.3">
      <c r="A44" s="2" t="s">
        <v>75</v>
      </c>
      <c r="B44" s="2" t="s">
        <v>41</v>
      </c>
      <c r="C44" s="2" t="s">
        <v>37</v>
      </c>
      <c r="D44" s="3">
        <v>3.719004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>
        <f t="shared" si="1"/>
        <v>3.719004</v>
      </c>
    </row>
    <row r="45" spans="1:16" x14ac:dyDescent="0.3">
      <c r="A45" s="2" t="s">
        <v>75</v>
      </c>
      <c r="B45" s="2" t="s">
        <v>41</v>
      </c>
      <c r="C45" s="2" t="s">
        <v>38</v>
      </c>
      <c r="D45" s="3">
        <v>3.3311999999999999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>
        <f t="shared" si="1"/>
        <v>3.3311999999999999</v>
      </c>
    </row>
    <row r="46" spans="1:16" x14ac:dyDescent="0.3">
      <c r="A46" s="2" t="s">
        <v>75</v>
      </c>
      <c r="B46" s="2" t="s">
        <v>41</v>
      </c>
      <c r="C46" s="2" t="s">
        <v>39</v>
      </c>
      <c r="D46" s="3">
        <v>2.9649000000000001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>
        <f t="shared" si="1"/>
        <v>2.9649000000000001</v>
      </c>
    </row>
    <row r="47" spans="1:16" x14ac:dyDescent="0.3">
      <c r="A47" s="2" t="s">
        <v>75</v>
      </c>
      <c r="B47" s="2" t="s">
        <v>41</v>
      </c>
      <c r="C47" s="2" t="s">
        <v>40</v>
      </c>
      <c r="D47" s="3">
        <v>3.1642999999999999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>
        <f t="shared" si="1"/>
        <v>3.1642999999999999</v>
      </c>
    </row>
    <row r="48" spans="1:16" x14ac:dyDescent="0.3">
      <c r="A48" s="2" t="s">
        <v>75</v>
      </c>
      <c r="B48" s="2" t="s">
        <v>42</v>
      </c>
      <c r="C48" s="2" t="s">
        <v>18</v>
      </c>
      <c r="D48" s="5">
        <v>19.49238101652892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6">
        <f t="shared" si="1"/>
        <v>19.49238101652892</v>
      </c>
    </row>
    <row r="49" spans="1:16" x14ac:dyDescent="0.3">
      <c r="A49" s="2" t="s">
        <v>75</v>
      </c>
      <c r="B49" s="2" t="s">
        <v>42</v>
      </c>
      <c r="C49" s="2" t="s">
        <v>19</v>
      </c>
      <c r="D49" s="5">
        <v>24.98183462323944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6">
        <f t="shared" si="1"/>
        <v>24.98183462323944</v>
      </c>
    </row>
    <row r="50" spans="1:16" x14ac:dyDescent="0.3">
      <c r="A50" s="2" t="s">
        <v>75</v>
      </c>
      <c r="B50" s="2" t="s">
        <v>42</v>
      </c>
      <c r="C50" s="2" t="s">
        <v>20</v>
      </c>
      <c r="D50" s="5">
        <v>37.02101094339622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">
        <f t="shared" si="1"/>
        <v>37.02101094339622</v>
      </c>
    </row>
    <row r="51" spans="1:16" x14ac:dyDescent="0.3">
      <c r="A51" s="2" t="s">
        <v>75</v>
      </c>
      <c r="B51" s="2" t="s">
        <v>42</v>
      </c>
      <c r="C51" s="2" t="s">
        <v>21</v>
      </c>
      <c r="D51" s="5">
        <v>35.142472945686897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6">
        <f t="shared" si="1"/>
        <v>35.142472945686897</v>
      </c>
    </row>
    <row r="52" spans="1:16" x14ac:dyDescent="0.3">
      <c r="A52" s="2" t="s">
        <v>75</v>
      </c>
      <c r="B52" s="2" t="s">
        <v>42</v>
      </c>
      <c r="C52" s="2" t="s">
        <v>22</v>
      </c>
      <c r="D52" s="5">
        <v>30.447369164748441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6">
        <f t="shared" si="1"/>
        <v>30.447369164748441</v>
      </c>
    </row>
    <row r="53" spans="1:16" x14ac:dyDescent="0.3">
      <c r="A53" s="2" t="s">
        <v>75</v>
      </c>
      <c r="B53" s="2" t="s">
        <v>42</v>
      </c>
      <c r="C53" s="2" t="s">
        <v>23</v>
      </c>
      <c r="D53" s="5">
        <v>30.24836206451613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6">
        <f t="shared" si="1"/>
        <v>30.24836206451613</v>
      </c>
    </row>
    <row r="54" spans="1:16" x14ac:dyDescent="0.3">
      <c r="A54" s="2" t="s">
        <v>75</v>
      </c>
      <c r="B54" s="2" t="s">
        <v>42</v>
      </c>
      <c r="C54" s="2" t="s">
        <v>24</v>
      </c>
      <c r="D54" s="5">
        <v>33.625909794608468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6">
        <f t="shared" si="1"/>
        <v>33.625909794608468</v>
      </c>
    </row>
    <row r="55" spans="1:16" x14ac:dyDescent="0.3">
      <c r="A55" s="2" t="s">
        <v>75</v>
      </c>
      <c r="B55" s="2" t="s">
        <v>42</v>
      </c>
      <c r="C55" s="2" t="s">
        <v>25</v>
      </c>
      <c r="D55" s="5">
        <v>33.788206742857142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6">
        <f t="shared" si="1"/>
        <v>33.788206742857142</v>
      </c>
    </row>
    <row r="56" spans="1:16" x14ac:dyDescent="0.3">
      <c r="A56" s="2" t="s">
        <v>75</v>
      </c>
      <c r="B56" s="2" t="s">
        <v>42</v>
      </c>
      <c r="C56" s="2" t="s">
        <v>26</v>
      </c>
      <c r="D56" s="5">
        <v>32.31347183566433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6">
        <f t="shared" si="1"/>
        <v>32.31347183566433</v>
      </c>
    </row>
    <row r="57" spans="1:16" x14ac:dyDescent="0.3">
      <c r="A57" s="2" t="s">
        <v>75</v>
      </c>
      <c r="B57" s="2" t="s">
        <v>42</v>
      </c>
      <c r="C57" s="2" t="s">
        <v>27</v>
      </c>
      <c r="D57" s="5">
        <v>38.193908350643959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>
        <f t="shared" si="1"/>
        <v>38.193908350643959</v>
      </c>
    </row>
    <row r="58" spans="1:16" x14ac:dyDescent="0.3">
      <c r="A58" s="2" t="s">
        <v>75</v>
      </c>
      <c r="B58" s="2" t="s">
        <v>42</v>
      </c>
      <c r="C58" s="2" t="s">
        <v>28</v>
      </c>
      <c r="D58" s="5">
        <v>33.677188740740739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6">
        <f t="shared" si="1"/>
        <v>33.677188740740739</v>
      </c>
    </row>
    <row r="59" spans="1:16" x14ac:dyDescent="0.3">
      <c r="A59" s="2" t="s">
        <v>75</v>
      </c>
      <c r="B59" s="2" t="s">
        <v>42</v>
      </c>
      <c r="C59" s="2" t="s">
        <v>29</v>
      </c>
      <c r="D59" s="5">
        <v>43.901793954751128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6">
        <f t="shared" si="1"/>
        <v>43.901793954751128</v>
      </c>
    </row>
    <row r="60" spans="1:16" x14ac:dyDescent="0.3">
      <c r="A60" s="2" t="s">
        <v>75</v>
      </c>
      <c r="B60" s="2" t="s">
        <v>42</v>
      </c>
      <c r="C60" s="2" t="s">
        <v>30</v>
      </c>
      <c r="D60" s="5">
        <v>35.28154520413306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6">
        <f t="shared" si="1"/>
        <v>35.28154520413306</v>
      </c>
    </row>
    <row r="61" spans="1:16" x14ac:dyDescent="0.3">
      <c r="A61" s="2" t="s">
        <v>75</v>
      </c>
      <c r="B61" s="2" t="s">
        <v>42</v>
      </c>
      <c r="C61" s="2" t="s">
        <v>31</v>
      </c>
      <c r="D61" s="5">
        <v>31.854160506500541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6">
        <f t="shared" si="1"/>
        <v>31.854160506500541</v>
      </c>
    </row>
    <row r="62" spans="1:16" x14ac:dyDescent="0.3">
      <c r="A62" s="2" t="s">
        <v>75</v>
      </c>
      <c r="B62" s="2" t="s">
        <v>42</v>
      </c>
      <c r="C62" s="2" t="s">
        <v>32</v>
      </c>
      <c r="D62" s="5">
        <v>42.878585624999992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6">
        <f t="shared" si="1"/>
        <v>42.878585624999992</v>
      </c>
    </row>
    <row r="63" spans="1:16" x14ac:dyDescent="0.3">
      <c r="A63" s="2" t="s">
        <v>75</v>
      </c>
      <c r="B63" s="2" t="s">
        <v>42</v>
      </c>
      <c r="C63" s="2" t="s">
        <v>33</v>
      </c>
      <c r="D63" s="5">
        <v>37.234461099063573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>
        <f t="shared" si="1"/>
        <v>37.234461099063573</v>
      </c>
    </row>
    <row r="64" spans="1:16" x14ac:dyDescent="0.3">
      <c r="A64" s="2" t="s">
        <v>75</v>
      </c>
      <c r="B64" s="2" t="s">
        <v>42</v>
      </c>
      <c r="C64" s="2" t="s">
        <v>34</v>
      </c>
      <c r="D64" s="5">
        <v>37.202931313445497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6">
        <f t="shared" si="1"/>
        <v>37.202931313445497</v>
      </c>
    </row>
    <row r="65" spans="1:16" x14ac:dyDescent="0.3">
      <c r="A65" s="2" t="s">
        <v>75</v>
      </c>
      <c r="B65" s="2" t="s">
        <v>42</v>
      </c>
      <c r="C65" s="2" t="s">
        <v>35</v>
      </c>
      <c r="D65" s="5">
        <v>36.820182380490571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>
        <f t="shared" si="1"/>
        <v>36.820182380490571</v>
      </c>
    </row>
    <row r="66" spans="1:16" x14ac:dyDescent="0.3">
      <c r="A66" s="2" t="s">
        <v>75</v>
      </c>
      <c r="B66" s="2" t="s">
        <v>42</v>
      </c>
      <c r="C66" s="2" t="s">
        <v>36</v>
      </c>
      <c r="D66" s="5">
        <v>40.549398366641043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>
        <f t="shared" ref="P66:P93" si="2">D66</f>
        <v>40.549398366641043</v>
      </c>
    </row>
    <row r="67" spans="1:16" x14ac:dyDescent="0.3">
      <c r="A67" s="2" t="s">
        <v>75</v>
      </c>
      <c r="B67" s="2" t="s">
        <v>42</v>
      </c>
      <c r="C67" s="2" t="s">
        <v>37</v>
      </c>
      <c r="D67" s="5">
        <v>22.16870808958528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6">
        <f t="shared" si="2"/>
        <v>22.16870808958528</v>
      </c>
    </row>
    <row r="68" spans="1:16" x14ac:dyDescent="0.3">
      <c r="A68" s="2" t="s">
        <v>75</v>
      </c>
      <c r="B68" s="2" t="s">
        <v>42</v>
      </c>
      <c r="C68" s="2" t="s">
        <v>38</v>
      </c>
      <c r="D68" s="5">
        <v>37.759578593299707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6">
        <f t="shared" si="2"/>
        <v>37.759578593299707</v>
      </c>
    </row>
    <row r="69" spans="1:16" x14ac:dyDescent="0.3">
      <c r="A69" s="2" t="s">
        <v>75</v>
      </c>
      <c r="B69" s="2" t="s">
        <v>42</v>
      </c>
      <c r="C69" s="2" t="s">
        <v>39</v>
      </c>
      <c r="D69" s="5">
        <v>32.330589416169182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6">
        <f t="shared" si="2"/>
        <v>32.330589416169182</v>
      </c>
    </row>
    <row r="70" spans="1:16" x14ac:dyDescent="0.3">
      <c r="A70" s="2" t="s">
        <v>75</v>
      </c>
      <c r="B70" s="2" t="s">
        <v>42</v>
      </c>
      <c r="C70" s="2" t="s">
        <v>40</v>
      </c>
      <c r="D70" s="5">
        <v>34.805665196093919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>
        <f t="shared" si="2"/>
        <v>34.805665196093919</v>
      </c>
    </row>
    <row r="71" spans="1:16" x14ac:dyDescent="0.3">
      <c r="A71" s="2" t="s">
        <v>75</v>
      </c>
      <c r="B71" s="2" t="s">
        <v>43</v>
      </c>
      <c r="C71" s="2" t="s">
        <v>18</v>
      </c>
      <c r="D71" s="7">
        <v>1283.8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8">
        <f t="shared" si="2"/>
        <v>1283.8</v>
      </c>
    </row>
    <row r="72" spans="1:16" x14ac:dyDescent="0.3">
      <c r="A72" s="2" t="s">
        <v>75</v>
      </c>
      <c r="B72" s="2" t="s">
        <v>43</v>
      </c>
      <c r="C72" s="2" t="s">
        <v>19</v>
      </c>
      <c r="D72" s="7">
        <v>1930.9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8">
        <f t="shared" si="2"/>
        <v>1930.9</v>
      </c>
    </row>
    <row r="73" spans="1:16" x14ac:dyDescent="0.3">
      <c r="A73" s="2" t="s">
        <v>75</v>
      </c>
      <c r="B73" s="2" t="s">
        <v>43</v>
      </c>
      <c r="C73" s="2" t="s">
        <v>20</v>
      </c>
      <c r="D73" s="7">
        <v>3097.2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8">
        <f t="shared" si="2"/>
        <v>3097.2</v>
      </c>
    </row>
    <row r="74" spans="1:16" x14ac:dyDescent="0.3">
      <c r="A74" s="2" t="s">
        <v>75</v>
      </c>
      <c r="B74" s="2" t="s">
        <v>43</v>
      </c>
      <c r="C74" s="2" t="s">
        <v>21</v>
      </c>
      <c r="D74" s="7">
        <v>2993.6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8">
        <f t="shared" si="2"/>
        <v>2993.6</v>
      </c>
    </row>
    <row r="75" spans="1:16" x14ac:dyDescent="0.3">
      <c r="A75" s="2" t="s">
        <v>75</v>
      </c>
      <c r="B75" s="2" t="s">
        <v>43</v>
      </c>
      <c r="C75" s="2" t="s">
        <v>22</v>
      </c>
      <c r="D75" s="7">
        <v>2519.9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8">
        <f t="shared" si="2"/>
        <v>2519.9</v>
      </c>
    </row>
    <row r="76" spans="1:16" x14ac:dyDescent="0.3">
      <c r="A76" s="2" t="s">
        <v>75</v>
      </c>
      <c r="B76" s="2" t="s">
        <v>43</v>
      </c>
      <c r="C76" s="2" t="s">
        <v>23</v>
      </c>
      <c r="D76" s="7">
        <v>2934.8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8">
        <f t="shared" si="2"/>
        <v>2934.8</v>
      </c>
    </row>
    <row r="77" spans="1:16" x14ac:dyDescent="0.3">
      <c r="A77" s="2" t="s">
        <v>75</v>
      </c>
      <c r="B77" s="2" t="s">
        <v>43</v>
      </c>
      <c r="C77" s="2" t="s">
        <v>24</v>
      </c>
      <c r="D77" s="7">
        <v>3564.5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8">
        <f t="shared" si="2"/>
        <v>3564.5</v>
      </c>
    </row>
    <row r="78" spans="1:16" x14ac:dyDescent="0.3">
      <c r="A78" s="2" t="s">
        <v>75</v>
      </c>
      <c r="B78" s="2" t="s">
        <v>43</v>
      </c>
      <c r="C78" s="2" t="s">
        <v>25</v>
      </c>
      <c r="D78" s="7">
        <v>3379.4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8">
        <f t="shared" si="2"/>
        <v>3379.4</v>
      </c>
    </row>
    <row r="79" spans="1:16" x14ac:dyDescent="0.3">
      <c r="A79" s="2" t="s">
        <v>75</v>
      </c>
      <c r="B79" s="2" t="s">
        <v>43</v>
      </c>
      <c r="C79" s="2" t="s">
        <v>26</v>
      </c>
      <c r="D79" s="7">
        <v>3018.2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8">
        <f t="shared" si="2"/>
        <v>3018.2</v>
      </c>
    </row>
    <row r="80" spans="1:16" x14ac:dyDescent="0.3">
      <c r="A80" s="2" t="s">
        <v>75</v>
      </c>
      <c r="B80" s="2" t="s">
        <v>43</v>
      </c>
      <c r="C80" s="2" t="s">
        <v>27</v>
      </c>
      <c r="D80" s="7">
        <v>2502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8">
        <f t="shared" si="2"/>
        <v>2502</v>
      </c>
    </row>
    <row r="81" spans="1:16" x14ac:dyDescent="0.3">
      <c r="A81" s="2" t="s">
        <v>75</v>
      </c>
      <c r="B81" s="2" t="s">
        <v>43</v>
      </c>
      <c r="C81" s="2" t="s">
        <v>28</v>
      </c>
      <c r="D81" s="7">
        <v>3340.8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8">
        <f t="shared" si="2"/>
        <v>3340.8</v>
      </c>
    </row>
    <row r="82" spans="1:16" x14ac:dyDescent="0.3">
      <c r="A82" s="2" t="s">
        <v>75</v>
      </c>
      <c r="B82" s="2" t="s">
        <v>43</v>
      </c>
      <c r="C82" s="2" t="s">
        <v>29</v>
      </c>
      <c r="D82" s="7">
        <v>3960.8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8">
        <f t="shared" si="2"/>
        <v>3960.8</v>
      </c>
    </row>
    <row r="83" spans="1:16" x14ac:dyDescent="0.3">
      <c r="A83" s="2" t="s">
        <v>75</v>
      </c>
      <c r="B83" s="2" t="s">
        <v>43</v>
      </c>
      <c r="C83" s="2" t="s">
        <v>30</v>
      </c>
      <c r="D83" s="7">
        <v>3810.1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8">
        <f t="shared" si="2"/>
        <v>3810.1</v>
      </c>
    </row>
    <row r="84" spans="1:16" x14ac:dyDescent="0.3">
      <c r="A84" s="2" t="s">
        <v>75</v>
      </c>
      <c r="B84" s="2" t="s">
        <v>43</v>
      </c>
      <c r="C84" s="2" t="s">
        <v>31</v>
      </c>
      <c r="D84" s="7">
        <v>3200.7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8">
        <f t="shared" si="2"/>
        <v>3200.7</v>
      </c>
    </row>
    <row r="85" spans="1:16" x14ac:dyDescent="0.3">
      <c r="A85" s="2" t="s">
        <v>75</v>
      </c>
      <c r="B85" s="2" t="s">
        <v>43</v>
      </c>
      <c r="C85" s="2" t="s">
        <v>32</v>
      </c>
      <c r="D85" s="7">
        <v>4835.8999999999996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8">
        <f t="shared" si="2"/>
        <v>4835.8999999999996</v>
      </c>
    </row>
    <row r="86" spans="1:16" x14ac:dyDescent="0.3">
      <c r="A86" s="2" t="s">
        <v>75</v>
      </c>
      <c r="B86" s="2" t="s">
        <v>43</v>
      </c>
      <c r="C86" s="2" t="s">
        <v>33</v>
      </c>
      <c r="D86" s="7">
        <v>4112.2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8">
        <f t="shared" si="2"/>
        <v>4112.2</v>
      </c>
    </row>
    <row r="87" spans="1:16" x14ac:dyDescent="0.3">
      <c r="A87" s="2" t="s">
        <v>75</v>
      </c>
      <c r="B87" s="2" t="s">
        <v>43</v>
      </c>
      <c r="C87" s="2" t="s">
        <v>34</v>
      </c>
      <c r="D87" s="7">
        <v>3580.7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8">
        <f t="shared" si="2"/>
        <v>3580.7</v>
      </c>
    </row>
    <row r="88" spans="1:16" x14ac:dyDescent="0.3">
      <c r="A88" s="2" t="s">
        <v>75</v>
      </c>
      <c r="B88" s="2" t="s">
        <v>43</v>
      </c>
      <c r="C88" s="2" t="s">
        <v>35</v>
      </c>
      <c r="D88" s="7">
        <v>4236.5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8">
        <f t="shared" si="2"/>
        <v>4236.5</v>
      </c>
    </row>
    <row r="89" spans="1:16" x14ac:dyDescent="0.3">
      <c r="A89" s="2" t="s">
        <v>75</v>
      </c>
      <c r="B89" s="2" t="s">
        <v>43</v>
      </c>
      <c r="C89" s="2" t="s">
        <v>36</v>
      </c>
      <c r="D89" s="7">
        <v>4594.3999999999996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8">
        <f t="shared" si="2"/>
        <v>4594.3999999999996</v>
      </c>
    </row>
    <row r="90" spans="1:16" x14ac:dyDescent="0.3">
      <c r="A90" s="2" t="s">
        <v>75</v>
      </c>
      <c r="B90" s="2" t="s">
        <v>43</v>
      </c>
      <c r="C90" s="2" t="s">
        <v>37</v>
      </c>
      <c r="D90" s="7">
        <v>2243.8000000000002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8">
        <f t="shared" si="2"/>
        <v>2243.8000000000002</v>
      </c>
    </row>
    <row r="91" spans="1:16" x14ac:dyDescent="0.3">
      <c r="A91" s="2" t="s">
        <v>75</v>
      </c>
      <c r="B91" s="2" t="s">
        <v>43</v>
      </c>
      <c r="C91" s="2" t="s">
        <v>38</v>
      </c>
      <c r="D91" s="7">
        <v>3423.3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8">
        <f t="shared" si="2"/>
        <v>3423.3</v>
      </c>
    </row>
    <row r="92" spans="1:16" x14ac:dyDescent="0.3">
      <c r="A92" s="2" t="s">
        <v>75</v>
      </c>
      <c r="B92" s="2" t="s">
        <v>43</v>
      </c>
      <c r="C92" s="2" t="s">
        <v>39</v>
      </c>
      <c r="D92" s="7">
        <v>2608.8000000000002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8">
        <f t="shared" si="2"/>
        <v>2608.8000000000002</v>
      </c>
    </row>
    <row r="93" spans="1:16" x14ac:dyDescent="0.3">
      <c r="A93" s="2" t="s">
        <v>75</v>
      </c>
      <c r="B93" s="2" t="s">
        <v>43</v>
      </c>
      <c r="C93" s="2" t="s">
        <v>40</v>
      </c>
      <c r="D93" s="7">
        <v>2997.4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8">
        <f t="shared" si="2"/>
        <v>2997.4</v>
      </c>
    </row>
    <row r="94" spans="1:16" x14ac:dyDescent="0.3">
      <c r="A94" s="2" t="s">
        <v>75</v>
      </c>
      <c r="B94" s="2" t="s">
        <v>44</v>
      </c>
      <c r="C94" s="2" t="s">
        <v>18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8">
        <f t="shared" ref="P94:P125" si="3">SUM(D94:O94)</f>
        <v>0</v>
      </c>
    </row>
    <row r="95" spans="1:16" x14ac:dyDescent="0.3">
      <c r="A95" s="2" t="s">
        <v>75</v>
      </c>
      <c r="B95" s="2" t="s">
        <v>44</v>
      </c>
      <c r="C95" s="2" t="s">
        <v>19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8">
        <f t="shared" si="3"/>
        <v>0</v>
      </c>
    </row>
    <row r="96" spans="1:16" x14ac:dyDescent="0.3">
      <c r="A96" s="2" t="s">
        <v>75</v>
      </c>
      <c r="B96" s="2" t="s">
        <v>44</v>
      </c>
      <c r="C96" s="2" t="s">
        <v>20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8">
        <f t="shared" si="3"/>
        <v>0</v>
      </c>
    </row>
    <row r="97" spans="1:16" x14ac:dyDescent="0.3">
      <c r="A97" s="2" t="s">
        <v>75</v>
      </c>
      <c r="B97" s="2" t="s">
        <v>44</v>
      </c>
      <c r="C97" s="2" t="s">
        <v>21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8">
        <f t="shared" si="3"/>
        <v>0</v>
      </c>
    </row>
    <row r="98" spans="1:16" x14ac:dyDescent="0.3">
      <c r="A98" s="2" t="s">
        <v>75</v>
      </c>
      <c r="B98" s="2" t="s">
        <v>44</v>
      </c>
      <c r="C98" s="2" t="s">
        <v>22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8">
        <f t="shared" si="3"/>
        <v>0</v>
      </c>
    </row>
    <row r="99" spans="1:16" x14ac:dyDescent="0.3">
      <c r="A99" s="2" t="s">
        <v>75</v>
      </c>
      <c r="B99" s="2" t="s">
        <v>44</v>
      </c>
      <c r="C99" s="2" t="s">
        <v>23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8">
        <f t="shared" si="3"/>
        <v>0</v>
      </c>
    </row>
    <row r="100" spans="1:16" x14ac:dyDescent="0.3">
      <c r="A100" s="2" t="s">
        <v>75</v>
      </c>
      <c r="B100" s="2" t="s">
        <v>44</v>
      </c>
      <c r="C100" s="2" t="s">
        <v>24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8">
        <f t="shared" si="3"/>
        <v>0</v>
      </c>
    </row>
    <row r="101" spans="1:16" x14ac:dyDescent="0.3">
      <c r="A101" s="2" t="s">
        <v>75</v>
      </c>
      <c r="B101" s="2" t="s">
        <v>44</v>
      </c>
      <c r="C101" s="2" t="s">
        <v>25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8">
        <f t="shared" si="3"/>
        <v>0</v>
      </c>
    </row>
    <row r="102" spans="1:16" x14ac:dyDescent="0.3">
      <c r="A102" s="2" t="s">
        <v>75</v>
      </c>
      <c r="B102" s="2" t="s">
        <v>44</v>
      </c>
      <c r="C102" s="2" t="s">
        <v>26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8">
        <f t="shared" si="3"/>
        <v>0</v>
      </c>
    </row>
    <row r="103" spans="1:16" x14ac:dyDescent="0.3">
      <c r="A103" s="2" t="s">
        <v>75</v>
      </c>
      <c r="B103" s="2" t="s">
        <v>44</v>
      </c>
      <c r="C103" s="2" t="s">
        <v>27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8">
        <f t="shared" si="3"/>
        <v>0</v>
      </c>
    </row>
    <row r="104" spans="1:16" x14ac:dyDescent="0.3">
      <c r="A104" s="2" t="s">
        <v>75</v>
      </c>
      <c r="B104" s="2" t="s">
        <v>44</v>
      </c>
      <c r="C104" s="2" t="s">
        <v>28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8">
        <f t="shared" si="3"/>
        <v>0</v>
      </c>
    </row>
    <row r="105" spans="1:16" x14ac:dyDescent="0.3">
      <c r="A105" s="2" t="s">
        <v>75</v>
      </c>
      <c r="B105" s="2" t="s">
        <v>44</v>
      </c>
      <c r="C105" s="2" t="s">
        <v>29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8">
        <f t="shared" si="3"/>
        <v>0</v>
      </c>
    </row>
    <row r="106" spans="1:16" x14ac:dyDescent="0.3">
      <c r="A106" s="2" t="s">
        <v>75</v>
      </c>
      <c r="B106" s="2" t="s">
        <v>44</v>
      </c>
      <c r="C106" s="2" t="s">
        <v>30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8">
        <f t="shared" si="3"/>
        <v>0</v>
      </c>
    </row>
    <row r="107" spans="1:16" x14ac:dyDescent="0.3">
      <c r="A107" s="2" t="s">
        <v>75</v>
      </c>
      <c r="B107" s="2" t="s">
        <v>44</v>
      </c>
      <c r="C107" s="2" t="s">
        <v>31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8">
        <f t="shared" si="3"/>
        <v>0</v>
      </c>
    </row>
    <row r="108" spans="1:16" x14ac:dyDescent="0.3">
      <c r="A108" s="2" t="s">
        <v>75</v>
      </c>
      <c r="B108" s="2" t="s">
        <v>44</v>
      </c>
      <c r="C108" s="2" t="s">
        <v>32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8">
        <f t="shared" si="3"/>
        <v>0</v>
      </c>
    </row>
    <row r="109" spans="1:16" x14ac:dyDescent="0.3">
      <c r="A109" s="2" t="s">
        <v>75</v>
      </c>
      <c r="B109" s="2" t="s">
        <v>44</v>
      </c>
      <c r="C109" s="2" t="s">
        <v>33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8">
        <f t="shared" si="3"/>
        <v>0</v>
      </c>
    </row>
    <row r="110" spans="1:16" x14ac:dyDescent="0.3">
      <c r="A110" s="2" t="s">
        <v>75</v>
      </c>
      <c r="B110" s="2" t="s">
        <v>44</v>
      </c>
      <c r="C110" s="2" t="s">
        <v>34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8">
        <f t="shared" si="3"/>
        <v>0</v>
      </c>
    </row>
    <row r="111" spans="1:16" x14ac:dyDescent="0.3">
      <c r="A111" s="2" t="s">
        <v>75</v>
      </c>
      <c r="B111" s="2" t="s">
        <v>44</v>
      </c>
      <c r="C111" s="2" t="s">
        <v>35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8">
        <f t="shared" si="3"/>
        <v>0</v>
      </c>
    </row>
    <row r="112" spans="1:16" x14ac:dyDescent="0.3">
      <c r="A112" s="2" t="s">
        <v>75</v>
      </c>
      <c r="B112" s="2" t="s">
        <v>44</v>
      </c>
      <c r="C112" s="2" t="s">
        <v>36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8">
        <f t="shared" si="3"/>
        <v>0</v>
      </c>
    </row>
    <row r="113" spans="1:16" x14ac:dyDescent="0.3">
      <c r="A113" s="2" t="s">
        <v>75</v>
      </c>
      <c r="B113" s="2" t="s">
        <v>44</v>
      </c>
      <c r="C113" s="2" t="s">
        <v>37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8">
        <f t="shared" si="3"/>
        <v>0</v>
      </c>
    </row>
    <row r="114" spans="1:16" x14ac:dyDescent="0.3">
      <c r="A114" s="2" t="s">
        <v>75</v>
      </c>
      <c r="B114" s="2" t="s">
        <v>44</v>
      </c>
      <c r="C114" s="2" t="s">
        <v>38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8">
        <f t="shared" si="3"/>
        <v>0</v>
      </c>
    </row>
    <row r="115" spans="1:16" x14ac:dyDescent="0.3">
      <c r="A115" s="2" t="s">
        <v>75</v>
      </c>
      <c r="B115" s="2" t="s">
        <v>44</v>
      </c>
      <c r="C115" s="2" t="s">
        <v>39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8">
        <f t="shared" si="3"/>
        <v>0</v>
      </c>
    </row>
    <row r="116" spans="1:16" x14ac:dyDescent="0.3">
      <c r="A116" s="2" t="s">
        <v>75</v>
      </c>
      <c r="B116" s="2" t="s">
        <v>44</v>
      </c>
      <c r="C116" s="2" t="s">
        <v>40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8">
        <f t="shared" si="3"/>
        <v>0</v>
      </c>
    </row>
    <row r="117" spans="1:16" x14ac:dyDescent="0.3">
      <c r="A117" s="2" t="s">
        <v>75</v>
      </c>
      <c r="B117" s="2" t="s">
        <v>45</v>
      </c>
      <c r="C117" s="2" t="s">
        <v>18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8">
        <f t="shared" si="3"/>
        <v>0</v>
      </c>
    </row>
    <row r="118" spans="1:16" x14ac:dyDescent="0.3">
      <c r="A118" s="2" t="s">
        <v>75</v>
      </c>
      <c r="B118" s="2" t="s">
        <v>45</v>
      </c>
      <c r="C118" s="2" t="s">
        <v>19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8">
        <f t="shared" si="3"/>
        <v>0</v>
      </c>
    </row>
    <row r="119" spans="1:16" x14ac:dyDescent="0.3">
      <c r="A119" s="2" t="s">
        <v>75</v>
      </c>
      <c r="B119" s="2" t="s">
        <v>45</v>
      </c>
      <c r="C119" s="2" t="s">
        <v>20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8">
        <f t="shared" si="3"/>
        <v>0</v>
      </c>
    </row>
    <row r="120" spans="1:16" x14ac:dyDescent="0.3">
      <c r="A120" s="2" t="s">
        <v>75</v>
      </c>
      <c r="B120" s="2" t="s">
        <v>45</v>
      </c>
      <c r="C120" s="2" t="s">
        <v>21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8">
        <f t="shared" si="3"/>
        <v>0</v>
      </c>
    </row>
    <row r="121" spans="1:16" x14ac:dyDescent="0.3">
      <c r="A121" s="2" t="s">
        <v>75</v>
      </c>
      <c r="B121" s="2" t="s">
        <v>45</v>
      </c>
      <c r="C121" s="2" t="s">
        <v>22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8">
        <f t="shared" si="3"/>
        <v>0</v>
      </c>
    </row>
    <row r="122" spans="1:16" x14ac:dyDescent="0.3">
      <c r="A122" s="2" t="s">
        <v>75</v>
      </c>
      <c r="B122" s="2" t="s">
        <v>45</v>
      </c>
      <c r="C122" s="2" t="s">
        <v>23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8">
        <f t="shared" si="3"/>
        <v>0</v>
      </c>
    </row>
    <row r="123" spans="1:16" x14ac:dyDescent="0.3">
      <c r="A123" s="2" t="s">
        <v>75</v>
      </c>
      <c r="B123" s="2" t="s">
        <v>45</v>
      </c>
      <c r="C123" s="2" t="s">
        <v>24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8">
        <f t="shared" si="3"/>
        <v>0</v>
      </c>
    </row>
    <row r="124" spans="1:16" x14ac:dyDescent="0.3">
      <c r="A124" s="2" t="s">
        <v>75</v>
      </c>
      <c r="B124" s="2" t="s">
        <v>45</v>
      </c>
      <c r="C124" s="2" t="s">
        <v>25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8">
        <f t="shared" si="3"/>
        <v>0</v>
      </c>
    </row>
    <row r="125" spans="1:16" x14ac:dyDescent="0.3">
      <c r="A125" s="2" t="s">
        <v>75</v>
      </c>
      <c r="B125" s="2" t="s">
        <v>45</v>
      </c>
      <c r="C125" s="2" t="s">
        <v>26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8">
        <f t="shared" si="3"/>
        <v>0</v>
      </c>
    </row>
    <row r="126" spans="1:16" x14ac:dyDescent="0.3">
      <c r="A126" s="2" t="s">
        <v>75</v>
      </c>
      <c r="B126" s="2" t="s">
        <v>45</v>
      </c>
      <c r="C126" s="2" t="s">
        <v>27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8">
        <f t="shared" ref="P126:P157" si="4">SUM(D126:O126)</f>
        <v>0</v>
      </c>
    </row>
    <row r="127" spans="1:16" x14ac:dyDescent="0.3">
      <c r="A127" s="2" t="s">
        <v>75</v>
      </c>
      <c r="B127" s="2" t="s">
        <v>45</v>
      </c>
      <c r="C127" s="2" t="s">
        <v>28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8">
        <f t="shared" si="4"/>
        <v>0</v>
      </c>
    </row>
    <row r="128" spans="1:16" x14ac:dyDescent="0.3">
      <c r="A128" s="2" t="s">
        <v>75</v>
      </c>
      <c r="B128" s="2" t="s">
        <v>45</v>
      </c>
      <c r="C128" s="2" t="s">
        <v>29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8">
        <f t="shared" si="4"/>
        <v>0</v>
      </c>
    </row>
    <row r="129" spans="1:16" x14ac:dyDescent="0.3">
      <c r="A129" s="2" t="s">
        <v>75</v>
      </c>
      <c r="B129" s="2" t="s">
        <v>45</v>
      </c>
      <c r="C129" s="2" t="s">
        <v>30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8">
        <f t="shared" si="4"/>
        <v>0</v>
      </c>
    </row>
    <row r="130" spans="1:16" x14ac:dyDescent="0.3">
      <c r="A130" s="2" t="s">
        <v>75</v>
      </c>
      <c r="B130" s="2" t="s">
        <v>45</v>
      </c>
      <c r="C130" s="2" t="s">
        <v>31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8">
        <f t="shared" si="4"/>
        <v>0</v>
      </c>
    </row>
    <row r="131" spans="1:16" x14ac:dyDescent="0.3">
      <c r="A131" s="2" t="s">
        <v>75</v>
      </c>
      <c r="B131" s="2" t="s">
        <v>45</v>
      </c>
      <c r="C131" s="2" t="s">
        <v>32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8">
        <f t="shared" si="4"/>
        <v>0</v>
      </c>
    </row>
    <row r="132" spans="1:16" x14ac:dyDescent="0.3">
      <c r="A132" s="2" t="s">
        <v>75</v>
      </c>
      <c r="B132" s="2" t="s">
        <v>45</v>
      </c>
      <c r="C132" s="2" t="s">
        <v>33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8">
        <f t="shared" si="4"/>
        <v>0</v>
      </c>
    </row>
    <row r="133" spans="1:16" x14ac:dyDescent="0.3">
      <c r="A133" s="2" t="s">
        <v>75</v>
      </c>
      <c r="B133" s="2" t="s">
        <v>45</v>
      </c>
      <c r="C133" s="2" t="s">
        <v>34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8">
        <f t="shared" si="4"/>
        <v>0</v>
      </c>
    </row>
    <row r="134" spans="1:16" x14ac:dyDescent="0.3">
      <c r="A134" s="2" t="s">
        <v>75</v>
      </c>
      <c r="B134" s="2" t="s">
        <v>45</v>
      </c>
      <c r="C134" s="2" t="s">
        <v>35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8">
        <f t="shared" si="4"/>
        <v>0</v>
      </c>
    </row>
    <row r="135" spans="1:16" x14ac:dyDescent="0.3">
      <c r="A135" s="2" t="s">
        <v>75</v>
      </c>
      <c r="B135" s="2" t="s">
        <v>45</v>
      </c>
      <c r="C135" s="2" t="s">
        <v>36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8">
        <f t="shared" si="4"/>
        <v>0</v>
      </c>
    </row>
    <row r="136" spans="1:16" x14ac:dyDescent="0.3">
      <c r="A136" s="2" t="s">
        <v>75</v>
      </c>
      <c r="B136" s="2" t="s">
        <v>45</v>
      </c>
      <c r="C136" s="2" t="s">
        <v>37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8">
        <f t="shared" si="4"/>
        <v>0</v>
      </c>
    </row>
    <row r="137" spans="1:16" x14ac:dyDescent="0.3">
      <c r="A137" s="2" t="s">
        <v>75</v>
      </c>
      <c r="B137" s="2" t="s">
        <v>45</v>
      </c>
      <c r="C137" s="2" t="s">
        <v>38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8">
        <f t="shared" si="4"/>
        <v>0</v>
      </c>
    </row>
    <row r="138" spans="1:16" x14ac:dyDescent="0.3">
      <c r="A138" s="2" t="s">
        <v>75</v>
      </c>
      <c r="B138" s="2" t="s">
        <v>45</v>
      </c>
      <c r="C138" s="2" t="s">
        <v>39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8">
        <f t="shared" si="4"/>
        <v>0</v>
      </c>
    </row>
    <row r="139" spans="1:16" x14ac:dyDescent="0.3">
      <c r="A139" s="2" t="s">
        <v>75</v>
      </c>
      <c r="B139" s="2" t="s">
        <v>45</v>
      </c>
      <c r="C139" s="2" t="s">
        <v>40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8">
        <f t="shared" si="4"/>
        <v>0</v>
      </c>
    </row>
    <row r="140" spans="1:16" x14ac:dyDescent="0.3">
      <c r="A140" s="2" t="s">
        <v>75</v>
      </c>
      <c r="B140" s="2" t="s">
        <v>46</v>
      </c>
      <c r="C140" s="2" t="s">
        <v>18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8">
        <f t="shared" si="4"/>
        <v>0</v>
      </c>
    </row>
    <row r="141" spans="1:16" x14ac:dyDescent="0.3">
      <c r="A141" s="2" t="s">
        <v>75</v>
      </c>
      <c r="B141" s="2" t="s">
        <v>46</v>
      </c>
      <c r="C141" s="2" t="s">
        <v>19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8">
        <f t="shared" si="4"/>
        <v>0</v>
      </c>
    </row>
    <row r="142" spans="1:16" x14ac:dyDescent="0.3">
      <c r="A142" s="2" t="s">
        <v>75</v>
      </c>
      <c r="B142" s="2" t="s">
        <v>46</v>
      </c>
      <c r="C142" s="2" t="s">
        <v>20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8">
        <f t="shared" si="4"/>
        <v>0</v>
      </c>
    </row>
    <row r="143" spans="1:16" x14ac:dyDescent="0.3">
      <c r="A143" s="2" t="s">
        <v>75</v>
      </c>
      <c r="B143" s="2" t="s">
        <v>46</v>
      </c>
      <c r="C143" s="2" t="s">
        <v>21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8">
        <f t="shared" si="4"/>
        <v>0</v>
      </c>
    </row>
    <row r="144" spans="1:16" x14ac:dyDescent="0.3">
      <c r="A144" s="2" t="s">
        <v>75</v>
      </c>
      <c r="B144" s="2" t="s">
        <v>46</v>
      </c>
      <c r="C144" s="2" t="s">
        <v>22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8">
        <f t="shared" si="4"/>
        <v>0</v>
      </c>
    </row>
    <row r="145" spans="1:16" x14ac:dyDescent="0.3">
      <c r="A145" s="2" t="s">
        <v>75</v>
      </c>
      <c r="B145" s="2" t="s">
        <v>46</v>
      </c>
      <c r="C145" s="2" t="s">
        <v>23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8">
        <f t="shared" si="4"/>
        <v>0</v>
      </c>
    </row>
    <row r="146" spans="1:16" x14ac:dyDescent="0.3">
      <c r="A146" s="2" t="s">
        <v>75</v>
      </c>
      <c r="B146" s="2" t="s">
        <v>46</v>
      </c>
      <c r="C146" s="2" t="s">
        <v>24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8">
        <f t="shared" si="4"/>
        <v>0</v>
      </c>
    </row>
    <row r="147" spans="1:16" x14ac:dyDescent="0.3">
      <c r="A147" s="2" t="s">
        <v>75</v>
      </c>
      <c r="B147" s="2" t="s">
        <v>46</v>
      </c>
      <c r="C147" s="2" t="s">
        <v>25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8">
        <f t="shared" si="4"/>
        <v>0</v>
      </c>
    </row>
    <row r="148" spans="1:16" x14ac:dyDescent="0.3">
      <c r="A148" s="2" t="s">
        <v>75</v>
      </c>
      <c r="B148" s="2" t="s">
        <v>46</v>
      </c>
      <c r="C148" s="2" t="s">
        <v>26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8">
        <f t="shared" si="4"/>
        <v>0</v>
      </c>
    </row>
    <row r="149" spans="1:16" x14ac:dyDescent="0.3">
      <c r="A149" s="2" t="s">
        <v>75</v>
      </c>
      <c r="B149" s="2" t="s">
        <v>46</v>
      </c>
      <c r="C149" s="2" t="s">
        <v>27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8">
        <f t="shared" si="4"/>
        <v>0</v>
      </c>
    </row>
    <row r="150" spans="1:16" x14ac:dyDescent="0.3">
      <c r="A150" s="2" t="s">
        <v>75</v>
      </c>
      <c r="B150" s="2" t="s">
        <v>46</v>
      </c>
      <c r="C150" s="2" t="s">
        <v>28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8">
        <f t="shared" si="4"/>
        <v>0</v>
      </c>
    </row>
    <row r="151" spans="1:16" x14ac:dyDescent="0.3">
      <c r="A151" s="2" t="s">
        <v>75</v>
      </c>
      <c r="B151" s="2" t="s">
        <v>46</v>
      </c>
      <c r="C151" s="2" t="s">
        <v>29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8">
        <f t="shared" si="4"/>
        <v>0</v>
      </c>
    </row>
    <row r="152" spans="1:16" x14ac:dyDescent="0.3">
      <c r="A152" s="2" t="s">
        <v>75</v>
      </c>
      <c r="B152" s="2" t="s">
        <v>46</v>
      </c>
      <c r="C152" s="2" t="s">
        <v>30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8">
        <f t="shared" si="4"/>
        <v>0</v>
      </c>
    </row>
    <row r="153" spans="1:16" x14ac:dyDescent="0.3">
      <c r="A153" s="2" t="s">
        <v>75</v>
      </c>
      <c r="B153" s="2" t="s">
        <v>46</v>
      </c>
      <c r="C153" s="2" t="s">
        <v>31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8">
        <f t="shared" si="4"/>
        <v>0</v>
      </c>
    </row>
    <row r="154" spans="1:16" x14ac:dyDescent="0.3">
      <c r="A154" s="2" t="s">
        <v>75</v>
      </c>
      <c r="B154" s="2" t="s">
        <v>46</v>
      </c>
      <c r="C154" s="2" t="s">
        <v>32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8">
        <f t="shared" si="4"/>
        <v>0</v>
      </c>
    </row>
    <row r="155" spans="1:16" x14ac:dyDescent="0.3">
      <c r="A155" s="2" t="s">
        <v>75</v>
      </c>
      <c r="B155" s="2" t="s">
        <v>46</v>
      </c>
      <c r="C155" s="2" t="s">
        <v>33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8">
        <f t="shared" si="4"/>
        <v>0</v>
      </c>
    </row>
    <row r="156" spans="1:16" x14ac:dyDescent="0.3">
      <c r="A156" s="2" t="s">
        <v>75</v>
      </c>
      <c r="B156" s="2" t="s">
        <v>46</v>
      </c>
      <c r="C156" s="2" t="s">
        <v>34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8">
        <f t="shared" si="4"/>
        <v>0</v>
      </c>
    </row>
    <row r="157" spans="1:16" x14ac:dyDescent="0.3">
      <c r="A157" s="2" t="s">
        <v>75</v>
      </c>
      <c r="B157" s="2" t="s">
        <v>46</v>
      </c>
      <c r="C157" s="2" t="s">
        <v>35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8">
        <f t="shared" si="4"/>
        <v>0</v>
      </c>
    </row>
    <row r="158" spans="1:16" x14ac:dyDescent="0.3">
      <c r="A158" s="2" t="s">
        <v>75</v>
      </c>
      <c r="B158" s="2" t="s">
        <v>46</v>
      </c>
      <c r="C158" s="2" t="s">
        <v>36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8">
        <f t="shared" ref="P158:P189" si="5">SUM(D158:O158)</f>
        <v>0</v>
      </c>
    </row>
    <row r="159" spans="1:16" x14ac:dyDescent="0.3">
      <c r="A159" s="2" t="s">
        <v>75</v>
      </c>
      <c r="B159" s="2" t="s">
        <v>46</v>
      </c>
      <c r="C159" s="2" t="s">
        <v>37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8">
        <f t="shared" si="5"/>
        <v>0</v>
      </c>
    </row>
    <row r="160" spans="1:16" x14ac:dyDescent="0.3">
      <c r="A160" s="2" t="s">
        <v>75</v>
      </c>
      <c r="B160" s="2" t="s">
        <v>46</v>
      </c>
      <c r="C160" s="2" t="s">
        <v>38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8">
        <f t="shared" si="5"/>
        <v>0</v>
      </c>
    </row>
    <row r="161" spans="1:16" x14ac:dyDescent="0.3">
      <c r="A161" s="2" t="s">
        <v>75</v>
      </c>
      <c r="B161" s="2" t="s">
        <v>46</v>
      </c>
      <c r="C161" s="2" t="s">
        <v>39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8">
        <f t="shared" si="5"/>
        <v>0</v>
      </c>
    </row>
    <row r="162" spans="1:16" x14ac:dyDescent="0.3">
      <c r="A162" s="2" t="s">
        <v>75</v>
      </c>
      <c r="B162" s="2" t="s">
        <v>46</v>
      </c>
      <c r="C162" s="2" t="s">
        <v>40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8">
        <f t="shared" si="5"/>
        <v>0</v>
      </c>
    </row>
    <row r="163" spans="1:16" x14ac:dyDescent="0.3">
      <c r="A163" s="2" t="s">
        <v>75</v>
      </c>
      <c r="B163" s="2" t="s">
        <v>47</v>
      </c>
      <c r="C163" s="2" t="s">
        <v>18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8">
        <f t="shared" si="5"/>
        <v>0</v>
      </c>
    </row>
    <row r="164" spans="1:16" x14ac:dyDescent="0.3">
      <c r="A164" s="2" t="s">
        <v>75</v>
      </c>
      <c r="B164" s="2" t="s">
        <v>47</v>
      </c>
      <c r="C164" s="2" t="s">
        <v>19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8">
        <f t="shared" si="5"/>
        <v>0</v>
      </c>
    </row>
    <row r="165" spans="1:16" x14ac:dyDescent="0.3">
      <c r="A165" s="2" t="s">
        <v>75</v>
      </c>
      <c r="B165" s="2" t="s">
        <v>47</v>
      </c>
      <c r="C165" s="2" t="s">
        <v>20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8">
        <f t="shared" si="5"/>
        <v>0</v>
      </c>
    </row>
    <row r="166" spans="1:16" x14ac:dyDescent="0.3">
      <c r="A166" s="2" t="s">
        <v>75</v>
      </c>
      <c r="B166" s="2" t="s">
        <v>47</v>
      </c>
      <c r="C166" s="2" t="s">
        <v>21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8">
        <f t="shared" si="5"/>
        <v>0</v>
      </c>
    </row>
    <row r="167" spans="1:16" x14ac:dyDescent="0.3">
      <c r="A167" s="2" t="s">
        <v>75</v>
      </c>
      <c r="B167" s="2" t="s">
        <v>47</v>
      </c>
      <c r="C167" s="2" t="s">
        <v>22</v>
      </c>
      <c r="D167" s="7">
        <v>0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8">
        <f t="shared" si="5"/>
        <v>0</v>
      </c>
    </row>
    <row r="168" spans="1:16" x14ac:dyDescent="0.3">
      <c r="A168" s="2" t="s">
        <v>75</v>
      </c>
      <c r="B168" s="2" t="s">
        <v>47</v>
      </c>
      <c r="C168" s="2" t="s">
        <v>23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8">
        <f t="shared" si="5"/>
        <v>0</v>
      </c>
    </row>
    <row r="169" spans="1:16" x14ac:dyDescent="0.3">
      <c r="A169" s="2" t="s">
        <v>75</v>
      </c>
      <c r="B169" s="2" t="s">
        <v>47</v>
      </c>
      <c r="C169" s="2" t="s">
        <v>24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8">
        <f t="shared" si="5"/>
        <v>0</v>
      </c>
    </row>
    <row r="170" spans="1:16" x14ac:dyDescent="0.3">
      <c r="A170" s="2" t="s">
        <v>75</v>
      </c>
      <c r="B170" s="2" t="s">
        <v>47</v>
      </c>
      <c r="C170" s="2" t="s">
        <v>25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8">
        <f t="shared" si="5"/>
        <v>0</v>
      </c>
    </row>
    <row r="171" spans="1:16" x14ac:dyDescent="0.3">
      <c r="A171" s="2" t="s">
        <v>75</v>
      </c>
      <c r="B171" s="2" t="s">
        <v>47</v>
      </c>
      <c r="C171" s="2" t="s">
        <v>26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8">
        <f t="shared" si="5"/>
        <v>0</v>
      </c>
    </row>
    <row r="172" spans="1:16" x14ac:dyDescent="0.3">
      <c r="A172" s="2" t="s">
        <v>75</v>
      </c>
      <c r="B172" s="2" t="s">
        <v>47</v>
      </c>
      <c r="C172" s="2" t="s">
        <v>27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8">
        <f t="shared" si="5"/>
        <v>0</v>
      </c>
    </row>
    <row r="173" spans="1:16" x14ac:dyDescent="0.3">
      <c r="A173" s="2" t="s">
        <v>75</v>
      </c>
      <c r="B173" s="2" t="s">
        <v>47</v>
      </c>
      <c r="C173" s="2" t="s">
        <v>28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8">
        <f t="shared" si="5"/>
        <v>0</v>
      </c>
    </row>
    <row r="174" spans="1:16" x14ac:dyDescent="0.3">
      <c r="A174" s="2" t="s">
        <v>75</v>
      </c>
      <c r="B174" s="2" t="s">
        <v>47</v>
      </c>
      <c r="C174" s="2" t="s">
        <v>29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8">
        <f t="shared" si="5"/>
        <v>0</v>
      </c>
    </row>
    <row r="175" spans="1:16" x14ac:dyDescent="0.3">
      <c r="A175" s="2" t="s">
        <v>75</v>
      </c>
      <c r="B175" s="2" t="s">
        <v>47</v>
      </c>
      <c r="C175" s="2" t="s">
        <v>30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8">
        <f t="shared" si="5"/>
        <v>0</v>
      </c>
    </row>
    <row r="176" spans="1:16" x14ac:dyDescent="0.3">
      <c r="A176" s="2" t="s">
        <v>75</v>
      </c>
      <c r="B176" s="2" t="s">
        <v>47</v>
      </c>
      <c r="C176" s="2" t="s">
        <v>31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8">
        <f t="shared" si="5"/>
        <v>0</v>
      </c>
    </row>
    <row r="177" spans="1:16" x14ac:dyDescent="0.3">
      <c r="A177" s="2" t="s">
        <v>75</v>
      </c>
      <c r="B177" s="2" t="s">
        <v>47</v>
      </c>
      <c r="C177" s="2" t="s">
        <v>32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8">
        <f t="shared" si="5"/>
        <v>0</v>
      </c>
    </row>
    <row r="178" spans="1:16" x14ac:dyDescent="0.3">
      <c r="A178" s="2" t="s">
        <v>75</v>
      </c>
      <c r="B178" s="2" t="s">
        <v>47</v>
      </c>
      <c r="C178" s="2" t="s">
        <v>33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8">
        <f t="shared" si="5"/>
        <v>0</v>
      </c>
    </row>
    <row r="179" spans="1:16" x14ac:dyDescent="0.3">
      <c r="A179" s="2" t="s">
        <v>75</v>
      </c>
      <c r="B179" s="2" t="s">
        <v>47</v>
      </c>
      <c r="C179" s="2" t="s">
        <v>34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8">
        <f t="shared" si="5"/>
        <v>0</v>
      </c>
    </row>
    <row r="180" spans="1:16" x14ac:dyDescent="0.3">
      <c r="A180" s="2" t="s">
        <v>75</v>
      </c>
      <c r="B180" s="2" t="s">
        <v>47</v>
      </c>
      <c r="C180" s="2" t="s">
        <v>35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8">
        <f t="shared" si="5"/>
        <v>0</v>
      </c>
    </row>
    <row r="181" spans="1:16" x14ac:dyDescent="0.3">
      <c r="A181" s="2" t="s">
        <v>75</v>
      </c>
      <c r="B181" s="2" t="s">
        <v>47</v>
      </c>
      <c r="C181" s="2" t="s">
        <v>36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8">
        <f t="shared" si="5"/>
        <v>0</v>
      </c>
    </row>
    <row r="182" spans="1:16" x14ac:dyDescent="0.3">
      <c r="A182" s="2" t="s">
        <v>75</v>
      </c>
      <c r="B182" s="2" t="s">
        <v>47</v>
      </c>
      <c r="C182" s="2" t="s">
        <v>37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8">
        <f t="shared" si="5"/>
        <v>0</v>
      </c>
    </row>
    <row r="183" spans="1:16" x14ac:dyDescent="0.3">
      <c r="A183" s="2" t="s">
        <v>75</v>
      </c>
      <c r="B183" s="2" t="s">
        <v>47</v>
      </c>
      <c r="C183" s="2" t="s">
        <v>38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8">
        <f t="shared" si="5"/>
        <v>0</v>
      </c>
    </row>
    <row r="184" spans="1:16" x14ac:dyDescent="0.3">
      <c r="A184" s="2" t="s">
        <v>75</v>
      </c>
      <c r="B184" s="2" t="s">
        <v>47</v>
      </c>
      <c r="C184" s="2" t="s">
        <v>39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8">
        <f t="shared" si="5"/>
        <v>0</v>
      </c>
    </row>
    <row r="185" spans="1:16" x14ac:dyDescent="0.3">
      <c r="A185" s="2" t="s">
        <v>75</v>
      </c>
      <c r="B185" s="2" t="s">
        <v>47</v>
      </c>
      <c r="C185" s="2" t="s">
        <v>40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8">
        <f t="shared" si="5"/>
        <v>0</v>
      </c>
    </row>
    <row r="186" spans="1:16" x14ac:dyDescent="0.3">
      <c r="A186" s="2" t="s">
        <v>75</v>
      </c>
      <c r="B186" s="2" t="s">
        <v>48</v>
      </c>
      <c r="C186" s="2" t="s">
        <v>18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8">
        <f t="shared" si="5"/>
        <v>0</v>
      </c>
    </row>
    <row r="187" spans="1:16" x14ac:dyDescent="0.3">
      <c r="A187" s="2" t="s">
        <v>75</v>
      </c>
      <c r="B187" s="2" t="s">
        <v>48</v>
      </c>
      <c r="C187" s="2" t="s">
        <v>19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8">
        <f t="shared" si="5"/>
        <v>0</v>
      </c>
    </row>
    <row r="188" spans="1:16" x14ac:dyDescent="0.3">
      <c r="A188" s="2" t="s">
        <v>75</v>
      </c>
      <c r="B188" s="2" t="s">
        <v>48</v>
      </c>
      <c r="C188" s="2" t="s">
        <v>20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8">
        <f t="shared" si="5"/>
        <v>0</v>
      </c>
    </row>
    <row r="189" spans="1:16" x14ac:dyDescent="0.3">
      <c r="A189" s="2" t="s">
        <v>75</v>
      </c>
      <c r="B189" s="2" t="s">
        <v>48</v>
      </c>
      <c r="C189" s="2" t="s">
        <v>21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8">
        <f t="shared" si="5"/>
        <v>0</v>
      </c>
    </row>
    <row r="190" spans="1:16" x14ac:dyDescent="0.3">
      <c r="A190" s="2" t="s">
        <v>75</v>
      </c>
      <c r="B190" s="2" t="s">
        <v>48</v>
      </c>
      <c r="C190" s="2" t="s">
        <v>22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8">
        <f t="shared" ref="P190:P221" si="6">SUM(D190:O190)</f>
        <v>0</v>
      </c>
    </row>
    <row r="191" spans="1:16" x14ac:dyDescent="0.3">
      <c r="A191" s="2" t="s">
        <v>75</v>
      </c>
      <c r="B191" s="2" t="s">
        <v>48</v>
      </c>
      <c r="C191" s="2" t="s">
        <v>23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8">
        <f t="shared" si="6"/>
        <v>0</v>
      </c>
    </row>
    <row r="192" spans="1:16" x14ac:dyDescent="0.3">
      <c r="A192" s="2" t="s">
        <v>75</v>
      </c>
      <c r="B192" s="2" t="s">
        <v>48</v>
      </c>
      <c r="C192" s="2" t="s">
        <v>24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8">
        <f t="shared" si="6"/>
        <v>0</v>
      </c>
    </row>
    <row r="193" spans="1:16" x14ac:dyDescent="0.3">
      <c r="A193" s="2" t="s">
        <v>75</v>
      </c>
      <c r="B193" s="2" t="s">
        <v>48</v>
      </c>
      <c r="C193" s="2" t="s">
        <v>25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8">
        <f t="shared" si="6"/>
        <v>0</v>
      </c>
    </row>
    <row r="194" spans="1:16" x14ac:dyDescent="0.3">
      <c r="A194" s="2" t="s">
        <v>75</v>
      </c>
      <c r="B194" s="2" t="s">
        <v>48</v>
      </c>
      <c r="C194" s="2" t="s">
        <v>26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8">
        <f t="shared" si="6"/>
        <v>0</v>
      </c>
    </row>
    <row r="195" spans="1:16" x14ac:dyDescent="0.3">
      <c r="A195" s="2" t="s">
        <v>75</v>
      </c>
      <c r="B195" s="2" t="s">
        <v>48</v>
      </c>
      <c r="C195" s="2" t="s">
        <v>27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8">
        <f t="shared" si="6"/>
        <v>0</v>
      </c>
    </row>
    <row r="196" spans="1:16" x14ac:dyDescent="0.3">
      <c r="A196" s="2" t="s">
        <v>75</v>
      </c>
      <c r="B196" s="2" t="s">
        <v>48</v>
      </c>
      <c r="C196" s="2" t="s">
        <v>28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8">
        <f t="shared" si="6"/>
        <v>0</v>
      </c>
    </row>
    <row r="197" spans="1:16" x14ac:dyDescent="0.3">
      <c r="A197" s="2" t="s">
        <v>75</v>
      </c>
      <c r="B197" s="2" t="s">
        <v>48</v>
      </c>
      <c r="C197" s="2" t="s">
        <v>29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8">
        <f t="shared" si="6"/>
        <v>0</v>
      </c>
    </row>
    <row r="198" spans="1:16" x14ac:dyDescent="0.3">
      <c r="A198" s="2" t="s">
        <v>75</v>
      </c>
      <c r="B198" s="2" t="s">
        <v>48</v>
      </c>
      <c r="C198" s="2" t="s">
        <v>30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8">
        <f t="shared" si="6"/>
        <v>0</v>
      </c>
    </row>
    <row r="199" spans="1:16" x14ac:dyDescent="0.3">
      <c r="A199" s="2" t="s">
        <v>75</v>
      </c>
      <c r="B199" s="2" t="s">
        <v>48</v>
      </c>
      <c r="C199" s="2" t="s">
        <v>31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8">
        <f t="shared" si="6"/>
        <v>0</v>
      </c>
    </row>
    <row r="200" spans="1:16" x14ac:dyDescent="0.3">
      <c r="A200" s="2" t="s">
        <v>75</v>
      </c>
      <c r="B200" s="2" t="s">
        <v>48</v>
      </c>
      <c r="C200" s="2" t="s">
        <v>32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8">
        <f t="shared" si="6"/>
        <v>0</v>
      </c>
    </row>
    <row r="201" spans="1:16" x14ac:dyDescent="0.3">
      <c r="A201" s="2" t="s">
        <v>75</v>
      </c>
      <c r="B201" s="2" t="s">
        <v>48</v>
      </c>
      <c r="C201" s="2" t="s">
        <v>33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8">
        <f t="shared" si="6"/>
        <v>0</v>
      </c>
    </row>
    <row r="202" spans="1:16" x14ac:dyDescent="0.3">
      <c r="A202" s="2" t="s">
        <v>75</v>
      </c>
      <c r="B202" s="2" t="s">
        <v>48</v>
      </c>
      <c r="C202" s="2" t="s">
        <v>34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8">
        <f t="shared" si="6"/>
        <v>0</v>
      </c>
    </row>
    <row r="203" spans="1:16" x14ac:dyDescent="0.3">
      <c r="A203" s="2" t="s">
        <v>75</v>
      </c>
      <c r="B203" s="2" t="s">
        <v>48</v>
      </c>
      <c r="C203" s="2" t="s">
        <v>35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8">
        <f t="shared" si="6"/>
        <v>0</v>
      </c>
    </row>
    <row r="204" spans="1:16" x14ac:dyDescent="0.3">
      <c r="A204" s="2" t="s">
        <v>75</v>
      </c>
      <c r="B204" s="2" t="s">
        <v>48</v>
      </c>
      <c r="C204" s="2" t="s">
        <v>36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8">
        <f t="shared" si="6"/>
        <v>0</v>
      </c>
    </row>
    <row r="205" spans="1:16" x14ac:dyDescent="0.3">
      <c r="A205" s="2" t="s">
        <v>75</v>
      </c>
      <c r="B205" s="2" t="s">
        <v>48</v>
      </c>
      <c r="C205" s="2" t="s">
        <v>37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8">
        <f t="shared" si="6"/>
        <v>0</v>
      </c>
    </row>
    <row r="206" spans="1:16" x14ac:dyDescent="0.3">
      <c r="A206" s="2" t="s">
        <v>75</v>
      </c>
      <c r="B206" s="2" t="s">
        <v>48</v>
      </c>
      <c r="C206" s="2" t="s">
        <v>38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8">
        <f t="shared" si="6"/>
        <v>0</v>
      </c>
    </row>
    <row r="207" spans="1:16" x14ac:dyDescent="0.3">
      <c r="A207" s="2" t="s">
        <v>75</v>
      </c>
      <c r="B207" s="2" t="s">
        <v>48</v>
      </c>
      <c r="C207" s="2" t="s">
        <v>39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8">
        <f t="shared" si="6"/>
        <v>0</v>
      </c>
    </row>
    <row r="208" spans="1:16" x14ac:dyDescent="0.3">
      <c r="A208" s="2" t="s">
        <v>75</v>
      </c>
      <c r="B208" s="2" t="s">
        <v>48</v>
      </c>
      <c r="C208" s="2" t="s">
        <v>40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8">
        <f t="shared" si="6"/>
        <v>0</v>
      </c>
    </row>
    <row r="209" spans="1:16" x14ac:dyDescent="0.3">
      <c r="A209" s="2" t="s">
        <v>75</v>
      </c>
      <c r="B209" s="2" t="s">
        <v>49</v>
      </c>
      <c r="C209" s="2" t="s">
        <v>18</v>
      </c>
      <c r="D209" s="7">
        <f t="shared" ref="D209:O209" si="7">D140+D163</f>
        <v>0</v>
      </c>
      <c r="E209" s="7">
        <f t="shared" si="7"/>
        <v>0</v>
      </c>
      <c r="F209" s="7">
        <f t="shared" si="7"/>
        <v>0</v>
      </c>
      <c r="G209" s="7">
        <f t="shared" si="7"/>
        <v>0</v>
      </c>
      <c r="H209" s="7">
        <f t="shared" si="7"/>
        <v>0</v>
      </c>
      <c r="I209" s="7">
        <f t="shared" si="7"/>
        <v>0</v>
      </c>
      <c r="J209" s="7">
        <f t="shared" si="7"/>
        <v>0</v>
      </c>
      <c r="K209" s="7">
        <f t="shared" si="7"/>
        <v>0</v>
      </c>
      <c r="L209" s="7">
        <f t="shared" si="7"/>
        <v>0</v>
      </c>
      <c r="M209" s="7">
        <f t="shared" si="7"/>
        <v>0</v>
      </c>
      <c r="N209" s="7">
        <f t="shared" si="7"/>
        <v>0</v>
      </c>
      <c r="O209" s="7">
        <f t="shared" si="7"/>
        <v>0</v>
      </c>
      <c r="P209" s="8">
        <f t="shared" si="6"/>
        <v>0</v>
      </c>
    </row>
    <row r="210" spans="1:16" x14ac:dyDescent="0.3">
      <c r="A210" s="2" t="s">
        <v>75</v>
      </c>
      <c r="B210" s="2" t="s">
        <v>49</v>
      </c>
      <c r="C210" s="2" t="s">
        <v>19</v>
      </c>
      <c r="D210" s="7">
        <f t="shared" ref="D210:O210" si="8">D141+D164</f>
        <v>0</v>
      </c>
      <c r="E210" s="7">
        <f t="shared" si="8"/>
        <v>0</v>
      </c>
      <c r="F210" s="7">
        <f t="shared" si="8"/>
        <v>0</v>
      </c>
      <c r="G210" s="7">
        <f t="shared" si="8"/>
        <v>0</v>
      </c>
      <c r="H210" s="7">
        <f t="shared" si="8"/>
        <v>0</v>
      </c>
      <c r="I210" s="7">
        <f t="shared" si="8"/>
        <v>0</v>
      </c>
      <c r="J210" s="7">
        <f t="shared" si="8"/>
        <v>0</v>
      </c>
      <c r="K210" s="7">
        <f t="shared" si="8"/>
        <v>0</v>
      </c>
      <c r="L210" s="7">
        <f t="shared" si="8"/>
        <v>0</v>
      </c>
      <c r="M210" s="7">
        <f t="shared" si="8"/>
        <v>0</v>
      </c>
      <c r="N210" s="7">
        <f t="shared" si="8"/>
        <v>0</v>
      </c>
      <c r="O210" s="7">
        <f t="shared" si="8"/>
        <v>0</v>
      </c>
      <c r="P210" s="8">
        <f t="shared" si="6"/>
        <v>0</v>
      </c>
    </row>
    <row r="211" spans="1:16" x14ac:dyDescent="0.3">
      <c r="A211" s="2" t="s">
        <v>75</v>
      </c>
      <c r="B211" s="2" t="s">
        <v>49</v>
      </c>
      <c r="C211" s="2" t="s">
        <v>20</v>
      </c>
      <c r="D211" s="7">
        <f t="shared" ref="D211:O211" si="9">D142+D165</f>
        <v>0</v>
      </c>
      <c r="E211" s="7">
        <f t="shared" si="9"/>
        <v>0</v>
      </c>
      <c r="F211" s="7">
        <f t="shared" si="9"/>
        <v>0</v>
      </c>
      <c r="G211" s="7">
        <f t="shared" si="9"/>
        <v>0</v>
      </c>
      <c r="H211" s="7">
        <f t="shared" si="9"/>
        <v>0</v>
      </c>
      <c r="I211" s="7">
        <f t="shared" si="9"/>
        <v>0</v>
      </c>
      <c r="J211" s="7">
        <f t="shared" si="9"/>
        <v>0</v>
      </c>
      <c r="K211" s="7">
        <f t="shared" si="9"/>
        <v>0</v>
      </c>
      <c r="L211" s="7">
        <f t="shared" si="9"/>
        <v>0</v>
      </c>
      <c r="M211" s="7">
        <f t="shared" si="9"/>
        <v>0</v>
      </c>
      <c r="N211" s="7">
        <f t="shared" si="9"/>
        <v>0</v>
      </c>
      <c r="O211" s="7">
        <f t="shared" si="9"/>
        <v>0</v>
      </c>
      <c r="P211" s="8">
        <f t="shared" si="6"/>
        <v>0</v>
      </c>
    </row>
    <row r="212" spans="1:16" x14ac:dyDescent="0.3">
      <c r="A212" s="2" t="s">
        <v>75</v>
      </c>
      <c r="B212" s="2" t="s">
        <v>49</v>
      </c>
      <c r="C212" s="2" t="s">
        <v>21</v>
      </c>
      <c r="D212" s="7">
        <f t="shared" ref="D212:O212" si="10">D143+D166</f>
        <v>0</v>
      </c>
      <c r="E212" s="7">
        <f t="shared" si="10"/>
        <v>0</v>
      </c>
      <c r="F212" s="7">
        <f t="shared" si="10"/>
        <v>0</v>
      </c>
      <c r="G212" s="7">
        <f t="shared" si="10"/>
        <v>0</v>
      </c>
      <c r="H212" s="7">
        <f t="shared" si="10"/>
        <v>0</v>
      </c>
      <c r="I212" s="7">
        <f t="shared" si="10"/>
        <v>0</v>
      </c>
      <c r="J212" s="7">
        <f t="shared" si="10"/>
        <v>0</v>
      </c>
      <c r="K212" s="7">
        <f t="shared" si="10"/>
        <v>0</v>
      </c>
      <c r="L212" s="7">
        <f t="shared" si="10"/>
        <v>0</v>
      </c>
      <c r="M212" s="7">
        <f t="shared" si="10"/>
        <v>0</v>
      </c>
      <c r="N212" s="7">
        <f t="shared" si="10"/>
        <v>0</v>
      </c>
      <c r="O212" s="7">
        <f t="shared" si="10"/>
        <v>0</v>
      </c>
      <c r="P212" s="8">
        <f t="shared" si="6"/>
        <v>0</v>
      </c>
    </row>
    <row r="213" spans="1:16" x14ac:dyDescent="0.3">
      <c r="A213" s="2" t="s">
        <v>75</v>
      </c>
      <c r="B213" s="2" t="s">
        <v>49</v>
      </c>
      <c r="C213" s="2" t="s">
        <v>22</v>
      </c>
      <c r="D213" s="7">
        <f t="shared" ref="D213:O213" si="11">D144+D167</f>
        <v>0</v>
      </c>
      <c r="E213" s="7">
        <f t="shared" si="11"/>
        <v>0</v>
      </c>
      <c r="F213" s="7">
        <f t="shared" si="11"/>
        <v>0</v>
      </c>
      <c r="G213" s="7">
        <f t="shared" si="11"/>
        <v>0</v>
      </c>
      <c r="H213" s="7">
        <f t="shared" si="11"/>
        <v>0</v>
      </c>
      <c r="I213" s="7">
        <f t="shared" si="11"/>
        <v>0</v>
      </c>
      <c r="J213" s="7">
        <f t="shared" si="11"/>
        <v>0</v>
      </c>
      <c r="K213" s="7">
        <f t="shared" si="11"/>
        <v>0</v>
      </c>
      <c r="L213" s="7">
        <f t="shared" si="11"/>
        <v>0</v>
      </c>
      <c r="M213" s="7">
        <f t="shared" si="11"/>
        <v>0</v>
      </c>
      <c r="N213" s="7">
        <f t="shared" si="11"/>
        <v>0</v>
      </c>
      <c r="O213" s="7">
        <f t="shared" si="11"/>
        <v>0</v>
      </c>
      <c r="P213" s="8">
        <f t="shared" si="6"/>
        <v>0</v>
      </c>
    </row>
    <row r="214" spans="1:16" x14ac:dyDescent="0.3">
      <c r="A214" s="2" t="s">
        <v>75</v>
      </c>
      <c r="B214" s="2" t="s">
        <v>49</v>
      </c>
      <c r="C214" s="2" t="s">
        <v>23</v>
      </c>
      <c r="D214" s="7">
        <f t="shared" ref="D214:O214" si="12">D145+D168</f>
        <v>0</v>
      </c>
      <c r="E214" s="7">
        <f t="shared" si="12"/>
        <v>0</v>
      </c>
      <c r="F214" s="7">
        <f t="shared" si="12"/>
        <v>0</v>
      </c>
      <c r="G214" s="7">
        <f t="shared" si="12"/>
        <v>0</v>
      </c>
      <c r="H214" s="7">
        <f t="shared" si="12"/>
        <v>0</v>
      </c>
      <c r="I214" s="7">
        <f t="shared" si="12"/>
        <v>0</v>
      </c>
      <c r="J214" s="7">
        <f t="shared" si="12"/>
        <v>0</v>
      </c>
      <c r="K214" s="7">
        <f t="shared" si="12"/>
        <v>0</v>
      </c>
      <c r="L214" s="7">
        <f t="shared" si="12"/>
        <v>0</v>
      </c>
      <c r="M214" s="7">
        <f t="shared" si="12"/>
        <v>0</v>
      </c>
      <c r="N214" s="7">
        <f t="shared" si="12"/>
        <v>0</v>
      </c>
      <c r="O214" s="7">
        <f t="shared" si="12"/>
        <v>0</v>
      </c>
      <c r="P214" s="8">
        <f t="shared" si="6"/>
        <v>0</v>
      </c>
    </row>
    <row r="215" spans="1:16" x14ac:dyDescent="0.3">
      <c r="A215" s="2" t="s">
        <v>75</v>
      </c>
      <c r="B215" s="2" t="s">
        <v>49</v>
      </c>
      <c r="C215" s="2" t="s">
        <v>24</v>
      </c>
      <c r="D215" s="7">
        <f t="shared" ref="D215:O215" si="13">D146+D169</f>
        <v>0</v>
      </c>
      <c r="E215" s="7">
        <f t="shared" si="13"/>
        <v>0</v>
      </c>
      <c r="F215" s="7">
        <f t="shared" si="13"/>
        <v>0</v>
      </c>
      <c r="G215" s="7">
        <f t="shared" si="13"/>
        <v>0</v>
      </c>
      <c r="H215" s="7">
        <f t="shared" si="13"/>
        <v>0</v>
      </c>
      <c r="I215" s="7">
        <f t="shared" si="13"/>
        <v>0</v>
      </c>
      <c r="J215" s="7">
        <f t="shared" si="13"/>
        <v>0</v>
      </c>
      <c r="K215" s="7">
        <f t="shared" si="13"/>
        <v>0</v>
      </c>
      <c r="L215" s="7">
        <f t="shared" si="13"/>
        <v>0</v>
      </c>
      <c r="M215" s="7">
        <f t="shared" si="13"/>
        <v>0</v>
      </c>
      <c r="N215" s="7">
        <f t="shared" si="13"/>
        <v>0</v>
      </c>
      <c r="O215" s="7">
        <f t="shared" si="13"/>
        <v>0</v>
      </c>
      <c r="P215" s="8">
        <f t="shared" si="6"/>
        <v>0</v>
      </c>
    </row>
    <row r="216" spans="1:16" x14ac:dyDescent="0.3">
      <c r="A216" s="2" t="s">
        <v>75</v>
      </c>
      <c r="B216" s="2" t="s">
        <v>49</v>
      </c>
      <c r="C216" s="2" t="s">
        <v>25</v>
      </c>
      <c r="D216" s="7">
        <f t="shared" ref="D216:O216" si="14">D147+D170</f>
        <v>0</v>
      </c>
      <c r="E216" s="7">
        <f t="shared" si="14"/>
        <v>0</v>
      </c>
      <c r="F216" s="7">
        <f t="shared" si="14"/>
        <v>0</v>
      </c>
      <c r="G216" s="7">
        <f t="shared" si="14"/>
        <v>0</v>
      </c>
      <c r="H216" s="7">
        <f t="shared" si="14"/>
        <v>0</v>
      </c>
      <c r="I216" s="7">
        <f t="shared" si="14"/>
        <v>0</v>
      </c>
      <c r="J216" s="7">
        <f t="shared" si="14"/>
        <v>0</v>
      </c>
      <c r="K216" s="7">
        <f t="shared" si="14"/>
        <v>0</v>
      </c>
      <c r="L216" s="7">
        <f t="shared" si="14"/>
        <v>0</v>
      </c>
      <c r="M216" s="7">
        <f t="shared" si="14"/>
        <v>0</v>
      </c>
      <c r="N216" s="7">
        <f t="shared" si="14"/>
        <v>0</v>
      </c>
      <c r="O216" s="7">
        <f t="shared" si="14"/>
        <v>0</v>
      </c>
      <c r="P216" s="8">
        <f t="shared" si="6"/>
        <v>0</v>
      </c>
    </row>
    <row r="217" spans="1:16" x14ac:dyDescent="0.3">
      <c r="A217" s="2" t="s">
        <v>75</v>
      </c>
      <c r="B217" s="2" t="s">
        <v>49</v>
      </c>
      <c r="C217" s="2" t="s">
        <v>26</v>
      </c>
      <c r="D217" s="7">
        <f t="shared" ref="D217:O217" si="15">D148+D171</f>
        <v>0</v>
      </c>
      <c r="E217" s="7">
        <f t="shared" si="15"/>
        <v>0</v>
      </c>
      <c r="F217" s="7">
        <f t="shared" si="15"/>
        <v>0</v>
      </c>
      <c r="G217" s="7">
        <f t="shared" si="15"/>
        <v>0</v>
      </c>
      <c r="H217" s="7">
        <f t="shared" si="15"/>
        <v>0</v>
      </c>
      <c r="I217" s="7">
        <f t="shared" si="15"/>
        <v>0</v>
      </c>
      <c r="J217" s="7">
        <f t="shared" si="15"/>
        <v>0</v>
      </c>
      <c r="K217" s="7">
        <f t="shared" si="15"/>
        <v>0</v>
      </c>
      <c r="L217" s="7">
        <f t="shared" si="15"/>
        <v>0</v>
      </c>
      <c r="M217" s="7">
        <f t="shared" si="15"/>
        <v>0</v>
      </c>
      <c r="N217" s="7">
        <f t="shared" si="15"/>
        <v>0</v>
      </c>
      <c r="O217" s="7">
        <f t="shared" si="15"/>
        <v>0</v>
      </c>
      <c r="P217" s="8">
        <f t="shared" si="6"/>
        <v>0</v>
      </c>
    </row>
    <row r="218" spans="1:16" x14ac:dyDescent="0.3">
      <c r="A218" s="2" t="s">
        <v>75</v>
      </c>
      <c r="B218" s="2" t="s">
        <v>49</v>
      </c>
      <c r="C218" s="2" t="s">
        <v>27</v>
      </c>
      <c r="D218" s="7">
        <f t="shared" ref="D218:O218" si="16">D149+D172</f>
        <v>0</v>
      </c>
      <c r="E218" s="7">
        <f t="shared" si="16"/>
        <v>0</v>
      </c>
      <c r="F218" s="7">
        <f t="shared" si="16"/>
        <v>0</v>
      </c>
      <c r="G218" s="7">
        <f t="shared" si="16"/>
        <v>0</v>
      </c>
      <c r="H218" s="7">
        <f t="shared" si="16"/>
        <v>0</v>
      </c>
      <c r="I218" s="7">
        <f t="shared" si="16"/>
        <v>0</v>
      </c>
      <c r="J218" s="7">
        <f t="shared" si="16"/>
        <v>0</v>
      </c>
      <c r="K218" s="7">
        <f t="shared" si="16"/>
        <v>0</v>
      </c>
      <c r="L218" s="7">
        <f t="shared" si="16"/>
        <v>0</v>
      </c>
      <c r="M218" s="7">
        <f t="shared" si="16"/>
        <v>0</v>
      </c>
      <c r="N218" s="7">
        <f t="shared" si="16"/>
        <v>0</v>
      </c>
      <c r="O218" s="7">
        <f t="shared" si="16"/>
        <v>0</v>
      </c>
      <c r="P218" s="8">
        <f t="shared" si="6"/>
        <v>0</v>
      </c>
    </row>
    <row r="219" spans="1:16" x14ac:dyDescent="0.3">
      <c r="A219" s="2" t="s">
        <v>75</v>
      </c>
      <c r="B219" s="2" t="s">
        <v>49</v>
      </c>
      <c r="C219" s="2" t="s">
        <v>28</v>
      </c>
      <c r="D219" s="7">
        <f t="shared" ref="D219:O219" si="17">D150+D173</f>
        <v>0</v>
      </c>
      <c r="E219" s="7">
        <f t="shared" si="17"/>
        <v>0</v>
      </c>
      <c r="F219" s="7">
        <f t="shared" si="17"/>
        <v>0</v>
      </c>
      <c r="G219" s="7">
        <f t="shared" si="17"/>
        <v>0</v>
      </c>
      <c r="H219" s="7">
        <f t="shared" si="17"/>
        <v>0</v>
      </c>
      <c r="I219" s="7">
        <f t="shared" si="17"/>
        <v>0</v>
      </c>
      <c r="J219" s="7">
        <f t="shared" si="17"/>
        <v>0</v>
      </c>
      <c r="K219" s="7">
        <f t="shared" si="17"/>
        <v>0</v>
      </c>
      <c r="L219" s="7">
        <f t="shared" si="17"/>
        <v>0</v>
      </c>
      <c r="M219" s="7">
        <f t="shared" si="17"/>
        <v>0</v>
      </c>
      <c r="N219" s="7">
        <f t="shared" si="17"/>
        <v>0</v>
      </c>
      <c r="O219" s="7">
        <f t="shared" si="17"/>
        <v>0</v>
      </c>
      <c r="P219" s="8">
        <f t="shared" si="6"/>
        <v>0</v>
      </c>
    </row>
    <row r="220" spans="1:16" x14ac:dyDescent="0.3">
      <c r="A220" s="2" t="s">
        <v>75</v>
      </c>
      <c r="B220" s="2" t="s">
        <v>49</v>
      </c>
      <c r="C220" s="2" t="s">
        <v>29</v>
      </c>
      <c r="D220" s="7">
        <f t="shared" ref="D220:O220" si="18">D151+D174</f>
        <v>0</v>
      </c>
      <c r="E220" s="7">
        <f t="shared" si="18"/>
        <v>0</v>
      </c>
      <c r="F220" s="7">
        <f t="shared" si="18"/>
        <v>0</v>
      </c>
      <c r="G220" s="7">
        <f t="shared" si="18"/>
        <v>0</v>
      </c>
      <c r="H220" s="7">
        <f t="shared" si="18"/>
        <v>0</v>
      </c>
      <c r="I220" s="7">
        <f t="shared" si="18"/>
        <v>0</v>
      </c>
      <c r="J220" s="7">
        <f t="shared" si="18"/>
        <v>0</v>
      </c>
      <c r="K220" s="7">
        <f t="shared" si="18"/>
        <v>0</v>
      </c>
      <c r="L220" s="7">
        <f t="shared" si="18"/>
        <v>0</v>
      </c>
      <c r="M220" s="7">
        <f t="shared" si="18"/>
        <v>0</v>
      </c>
      <c r="N220" s="7">
        <f t="shared" si="18"/>
        <v>0</v>
      </c>
      <c r="O220" s="7">
        <f t="shared" si="18"/>
        <v>0</v>
      </c>
      <c r="P220" s="8">
        <f t="shared" si="6"/>
        <v>0</v>
      </c>
    </row>
    <row r="221" spans="1:16" x14ac:dyDescent="0.3">
      <c r="A221" s="2" t="s">
        <v>75</v>
      </c>
      <c r="B221" s="2" t="s">
        <v>49</v>
      </c>
      <c r="C221" s="2" t="s">
        <v>30</v>
      </c>
      <c r="D221" s="7">
        <f t="shared" ref="D221:O221" si="19">D152+D175</f>
        <v>0</v>
      </c>
      <c r="E221" s="7">
        <f t="shared" si="19"/>
        <v>0</v>
      </c>
      <c r="F221" s="7">
        <f t="shared" si="19"/>
        <v>0</v>
      </c>
      <c r="G221" s="7">
        <f t="shared" si="19"/>
        <v>0</v>
      </c>
      <c r="H221" s="7">
        <f t="shared" si="19"/>
        <v>0</v>
      </c>
      <c r="I221" s="7">
        <f t="shared" si="19"/>
        <v>0</v>
      </c>
      <c r="J221" s="7">
        <f t="shared" si="19"/>
        <v>0</v>
      </c>
      <c r="K221" s="7">
        <f t="shared" si="19"/>
        <v>0</v>
      </c>
      <c r="L221" s="7">
        <f t="shared" si="19"/>
        <v>0</v>
      </c>
      <c r="M221" s="7">
        <f t="shared" si="19"/>
        <v>0</v>
      </c>
      <c r="N221" s="7">
        <f t="shared" si="19"/>
        <v>0</v>
      </c>
      <c r="O221" s="7">
        <f t="shared" si="19"/>
        <v>0</v>
      </c>
      <c r="P221" s="8">
        <f t="shared" si="6"/>
        <v>0</v>
      </c>
    </row>
    <row r="222" spans="1:16" x14ac:dyDescent="0.3">
      <c r="A222" s="2" t="s">
        <v>75</v>
      </c>
      <c r="B222" s="2" t="s">
        <v>49</v>
      </c>
      <c r="C222" s="2" t="s">
        <v>31</v>
      </c>
      <c r="D222" s="7">
        <f t="shared" ref="D222:O222" si="20">D153+D176</f>
        <v>0</v>
      </c>
      <c r="E222" s="7">
        <f t="shared" si="20"/>
        <v>0</v>
      </c>
      <c r="F222" s="7">
        <f t="shared" si="20"/>
        <v>0</v>
      </c>
      <c r="G222" s="7">
        <f t="shared" si="20"/>
        <v>0</v>
      </c>
      <c r="H222" s="7">
        <f t="shared" si="20"/>
        <v>0</v>
      </c>
      <c r="I222" s="7">
        <f t="shared" si="20"/>
        <v>0</v>
      </c>
      <c r="J222" s="7">
        <f t="shared" si="20"/>
        <v>0</v>
      </c>
      <c r="K222" s="7">
        <f t="shared" si="20"/>
        <v>0</v>
      </c>
      <c r="L222" s="7">
        <f t="shared" si="20"/>
        <v>0</v>
      </c>
      <c r="M222" s="7">
        <f t="shared" si="20"/>
        <v>0</v>
      </c>
      <c r="N222" s="7">
        <f t="shared" si="20"/>
        <v>0</v>
      </c>
      <c r="O222" s="7">
        <f t="shared" si="20"/>
        <v>0</v>
      </c>
      <c r="P222" s="8">
        <f t="shared" ref="P222:P253" si="21">SUM(D222:O222)</f>
        <v>0</v>
      </c>
    </row>
    <row r="223" spans="1:16" x14ac:dyDescent="0.3">
      <c r="A223" s="2" t="s">
        <v>75</v>
      </c>
      <c r="B223" s="2" t="s">
        <v>49</v>
      </c>
      <c r="C223" s="2" t="s">
        <v>32</v>
      </c>
      <c r="D223" s="7">
        <f t="shared" ref="D223:O223" si="22">D154+D177</f>
        <v>0</v>
      </c>
      <c r="E223" s="7">
        <f t="shared" si="22"/>
        <v>0</v>
      </c>
      <c r="F223" s="7">
        <f t="shared" si="22"/>
        <v>0</v>
      </c>
      <c r="G223" s="7">
        <f t="shared" si="22"/>
        <v>0</v>
      </c>
      <c r="H223" s="7">
        <f t="shared" si="22"/>
        <v>0</v>
      </c>
      <c r="I223" s="7">
        <f t="shared" si="22"/>
        <v>0</v>
      </c>
      <c r="J223" s="7">
        <f t="shared" si="22"/>
        <v>0</v>
      </c>
      <c r="K223" s="7">
        <f t="shared" si="22"/>
        <v>0</v>
      </c>
      <c r="L223" s="7">
        <f t="shared" si="22"/>
        <v>0</v>
      </c>
      <c r="M223" s="7">
        <f t="shared" si="22"/>
        <v>0</v>
      </c>
      <c r="N223" s="7">
        <f t="shared" si="22"/>
        <v>0</v>
      </c>
      <c r="O223" s="7">
        <f t="shared" si="22"/>
        <v>0</v>
      </c>
      <c r="P223" s="8">
        <f t="shared" si="21"/>
        <v>0</v>
      </c>
    </row>
    <row r="224" spans="1:16" x14ac:dyDescent="0.3">
      <c r="A224" s="2" t="s">
        <v>75</v>
      </c>
      <c r="B224" s="2" t="s">
        <v>49</v>
      </c>
      <c r="C224" s="2" t="s">
        <v>33</v>
      </c>
      <c r="D224" s="7">
        <f t="shared" ref="D224:O224" si="23">D155+D178</f>
        <v>0</v>
      </c>
      <c r="E224" s="7">
        <f t="shared" si="23"/>
        <v>0</v>
      </c>
      <c r="F224" s="7">
        <f t="shared" si="23"/>
        <v>0</v>
      </c>
      <c r="G224" s="7">
        <f t="shared" si="23"/>
        <v>0</v>
      </c>
      <c r="H224" s="7">
        <f t="shared" si="23"/>
        <v>0</v>
      </c>
      <c r="I224" s="7">
        <f t="shared" si="23"/>
        <v>0</v>
      </c>
      <c r="J224" s="7">
        <f t="shared" si="23"/>
        <v>0</v>
      </c>
      <c r="K224" s="7">
        <f t="shared" si="23"/>
        <v>0</v>
      </c>
      <c r="L224" s="7">
        <f t="shared" si="23"/>
        <v>0</v>
      </c>
      <c r="M224" s="7">
        <f t="shared" si="23"/>
        <v>0</v>
      </c>
      <c r="N224" s="7">
        <f t="shared" si="23"/>
        <v>0</v>
      </c>
      <c r="O224" s="7">
        <f t="shared" si="23"/>
        <v>0</v>
      </c>
      <c r="P224" s="8">
        <f t="shared" si="21"/>
        <v>0</v>
      </c>
    </row>
    <row r="225" spans="1:16" x14ac:dyDescent="0.3">
      <c r="A225" s="2" t="s">
        <v>75</v>
      </c>
      <c r="B225" s="2" t="s">
        <v>49</v>
      </c>
      <c r="C225" s="2" t="s">
        <v>34</v>
      </c>
      <c r="D225" s="7">
        <f t="shared" ref="D225:O225" si="24">D156+D179</f>
        <v>0</v>
      </c>
      <c r="E225" s="7">
        <f t="shared" si="24"/>
        <v>0</v>
      </c>
      <c r="F225" s="7">
        <f t="shared" si="24"/>
        <v>0</v>
      </c>
      <c r="G225" s="7">
        <f t="shared" si="24"/>
        <v>0</v>
      </c>
      <c r="H225" s="7">
        <f t="shared" si="24"/>
        <v>0</v>
      </c>
      <c r="I225" s="7">
        <f t="shared" si="24"/>
        <v>0</v>
      </c>
      <c r="J225" s="7">
        <f t="shared" si="24"/>
        <v>0</v>
      </c>
      <c r="K225" s="7">
        <f t="shared" si="24"/>
        <v>0</v>
      </c>
      <c r="L225" s="7">
        <f t="shared" si="24"/>
        <v>0</v>
      </c>
      <c r="M225" s="7">
        <f t="shared" si="24"/>
        <v>0</v>
      </c>
      <c r="N225" s="7">
        <f t="shared" si="24"/>
        <v>0</v>
      </c>
      <c r="O225" s="7">
        <f t="shared" si="24"/>
        <v>0</v>
      </c>
      <c r="P225" s="8">
        <f t="shared" si="21"/>
        <v>0</v>
      </c>
    </row>
    <row r="226" spans="1:16" x14ac:dyDescent="0.3">
      <c r="A226" s="2" t="s">
        <v>75</v>
      </c>
      <c r="B226" s="2" t="s">
        <v>49</v>
      </c>
      <c r="C226" s="2" t="s">
        <v>35</v>
      </c>
      <c r="D226" s="7">
        <f t="shared" ref="D226:O226" si="25">D157+D180</f>
        <v>0</v>
      </c>
      <c r="E226" s="7">
        <f t="shared" si="25"/>
        <v>0</v>
      </c>
      <c r="F226" s="7">
        <f t="shared" si="25"/>
        <v>0</v>
      </c>
      <c r="G226" s="7">
        <f t="shared" si="25"/>
        <v>0</v>
      </c>
      <c r="H226" s="7">
        <f t="shared" si="25"/>
        <v>0</v>
      </c>
      <c r="I226" s="7">
        <f t="shared" si="25"/>
        <v>0</v>
      </c>
      <c r="J226" s="7">
        <f t="shared" si="25"/>
        <v>0</v>
      </c>
      <c r="K226" s="7">
        <f t="shared" si="25"/>
        <v>0</v>
      </c>
      <c r="L226" s="7">
        <f t="shared" si="25"/>
        <v>0</v>
      </c>
      <c r="M226" s="7">
        <f t="shared" si="25"/>
        <v>0</v>
      </c>
      <c r="N226" s="7">
        <f t="shared" si="25"/>
        <v>0</v>
      </c>
      <c r="O226" s="7">
        <f t="shared" si="25"/>
        <v>0</v>
      </c>
      <c r="P226" s="8">
        <f t="shared" si="21"/>
        <v>0</v>
      </c>
    </row>
    <row r="227" spans="1:16" x14ac:dyDescent="0.3">
      <c r="A227" s="2" t="s">
        <v>75</v>
      </c>
      <c r="B227" s="2" t="s">
        <v>49</v>
      </c>
      <c r="C227" s="2" t="s">
        <v>36</v>
      </c>
      <c r="D227" s="7">
        <f t="shared" ref="D227:O227" si="26">D158+D181</f>
        <v>0</v>
      </c>
      <c r="E227" s="7">
        <f t="shared" si="26"/>
        <v>0</v>
      </c>
      <c r="F227" s="7">
        <f t="shared" si="26"/>
        <v>0</v>
      </c>
      <c r="G227" s="7">
        <f t="shared" si="26"/>
        <v>0</v>
      </c>
      <c r="H227" s="7">
        <f t="shared" si="26"/>
        <v>0</v>
      </c>
      <c r="I227" s="7">
        <f t="shared" si="26"/>
        <v>0</v>
      </c>
      <c r="J227" s="7">
        <f t="shared" si="26"/>
        <v>0</v>
      </c>
      <c r="K227" s="7">
        <f t="shared" si="26"/>
        <v>0</v>
      </c>
      <c r="L227" s="7">
        <f t="shared" si="26"/>
        <v>0</v>
      </c>
      <c r="M227" s="7">
        <f t="shared" si="26"/>
        <v>0</v>
      </c>
      <c r="N227" s="7">
        <f t="shared" si="26"/>
        <v>0</v>
      </c>
      <c r="O227" s="7">
        <f t="shared" si="26"/>
        <v>0</v>
      </c>
      <c r="P227" s="8">
        <f t="shared" si="21"/>
        <v>0</v>
      </c>
    </row>
    <row r="228" spans="1:16" x14ac:dyDescent="0.3">
      <c r="A228" s="2" t="s">
        <v>75</v>
      </c>
      <c r="B228" s="2" t="s">
        <v>49</v>
      </c>
      <c r="C228" s="2" t="s">
        <v>37</v>
      </c>
      <c r="D228" s="7">
        <f t="shared" ref="D228:O228" si="27">D159+D182</f>
        <v>0</v>
      </c>
      <c r="E228" s="7">
        <f t="shared" si="27"/>
        <v>0</v>
      </c>
      <c r="F228" s="7">
        <f t="shared" si="27"/>
        <v>0</v>
      </c>
      <c r="G228" s="7">
        <f t="shared" si="27"/>
        <v>0</v>
      </c>
      <c r="H228" s="7">
        <f t="shared" si="27"/>
        <v>0</v>
      </c>
      <c r="I228" s="7">
        <f t="shared" si="27"/>
        <v>0</v>
      </c>
      <c r="J228" s="7">
        <f t="shared" si="27"/>
        <v>0</v>
      </c>
      <c r="K228" s="7">
        <f t="shared" si="27"/>
        <v>0</v>
      </c>
      <c r="L228" s="7">
        <f t="shared" si="27"/>
        <v>0</v>
      </c>
      <c r="M228" s="7">
        <f t="shared" si="27"/>
        <v>0</v>
      </c>
      <c r="N228" s="7">
        <f t="shared" si="27"/>
        <v>0</v>
      </c>
      <c r="O228" s="7">
        <f t="shared" si="27"/>
        <v>0</v>
      </c>
      <c r="P228" s="8">
        <f t="shared" si="21"/>
        <v>0</v>
      </c>
    </row>
    <row r="229" spans="1:16" x14ac:dyDescent="0.3">
      <c r="A229" s="2" t="s">
        <v>75</v>
      </c>
      <c r="B229" s="2" t="s">
        <v>49</v>
      </c>
      <c r="C229" s="2" t="s">
        <v>38</v>
      </c>
      <c r="D229" s="7">
        <f t="shared" ref="D229:O229" si="28">D160+D183</f>
        <v>0</v>
      </c>
      <c r="E229" s="7">
        <f t="shared" si="28"/>
        <v>0</v>
      </c>
      <c r="F229" s="7">
        <f t="shared" si="28"/>
        <v>0</v>
      </c>
      <c r="G229" s="7">
        <f t="shared" si="28"/>
        <v>0</v>
      </c>
      <c r="H229" s="7">
        <f t="shared" si="28"/>
        <v>0</v>
      </c>
      <c r="I229" s="7">
        <f t="shared" si="28"/>
        <v>0</v>
      </c>
      <c r="J229" s="7">
        <f t="shared" si="28"/>
        <v>0</v>
      </c>
      <c r="K229" s="7">
        <f t="shared" si="28"/>
        <v>0</v>
      </c>
      <c r="L229" s="7">
        <f t="shared" si="28"/>
        <v>0</v>
      </c>
      <c r="M229" s="7">
        <f t="shared" si="28"/>
        <v>0</v>
      </c>
      <c r="N229" s="7">
        <f t="shared" si="28"/>
        <v>0</v>
      </c>
      <c r="O229" s="7">
        <f t="shared" si="28"/>
        <v>0</v>
      </c>
      <c r="P229" s="8">
        <f t="shared" si="21"/>
        <v>0</v>
      </c>
    </row>
    <row r="230" spans="1:16" x14ac:dyDescent="0.3">
      <c r="A230" s="2" t="s">
        <v>75</v>
      </c>
      <c r="B230" s="2" t="s">
        <v>49</v>
      </c>
      <c r="C230" s="2" t="s">
        <v>39</v>
      </c>
      <c r="D230" s="7">
        <f t="shared" ref="D230:O230" si="29">D161+D184</f>
        <v>0</v>
      </c>
      <c r="E230" s="7">
        <f t="shared" si="29"/>
        <v>0</v>
      </c>
      <c r="F230" s="7">
        <f t="shared" si="29"/>
        <v>0</v>
      </c>
      <c r="G230" s="7">
        <f t="shared" si="29"/>
        <v>0</v>
      </c>
      <c r="H230" s="7">
        <f t="shared" si="29"/>
        <v>0</v>
      </c>
      <c r="I230" s="7">
        <f t="shared" si="29"/>
        <v>0</v>
      </c>
      <c r="J230" s="7">
        <f t="shared" si="29"/>
        <v>0</v>
      </c>
      <c r="K230" s="7">
        <f t="shared" si="29"/>
        <v>0</v>
      </c>
      <c r="L230" s="7">
        <f t="shared" si="29"/>
        <v>0</v>
      </c>
      <c r="M230" s="7">
        <f t="shared" si="29"/>
        <v>0</v>
      </c>
      <c r="N230" s="7">
        <f t="shared" si="29"/>
        <v>0</v>
      </c>
      <c r="O230" s="7">
        <f t="shared" si="29"/>
        <v>0</v>
      </c>
      <c r="P230" s="8">
        <f t="shared" si="21"/>
        <v>0</v>
      </c>
    </row>
    <row r="231" spans="1:16" x14ac:dyDescent="0.3">
      <c r="A231" s="2" t="s">
        <v>75</v>
      </c>
      <c r="B231" s="2" t="s">
        <v>49</v>
      </c>
      <c r="C231" s="2" t="s">
        <v>40</v>
      </c>
      <c r="D231" s="7">
        <f t="shared" ref="D231:O231" si="30">D162+D185</f>
        <v>0</v>
      </c>
      <c r="E231" s="7">
        <f t="shared" si="30"/>
        <v>0</v>
      </c>
      <c r="F231" s="7">
        <f t="shared" si="30"/>
        <v>0</v>
      </c>
      <c r="G231" s="7">
        <f t="shared" si="30"/>
        <v>0</v>
      </c>
      <c r="H231" s="7">
        <f t="shared" si="30"/>
        <v>0</v>
      </c>
      <c r="I231" s="7">
        <f t="shared" si="30"/>
        <v>0</v>
      </c>
      <c r="J231" s="7">
        <f t="shared" si="30"/>
        <v>0</v>
      </c>
      <c r="K231" s="7">
        <f t="shared" si="30"/>
        <v>0</v>
      </c>
      <c r="L231" s="7">
        <f t="shared" si="30"/>
        <v>0</v>
      </c>
      <c r="M231" s="7">
        <f t="shared" si="30"/>
        <v>0</v>
      </c>
      <c r="N231" s="7">
        <f t="shared" si="30"/>
        <v>0</v>
      </c>
      <c r="O231" s="7">
        <f t="shared" si="30"/>
        <v>0</v>
      </c>
      <c r="P231" s="8">
        <f t="shared" si="21"/>
        <v>0</v>
      </c>
    </row>
    <row r="232" spans="1:16" x14ac:dyDescent="0.3">
      <c r="A232" s="2" t="s">
        <v>75</v>
      </c>
      <c r="B232" s="2" t="s">
        <v>50</v>
      </c>
      <c r="C232" s="2" t="s">
        <v>18</v>
      </c>
      <c r="D232" s="7">
        <v>110.9</v>
      </c>
      <c r="E232" s="7">
        <v>110.9</v>
      </c>
      <c r="F232" s="7">
        <v>110.9</v>
      </c>
      <c r="G232" s="7">
        <v>110.9</v>
      </c>
      <c r="H232" s="7">
        <v>110.9</v>
      </c>
      <c r="I232" s="7">
        <v>110.9</v>
      </c>
      <c r="J232" s="7">
        <v>110.9</v>
      </c>
      <c r="K232" s="7">
        <v>110.9</v>
      </c>
      <c r="L232" s="7">
        <v>110.9</v>
      </c>
      <c r="M232" s="7">
        <v>110.9</v>
      </c>
      <c r="N232" s="7">
        <v>110.9</v>
      </c>
      <c r="O232" s="7">
        <v>110.9</v>
      </c>
      <c r="P232" s="8">
        <f t="shared" si="21"/>
        <v>1330.8000000000002</v>
      </c>
    </row>
    <row r="233" spans="1:16" x14ac:dyDescent="0.3">
      <c r="A233" s="2" t="s">
        <v>75</v>
      </c>
      <c r="B233" s="2" t="s">
        <v>50</v>
      </c>
      <c r="C233" s="2" t="s">
        <v>19</v>
      </c>
      <c r="D233" s="7">
        <v>163.2416666666667</v>
      </c>
      <c r="E233" s="7">
        <v>163.2416666666667</v>
      </c>
      <c r="F233" s="7">
        <v>163.2416666666667</v>
      </c>
      <c r="G233" s="7">
        <v>163.2416666666667</v>
      </c>
      <c r="H233" s="7">
        <v>163.2416666666667</v>
      </c>
      <c r="I233" s="7">
        <v>163.2416666666667</v>
      </c>
      <c r="J233" s="7">
        <v>163.2416666666667</v>
      </c>
      <c r="K233" s="7">
        <v>163.2416666666667</v>
      </c>
      <c r="L233" s="7">
        <v>163.2416666666667</v>
      </c>
      <c r="M233" s="7">
        <v>163.2416666666667</v>
      </c>
      <c r="N233" s="7">
        <v>163.2416666666667</v>
      </c>
      <c r="O233" s="7">
        <v>163.2416666666667</v>
      </c>
      <c r="P233" s="8">
        <f t="shared" si="21"/>
        <v>1958.9000000000008</v>
      </c>
    </row>
    <row r="234" spans="1:16" x14ac:dyDescent="0.3">
      <c r="A234" s="2" t="s">
        <v>75</v>
      </c>
      <c r="B234" s="2" t="s">
        <v>50</v>
      </c>
      <c r="C234" s="2" t="s">
        <v>20</v>
      </c>
      <c r="D234" s="7">
        <v>235.35</v>
      </c>
      <c r="E234" s="7">
        <v>235.35</v>
      </c>
      <c r="F234" s="7">
        <v>235.35</v>
      </c>
      <c r="G234" s="7">
        <v>235.35</v>
      </c>
      <c r="H234" s="7">
        <v>235.35</v>
      </c>
      <c r="I234" s="7">
        <v>235.35</v>
      </c>
      <c r="J234" s="7">
        <v>235.35</v>
      </c>
      <c r="K234" s="7">
        <v>235.35</v>
      </c>
      <c r="L234" s="7">
        <v>235.35</v>
      </c>
      <c r="M234" s="7">
        <v>235.35</v>
      </c>
      <c r="N234" s="7">
        <v>235.35</v>
      </c>
      <c r="O234" s="7">
        <v>235.35</v>
      </c>
      <c r="P234" s="8">
        <f t="shared" si="21"/>
        <v>2824.1999999999994</v>
      </c>
    </row>
    <row r="235" spans="1:16" x14ac:dyDescent="0.3">
      <c r="A235" s="2" t="s">
        <v>75</v>
      </c>
      <c r="B235" s="2" t="s">
        <v>50</v>
      </c>
      <c r="C235" s="2" t="s">
        <v>21</v>
      </c>
      <c r="D235" s="7">
        <v>258.63333333333333</v>
      </c>
      <c r="E235" s="7">
        <v>258.63333333333333</v>
      </c>
      <c r="F235" s="7">
        <v>258.63333333333333</v>
      </c>
      <c r="G235" s="7">
        <v>258.63333333333333</v>
      </c>
      <c r="H235" s="7">
        <v>258.63333333333333</v>
      </c>
      <c r="I235" s="7">
        <v>258.63333333333333</v>
      </c>
      <c r="J235" s="7">
        <v>258.63333333333333</v>
      </c>
      <c r="K235" s="7">
        <v>258.63333333333333</v>
      </c>
      <c r="L235" s="7">
        <v>258.63333333333333</v>
      </c>
      <c r="M235" s="7">
        <v>258.63333333333333</v>
      </c>
      <c r="N235" s="7">
        <v>258.63333333333333</v>
      </c>
      <c r="O235" s="7">
        <v>258.63333333333333</v>
      </c>
      <c r="P235" s="8">
        <f t="shared" si="21"/>
        <v>3103.599999999999</v>
      </c>
    </row>
    <row r="236" spans="1:16" x14ac:dyDescent="0.3">
      <c r="A236" s="2" t="s">
        <v>75</v>
      </c>
      <c r="B236" s="2" t="s">
        <v>50</v>
      </c>
      <c r="C236" s="2" t="s">
        <v>22</v>
      </c>
      <c r="D236" s="7">
        <v>226.32499999999999</v>
      </c>
      <c r="E236" s="7">
        <v>226.32499999999999</v>
      </c>
      <c r="F236" s="7">
        <v>226.32499999999999</v>
      </c>
      <c r="G236" s="7">
        <v>226.32499999999999</v>
      </c>
      <c r="H236" s="7">
        <v>226.32499999999999</v>
      </c>
      <c r="I236" s="7">
        <v>226.32499999999999</v>
      </c>
      <c r="J236" s="7">
        <v>226.32499999999999</v>
      </c>
      <c r="K236" s="7">
        <v>226.32499999999999</v>
      </c>
      <c r="L236" s="7">
        <v>226.32499999999999</v>
      </c>
      <c r="M236" s="7">
        <v>226.32499999999999</v>
      </c>
      <c r="N236" s="7">
        <v>226.32499999999999</v>
      </c>
      <c r="O236" s="7">
        <v>226.32499999999999</v>
      </c>
      <c r="P236" s="8">
        <f t="shared" si="21"/>
        <v>2715.8999999999996</v>
      </c>
    </row>
    <row r="237" spans="1:16" x14ac:dyDescent="0.3">
      <c r="A237" s="2" t="s">
        <v>75</v>
      </c>
      <c r="B237" s="2" t="s">
        <v>50</v>
      </c>
      <c r="C237" s="2" t="s">
        <v>23</v>
      </c>
      <c r="D237" s="7">
        <v>237.23333333333329</v>
      </c>
      <c r="E237" s="7">
        <v>237.23333333333329</v>
      </c>
      <c r="F237" s="7">
        <v>237.23333333333329</v>
      </c>
      <c r="G237" s="7">
        <v>237.23333333333329</v>
      </c>
      <c r="H237" s="7">
        <v>237.23333333333329</v>
      </c>
      <c r="I237" s="7">
        <v>237.23333333333329</v>
      </c>
      <c r="J237" s="7">
        <v>237.23333333333329</v>
      </c>
      <c r="K237" s="7">
        <v>237.23333333333329</v>
      </c>
      <c r="L237" s="7">
        <v>237.23333333333329</v>
      </c>
      <c r="M237" s="7">
        <v>237.23333333333329</v>
      </c>
      <c r="N237" s="7">
        <v>237.23333333333329</v>
      </c>
      <c r="O237" s="7">
        <v>237.23333333333329</v>
      </c>
      <c r="P237" s="8">
        <f t="shared" si="21"/>
        <v>2846.7999999999993</v>
      </c>
    </row>
    <row r="238" spans="1:16" x14ac:dyDescent="0.3">
      <c r="A238" s="2" t="s">
        <v>75</v>
      </c>
      <c r="B238" s="2" t="s">
        <v>50</v>
      </c>
      <c r="C238" s="2" t="s">
        <v>24</v>
      </c>
      <c r="D238" s="7">
        <v>281.20833333333331</v>
      </c>
      <c r="E238" s="7">
        <v>281.20833333333331</v>
      </c>
      <c r="F238" s="7">
        <v>281.20833333333331</v>
      </c>
      <c r="G238" s="7">
        <v>281.20833333333331</v>
      </c>
      <c r="H238" s="7">
        <v>281.20833333333331</v>
      </c>
      <c r="I238" s="7">
        <v>281.20833333333331</v>
      </c>
      <c r="J238" s="7">
        <v>281.20833333333331</v>
      </c>
      <c r="K238" s="7">
        <v>281.20833333333331</v>
      </c>
      <c r="L238" s="7">
        <v>281.20833333333331</v>
      </c>
      <c r="M238" s="7">
        <v>281.20833333333331</v>
      </c>
      <c r="N238" s="7">
        <v>281.20833333333331</v>
      </c>
      <c r="O238" s="7">
        <v>281.20833333333331</v>
      </c>
      <c r="P238" s="8">
        <f t="shared" si="21"/>
        <v>3374.5000000000005</v>
      </c>
    </row>
    <row r="239" spans="1:16" x14ac:dyDescent="0.3">
      <c r="A239" s="2" t="s">
        <v>75</v>
      </c>
      <c r="B239" s="2" t="s">
        <v>50</v>
      </c>
      <c r="C239" s="2" t="s">
        <v>25</v>
      </c>
      <c r="D239" s="7">
        <v>242.8666666666667</v>
      </c>
      <c r="E239" s="7">
        <v>242.8666666666667</v>
      </c>
      <c r="F239" s="7">
        <v>242.8666666666667</v>
      </c>
      <c r="G239" s="7">
        <v>242.8666666666667</v>
      </c>
      <c r="H239" s="7">
        <v>242.8666666666667</v>
      </c>
      <c r="I239" s="7">
        <v>242.8666666666667</v>
      </c>
      <c r="J239" s="7">
        <v>242.8666666666667</v>
      </c>
      <c r="K239" s="7">
        <v>242.8666666666667</v>
      </c>
      <c r="L239" s="7">
        <v>242.8666666666667</v>
      </c>
      <c r="M239" s="7">
        <v>242.8666666666667</v>
      </c>
      <c r="N239" s="7">
        <v>242.8666666666667</v>
      </c>
      <c r="O239" s="7">
        <v>242.8666666666667</v>
      </c>
      <c r="P239" s="8">
        <f t="shared" si="21"/>
        <v>2914.400000000001</v>
      </c>
    </row>
    <row r="240" spans="1:16" x14ac:dyDescent="0.3">
      <c r="A240" s="2" t="s">
        <v>75</v>
      </c>
      <c r="B240" s="2" t="s">
        <v>50</v>
      </c>
      <c r="C240" s="2" t="s">
        <v>26</v>
      </c>
      <c r="D240" s="7">
        <v>282.76666666666671</v>
      </c>
      <c r="E240" s="7">
        <v>282.76666666666671</v>
      </c>
      <c r="F240" s="7">
        <v>282.76666666666671</v>
      </c>
      <c r="G240" s="7">
        <v>282.76666666666671</v>
      </c>
      <c r="H240" s="7">
        <v>282.76666666666671</v>
      </c>
      <c r="I240" s="7">
        <v>282.76666666666671</v>
      </c>
      <c r="J240" s="7">
        <v>282.76666666666671</v>
      </c>
      <c r="K240" s="7">
        <v>282.76666666666671</v>
      </c>
      <c r="L240" s="7">
        <v>282.76666666666671</v>
      </c>
      <c r="M240" s="7">
        <v>282.76666666666671</v>
      </c>
      <c r="N240" s="7">
        <v>282.76666666666671</v>
      </c>
      <c r="O240" s="7">
        <v>282.76666666666671</v>
      </c>
      <c r="P240" s="8">
        <f t="shared" si="21"/>
        <v>3393.2000000000012</v>
      </c>
    </row>
    <row r="241" spans="1:16" x14ac:dyDescent="0.3">
      <c r="A241" s="2" t="s">
        <v>75</v>
      </c>
      <c r="B241" s="2" t="s">
        <v>50</v>
      </c>
      <c r="C241" s="2" t="s">
        <v>27</v>
      </c>
      <c r="D241" s="7">
        <v>231</v>
      </c>
      <c r="E241" s="7">
        <v>231</v>
      </c>
      <c r="F241" s="7">
        <v>231</v>
      </c>
      <c r="G241" s="7">
        <v>231</v>
      </c>
      <c r="H241" s="7">
        <v>231</v>
      </c>
      <c r="I241" s="7">
        <v>231</v>
      </c>
      <c r="J241" s="7">
        <v>231</v>
      </c>
      <c r="K241" s="7">
        <v>231</v>
      </c>
      <c r="L241" s="7">
        <v>231</v>
      </c>
      <c r="M241" s="7">
        <v>231</v>
      </c>
      <c r="N241" s="7">
        <v>231</v>
      </c>
      <c r="O241" s="7">
        <v>231</v>
      </c>
      <c r="P241" s="8">
        <f t="shared" si="21"/>
        <v>2772</v>
      </c>
    </row>
    <row r="242" spans="1:16" x14ac:dyDescent="0.3">
      <c r="A242" s="2" t="s">
        <v>75</v>
      </c>
      <c r="B242" s="2" t="s">
        <v>50</v>
      </c>
      <c r="C242" s="2" t="s">
        <v>28</v>
      </c>
      <c r="D242" s="7">
        <v>285.98333333333329</v>
      </c>
      <c r="E242" s="7">
        <v>285.98333333333329</v>
      </c>
      <c r="F242" s="7">
        <v>285.98333333333329</v>
      </c>
      <c r="G242" s="7">
        <v>285.98333333333329</v>
      </c>
      <c r="H242" s="7">
        <v>285.98333333333329</v>
      </c>
      <c r="I242" s="7">
        <v>285.98333333333329</v>
      </c>
      <c r="J242" s="7">
        <v>285.98333333333329</v>
      </c>
      <c r="K242" s="7">
        <v>285.98333333333329</v>
      </c>
      <c r="L242" s="7">
        <v>285.98333333333329</v>
      </c>
      <c r="M242" s="7">
        <v>285.98333333333329</v>
      </c>
      <c r="N242" s="7">
        <v>285.98333333333329</v>
      </c>
      <c r="O242" s="7">
        <v>285.98333333333329</v>
      </c>
      <c r="P242" s="8">
        <f t="shared" si="21"/>
        <v>3431.7999999999988</v>
      </c>
    </row>
    <row r="243" spans="1:16" x14ac:dyDescent="0.3">
      <c r="A243" s="2" t="s">
        <v>75</v>
      </c>
      <c r="B243" s="2" t="s">
        <v>50</v>
      </c>
      <c r="C243" s="2" t="s">
        <v>29</v>
      </c>
      <c r="D243" s="7">
        <v>317.14999999999998</v>
      </c>
      <c r="E243" s="7">
        <v>317.14999999999998</v>
      </c>
      <c r="F243" s="7">
        <v>317.14999999999998</v>
      </c>
      <c r="G243" s="7">
        <v>317.14999999999998</v>
      </c>
      <c r="H243" s="7">
        <v>317.14999999999998</v>
      </c>
      <c r="I243" s="7">
        <v>317.14999999999998</v>
      </c>
      <c r="J243" s="7">
        <v>317.14999999999998</v>
      </c>
      <c r="K243" s="7">
        <v>317.14999999999998</v>
      </c>
      <c r="L243" s="7">
        <v>317.14999999999998</v>
      </c>
      <c r="M243" s="7">
        <v>317.14999999999998</v>
      </c>
      <c r="N243" s="7">
        <v>317.14999999999998</v>
      </c>
      <c r="O243" s="7">
        <v>317.14999999999998</v>
      </c>
      <c r="P243" s="8">
        <f t="shared" si="21"/>
        <v>3805.8000000000006</v>
      </c>
    </row>
    <row r="244" spans="1:16" x14ac:dyDescent="0.3">
      <c r="A244" s="2" t="s">
        <v>75</v>
      </c>
      <c r="B244" s="2" t="s">
        <v>50</v>
      </c>
      <c r="C244" s="2" t="s">
        <v>30</v>
      </c>
      <c r="D244" s="7">
        <v>287.92500000000001</v>
      </c>
      <c r="E244" s="7">
        <v>287.92500000000001</v>
      </c>
      <c r="F244" s="7">
        <v>287.92500000000001</v>
      </c>
      <c r="G244" s="7">
        <v>287.92500000000001</v>
      </c>
      <c r="H244" s="7">
        <v>287.92500000000001</v>
      </c>
      <c r="I244" s="7">
        <v>287.92500000000001</v>
      </c>
      <c r="J244" s="7">
        <v>287.92500000000001</v>
      </c>
      <c r="K244" s="7">
        <v>287.92500000000001</v>
      </c>
      <c r="L244" s="7">
        <v>287.92500000000001</v>
      </c>
      <c r="M244" s="7">
        <v>287.92500000000001</v>
      </c>
      <c r="N244" s="7">
        <v>287.92500000000001</v>
      </c>
      <c r="O244" s="7">
        <v>287.92500000000001</v>
      </c>
      <c r="P244" s="8">
        <f t="shared" si="21"/>
        <v>3455.1000000000008</v>
      </c>
    </row>
    <row r="245" spans="1:16" x14ac:dyDescent="0.3">
      <c r="A245" s="2" t="s">
        <v>75</v>
      </c>
      <c r="B245" s="2" t="s">
        <v>50</v>
      </c>
      <c r="C245" s="2" t="s">
        <v>31</v>
      </c>
      <c r="D245" s="7">
        <v>309.20833333333331</v>
      </c>
      <c r="E245" s="7">
        <v>309.20833333333331</v>
      </c>
      <c r="F245" s="7">
        <v>309.20833333333331</v>
      </c>
      <c r="G245" s="7">
        <v>309.20833333333331</v>
      </c>
      <c r="H245" s="7">
        <v>309.20833333333331</v>
      </c>
      <c r="I245" s="7">
        <v>309.20833333333331</v>
      </c>
      <c r="J245" s="7">
        <v>309.20833333333331</v>
      </c>
      <c r="K245" s="7">
        <v>309.20833333333331</v>
      </c>
      <c r="L245" s="7">
        <v>309.20833333333331</v>
      </c>
      <c r="M245" s="7">
        <v>309.20833333333331</v>
      </c>
      <c r="N245" s="7">
        <v>309.20833333333331</v>
      </c>
      <c r="O245" s="7">
        <v>309.20833333333331</v>
      </c>
      <c r="P245" s="8">
        <f t="shared" si="21"/>
        <v>3710.5000000000005</v>
      </c>
    </row>
    <row r="246" spans="1:16" x14ac:dyDescent="0.3">
      <c r="A246" s="2" t="s">
        <v>75</v>
      </c>
      <c r="B246" s="2" t="s">
        <v>50</v>
      </c>
      <c r="C246" s="2" t="s">
        <v>32</v>
      </c>
      <c r="D246" s="7">
        <v>392.47500000000002</v>
      </c>
      <c r="E246" s="7">
        <v>392.47500000000002</v>
      </c>
      <c r="F246" s="7">
        <v>392.47500000000002</v>
      </c>
      <c r="G246" s="7">
        <v>392.47500000000002</v>
      </c>
      <c r="H246" s="7">
        <v>392.47500000000002</v>
      </c>
      <c r="I246" s="7">
        <v>392.47500000000002</v>
      </c>
      <c r="J246" s="7">
        <v>392.47500000000002</v>
      </c>
      <c r="K246" s="7">
        <v>392.47500000000002</v>
      </c>
      <c r="L246" s="7">
        <v>392.47500000000002</v>
      </c>
      <c r="M246" s="7">
        <v>392.47500000000002</v>
      </c>
      <c r="N246" s="7">
        <v>392.47500000000002</v>
      </c>
      <c r="O246" s="7">
        <v>392.47500000000002</v>
      </c>
      <c r="P246" s="8">
        <f t="shared" si="21"/>
        <v>4709.7</v>
      </c>
    </row>
    <row r="247" spans="1:16" x14ac:dyDescent="0.3">
      <c r="A247" s="2" t="s">
        <v>75</v>
      </c>
      <c r="B247" s="2" t="s">
        <v>50</v>
      </c>
      <c r="C247" s="2" t="s">
        <v>33</v>
      </c>
      <c r="D247" s="7">
        <v>313.7</v>
      </c>
      <c r="E247" s="7">
        <v>313.7</v>
      </c>
      <c r="F247" s="7">
        <v>313.7</v>
      </c>
      <c r="G247" s="7">
        <v>313.7</v>
      </c>
      <c r="H247" s="7">
        <v>313.7</v>
      </c>
      <c r="I247" s="7">
        <v>313.7</v>
      </c>
      <c r="J247" s="7">
        <v>313.7</v>
      </c>
      <c r="K247" s="7">
        <v>313.7</v>
      </c>
      <c r="L247" s="7">
        <v>313.7</v>
      </c>
      <c r="M247" s="7">
        <v>313.7</v>
      </c>
      <c r="N247" s="7">
        <v>313.7</v>
      </c>
      <c r="O247" s="7">
        <v>313.7</v>
      </c>
      <c r="P247" s="8">
        <f t="shared" si="21"/>
        <v>3764.3999999999992</v>
      </c>
    </row>
    <row r="248" spans="1:16" x14ac:dyDescent="0.3">
      <c r="A248" s="2" t="s">
        <v>75</v>
      </c>
      <c r="B248" s="2" t="s">
        <v>50</v>
      </c>
      <c r="C248" s="2" t="s">
        <v>34</v>
      </c>
      <c r="D248" s="7">
        <v>326.38333333333333</v>
      </c>
      <c r="E248" s="7">
        <v>326.38333333333333</v>
      </c>
      <c r="F248" s="7">
        <v>326.38333333333333</v>
      </c>
      <c r="G248" s="7">
        <v>326.38333333333333</v>
      </c>
      <c r="H248" s="7">
        <v>326.38333333333333</v>
      </c>
      <c r="I248" s="7">
        <v>326.38333333333333</v>
      </c>
      <c r="J248" s="7">
        <v>326.38333333333333</v>
      </c>
      <c r="K248" s="7">
        <v>326.38333333333333</v>
      </c>
      <c r="L248" s="7">
        <v>326.38333333333333</v>
      </c>
      <c r="M248" s="7">
        <v>326.38333333333333</v>
      </c>
      <c r="N248" s="7">
        <v>326.38333333333333</v>
      </c>
      <c r="O248" s="7">
        <v>326.38333333333333</v>
      </c>
      <c r="P248" s="8">
        <f t="shared" si="21"/>
        <v>3916.599999999999</v>
      </c>
    </row>
    <row r="249" spans="1:16" x14ac:dyDescent="0.3">
      <c r="A249" s="2" t="s">
        <v>75</v>
      </c>
      <c r="B249" s="2" t="s">
        <v>50</v>
      </c>
      <c r="C249" s="2" t="s">
        <v>35</v>
      </c>
      <c r="D249" s="7">
        <v>359.63333333333338</v>
      </c>
      <c r="E249" s="7">
        <v>359.63333333333338</v>
      </c>
      <c r="F249" s="7">
        <v>359.63333333333338</v>
      </c>
      <c r="G249" s="7">
        <v>359.63333333333338</v>
      </c>
      <c r="H249" s="7">
        <v>359.63333333333338</v>
      </c>
      <c r="I249" s="7">
        <v>359.63333333333338</v>
      </c>
      <c r="J249" s="7">
        <v>359.63333333333338</v>
      </c>
      <c r="K249" s="7">
        <v>359.63333333333338</v>
      </c>
      <c r="L249" s="7">
        <v>359.63333333333338</v>
      </c>
      <c r="M249" s="7">
        <v>359.63333333333338</v>
      </c>
      <c r="N249" s="7">
        <v>359.63333333333338</v>
      </c>
      <c r="O249" s="7">
        <v>359.63333333333338</v>
      </c>
      <c r="P249" s="8">
        <f t="shared" si="21"/>
        <v>4315.5999999999995</v>
      </c>
    </row>
    <row r="250" spans="1:16" x14ac:dyDescent="0.3">
      <c r="A250" s="2" t="s">
        <v>75</v>
      </c>
      <c r="B250" s="2" t="s">
        <v>50</v>
      </c>
      <c r="C250" s="2" t="s">
        <v>36</v>
      </c>
      <c r="D250" s="7">
        <v>355.69166666666661</v>
      </c>
      <c r="E250" s="7">
        <v>355.69166666666661</v>
      </c>
      <c r="F250" s="7">
        <v>355.69166666666661</v>
      </c>
      <c r="G250" s="7">
        <v>355.69166666666661</v>
      </c>
      <c r="H250" s="7">
        <v>355.69166666666661</v>
      </c>
      <c r="I250" s="7">
        <v>355.69166666666661</v>
      </c>
      <c r="J250" s="7">
        <v>355.69166666666661</v>
      </c>
      <c r="K250" s="7">
        <v>355.69166666666661</v>
      </c>
      <c r="L250" s="7">
        <v>355.69166666666661</v>
      </c>
      <c r="M250" s="7">
        <v>355.69166666666661</v>
      </c>
      <c r="N250" s="7">
        <v>355.69166666666661</v>
      </c>
      <c r="O250" s="7">
        <v>355.69166666666661</v>
      </c>
      <c r="P250" s="8">
        <f t="shared" si="21"/>
        <v>4268.2999999999993</v>
      </c>
    </row>
    <row r="251" spans="1:16" x14ac:dyDescent="0.3">
      <c r="A251" s="2" t="s">
        <v>75</v>
      </c>
      <c r="B251" s="2" t="s">
        <v>50</v>
      </c>
      <c r="C251" s="2" t="s">
        <v>37</v>
      </c>
      <c r="D251" s="7">
        <v>205.3333333333334</v>
      </c>
      <c r="E251" s="7">
        <v>205.3333333333334</v>
      </c>
      <c r="F251" s="7">
        <v>205.3333333333334</v>
      </c>
      <c r="G251" s="7">
        <v>205.3333333333334</v>
      </c>
      <c r="H251" s="7">
        <v>205.3333333333334</v>
      </c>
      <c r="I251" s="7">
        <v>205.3333333333334</v>
      </c>
      <c r="J251" s="7">
        <v>205.3333333333334</v>
      </c>
      <c r="K251" s="7">
        <v>205.3333333333334</v>
      </c>
      <c r="L251" s="7">
        <v>205.3333333333334</v>
      </c>
      <c r="M251" s="7">
        <v>205.3333333333334</v>
      </c>
      <c r="N251" s="7">
        <v>205.3333333333334</v>
      </c>
      <c r="O251" s="7">
        <v>205.3333333333334</v>
      </c>
      <c r="P251" s="8">
        <f t="shared" si="21"/>
        <v>2464.0000000000014</v>
      </c>
    </row>
    <row r="252" spans="1:16" x14ac:dyDescent="0.3">
      <c r="A252" s="2" t="s">
        <v>75</v>
      </c>
      <c r="B252" s="2" t="s">
        <v>50</v>
      </c>
      <c r="C252" s="2" t="s">
        <v>38</v>
      </c>
      <c r="D252" s="7">
        <v>267.70833333333331</v>
      </c>
      <c r="E252" s="7">
        <v>267.70833333333331</v>
      </c>
      <c r="F252" s="7">
        <v>267.70833333333331</v>
      </c>
      <c r="G252" s="7">
        <v>267.70833333333331</v>
      </c>
      <c r="H252" s="7">
        <v>267.70833333333331</v>
      </c>
      <c r="I252" s="7">
        <v>267.70833333333331</v>
      </c>
      <c r="J252" s="7">
        <v>267.70833333333331</v>
      </c>
      <c r="K252" s="7">
        <v>267.70833333333331</v>
      </c>
      <c r="L252" s="7">
        <v>267.70833333333331</v>
      </c>
      <c r="M252" s="7">
        <v>267.70833333333331</v>
      </c>
      <c r="N252" s="7">
        <v>267.70833333333331</v>
      </c>
      <c r="O252" s="7">
        <v>267.70833333333331</v>
      </c>
      <c r="P252" s="8">
        <f t="shared" si="21"/>
        <v>3212.5000000000005</v>
      </c>
    </row>
    <row r="253" spans="1:16" x14ac:dyDescent="0.3">
      <c r="A253" s="2" t="s">
        <v>75</v>
      </c>
      <c r="B253" s="2" t="s">
        <v>50</v>
      </c>
      <c r="C253" s="2" t="s">
        <v>39</v>
      </c>
      <c r="D253" s="7">
        <v>238.2833333333333</v>
      </c>
      <c r="E253" s="7">
        <v>238.2833333333333</v>
      </c>
      <c r="F253" s="7">
        <v>238.2833333333333</v>
      </c>
      <c r="G253" s="7">
        <v>238.2833333333333</v>
      </c>
      <c r="H253" s="7">
        <v>238.2833333333333</v>
      </c>
      <c r="I253" s="7">
        <v>238.2833333333333</v>
      </c>
      <c r="J253" s="7">
        <v>238.2833333333333</v>
      </c>
      <c r="K253" s="7">
        <v>238.2833333333333</v>
      </c>
      <c r="L253" s="7">
        <v>238.2833333333333</v>
      </c>
      <c r="M253" s="7">
        <v>238.2833333333333</v>
      </c>
      <c r="N253" s="7">
        <v>238.2833333333333</v>
      </c>
      <c r="O253" s="7">
        <v>238.2833333333333</v>
      </c>
      <c r="P253" s="8">
        <f t="shared" si="21"/>
        <v>2859.3999999999996</v>
      </c>
    </row>
    <row r="254" spans="1:16" x14ac:dyDescent="0.3">
      <c r="A254" s="2" t="s">
        <v>75</v>
      </c>
      <c r="B254" s="2" t="s">
        <v>50</v>
      </c>
      <c r="C254" s="2" t="s">
        <v>40</v>
      </c>
      <c r="D254" s="7">
        <v>233.97499999999999</v>
      </c>
      <c r="E254" s="7">
        <v>233.97499999999999</v>
      </c>
      <c r="F254" s="7">
        <v>233.97499999999999</v>
      </c>
      <c r="G254" s="7">
        <v>233.97499999999999</v>
      </c>
      <c r="H254" s="7">
        <v>233.97499999999999</v>
      </c>
      <c r="I254" s="7">
        <v>233.97499999999999</v>
      </c>
      <c r="J254" s="7">
        <v>233.97499999999999</v>
      </c>
      <c r="K254" s="7">
        <v>233.97499999999999</v>
      </c>
      <c r="L254" s="7">
        <v>233.97499999999999</v>
      </c>
      <c r="M254" s="7">
        <v>233.97499999999999</v>
      </c>
      <c r="N254" s="7">
        <v>233.97499999999999</v>
      </c>
      <c r="O254" s="7">
        <v>233.97499999999999</v>
      </c>
      <c r="P254" s="8">
        <f t="shared" ref="P254" si="31">SUM(D254:O254)</f>
        <v>2807.6999999999994</v>
      </c>
    </row>
    <row r="255" spans="1:16" x14ac:dyDescent="0.3">
      <c r="A255" s="2" t="s">
        <v>75</v>
      </c>
      <c r="B255" s="2" t="s">
        <v>51</v>
      </c>
      <c r="C255" s="2" t="s">
        <v>18</v>
      </c>
      <c r="D255" s="7">
        <f>275+D71+D117-D94-D209-D232-D186</f>
        <v>1447.8999999999999</v>
      </c>
      <c r="E255" s="7">
        <f t="shared" ref="E255:O255" si="32">D255+E71+E117-E94-E209-E232-E186</f>
        <v>1336.9999999999998</v>
      </c>
      <c r="F255" s="7">
        <f t="shared" si="32"/>
        <v>1226.0999999999997</v>
      </c>
      <c r="G255" s="7">
        <f t="shared" si="32"/>
        <v>1115.1999999999996</v>
      </c>
      <c r="H255" s="7">
        <f t="shared" si="32"/>
        <v>1004.2999999999996</v>
      </c>
      <c r="I255" s="7">
        <f t="shared" si="32"/>
        <v>893.39999999999964</v>
      </c>
      <c r="J255" s="7">
        <f t="shared" si="32"/>
        <v>782.49999999999966</v>
      </c>
      <c r="K255" s="7">
        <f t="shared" si="32"/>
        <v>671.59999999999968</v>
      </c>
      <c r="L255" s="7">
        <f t="shared" si="32"/>
        <v>560.6999999999997</v>
      </c>
      <c r="M255" s="7">
        <f t="shared" si="32"/>
        <v>449.79999999999973</v>
      </c>
      <c r="N255" s="7">
        <f t="shared" si="32"/>
        <v>338.89999999999975</v>
      </c>
      <c r="O255" s="7">
        <f t="shared" si="32"/>
        <v>227.99999999999974</v>
      </c>
      <c r="P255" s="8">
        <f t="shared" ref="P255:P277" si="33">O255</f>
        <v>227.99999999999974</v>
      </c>
    </row>
    <row r="256" spans="1:16" x14ac:dyDescent="0.3">
      <c r="A256" s="2" t="s">
        <v>75</v>
      </c>
      <c r="B256" s="2" t="s">
        <v>51</v>
      </c>
      <c r="C256" s="2" t="s">
        <v>19</v>
      </c>
      <c r="D256" s="7">
        <f t="shared" ref="D256:D277" si="34">O255+D72+D118-D95-D210-D233-D187</f>
        <v>1995.6583333333328</v>
      </c>
      <c r="E256" s="7">
        <f t="shared" ref="E256:O256" si="35">D256+E72+E118-E95-E210-E233-E187</f>
        <v>1832.4166666666661</v>
      </c>
      <c r="F256" s="7">
        <f t="shared" si="35"/>
        <v>1669.1749999999993</v>
      </c>
      <c r="G256" s="7">
        <f t="shared" si="35"/>
        <v>1505.9333333333325</v>
      </c>
      <c r="H256" s="7">
        <f t="shared" si="35"/>
        <v>1342.6916666666657</v>
      </c>
      <c r="I256" s="7">
        <f t="shared" si="35"/>
        <v>1179.4499999999989</v>
      </c>
      <c r="J256" s="7">
        <f t="shared" si="35"/>
        <v>1016.2083333333322</v>
      </c>
      <c r="K256" s="7">
        <f t="shared" si="35"/>
        <v>852.96666666666556</v>
      </c>
      <c r="L256" s="7">
        <f t="shared" si="35"/>
        <v>689.72499999999889</v>
      </c>
      <c r="M256" s="7">
        <f t="shared" si="35"/>
        <v>526.48333333333221</v>
      </c>
      <c r="N256" s="7">
        <f t="shared" si="35"/>
        <v>363.24166666666554</v>
      </c>
      <c r="O256" s="7">
        <f t="shared" si="35"/>
        <v>199.99999999999883</v>
      </c>
      <c r="P256" s="8">
        <f t="shared" si="33"/>
        <v>199.99999999999883</v>
      </c>
    </row>
    <row r="257" spans="1:16" x14ac:dyDescent="0.3">
      <c r="A257" s="2" t="s">
        <v>75</v>
      </c>
      <c r="B257" s="2" t="s">
        <v>51</v>
      </c>
      <c r="C257" s="2" t="s">
        <v>20</v>
      </c>
      <c r="D257" s="7">
        <f t="shared" si="34"/>
        <v>3061.8499999999985</v>
      </c>
      <c r="E257" s="7">
        <f t="shared" ref="E257:O257" si="36">D257+E73+E119-E96-E211-E234-E188</f>
        <v>2826.4999999999986</v>
      </c>
      <c r="F257" s="7">
        <f t="shared" si="36"/>
        <v>2591.1499999999987</v>
      </c>
      <c r="G257" s="7">
        <f t="shared" si="36"/>
        <v>2355.7999999999988</v>
      </c>
      <c r="H257" s="7">
        <f t="shared" si="36"/>
        <v>2120.4499999999989</v>
      </c>
      <c r="I257" s="7">
        <f t="shared" si="36"/>
        <v>1885.099999999999</v>
      </c>
      <c r="J257" s="7">
        <f t="shared" si="36"/>
        <v>1649.7499999999991</v>
      </c>
      <c r="K257" s="7">
        <f t="shared" si="36"/>
        <v>1414.3999999999992</v>
      </c>
      <c r="L257" s="7">
        <f t="shared" si="36"/>
        <v>1179.0499999999993</v>
      </c>
      <c r="M257" s="7">
        <f t="shared" si="36"/>
        <v>943.69999999999925</v>
      </c>
      <c r="N257" s="7">
        <f t="shared" si="36"/>
        <v>708.34999999999923</v>
      </c>
      <c r="O257" s="7">
        <f t="shared" si="36"/>
        <v>472.9999999999992</v>
      </c>
      <c r="P257" s="8">
        <f t="shared" si="33"/>
        <v>472.9999999999992</v>
      </c>
    </row>
    <row r="258" spans="1:16" x14ac:dyDescent="0.3">
      <c r="A258" s="2" t="s">
        <v>75</v>
      </c>
      <c r="B258" s="2" t="s">
        <v>51</v>
      </c>
      <c r="C258" s="2" t="s">
        <v>21</v>
      </c>
      <c r="D258" s="7">
        <f t="shared" si="34"/>
        <v>3207.9666666666658</v>
      </c>
      <c r="E258" s="7">
        <f t="shared" ref="E258:O258" si="37">D258+E74+E120-E97-E212-E235-E189</f>
        <v>2949.3333333333326</v>
      </c>
      <c r="F258" s="7">
        <f t="shared" si="37"/>
        <v>2690.6999999999994</v>
      </c>
      <c r="G258" s="7">
        <f t="shared" si="37"/>
        <v>2432.0666666666662</v>
      </c>
      <c r="H258" s="7">
        <f t="shared" si="37"/>
        <v>2173.4333333333329</v>
      </c>
      <c r="I258" s="7">
        <f t="shared" si="37"/>
        <v>1914.7999999999997</v>
      </c>
      <c r="J258" s="7">
        <f t="shared" si="37"/>
        <v>1656.1666666666665</v>
      </c>
      <c r="K258" s="7">
        <f t="shared" si="37"/>
        <v>1397.5333333333333</v>
      </c>
      <c r="L258" s="7">
        <f t="shared" si="37"/>
        <v>1138.9000000000001</v>
      </c>
      <c r="M258" s="7">
        <f t="shared" si="37"/>
        <v>880.26666666666677</v>
      </c>
      <c r="N258" s="7">
        <f t="shared" si="37"/>
        <v>621.63333333333344</v>
      </c>
      <c r="O258" s="7">
        <f t="shared" si="37"/>
        <v>363.00000000000011</v>
      </c>
      <c r="P258" s="8">
        <f t="shared" si="33"/>
        <v>363.00000000000011</v>
      </c>
    </row>
    <row r="259" spans="1:16" x14ac:dyDescent="0.3">
      <c r="A259" s="2" t="s">
        <v>75</v>
      </c>
      <c r="B259" s="2" t="s">
        <v>51</v>
      </c>
      <c r="C259" s="2" t="s">
        <v>22</v>
      </c>
      <c r="D259" s="7">
        <f t="shared" si="34"/>
        <v>2656.5750000000003</v>
      </c>
      <c r="E259" s="7">
        <f t="shared" ref="E259:O259" si="38">D259+E75+E121-E98-E213-E236-E190</f>
        <v>2430.2500000000005</v>
      </c>
      <c r="F259" s="7">
        <f t="shared" si="38"/>
        <v>2203.9250000000006</v>
      </c>
      <c r="G259" s="7">
        <f t="shared" si="38"/>
        <v>1977.6000000000006</v>
      </c>
      <c r="H259" s="7">
        <f t="shared" si="38"/>
        <v>1751.2750000000005</v>
      </c>
      <c r="I259" s="7">
        <f t="shared" si="38"/>
        <v>1524.9500000000005</v>
      </c>
      <c r="J259" s="7">
        <f t="shared" si="38"/>
        <v>1298.6250000000005</v>
      </c>
      <c r="K259" s="7">
        <f t="shared" si="38"/>
        <v>1072.3000000000004</v>
      </c>
      <c r="L259" s="7">
        <f t="shared" si="38"/>
        <v>845.97500000000036</v>
      </c>
      <c r="M259" s="7">
        <f t="shared" si="38"/>
        <v>619.65000000000032</v>
      </c>
      <c r="N259" s="7">
        <f t="shared" si="38"/>
        <v>393.32500000000033</v>
      </c>
      <c r="O259" s="7">
        <f t="shared" si="38"/>
        <v>167.00000000000034</v>
      </c>
      <c r="P259" s="8">
        <f t="shared" si="33"/>
        <v>167.00000000000034</v>
      </c>
    </row>
    <row r="260" spans="1:16" x14ac:dyDescent="0.3">
      <c r="A260" s="2" t="s">
        <v>75</v>
      </c>
      <c r="B260" s="2" t="s">
        <v>51</v>
      </c>
      <c r="C260" s="2" t="s">
        <v>23</v>
      </c>
      <c r="D260" s="7">
        <f t="shared" si="34"/>
        <v>2864.5666666666675</v>
      </c>
      <c r="E260" s="7">
        <f t="shared" ref="E260:O260" si="39">D260+E76+E122-E99-E214-E237-E191</f>
        <v>2627.3333333333344</v>
      </c>
      <c r="F260" s="7">
        <f t="shared" si="39"/>
        <v>2390.1000000000013</v>
      </c>
      <c r="G260" s="7">
        <f t="shared" si="39"/>
        <v>2152.8666666666682</v>
      </c>
      <c r="H260" s="7">
        <f t="shared" si="39"/>
        <v>1915.6333333333348</v>
      </c>
      <c r="I260" s="7">
        <f t="shared" si="39"/>
        <v>1678.4000000000015</v>
      </c>
      <c r="J260" s="7">
        <f t="shared" si="39"/>
        <v>1441.1666666666681</v>
      </c>
      <c r="K260" s="7">
        <f t="shared" si="39"/>
        <v>1203.9333333333348</v>
      </c>
      <c r="L260" s="7">
        <f t="shared" si="39"/>
        <v>966.70000000000141</v>
      </c>
      <c r="M260" s="7">
        <f t="shared" si="39"/>
        <v>729.46666666666806</v>
      </c>
      <c r="N260" s="7">
        <f t="shared" si="39"/>
        <v>492.23333333333477</v>
      </c>
      <c r="O260" s="7">
        <f t="shared" si="39"/>
        <v>255.00000000000148</v>
      </c>
      <c r="P260" s="8">
        <f t="shared" si="33"/>
        <v>255.00000000000148</v>
      </c>
    </row>
    <row r="261" spans="1:16" x14ac:dyDescent="0.3">
      <c r="A261" s="2" t="s">
        <v>75</v>
      </c>
      <c r="B261" s="2" t="s">
        <v>51</v>
      </c>
      <c r="C261" s="2" t="s">
        <v>24</v>
      </c>
      <c r="D261" s="7">
        <f t="shared" si="34"/>
        <v>3538.2916666666679</v>
      </c>
      <c r="E261" s="7">
        <f t="shared" ref="E261:O261" si="40">D261+E77+E123-E100-E215-E238-E192</f>
        <v>3257.0833333333344</v>
      </c>
      <c r="F261" s="7">
        <f t="shared" si="40"/>
        <v>2975.8750000000009</v>
      </c>
      <c r="G261" s="7">
        <f t="shared" si="40"/>
        <v>2694.6666666666674</v>
      </c>
      <c r="H261" s="7">
        <f t="shared" si="40"/>
        <v>2413.4583333333339</v>
      </c>
      <c r="I261" s="7">
        <f t="shared" si="40"/>
        <v>2132.2500000000005</v>
      </c>
      <c r="J261" s="7">
        <f t="shared" si="40"/>
        <v>1851.0416666666672</v>
      </c>
      <c r="K261" s="7">
        <f t="shared" si="40"/>
        <v>1569.8333333333339</v>
      </c>
      <c r="L261" s="7">
        <f t="shared" si="40"/>
        <v>1288.6250000000007</v>
      </c>
      <c r="M261" s="7">
        <f t="shared" si="40"/>
        <v>1007.4166666666674</v>
      </c>
      <c r="N261" s="7">
        <f t="shared" si="40"/>
        <v>726.20833333333417</v>
      </c>
      <c r="O261" s="7">
        <f t="shared" si="40"/>
        <v>445.00000000000085</v>
      </c>
      <c r="P261" s="8">
        <f t="shared" si="33"/>
        <v>445.00000000000085</v>
      </c>
    </row>
    <row r="262" spans="1:16" x14ac:dyDescent="0.3">
      <c r="A262" s="2" t="s">
        <v>75</v>
      </c>
      <c r="B262" s="2" t="s">
        <v>51</v>
      </c>
      <c r="C262" s="2" t="s">
        <v>25</v>
      </c>
      <c r="D262" s="7">
        <f t="shared" si="34"/>
        <v>3581.5333333333342</v>
      </c>
      <c r="E262" s="7">
        <f t="shared" ref="E262:O262" si="41">D262+E78+E124-E101-E216-E239-E193</f>
        <v>3338.6666666666674</v>
      </c>
      <c r="F262" s="7">
        <f t="shared" si="41"/>
        <v>3095.8000000000006</v>
      </c>
      <c r="G262" s="7">
        <f t="shared" si="41"/>
        <v>2852.9333333333338</v>
      </c>
      <c r="H262" s="7">
        <f t="shared" si="41"/>
        <v>2610.0666666666671</v>
      </c>
      <c r="I262" s="7">
        <f t="shared" si="41"/>
        <v>2367.2000000000003</v>
      </c>
      <c r="J262" s="7">
        <f t="shared" si="41"/>
        <v>2124.3333333333335</v>
      </c>
      <c r="K262" s="7">
        <f t="shared" si="41"/>
        <v>1881.4666666666667</v>
      </c>
      <c r="L262" s="7">
        <f t="shared" si="41"/>
        <v>1638.6</v>
      </c>
      <c r="M262" s="7">
        <f t="shared" si="41"/>
        <v>1395.7333333333331</v>
      </c>
      <c r="N262" s="7">
        <f t="shared" si="41"/>
        <v>1152.8666666666663</v>
      </c>
      <c r="O262" s="7">
        <f t="shared" si="41"/>
        <v>909.99999999999966</v>
      </c>
      <c r="P262" s="8">
        <f t="shared" si="33"/>
        <v>909.99999999999966</v>
      </c>
    </row>
    <row r="263" spans="1:16" x14ac:dyDescent="0.3">
      <c r="A263" s="2" t="s">
        <v>75</v>
      </c>
      <c r="B263" s="2" t="s">
        <v>51</v>
      </c>
      <c r="C263" s="2" t="s">
        <v>26</v>
      </c>
      <c r="D263" s="7">
        <f t="shared" si="34"/>
        <v>3645.4333333333325</v>
      </c>
      <c r="E263" s="7">
        <f t="shared" ref="E263:O263" si="42">D263+E79+E125-E102-E217-E240-E194</f>
        <v>3362.6666666666656</v>
      </c>
      <c r="F263" s="7">
        <f t="shared" si="42"/>
        <v>3079.8999999999987</v>
      </c>
      <c r="G263" s="7">
        <f t="shared" si="42"/>
        <v>2797.1333333333318</v>
      </c>
      <c r="H263" s="7">
        <f t="shared" si="42"/>
        <v>2514.366666666665</v>
      </c>
      <c r="I263" s="7">
        <f t="shared" si="42"/>
        <v>2231.5999999999981</v>
      </c>
      <c r="J263" s="7">
        <f t="shared" si="42"/>
        <v>1948.8333333333314</v>
      </c>
      <c r="K263" s="7">
        <f t="shared" si="42"/>
        <v>1666.0666666666648</v>
      </c>
      <c r="L263" s="7">
        <f t="shared" si="42"/>
        <v>1383.2999999999981</v>
      </c>
      <c r="M263" s="7">
        <f t="shared" si="42"/>
        <v>1100.5333333333315</v>
      </c>
      <c r="N263" s="7">
        <f t="shared" si="42"/>
        <v>817.76666666666483</v>
      </c>
      <c r="O263" s="7">
        <f t="shared" si="42"/>
        <v>534.99999999999818</v>
      </c>
      <c r="P263" s="8">
        <f t="shared" si="33"/>
        <v>534.99999999999818</v>
      </c>
    </row>
    <row r="264" spans="1:16" x14ac:dyDescent="0.3">
      <c r="A264" s="2" t="s">
        <v>75</v>
      </c>
      <c r="B264" s="2" t="s">
        <v>51</v>
      </c>
      <c r="C264" s="2" t="s">
        <v>27</v>
      </c>
      <c r="D264" s="7">
        <f t="shared" si="34"/>
        <v>2805.9999999999982</v>
      </c>
      <c r="E264" s="7">
        <f t="shared" ref="E264:O264" si="43">D264+E80+E126-E103-E218-E241-E195</f>
        <v>2574.9999999999982</v>
      </c>
      <c r="F264" s="7">
        <f t="shared" si="43"/>
        <v>2343.9999999999982</v>
      </c>
      <c r="G264" s="7">
        <f t="shared" si="43"/>
        <v>2112.9999999999982</v>
      </c>
      <c r="H264" s="7">
        <f t="shared" si="43"/>
        <v>1881.9999999999982</v>
      </c>
      <c r="I264" s="7">
        <f t="shared" si="43"/>
        <v>1650.9999999999982</v>
      </c>
      <c r="J264" s="7">
        <f t="shared" si="43"/>
        <v>1419.9999999999982</v>
      </c>
      <c r="K264" s="7">
        <f t="shared" si="43"/>
        <v>1188.9999999999982</v>
      </c>
      <c r="L264" s="7">
        <f t="shared" si="43"/>
        <v>957.99999999999818</v>
      </c>
      <c r="M264" s="7">
        <f t="shared" si="43"/>
        <v>726.99999999999818</v>
      </c>
      <c r="N264" s="7">
        <f t="shared" si="43"/>
        <v>495.99999999999818</v>
      </c>
      <c r="O264" s="7">
        <f t="shared" si="43"/>
        <v>264.99999999999818</v>
      </c>
      <c r="P264" s="8">
        <f t="shared" si="33"/>
        <v>264.99999999999818</v>
      </c>
    </row>
    <row r="265" spans="1:16" x14ac:dyDescent="0.3">
      <c r="A265" s="2" t="s">
        <v>75</v>
      </c>
      <c r="B265" s="2" t="s">
        <v>51</v>
      </c>
      <c r="C265" s="2" t="s">
        <v>28</v>
      </c>
      <c r="D265" s="7">
        <f t="shared" si="34"/>
        <v>3319.8166666666652</v>
      </c>
      <c r="E265" s="7">
        <f t="shared" ref="E265:O265" si="44">D265+E81+E127-E104-E219-E242-E196</f>
        <v>3033.8333333333321</v>
      </c>
      <c r="F265" s="7">
        <f t="shared" si="44"/>
        <v>2747.849999999999</v>
      </c>
      <c r="G265" s="7">
        <f t="shared" si="44"/>
        <v>2461.8666666666659</v>
      </c>
      <c r="H265" s="7">
        <f t="shared" si="44"/>
        <v>2175.8833333333328</v>
      </c>
      <c r="I265" s="7">
        <f t="shared" si="44"/>
        <v>1889.8999999999994</v>
      </c>
      <c r="J265" s="7">
        <f t="shared" si="44"/>
        <v>1603.9166666666661</v>
      </c>
      <c r="K265" s="7">
        <f t="shared" si="44"/>
        <v>1317.9333333333327</v>
      </c>
      <c r="L265" s="7">
        <f t="shared" si="44"/>
        <v>1031.9499999999994</v>
      </c>
      <c r="M265" s="7">
        <f t="shared" si="44"/>
        <v>745.96666666666601</v>
      </c>
      <c r="N265" s="7">
        <f t="shared" si="44"/>
        <v>459.98333333333272</v>
      </c>
      <c r="O265" s="7">
        <f t="shared" si="44"/>
        <v>173.99999999999943</v>
      </c>
      <c r="P265" s="8">
        <f t="shared" si="33"/>
        <v>173.99999999999943</v>
      </c>
    </row>
    <row r="266" spans="1:16" x14ac:dyDescent="0.3">
      <c r="A266" s="2" t="s">
        <v>75</v>
      </c>
      <c r="B266" s="2" t="s">
        <v>51</v>
      </c>
      <c r="C266" s="2" t="s">
        <v>29</v>
      </c>
      <c r="D266" s="7">
        <f t="shared" si="34"/>
        <v>3817.6499999999992</v>
      </c>
      <c r="E266" s="7">
        <f t="shared" ref="E266:O266" si="45">D266+E82+E128-E105-E220-E243-E197</f>
        <v>3500.4999999999991</v>
      </c>
      <c r="F266" s="7">
        <f t="shared" si="45"/>
        <v>3183.349999999999</v>
      </c>
      <c r="G266" s="7">
        <f t="shared" si="45"/>
        <v>2866.1999999999989</v>
      </c>
      <c r="H266" s="7">
        <f t="shared" si="45"/>
        <v>2549.0499999999988</v>
      </c>
      <c r="I266" s="7">
        <f t="shared" si="45"/>
        <v>2231.8999999999987</v>
      </c>
      <c r="J266" s="7">
        <f t="shared" si="45"/>
        <v>1914.7499999999986</v>
      </c>
      <c r="K266" s="7">
        <f t="shared" si="45"/>
        <v>1597.5999999999985</v>
      </c>
      <c r="L266" s="7">
        <f t="shared" si="45"/>
        <v>1280.4499999999985</v>
      </c>
      <c r="M266" s="7">
        <f t="shared" si="45"/>
        <v>963.29999999999848</v>
      </c>
      <c r="N266" s="7">
        <f t="shared" si="45"/>
        <v>646.1499999999985</v>
      </c>
      <c r="O266" s="7">
        <f t="shared" si="45"/>
        <v>328.99999999999852</v>
      </c>
      <c r="P266" s="8">
        <f t="shared" si="33"/>
        <v>328.99999999999852</v>
      </c>
    </row>
    <row r="267" spans="1:16" x14ac:dyDescent="0.3">
      <c r="A267" s="2" t="s">
        <v>75</v>
      </c>
      <c r="B267" s="2" t="s">
        <v>51</v>
      </c>
      <c r="C267" s="2" t="s">
        <v>30</v>
      </c>
      <c r="D267" s="7">
        <f t="shared" si="34"/>
        <v>3851.1749999999984</v>
      </c>
      <c r="E267" s="7">
        <f t="shared" ref="E267:O267" si="46">D267+E83+E129-E106-E221-E244-E198</f>
        <v>3563.2499999999982</v>
      </c>
      <c r="F267" s="7">
        <f t="shared" si="46"/>
        <v>3275.324999999998</v>
      </c>
      <c r="G267" s="7">
        <f t="shared" si="46"/>
        <v>2987.3999999999978</v>
      </c>
      <c r="H267" s="7">
        <f t="shared" si="46"/>
        <v>2699.4749999999976</v>
      </c>
      <c r="I267" s="7">
        <f t="shared" si="46"/>
        <v>2411.5499999999975</v>
      </c>
      <c r="J267" s="7">
        <f t="shared" si="46"/>
        <v>2123.6249999999973</v>
      </c>
      <c r="K267" s="7">
        <f t="shared" si="46"/>
        <v>1835.6999999999973</v>
      </c>
      <c r="L267" s="7">
        <f t="shared" si="46"/>
        <v>1547.7749999999974</v>
      </c>
      <c r="M267" s="7">
        <f t="shared" si="46"/>
        <v>1259.8499999999974</v>
      </c>
      <c r="N267" s="7">
        <f t="shared" si="46"/>
        <v>971.92499999999745</v>
      </c>
      <c r="O267" s="7">
        <f t="shared" si="46"/>
        <v>683.9999999999975</v>
      </c>
      <c r="P267" s="8">
        <f t="shared" si="33"/>
        <v>683.9999999999975</v>
      </c>
    </row>
    <row r="268" spans="1:16" x14ac:dyDescent="0.3">
      <c r="A268" s="2" t="s">
        <v>75</v>
      </c>
      <c r="B268" s="2" t="s">
        <v>51</v>
      </c>
      <c r="C268" s="2" t="s">
        <v>31</v>
      </c>
      <c r="D268" s="7">
        <f t="shared" si="34"/>
        <v>3575.4916666666636</v>
      </c>
      <c r="E268" s="7">
        <f t="shared" ref="E268:O268" si="47">D268+E84+E130-E107-E222-E245-E199</f>
        <v>3266.2833333333301</v>
      </c>
      <c r="F268" s="7">
        <f t="shared" si="47"/>
        <v>2957.0749999999966</v>
      </c>
      <c r="G268" s="7">
        <f t="shared" si="47"/>
        <v>2647.8666666666631</v>
      </c>
      <c r="H268" s="7">
        <f t="shared" si="47"/>
        <v>2338.6583333333297</v>
      </c>
      <c r="I268" s="7">
        <f t="shared" si="47"/>
        <v>2029.4499999999964</v>
      </c>
      <c r="J268" s="7">
        <f t="shared" si="47"/>
        <v>1720.2416666666631</v>
      </c>
      <c r="K268" s="7">
        <f t="shared" si="47"/>
        <v>1411.0333333333299</v>
      </c>
      <c r="L268" s="7">
        <f t="shared" si="47"/>
        <v>1101.8249999999966</v>
      </c>
      <c r="M268" s="7">
        <f t="shared" si="47"/>
        <v>792.61666666666338</v>
      </c>
      <c r="N268" s="7">
        <f t="shared" si="47"/>
        <v>483.40833333333006</v>
      </c>
      <c r="O268" s="7">
        <f t="shared" si="47"/>
        <v>174.19999999999675</v>
      </c>
      <c r="P268" s="8">
        <f t="shared" si="33"/>
        <v>174.19999999999675</v>
      </c>
    </row>
    <row r="269" spans="1:16" x14ac:dyDescent="0.3">
      <c r="A269" s="2" t="s">
        <v>75</v>
      </c>
      <c r="B269" s="2" t="s">
        <v>51</v>
      </c>
      <c r="C269" s="2" t="s">
        <v>32</v>
      </c>
      <c r="D269" s="7">
        <f t="shared" si="34"/>
        <v>4617.6249999999964</v>
      </c>
      <c r="E269" s="7">
        <f t="shared" ref="E269:O269" si="48">D269+E85+E131-E108-E223-E246-E200</f>
        <v>4225.149999999996</v>
      </c>
      <c r="F269" s="7">
        <f t="shared" si="48"/>
        <v>3832.6749999999961</v>
      </c>
      <c r="G269" s="7">
        <f t="shared" si="48"/>
        <v>3440.1999999999962</v>
      </c>
      <c r="H269" s="7">
        <f t="shared" si="48"/>
        <v>3047.7249999999963</v>
      </c>
      <c r="I269" s="7">
        <f t="shared" si="48"/>
        <v>2655.2499999999964</v>
      </c>
      <c r="J269" s="7">
        <f t="shared" si="48"/>
        <v>2262.7749999999965</v>
      </c>
      <c r="K269" s="7">
        <f t="shared" si="48"/>
        <v>1870.2999999999965</v>
      </c>
      <c r="L269" s="7">
        <f t="shared" si="48"/>
        <v>1477.8249999999966</v>
      </c>
      <c r="M269" s="7">
        <f t="shared" si="48"/>
        <v>1085.3499999999967</v>
      </c>
      <c r="N269" s="7">
        <f t="shared" si="48"/>
        <v>692.8749999999967</v>
      </c>
      <c r="O269" s="7">
        <f t="shared" si="48"/>
        <v>300.39999999999668</v>
      </c>
      <c r="P269" s="8">
        <f t="shared" si="33"/>
        <v>300.39999999999668</v>
      </c>
    </row>
    <row r="270" spans="1:16" x14ac:dyDescent="0.3">
      <c r="A270" s="2" t="s">
        <v>75</v>
      </c>
      <c r="B270" s="2" t="s">
        <v>51</v>
      </c>
      <c r="C270" s="2" t="s">
        <v>33</v>
      </c>
      <c r="D270" s="7">
        <f t="shared" si="34"/>
        <v>4098.8999999999969</v>
      </c>
      <c r="E270" s="7">
        <f t="shared" ref="E270:O270" si="49">D270+E86+E132-E109-E224-E247-E201</f>
        <v>3785.1999999999971</v>
      </c>
      <c r="F270" s="7">
        <f t="shared" si="49"/>
        <v>3471.4999999999973</v>
      </c>
      <c r="G270" s="7">
        <f t="shared" si="49"/>
        <v>3157.7999999999975</v>
      </c>
      <c r="H270" s="7">
        <f t="shared" si="49"/>
        <v>2844.0999999999976</v>
      </c>
      <c r="I270" s="7">
        <f t="shared" si="49"/>
        <v>2530.3999999999978</v>
      </c>
      <c r="J270" s="7">
        <f t="shared" si="49"/>
        <v>2216.699999999998</v>
      </c>
      <c r="K270" s="7">
        <f t="shared" si="49"/>
        <v>1902.999999999998</v>
      </c>
      <c r="L270" s="7">
        <f t="shared" si="49"/>
        <v>1589.2999999999979</v>
      </c>
      <c r="M270" s="7">
        <f t="shared" si="49"/>
        <v>1275.5999999999979</v>
      </c>
      <c r="N270" s="7">
        <f t="shared" si="49"/>
        <v>961.89999999999782</v>
      </c>
      <c r="O270" s="7">
        <f t="shared" si="49"/>
        <v>648.19999999999777</v>
      </c>
      <c r="P270" s="8">
        <f t="shared" si="33"/>
        <v>648.19999999999777</v>
      </c>
    </row>
    <row r="271" spans="1:16" x14ac:dyDescent="0.3">
      <c r="A271" s="2" t="s">
        <v>75</v>
      </c>
      <c r="B271" s="2" t="s">
        <v>51</v>
      </c>
      <c r="C271" s="2" t="s">
        <v>34</v>
      </c>
      <c r="D271" s="7">
        <f t="shared" si="34"/>
        <v>3902.5166666666646</v>
      </c>
      <c r="E271" s="7">
        <f t="shared" ref="E271:O271" si="50">D271+E87+E133-E110-E225-E248-E202</f>
        <v>3576.1333333333314</v>
      </c>
      <c r="F271" s="7">
        <f t="shared" si="50"/>
        <v>3249.7499999999982</v>
      </c>
      <c r="G271" s="7">
        <f t="shared" si="50"/>
        <v>2923.366666666665</v>
      </c>
      <c r="H271" s="7">
        <f t="shared" si="50"/>
        <v>2596.9833333333318</v>
      </c>
      <c r="I271" s="7">
        <f t="shared" si="50"/>
        <v>2270.5999999999985</v>
      </c>
      <c r="J271" s="7">
        <f t="shared" si="50"/>
        <v>1944.2166666666653</v>
      </c>
      <c r="K271" s="7">
        <f t="shared" si="50"/>
        <v>1617.8333333333321</v>
      </c>
      <c r="L271" s="7">
        <f t="shared" si="50"/>
        <v>1291.4499999999989</v>
      </c>
      <c r="M271" s="7">
        <f t="shared" si="50"/>
        <v>965.06666666666558</v>
      </c>
      <c r="N271" s="7">
        <f t="shared" si="50"/>
        <v>638.68333333333226</v>
      </c>
      <c r="O271" s="7">
        <f t="shared" si="50"/>
        <v>312.29999999999893</v>
      </c>
      <c r="P271" s="8">
        <f t="shared" si="33"/>
        <v>312.29999999999893</v>
      </c>
    </row>
    <row r="272" spans="1:16" x14ac:dyDescent="0.3">
      <c r="A272" s="2" t="s">
        <v>75</v>
      </c>
      <c r="B272" s="2" t="s">
        <v>51</v>
      </c>
      <c r="C272" s="2" t="s">
        <v>35</v>
      </c>
      <c r="D272" s="7">
        <f t="shared" si="34"/>
        <v>4189.1666666666661</v>
      </c>
      <c r="E272" s="7">
        <f t="shared" ref="E272:O272" si="51">D272+E88+E134-E111-E226-E249-E203</f>
        <v>3829.5333333333328</v>
      </c>
      <c r="F272" s="7">
        <f t="shared" si="51"/>
        <v>3469.8999999999996</v>
      </c>
      <c r="G272" s="7">
        <f t="shared" si="51"/>
        <v>3110.2666666666664</v>
      </c>
      <c r="H272" s="7">
        <f t="shared" si="51"/>
        <v>2750.6333333333332</v>
      </c>
      <c r="I272" s="7">
        <f t="shared" si="51"/>
        <v>2391</v>
      </c>
      <c r="J272" s="7">
        <f t="shared" si="51"/>
        <v>2031.3666666666666</v>
      </c>
      <c r="K272" s="7">
        <f t="shared" si="51"/>
        <v>1671.7333333333331</v>
      </c>
      <c r="L272" s="7">
        <f t="shared" si="51"/>
        <v>1312.0999999999997</v>
      </c>
      <c r="M272" s="7">
        <f t="shared" si="51"/>
        <v>952.46666666666624</v>
      </c>
      <c r="N272" s="7">
        <f t="shared" si="51"/>
        <v>592.8333333333328</v>
      </c>
      <c r="O272" s="7">
        <f t="shared" si="51"/>
        <v>233.19999999999942</v>
      </c>
      <c r="P272" s="8">
        <f t="shared" si="33"/>
        <v>233.19999999999942</v>
      </c>
    </row>
    <row r="273" spans="1:16" x14ac:dyDescent="0.3">
      <c r="A273" s="2" t="s">
        <v>75</v>
      </c>
      <c r="B273" s="2" t="s">
        <v>51</v>
      </c>
      <c r="C273" s="2" t="s">
        <v>36</v>
      </c>
      <c r="D273" s="7">
        <f t="shared" si="34"/>
        <v>4471.9083333333328</v>
      </c>
      <c r="E273" s="7">
        <f t="shared" ref="E273:O273" si="52">D273+E89+E135-E112-E227-E250-E204</f>
        <v>4116.2166666666662</v>
      </c>
      <c r="F273" s="7">
        <f t="shared" si="52"/>
        <v>3760.5249999999996</v>
      </c>
      <c r="G273" s="7">
        <f t="shared" si="52"/>
        <v>3404.833333333333</v>
      </c>
      <c r="H273" s="7">
        <f t="shared" si="52"/>
        <v>3049.1416666666664</v>
      </c>
      <c r="I273" s="7">
        <f t="shared" si="52"/>
        <v>2693.45</v>
      </c>
      <c r="J273" s="7">
        <f t="shared" si="52"/>
        <v>2337.7583333333332</v>
      </c>
      <c r="K273" s="7">
        <f t="shared" si="52"/>
        <v>1982.0666666666666</v>
      </c>
      <c r="L273" s="7">
        <f t="shared" si="52"/>
        <v>1626.375</v>
      </c>
      <c r="M273" s="7">
        <f t="shared" si="52"/>
        <v>1270.6833333333334</v>
      </c>
      <c r="N273" s="7">
        <f t="shared" si="52"/>
        <v>914.99166666666679</v>
      </c>
      <c r="O273" s="7">
        <f t="shared" si="52"/>
        <v>559.30000000000018</v>
      </c>
      <c r="P273" s="8">
        <f t="shared" si="33"/>
        <v>559.30000000000018</v>
      </c>
    </row>
    <row r="274" spans="1:16" x14ac:dyDescent="0.3">
      <c r="A274" s="2" t="s">
        <v>75</v>
      </c>
      <c r="B274" s="2" t="s">
        <v>51</v>
      </c>
      <c r="C274" s="2" t="s">
        <v>37</v>
      </c>
      <c r="D274" s="7">
        <f t="shared" si="34"/>
        <v>2597.7666666666669</v>
      </c>
      <c r="E274" s="7">
        <f t="shared" ref="E274:O274" si="53">D274+E90+E136-E113-E228-E251-E205</f>
        <v>2392.4333333333334</v>
      </c>
      <c r="F274" s="7">
        <f t="shared" si="53"/>
        <v>2187.1</v>
      </c>
      <c r="G274" s="7">
        <f t="shared" si="53"/>
        <v>1981.7666666666664</v>
      </c>
      <c r="H274" s="7">
        <f t="shared" si="53"/>
        <v>1776.4333333333329</v>
      </c>
      <c r="I274" s="7">
        <f t="shared" si="53"/>
        <v>1571.0999999999995</v>
      </c>
      <c r="J274" s="7">
        <f t="shared" si="53"/>
        <v>1365.766666666666</v>
      </c>
      <c r="K274" s="7">
        <f t="shared" si="53"/>
        <v>1160.4333333333325</v>
      </c>
      <c r="L274" s="7">
        <f t="shared" si="53"/>
        <v>955.09999999999911</v>
      </c>
      <c r="M274" s="7">
        <f t="shared" si="53"/>
        <v>749.76666666666574</v>
      </c>
      <c r="N274" s="7">
        <f t="shared" si="53"/>
        <v>544.43333333333237</v>
      </c>
      <c r="O274" s="7">
        <f t="shared" si="53"/>
        <v>339.099999999999</v>
      </c>
      <c r="P274" s="8">
        <f t="shared" si="33"/>
        <v>339.099999999999</v>
      </c>
    </row>
    <row r="275" spans="1:16" x14ac:dyDescent="0.3">
      <c r="A275" s="2" t="s">
        <v>75</v>
      </c>
      <c r="B275" s="2" t="s">
        <v>51</v>
      </c>
      <c r="C275" s="2" t="s">
        <v>38</v>
      </c>
      <c r="D275" s="7">
        <f t="shared" si="34"/>
        <v>3494.6916666666657</v>
      </c>
      <c r="E275" s="7">
        <f t="shared" ref="E275:O275" si="54">D275+E91+E137-E114-E229-E252-E206</f>
        <v>3226.9833333333322</v>
      </c>
      <c r="F275" s="7">
        <f t="shared" si="54"/>
        <v>2959.2749999999987</v>
      </c>
      <c r="G275" s="7">
        <f t="shared" si="54"/>
        <v>2691.5666666666652</v>
      </c>
      <c r="H275" s="7">
        <f t="shared" si="54"/>
        <v>2423.8583333333318</v>
      </c>
      <c r="I275" s="7">
        <f t="shared" si="54"/>
        <v>2156.1499999999983</v>
      </c>
      <c r="J275" s="7">
        <f t="shared" si="54"/>
        <v>1888.441666666665</v>
      </c>
      <c r="K275" s="7">
        <f t="shared" si="54"/>
        <v>1620.7333333333318</v>
      </c>
      <c r="L275" s="7">
        <f t="shared" si="54"/>
        <v>1353.0249999999985</v>
      </c>
      <c r="M275" s="7">
        <f t="shared" si="54"/>
        <v>1085.3166666666652</v>
      </c>
      <c r="N275" s="7">
        <f t="shared" si="54"/>
        <v>817.60833333333198</v>
      </c>
      <c r="O275" s="7">
        <f t="shared" si="54"/>
        <v>549.89999999999873</v>
      </c>
      <c r="P275" s="8">
        <f t="shared" si="33"/>
        <v>549.89999999999873</v>
      </c>
    </row>
    <row r="276" spans="1:16" x14ac:dyDescent="0.3">
      <c r="A276" s="2" t="s">
        <v>75</v>
      </c>
      <c r="B276" s="2" t="s">
        <v>51</v>
      </c>
      <c r="C276" s="2" t="s">
        <v>39</v>
      </c>
      <c r="D276" s="7">
        <f t="shared" si="34"/>
        <v>2920.4166666666656</v>
      </c>
      <c r="E276" s="7">
        <f t="shared" ref="E276:O276" si="55">D276+E92+E138-E115-E230-E253-E207</f>
        <v>2682.1333333333323</v>
      </c>
      <c r="F276" s="7">
        <f t="shared" si="55"/>
        <v>2443.849999999999</v>
      </c>
      <c r="G276" s="7">
        <f t="shared" si="55"/>
        <v>2205.5666666666657</v>
      </c>
      <c r="H276" s="7">
        <f t="shared" si="55"/>
        <v>1967.2833333333324</v>
      </c>
      <c r="I276" s="7">
        <f t="shared" si="55"/>
        <v>1728.9999999999991</v>
      </c>
      <c r="J276" s="7">
        <f t="shared" si="55"/>
        <v>1490.7166666666658</v>
      </c>
      <c r="K276" s="7">
        <f t="shared" si="55"/>
        <v>1252.4333333333325</v>
      </c>
      <c r="L276" s="7">
        <f t="shared" si="55"/>
        <v>1014.1499999999992</v>
      </c>
      <c r="M276" s="7">
        <f t="shared" si="55"/>
        <v>775.86666666666588</v>
      </c>
      <c r="N276" s="7">
        <f t="shared" si="55"/>
        <v>537.58333333333258</v>
      </c>
      <c r="O276" s="7">
        <f t="shared" si="55"/>
        <v>299.29999999999927</v>
      </c>
      <c r="P276" s="8">
        <f t="shared" si="33"/>
        <v>299.29999999999927</v>
      </c>
    </row>
    <row r="277" spans="1:16" x14ac:dyDescent="0.3">
      <c r="A277" s="2" t="s">
        <v>75</v>
      </c>
      <c r="B277" s="2" t="s">
        <v>51</v>
      </c>
      <c r="C277" s="2" t="s">
        <v>40</v>
      </c>
      <c r="D277" s="7">
        <f t="shared" si="34"/>
        <v>3062.7249999999995</v>
      </c>
      <c r="E277" s="7">
        <f t="shared" ref="E277:O277" si="56">D277+E93+E139-E116-E231-E254-E208</f>
        <v>2828.7499999999995</v>
      </c>
      <c r="F277" s="7">
        <f t="shared" si="56"/>
        <v>2594.7749999999996</v>
      </c>
      <c r="G277" s="7">
        <f t="shared" si="56"/>
        <v>2360.7999999999997</v>
      </c>
      <c r="H277" s="7">
        <f t="shared" si="56"/>
        <v>2126.8249999999998</v>
      </c>
      <c r="I277" s="7">
        <f t="shared" si="56"/>
        <v>1892.85</v>
      </c>
      <c r="J277" s="7">
        <f t="shared" si="56"/>
        <v>1658.875</v>
      </c>
      <c r="K277" s="7">
        <f t="shared" si="56"/>
        <v>1424.9</v>
      </c>
      <c r="L277" s="7">
        <f t="shared" si="56"/>
        <v>1190.9250000000002</v>
      </c>
      <c r="M277" s="7">
        <f t="shared" si="56"/>
        <v>956.95000000000016</v>
      </c>
      <c r="N277" s="7">
        <f t="shared" si="56"/>
        <v>722.97500000000014</v>
      </c>
      <c r="O277" s="7">
        <f t="shared" si="56"/>
        <v>489.00000000000011</v>
      </c>
      <c r="P277" s="8">
        <f t="shared" si="33"/>
        <v>489.00000000000011</v>
      </c>
    </row>
  </sheetData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32"/>
  <sheetViews>
    <sheetView workbookViewId="0">
      <pane xSplit="3" ySplit="2" topLeftCell="D3" activePane="bottomRight" state="frozen"/>
      <selection pane="topRight"/>
      <selection pane="bottomLeft"/>
      <selection pane="bottomRight" activeCell="A25" sqref="A25:XFD32"/>
    </sheetView>
  </sheetViews>
  <sheetFormatPr defaultRowHeight="14.4" x14ac:dyDescent="0.3"/>
  <cols>
    <col min="1" max="1" width="18" customWidth="1"/>
    <col min="2" max="2" width="22" customWidth="1"/>
    <col min="3" max="3" width="9" customWidth="1"/>
    <col min="4" max="26" width="10" customWidth="1"/>
  </cols>
  <sheetData>
    <row r="1" spans="1:26" ht="25.8" x14ac:dyDescent="0.5">
      <c r="A1" s="9" t="s">
        <v>75</v>
      </c>
    </row>
    <row r="2" spans="1:26" x14ac:dyDescent="0.3">
      <c r="A2" s="10" t="s">
        <v>0</v>
      </c>
      <c r="B2" s="10" t="s">
        <v>1</v>
      </c>
      <c r="C2" s="10" t="s">
        <v>53</v>
      </c>
      <c r="D2" s="10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10" t="s">
        <v>23</v>
      </c>
      <c r="J2" s="10" t="s">
        <v>24</v>
      </c>
      <c r="K2" s="10" t="s">
        <v>25</v>
      </c>
      <c r="L2" s="10" t="s">
        <v>26</v>
      </c>
      <c r="M2" s="10" t="s">
        <v>27</v>
      </c>
      <c r="N2" s="10" t="s">
        <v>28</v>
      </c>
      <c r="O2" s="10" t="s">
        <v>29</v>
      </c>
      <c r="P2" s="10" t="s">
        <v>30</v>
      </c>
      <c r="Q2" s="10" t="s">
        <v>31</v>
      </c>
      <c r="R2" s="10" t="s">
        <v>32</v>
      </c>
      <c r="S2" s="10" t="s">
        <v>33</v>
      </c>
      <c r="T2" s="10" t="s">
        <v>34</v>
      </c>
      <c r="U2" s="10" t="s">
        <v>35</v>
      </c>
      <c r="V2" s="10" t="s">
        <v>36</v>
      </c>
      <c r="W2" s="10" t="s">
        <v>37</v>
      </c>
      <c r="X2" s="10" t="s">
        <v>38</v>
      </c>
      <c r="Y2" s="10" t="s">
        <v>39</v>
      </c>
      <c r="Z2" s="10" t="s">
        <v>40</v>
      </c>
    </row>
    <row r="3" spans="1:26" x14ac:dyDescent="0.3">
      <c r="A3" s="11" t="s">
        <v>75</v>
      </c>
      <c r="B3" s="11" t="s">
        <v>17</v>
      </c>
      <c r="C3" s="12" t="s">
        <v>54</v>
      </c>
      <c r="D3" s="13">
        <f>SUMIFS('Dry peas_Mo'!$P:$P,'Dry peas_Mo'!$B:$B,"Planted Area",'Dry peas_Mo'!$C:$C,RIGHT(D$2,5))</f>
        <v>2.99</v>
      </c>
      <c r="E3" s="13">
        <f>SUMIFS('Dry peas_Mo'!$P:$P,'Dry peas_Mo'!$B:$B,"Planted Area",'Dry peas_Mo'!$C:$C,RIGHT(E$2,5))</f>
        <v>2.89</v>
      </c>
      <c r="F3" s="13">
        <f>SUMIFS('Dry peas_Mo'!$P:$P,'Dry peas_Mo'!$B:$B,"Planted Area",'Dry peas_Mo'!$C:$C,RIGHT(F$2,5))</f>
        <v>3.17</v>
      </c>
      <c r="G3" s="13">
        <f>SUMIFS('Dry peas_Mo'!$P:$P,'Dry peas_Mo'!$B:$B,"Planted Area",'Dry peas_Mo'!$C:$C,RIGHT(G$2,5))</f>
        <v>3.22</v>
      </c>
      <c r="H3" s="13">
        <f>SUMIFS('Dry peas_Mo'!$P:$P,'Dry peas_Mo'!$B:$B,"Planted Area",'Dry peas_Mo'!$C:$C,RIGHT(H$2,5))</f>
        <v>3.1155149999999998</v>
      </c>
      <c r="I3" s="13">
        <f>SUMIFS('Dry peas_Mo'!$P:$P,'Dry peas_Mo'!$B:$B,"Planted Area",'Dry peas_Mo'!$C:$C,RIGHT(I$2,5))</f>
        <v>3.63</v>
      </c>
      <c r="J3" s="13">
        <f>SUMIFS('Dry peas_Mo'!$P:$P,'Dry peas_Mo'!$B:$B,"Planted Area",'Dry peas_Mo'!$C:$C,RIGHT(J$2,5))</f>
        <v>3.9849999999999999</v>
      </c>
      <c r="K3" s="13">
        <f>SUMIFS('Dry peas_Mo'!$P:$P,'Dry peas_Mo'!$B:$B,"Planted Area",'Dry peas_Mo'!$C:$C,RIGHT(K$2,5))</f>
        <v>3.76</v>
      </c>
      <c r="L3" s="13">
        <f>SUMIFS('Dry peas_Mo'!$P:$P,'Dry peas_Mo'!$B:$B,"Planted Area",'Dry peas_Mo'!$C:$C,RIGHT(L$2,5))</f>
        <v>3.625</v>
      </c>
      <c r="M3" s="13">
        <f>SUMIFS('Dry peas_Mo'!$P:$P,'Dry peas_Mo'!$B:$B,"Planted Area",'Dry peas_Mo'!$C:$C,RIGHT(M$2,5))</f>
        <v>2.4367260000000002</v>
      </c>
      <c r="N3" s="13">
        <f>SUMIFS('Dry peas_Mo'!$P:$P,'Dry peas_Mo'!$B:$B,"Planted Area",'Dry peas_Mo'!$C:$C,RIGHT(N$2,5))</f>
        <v>3.73</v>
      </c>
      <c r="O3" s="13">
        <f>SUMIFS('Dry peas_Mo'!$P:$P,'Dry peas_Mo'!$B:$B,"Planted Area",'Dry peas_Mo'!$C:$C,RIGHT(O$2,5))</f>
        <v>3.35</v>
      </c>
      <c r="P3" s="13">
        <f>SUMIFS('Dry peas_Mo'!$P:$P,'Dry peas_Mo'!$B:$B,"Planted Area",'Dry peas_Mo'!$C:$C,RIGHT(P$2,5))</f>
        <v>4.04</v>
      </c>
      <c r="Q3" s="13">
        <f>SUMIFS('Dry peas_Mo'!$P:$P,'Dry peas_Mo'!$B:$B,"Planted Area",'Dry peas_Mo'!$C:$C,RIGHT(Q$2,5))</f>
        <v>3.75</v>
      </c>
      <c r="R3" s="13">
        <f>SUMIFS('Dry peas_Mo'!$P:$P,'Dry peas_Mo'!$B:$B,"Planted Area",'Dry peas_Mo'!$C:$C,RIGHT(R$2,5))</f>
        <v>4.2816999999999998</v>
      </c>
      <c r="S3" s="13">
        <f>SUMIFS('Dry peas_Mo'!$P:$P,'Dry peas_Mo'!$B:$B,"Planted Area",'Dry peas_Mo'!$C:$C,RIGHT(S$2,5))</f>
        <v>4.093</v>
      </c>
      <c r="T3" s="13">
        <f>SUMIFS('Dry peas_Mo'!$P:$P,'Dry peas_Mo'!$B:$B,"Planted Area",'Dry peas_Mo'!$C:$C,RIGHT(T$2,5))</f>
        <v>3.6153</v>
      </c>
      <c r="U3" s="13">
        <f>SUMIFS('Dry peas_Mo'!$P:$P,'Dry peas_Mo'!$B:$B,"Planted Area",'Dry peas_Mo'!$C:$C,RIGHT(U$2,5))</f>
        <v>4.3327999999999998</v>
      </c>
      <c r="V3" s="13">
        <f>SUMIFS('Dry peas_Mo'!$P:$P,'Dry peas_Mo'!$B:$B,"Planted Area",'Dry peas_Mo'!$C:$C,RIGHT(V$2,5))</f>
        <v>4.2553999999999998</v>
      </c>
      <c r="W3" s="13">
        <f>SUMIFS('Dry peas_Mo'!$P:$P,'Dry peas_Mo'!$B:$B,"Planted Area",'Dry peas_Mo'!$C:$C,RIGHT(W$2,5))</f>
        <v>3.8547289999999998</v>
      </c>
      <c r="X3" s="13">
        <f>SUMIFS('Dry peas_Mo'!$P:$P,'Dry peas_Mo'!$B:$B,"Planted Area",'Dry peas_Mo'!$C:$C,RIGHT(X$2,5))</f>
        <v>3.3681000000000001</v>
      </c>
      <c r="Y3" s="13">
        <f>SUMIFS('Dry peas_Mo'!$P:$P,'Dry peas_Mo'!$B:$B,"Planted Area",'Dry peas_Mo'!$C:$C,RIGHT(Y$2,5))</f>
        <v>3.0476000000000001</v>
      </c>
      <c r="Z3" s="13">
        <f>SUMIFS('Dry peas_Mo'!$P:$P,'Dry peas_Mo'!$B:$B,"Planted Area",'Dry peas_Mo'!$C:$C,RIGHT(Z$2,5))</f>
        <v>3.2128000000000001</v>
      </c>
    </row>
    <row r="4" spans="1:26" x14ac:dyDescent="0.3">
      <c r="A4" s="11" t="s">
        <v>75</v>
      </c>
      <c r="B4" s="11" t="s">
        <v>41</v>
      </c>
      <c r="C4" s="12" t="s">
        <v>54</v>
      </c>
      <c r="D4" s="13">
        <f>SUMIFS('Dry peas_Mo'!$P:$P,'Dry peas_Mo'!$B:$B,"Harvested Area",'Dry peas_Mo'!$C:$C,RIGHT(D$2,5))</f>
        <v>2.42</v>
      </c>
      <c r="E4" s="13">
        <f>SUMIFS('Dry peas_Mo'!$P:$P,'Dry peas_Mo'!$B:$B,"Harvested Area",'Dry peas_Mo'!$C:$C,RIGHT(E$2,5))</f>
        <v>2.84</v>
      </c>
      <c r="F4" s="13">
        <f>SUMIFS('Dry peas_Mo'!$P:$P,'Dry peas_Mo'!$B:$B,"Harvested Area",'Dry peas_Mo'!$C:$C,RIGHT(F$2,5))</f>
        <v>3.0739999999999998</v>
      </c>
      <c r="G4" s="13">
        <f>SUMIFS('Dry peas_Mo'!$P:$P,'Dry peas_Mo'!$B:$B,"Harvested Area",'Dry peas_Mo'!$C:$C,RIGHT(G$2,5))</f>
        <v>3.13</v>
      </c>
      <c r="H4" s="13">
        <f>SUMIFS('Dry peas_Mo'!$P:$P,'Dry peas_Mo'!$B:$B,"Harvested Area",'Dry peas_Mo'!$C:$C,RIGHT(H$2,5))</f>
        <v>3.0409999999999999</v>
      </c>
      <c r="I4" s="13">
        <f>SUMIFS('Dry peas_Mo'!$P:$P,'Dry peas_Mo'!$B:$B,"Harvested Area",'Dry peas_Mo'!$C:$C,RIGHT(I$2,5))</f>
        <v>3.5649999999999999</v>
      </c>
      <c r="J4" s="13">
        <f>SUMIFS('Dry peas_Mo'!$P:$P,'Dry peas_Mo'!$B:$B,"Harvested Area",'Dry peas_Mo'!$C:$C,RIGHT(J$2,5))</f>
        <v>3.895</v>
      </c>
      <c r="K4" s="13">
        <f>SUMIFS('Dry peas_Mo'!$P:$P,'Dry peas_Mo'!$B:$B,"Harvested Area",'Dry peas_Mo'!$C:$C,RIGHT(K$2,5))</f>
        <v>3.6749999999999998</v>
      </c>
      <c r="L4" s="13">
        <f>SUMIFS('Dry peas_Mo'!$P:$P,'Dry peas_Mo'!$B:$B,"Harvested Area",'Dry peas_Mo'!$C:$C,RIGHT(L$2,5))</f>
        <v>3.4319999999999999</v>
      </c>
      <c r="M4" s="13">
        <f>SUMIFS('Dry peas_Mo'!$P:$P,'Dry peas_Mo'!$B:$B,"Harvested Area",'Dry peas_Mo'!$C:$C,RIGHT(M$2,5))</f>
        <v>2.407</v>
      </c>
      <c r="N4" s="13">
        <f>SUMIFS('Dry peas_Mo'!$P:$P,'Dry peas_Mo'!$B:$B,"Harvested Area",'Dry peas_Mo'!$C:$C,RIGHT(N$2,5))</f>
        <v>3.645</v>
      </c>
      <c r="O4" s="13">
        <f>SUMIFS('Dry peas_Mo'!$P:$P,'Dry peas_Mo'!$B:$B,"Harvested Area",'Dry peas_Mo'!$C:$C,RIGHT(O$2,5))</f>
        <v>3.3149999999999999</v>
      </c>
      <c r="P4" s="13">
        <f>SUMIFS('Dry peas_Mo'!$P:$P,'Dry peas_Mo'!$B:$B,"Harvested Area",'Dry peas_Mo'!$C:$C,RIGHT(P$2,5))</f>
        <v>3.968</v>
      </c>
      <c r="Q4" s="13">
        <f>SUMIFS('Dry peas_Mo'!$P:$P,'Dry peas_Mo'!$B:$B,"Harvested Area",'Dry peas_Mo'!$C:$C,RIGHT(Q$2,5))</f>
        <v>3.6920000000000002</v>
      </c>
      <c r="R4" s="13">
        <f>SUMIFS('Dry peas_Mo'!$P:$P,'Dry peas_Mo'!$B:$B,"Harvested Area",'Dry peas_Mo'!$C:$C,RIGHT(R$2,5))</f>
        <v>4.1440000000000001</v>
      </c>
      <c r="S4" s="13">
        <f>SUMIFS('Dry peas_Mo'!$P:$P,'Dry peas_Mo'!$B:$B,"Harvested Area",'Dry peas_Mo'!$C:$C,RIGHT(S$2,5))</f>
        <v>4.0579999999999998</v>
      </c>
      <c r="T4" s="13">
        <f>SUMIFS('Dry peas_Mo'!$P:$P,'Dry peas_Mo'!$B:$B,"Harvested Area",'Dry peas_Mo'!$C:$C,RIGHT(T$2,5))</f>
        <v>3.5365000000000002</v>
      </c>
      <c r="U4" s="13">
        <f>SUMIFS('Dry peas_Mo'!$P:$P,'Dry peas_Mo'!$B:$B,"Harvested Area",'Dry peas_Mo'!$C:$C,RIGHT(U$2,5))</f>
        <v>4.2276999999999996</v>
      </c>
      <c r="V4" s="13">
        <f>SUMIFS('Dry peas_Mo'!$P:$P,'Dry peas_Mo'!$B:$B,"Harvested Area",'Dry peas_Mo'!$C:$C,RIGHT(V$2,5))</f>
        <v>4.1631999999999998</v>
      </c>
      <c r="W4" s="13">
        <f>SUMIFS('Dry peas_Mo'!$P:$P,'Dry peas_Mo'!$B:$B,"Harvested Area",'Dry peas_Mo'!$C:$C,RIGHT(W$2,5))</f>
        <v>3.719004</v>
      </c>
      <c r="X4" s="13">
        <f>SUMIFS('Dry peas_Mo'!$P:$P,'Dry peas_Mo'!$B:$B,"Harvested Area",'Dry peas_Mo'!$C:$C,RIGHT(X$2,5))</f>
        <v>3.3311999999999999</v>
      </c>
      <c r="Y4" s="13">
        <f>SUMIFS('Dry peas_Mo'!$P:$P,'Dry peas_Mo'!$B:$B,"Harvested Area",'Dry peas_Mo'!$C:$C,RIGHT(Y$2,5))</f>
        <v>2.9649000000000001</v>
      </c>
      <c r="Z4" s="13">
        <f>SUMIFS('Dry peas_Mo'!$P:$P,'Dry peas_Mo'!$B:$B,"Harvested Area",'Dry peas_Mo'!$C:$C,RIGHT(Z$2,5))</f>
        <v>3.1642999999999999</v>
      </c>
    </row>
    <row r="5" spans="1:26" x14ac:dyDescent="0.3">
      <c r="A5" s="11" t="s">
        <v>75</v>
      </c>
      <c r="B5" s="11" t="s">
        <v>55</v>
      </c>
      <c r="C5" s="12" t="s">
        <v>56</v>
      </c>
      <c r="D5" s="14">
        <f t="shared" ref="D5:Z5" si="0">IF(D3&lt;&gt;0,D4/D3,"")</f>
        <v>0.80936454849498318</v>
      </c>
      <c r="E5" s="14">
        <f t="shared" si="0"/>
        <v>0.98269896193771622</v>
      </c>
      <c r="F5" s="14">
        <f t="shared" si="0"/>
        <v>0.96971608832807565</v>
      </c>
      <c r="G5" s="14">
        <f t="shared" si="0"/>
        <v>0.97204968944099368</v>
      </c>
      <c r="H5" s="14">
        <f t="shared" si="0"/>
        <v>0.97608260592550511</v>
      </c>
      <c r="I5" s="14">
        <f t="shared" si="0"/>
        <v>0.98209366391184572</v>
      </c>
      <c r="J5" s="14">
        <f t="shared" si="0"/>
        <v>0.97741530740276039</v>
      </c>
      <c r="K5" s="14">
        <f t="shared" si="0"/>
        <v>0.97739361702127658</v>
      </c>
      <c r="L5" s="14">
        <f t="shared" si="0"/>
        <v>0.94675862068965511</v>
      </c>
      <c r="M5" s="14">
        <f t="shared" si="0"/>
        <v>0.9878008442475682</v>
      </c>
      <c r="N5" s="14">
        <f t="shared" si="0"/>
        <v>0.97721179624664878</v>
      </c>
      <c r="O5" s="14">
        <f t="shared" si="0"/>
        <v>0.9895522388059701</v>
      </c>
      <c r="P5" s="14">
        <f t="shared" si="0"/>
        <v>0.98217821782178216</v>
      </c>
      <c r="Q5" s="14">
        <f t="shared" si="0"/>
        <v>0.98453333333333337</v>
      </c>
      <c r="R5" s="14">
        <f t="shared" si="0"/>
        <v>0.96783987668449456</v>
      </c>
      <c r="S5" s="14">
        <f t="shared" si="0"/>
        <v>0.99144881505008553</v>
      </c>
      <c r="T5" s="14">
        <f t="shared" si="0"/>
        <v>0.97820374519403652</v>
      </c>
      <c r="U5" s="14">
        <f t="shared" si="0"/>
        <v>0.97574316838995567</v>
      </c>
      <c r="V5" s="14">
        <f t="shared" si="0"/>
        <v>0.9783334116651784</v>
      </c>
      <c r="W5" s="14">
        <f t="shared" si="0"/>
        <v>0.9647900020987209</v>
      </c>
      <c r="X5" s="14">
        <f t="shared" si="0"/>
        <v>0.98904426828182057</v>
      </c>
      <c r="Y5" s="14">
        <f t="shared" si="0"/>
        <v>0.97286389289933062</v>
      </c>
      <c r="Z5" s="14">
        <f t="shared" si="0"/>
        <v>0.98490413346613537</v>
      </c>
    </row>
    <row r="6" spans="1:26" x14ac:dyDescent="0.3">
      <c r="A6" s="11" t="s">
        <v>75</v>
      </c>
      <c r="B6" s="11" t="s">
        <v>42</v>
      </c>
      <c r="C6" s="12" t="s">
        <v>57</v>
      </c>
      <c r="D6" s="15">
        <f>SUMIFS('Dry peas_Mo'!$P:$P,'Dry peas_Mo'!$B:$B,"Yield",'Dry peas_Mo'!$C:$C,RIGHT(D$2,5))</f>
        <v>19.49238101652892</v>
      </c>
      <c r="E6" s="15">
        <f>SUMIFS('Dry peas_Mo'!$P:$P,'Dry peas_Mo'!$B:$B,"Yield",'Dry peas_Mo'!$C:$C,RIGHT(E$2,5))</f>
        <v>24.98183462323944</v>
      </c>
      <c r="F6" s="15">
        <f>SUMIFS('Dry peas_Mo'!$P:$P,'Dry peas_Mo'!$B:$B,"Yield",'Dry peas_Mo'!$C:$C,RIGHT(F$2,5))</f>
        <v>37.02101094339622</v>
      </c>
      <c r="G6" s="15">
        <f>SUMIFS('Dry peas_Mo'!$P:$P,'Dry peas_Mo'!$B:$B,"Yield",'Dry peas_Mo'!$C:$C,RIGHT(G$2,5))</f>
        <v>35.142472945686897</v>
      </c>
      <c r="H6" s="15">
        <f>SUMIFS('Dry peas_Mo'!$P:$P,'Dry peas_Mo'!$B:$B,"Yield",'Dry peas_Mo'!$C:$C,RIGHT(H$2,5))</f>
        <v>30.447369164748441</v>
      </c>
      <c r="I6" s="15">
        <f>SUMIFS('Dry peas_Mo'!$P:$P,'Dry peas_Mo'!$B:$B,"Yield",'Dry peas_Mo'!$C:$C,RIGHT(I$2,5))</f>
        <v>30.24836206451613</v>
      </c>
      <c r="J6" s="15">
        <f>SUMIFS('Dry peas_Mo'!$P:$P,'Dry peas_Mo'!$B:$B,"Yield",'Dry peas_Mo'!$C:$C,RIGHT(J$2,5))</f>
        <v>33.625909794608468</v>
      </c>
      <c r="K6" s="15">
        <f>SUMIFS('Dry peas_Mo'!$P:$P,'Dry peas_Mo'!$B:$B,"Yield",'Dry peas_Mo'!$C:$C,RIGHT(K$2,5))</f>
        <v>33.788206742857142</v>
      </c>
      <c r="L6" s="15">
        <f>SUMIFS('Dry peas_Mo'!$P:$P,'Dry peas_Mo'!$B:$B,"Yield",'Dry peas_Mo'!$C:$C,RIGHT(L$2,5))</f>
        <v>32.31347183566433</v>
      </c>
      <c r="M6" s="15">
        <f>SUMIFS('Dry peas_Mo'!$P:$P,'Dry peas_Mo'!$B:$B,"Yield",'Dry peas_Mo'!$C:$C,RIGHT(M$2,5))</f>
        <v>38.193908350643959</v>
      </c>
      <c r="N6" s="15">
        <f>SUMIFS('Dry peas_Mo'!$P:$P,'Dry peas_Mo'!$B:$B,"Yield",'Dry peas_Mo'!$C:$C,RIGHT(N$2,5))</f>
        <v>33.677188740740739</v>
      </c>
      <c r="O6" s="15">
        <f>SUMIFS('Dry peas_Mo'!$P:$P,'Dry peas_Mo'!$B:$B,"Yield",'Dry peas_Mo'!$C:$C,RIGHT(O$2,5))</f>
        <v>43.901793954751128</v>
      </c>
      <c r="P6" s="15">
        <f>SUMIFS('Dry peas_Mo'!$P:$P,'Dry peas_Mo'!$B:$B,"Yield",'Dry peas_Mo'!$C:$C,RIGHT(P$2,5))</f>
        <v>35.28154520413306</v>
      </c>
      <c r="Q6" s="15">
        <f>SUMIFS('Dry peas_Mo'!$P:$P,'Dry peas_Mo'!$B:$B,"Yield",'Dry peas_Mo'!$C:$C,RIGHT(Q$2,5))</f>
        <v>31.854160506500541</v>
      </c>
      <c r="R6" s="15">
        <f>SUMIFS('Dry peas_Mo'!$P:$P,'Dry peas_Mo'!$B:$B,"Yield",'Dry peas_Mo'!$C:$C,RIGHT(R$2,5))</f>
        <v>42.878585624999992</v>
      </c>
      <c r="S6" s="15">
        <f>SUMIFS('Dry peas_Mo'!$P:$P,'Dry peas_Mo'!$B:$B,"Yield",'Dry peas_Mo'!$C:$C,RIGHT(S$2,5))</f>
        <v>37.234461099063573</v>
      </c>
      <c r="T6" s="15">
        <f>SUMIFS('Dry peas_Mo'!$P:$P,'Dry peas_Mo'!$B:$B,"Yield",'Dry peas_Mo'!$C:$C,RIGHT(T$2,5))</f>
        <v>37.202931313445497</v>
      </c>
      <c r="U6" s="15">
        <f>SUMIFS('Dry peas_Mo'!$P:$P,'Dry peas_Mo'!$B:$B,"Yield",'Dry peas_Mo'!$C:$C,RIGHT(U$2,5))</f>
        <v>36.820182380490571</v>
      </c>
      <c r="V6" s="15">
        <f>SUMIFS('Dry peas_Mo'!$P:$P,'Dry peas_Mo'!$B:$B,"Yield",'Dry peas_Mo'!$C:$C,RIGHT(V$2,5))</f>
        <v>40.549398366641043</v>
      </c>
      <c r="W6" s="15">
        <f>SUMIFS('Dry peas_Mo'!$P:$P,'Dry peas_Mo'!$B:$B,"Yield",'Dry peas_Mo'!$C:$C,RIGHT(W$2,5))</f>
        <v>22.16870808958528</v>
      </c>
      <c r="X6" s="15">
        <f>SUMIFS('Dry peas_Mo'!$P:$P,'Dry peas_Mo'!$B:$B,"Yield",'Dry peas_Mo'!$C:$C,RIGHT(X$2,5))</f>
        <v>37.759578593299707</v>
      </c>
      <c r="Y6" s="15">
        <f>SUMIFS('Dry peas_Mo'!$P:$P,'Dry peas_Mo'!$B:$B,"Yield",'Dry peas_Mo'!$C:$C,RIGHT(Y$2,5))</f>
        <v>32.330589416169182</v>
      </c>
      <c r="Z6" s="15">
        <f>SUMIFS('Dry peas_Mo'!$P:$P,'Dry peas_Mo'!$B:$B,"Yield",'Dry peas_Mo'!$C:$C,RIGHT(Z$2,5))</f>
        <v>34.805665196093919</v>
      </c>
    </row>
    <row r="8" spans="1:26" x14ac:dyDescent="0.3">
      <c r="A8" s="11" t="s">
        <v>75</v>
      </c>
      <c r="B8" s="11" t="s">
        <v>58</v>
      </c>
      <c r="C8" s="12" t="s">
        <v>59</v>
      </c>
      <c r="D8" s="16">
        <f>SUMIFS('Dry peas_Mo'!$D:$D,'Dry peas_Mo'!$B:$B,"STOCKS",'Dry peas_Mo'!$C:$C,RIGHT(D$2,5))-SUMIFS('Dry peas_Mo'!$D:$D,'Dry peas_Mo'!$B:$B,"Production",'Dry peas_Mo'!$C:$C,RIGHT(D$2,5))-SUMIFS('Dry peas_Mo'!$D:$D,'Dry peas_Mo'!$B:$B,"Imports",'Dry peas_Mo'!$C:$C,RIGHT(D$2,5))+SUMIFS('Dry peas_Mo'!$D:$D,'Dry peas_Mo'!$B:$B,"Exports",'Dry peas_Mo'!$C:$C,RIGHT(D$2,5))+SUMIFS('Dry peas_Mo'!$D:$D,'Dry peas_Mo'!$B:$B,"Food &amp; Processing",'Dry peas_Mo'!$C:$C,RIGHT(D$2,5))+SUMIFS('Dry peas_Mo'!$D:$D,'Dry peas_Mo'!$B:$B,"FSR",'Dry peas_Mo'!$C:$C,RIGHT(D$2,5))+SUMIFS('Dry peas_Mo'!$D:$D,'Dry peas_Mo'!$B:$B,"Seed",'Dry peas_Mo'!$C:$C,RIGHT(D$2,5))</f>
        <v>274.99999999999989</v>
      </c>
      <c r="E8" s="16">
        <f t="shared" ref="E8:Z8" si="1">D19</f>
        <v>227.99999999999955</v>
      </c>
      <c r="F8" s="16">
        <f t="shared" si="1"/>
        <v>199.99999999999886</v>
      </c>
      <c r="G8" s="16">
        <f t="shared" si="1"/>
        <v>472.99999999999955</v>
      </c>
      <c r="H8" s="16">
        <f t="shared" si="1"/>
        <v>363.00000000000045</v>
      </c>
      <c r="I8" s="16">
        <f t="shared" si="1"/>
        <v>167.00000000000091</v>
      </c>
      <c r="J8" s="16">
        <f t="shared" si="1"/>
        <v>255.00000000000182</v>
      </c>
      <c r="K8" s="16">
        <f t="shared" si="1"/>
        <v>445.00000000000136</v>
      </c>
      <c r="L8" s="16">
        <f t="shared" si="1"/>
        <v>910.00000000000045</v>
      </c>
      <c r="M8" s="16">
        <f t="shared" si="1"/>
        <v>534.99999999999909</v>
      </c>
      <c r="N8" s="16">
        <f t="shared" si="1"/>
        <v>264.99999999999909</v>
      </c>
      <c r="O8" s="16">
        <f t="shared" si="1"/>
        <v>174.00000000000045</v>
      </c>
      <c r="P8" s="16">
        <f t="shared" si="1"/>
        <v>329.00000000000045</v>
      </c>
      <c r="Q8" s="16">
        <f t="shared" si="1"/>
        <v>683.99999999999955</v>
      </c>
      <c r="R8" s="16">
        <f t="shared" si="1"/>
        <v>174.19999999999891</v>
      </c>
      <c r="S8" s="16">
        <f t="shared" si="1"/>
        <v>300.39999999999873</v>
      </c>
      <c r="T8" s="16">
        <f t="shared" si="1"/>
        <v>648.19999999999936</v>
      </c>
      <c r="U8" s="16">
        <f t="shared" si="1"/>
        <v>312.30000000000064</v>
      </c>
      <c r="V8" s="16">
        <f t="shared" si="1"/>
        <v>233.20000000000164</v>
      </c>
      <c r="W8" s="16">
        <f t="shared" si="1"/>
        <v>559.300000000002</v>
      </c>
      <c r="X8" s="16">
        <f t="shared" si="1"/>
        <v>339.10000000000082</v>
      </c>
      <c r="Y8" s="16">
        <f t="shared" si="1"/>
        <v>549.90000000000055</v>
      </c>
      <c r="Z8" s="16">
        <f t="shared" si="1"/>
        <v>299.30000000000109</v>
      </c>
    </row>
    <row r="9" spans="1:26" x14ac:dyDescent="0.3">
      <c r="A9" s="11" t="s">
        <v>75</v>
      </c>
      <c r="B9" s="11" t="s">
        <v>45</v>
      </c>
      <c r="C9" s="12" t="s">
        <v>59</v>
      </c>
      <c r="D9" s="16">
        <f>SUMIFS('Dry peas_Mo'!$P:$P,'Dry peas_Mo'!$B:$B,"Imports",'Dry peas_Mo'!$C:$C,RIGHT(D$2,5))</f>
        <v>0</v>
      </c>
      <c r="E9" s="16">
        <f>SUMIFS('Dry peas_Mo'!$P:$P,'Dry peas_Mo'!$B:$B,"Imports",'Dry peas_Mo'!$C:$C,RIGHT(E$2,5))</f>
        <v>0</v>
      </c>
      <c r="F9" s="16">
        <f>SUMIFS('Dry peas_Mo'!$P:$P,'Dry peas_Mo'!$B:$B,"Imports",'Dry peas_Mo'!$C:$C,RIGHT(F$2,5))</f>
        <v>0</v>
      </c>
      <c r="G9" s="16">
        <f>SUMIFS('Dry peas_Mo'!$P:$P,'Dry peas_Mo'!$B:$B,"Imports",'Dry peas_Mo'!$C:$C,RIGHT(G$2,5))</f>
        <v>0</v>
      </c>
      <c r="H9" s="16">
        <f>SUMIFS('Dry peas_Mo'!$P:$P,'Dry peas_Mo'!$B:$B,"Imports",'Dry peas_Mo'!$C:$C,RIGHT(H$2,5))</f>
        <v>0</v>
      </c>
      <c r="I9" s="16">
        <f>SUMIFS('Dry peas_Mo'!$P:$P,'Dry peas_Mo'!$B:$B,"Imports",'Dry peas_Mo'!$C:$C,RIGHT(I$2,5))</f>
        <v>0</v>
      </c>
      <c r="J9" s="16">
        <f>SUMIFS('Dry peas_Mo'!$P:$P,'Dry peas_Mo'!$B:$B,"Imports",'Dry peas_Mo'!$C:$C,RIGHT(J$2,5))</f>
        <v>0</v>
      </c>
      <c r="K9" s="16">
        <f>SUMIFS('Dry peas_Mo'!$P:$P,'Dry peas_Mo'!$B:$B,"Imports",'Dry peas_Mo'!$C:$C,RIGHT(K$2,5))</f>
        <v>0</v>
      </c>
      <c r="L9" s="16">
        <f>SUMIFS('Dry peas_Mo'!$P:$P,'Dry peas_Mo'!$B:$B,"Imports",'Dry peas_Mo'!$C:$C,RIGHT(L$2,5))</f>
        <v>0</v>
      </c>
      <c r="M9" s="16">
        <f>SUMIFS('Dry peas_Mo'!$P:$P,'Dry peas_Mo'!$B:$B,"Imports",'Dry peas_Mo'!$C:$C,RIGHT(M$2,5))</f>
        <v>0</v>
      </c>
      <c r="N9" s="16">
        <f>SUMIFS('Dry peas_Mo'!$P:$P,'Dry peas_Mo'!$B:$B,"Imports",'Dry peas_Mo'!$C:$C,RIGHT(N$2,5))</f>
        <v>0</v>
      </c>
      <c r="O9" s="16">
        <f>SUMIFS('Dry peas_Mo'!$P:$P,'Dry peas_Mo'!$B:$B,"Imports",'Dry peas_Mo'!$C:$C,RIGHT(O$2,5))</f>
        <v>0</v>
      </c>
      <c r="P9" s="16">
        <f>SUMIFS('Dry peas_Mo'!$P:$P,'Dry peas_Mo'!$B:$B,"Imports",'Dry peas_Mo'!$C:$C,RIGHT(P$2,5))</f>
        <v>0</v>
      </c>
      <c r="Q9" s="16">
        <f>SUMIFS('Dry peas_Mo'!$P:$P,'Dry peas_Mo'!$B:$B,"Imports",'Dry peas_Mo'!$C:$C,RIGHT(Q$2,5))</f>
        <v>0</v>
      </c>
      <c r="R9" s="16">
        <f>SUMIFS('Dry peas_Mo'!$P:$P,'Dry peas_Mo'!$B:$B,"Imports",'Dry peas_Mo'!$C:$C,RIGHT(R$2,5))</f>
        <v>0</v>
      </c>
      <c r="S9" s="16">
        <f>SUMIFS('Dry peas_Mo'!$P:$P,'Dry peas_Mo'!$B:$B,"Imports",'Dry peas_Mo'!$C:$C,RIGHT(S$2,5))</f>
        <v>0</v>
      </c>
      <c r="T9" s="16">
        <f>SUMIFS('Dry peas_Mo'!$P:$P,'Dry peas_Mo'!$B:$B,"Imports",'Dry peas_Mo'!$C:$C,RIGHT(T$2,5))</f>
        <v>0</v>
      </c>
      <c r="U9" s="16">
        <f>SUMIFS('Dry peas_Mo'!$P:$P,'Dry peas_Mo'!$B:$B,"Imports",'Dry peas_Mo'!$C:$C,RIGHT(U$2,5))</f>
        <v>0</v>
      </c>
      <c r="V9" s="16">
        <f>SUMIFS('Dry peas_Mo'!$P:$P,'Dry peas_Mo'!$B:$B,"Imports",'Dry peas_Mo'!$C:$C,RIGHT(V$2,5))</f>
        <v>0</v>
      </c>
      <c r="W9" s="16">
        <f>SUMIFS('Dry peas_Mo'!$P:$P,'Dry peas_Mo'!$B:$B,"Imports",'Dry peas_Mo'!$C:$C,RIGHT(W$2,5))</f>
        <v>0</v>
      </c>
      <c r="X9" s="16">
        <f>SUMIFS('Dry peas_Mo'!$P:$P,'Dry peas_Mo'!$B:$B,"Imports",'Dry peas_Mo'!$C:$C,RIGHT(X$2,5))</f>
        <v>0</v>
      </c>
      <c r="Y9" s="16">
        <f>SUMIFS('Dry peas_Mo'!$P:$P,'Dry peas_Mo'!$B:$B,"Imports",'Dry peas_Mo'!$C:$C,RIGHT(Y$2,5))</f>
        <v>0</v>
      </c>
      <c r="Z9" s="16">
        <f>SUMIFS('Dry peas_Mo'!$P:$P,'Dry peas_Mo'!$B:$B,"Imports",'Dry peas_Mo'!$C:$C,RIGHT(Z$2,5))</f>
        <v>0</v>
      </c>
    </row>
    <row r="10" spans="1:26" x14ac:dyDescent="0.3">
      <c r="A10" s="11" t="s">
        <v>75</v>
      </c>
      <c r="B10" s="11" t="s">
        <v>43</v>
      </c>
      <c r="C10" s="12" t="s">
        <v>59</v>
      </c>
      <c r="D10" s="16">
        <f>SUMIFS('Dry peas_Mo'!$P:$P,'Dry peas_Mo'!$B:$B,"Production",'Dry peas_Mo'!$C:$C,RIGHT(D$2,5))</f>
        <v>1283.8</v>
      </c>
      <c r="E10" s="16">
        <f>SUMIFS('Dry peas_Mo'!$P:$P,'Dry peas_Mo'!$B:$B,"Production",'Dry peas_Mo'!$C:$C,RIGHT(E$2,5))</f>
        <v>1930.9</v>
      </c>
      <c r="F10" s="16">
        <f>SUMIFS('Dry peas_Mo'!$P:$P,'Dry peas_Mo'!$B:$B,"Production",'Dry peas_Mo'!$C:$C,RIGHT(F$2,5))</f>
        <v>3097.2</v>
      </c>
      <c r="G10" s="16">
        <f>SUMIFS('Dry peas_Mo'!$P:$P,'Dry peas_Mo'!$B:$B,"Production",'Dry peas_Mo'!$C:$C,RIGHT(G$2,5))</f>
        <v>2993.6</v>
      </c>
      <c r="H10" s="16">
        <f>SUMIFS('Dry peas_Mo'!$P:$P,'Dry peas_Mo'!$B:$B,"Production",'Dry peas_Mo'!$C:$C,RIGHT(H$2,5))</f>
        <v>2519.9</v>
      </c>
      <c r="I10" s="16">
        <f>SUMIFS('Dry peas_Mo'!$P:$P,'Dry peas_Mo'!$B:$B,"Production",'Dry peas_Mo'!$C:$C,RIGHT(I$2,5))</f>
        <v>2934.8</v>
      </c>
      <c r="J10" s="16">
        <f>SUMIFS('Dry peas_Mo'!$P:$P,'Dry peas_Mo'!$B:$B,"Production",'Dry peas_Mo'!$C:$C,RIGHT(J$2,5))</f>
        <v>3564.5</v>
      </c>
      <c r="K10" s="16">
        <f>SUMIFS('Dry peas_Mo'!$P:$P,'Dry peas_Mo'!$B:$B,"Production",'Dry peas_Mo'!$C:$C,RIGHT(K$2,5))</f>
        <v>3379.4</v>
      </c>
      <c r="L10" s="16">
        <f>SUMIFS('Dry peas_Mo'!$P:$P,'Dry peas_Mo'!$B:$B,"Production",'Dry peas_Mo'!$C:$C,RIGHT(L$2,5))</f>
        <v>3018.2</v>
      </c>
      <c r="M10" s="16">
        <f>SUMIFS('Dry peas_Mo'!$P:$P,'Dry peas_Mo'!$B:$B,"Production",'Dry peas_Mo'!$C:$C,RIGHT(M$2,5))</f>
        <v>2502</v>
      </c>
      <c r="N10" s="16">
        <f>SUMIFS('Dry peas_Mo'!$P:$P,'Dry peas_Mo'!$B:$B,"Production",'Dry peas_Mo'!$C:$C,RIGHT(N$2,5))</f>
        <v>3340.8</v>
      </c>
      <c r="O10" s="16">
        <f>SUMIFS('Dry peas_Mo'!$P:$P,'Dry peas_Mo'!$B:$B,"Production",'Dry peas_Mo'!$C:$C,RIGHT(O$2,5))</f>
        <v>3960.8</v>
      </c>
      <c r="P10" s="16">
        <f>SUMIFS('Dry peas_Mo'!$P:$P,'Dry peas_Mo'!$B:$B,"Production",'Dry peas_Mo'!$C:$C,RIGHT(P$2,5))</f>
        <v>3810.1</v>
      </c>
      <c r="Q10" s="16">
        <f>SUMIFS('Dry peas_Mo'!$P:$P,'Dry peas_Mo'!$B:$B,"Production",'Dry peas_Mo'!$C:$C,RIGHT(Q$2,5))</f>
        <v>3200.7</v>
      </c>
      <c r="R10" s="16">
        <f>SUMIFS('Dry peas_Mo'!$P:$P,'Dry peas_Mo'!$B:$B,"Production",'Dry peas_Mo'!$C:$C,RIGHT(R$2,5))</f>
        <v>4835.8999999999996</v>
      </c>
      <c r="S10" s="16">
        <f>SUMIFS('Dry peas_Mo'!$P:$P,'Dry peas_Mo'!$B:$B,"Production",'Dry peas_Mo'!$C:$C,RIGHT(S$2,5))</f>
        <v>4112.2</v>
      </c>
      <c r="T10" s="16">
        <f>SUMIFS('Dry peas_Mo'!$P:$P,'Dry peas_Mo'!$B:$B,"Production",'Dry peas_Mo'!$C:$C,RIGHT(T$2,5))</f>
        <v>3580.7</v>
      </c>
      <c r="U10" s="16">
        <f>SUMIFS('Dry peas_Mo'!$P:$P,'Dry peas_Mo'!$B:$B,"Production",'Dry peas_Mo'!$C:$C,RIGHT(U$2,5))</f>
        <v>4236.5</v>
      </c>
      <c r="V10" s="16">
        <f>SUMIFS('Dry peas_Mo'!$P:$P,'Dry peas_Mo'!$B:$B,"Production",'Dry peas_Mo'!$C:$C,RIGHT(V$2,5))</f>
        <v>4594.3999999999996</v>
      </c>
      <c r="W10" s="16">
        <f>SUMIFS('Dry peas_Mo'!$P:$P,'Dry peas_Mo'!$B:$B,"Production",'Dry peas_Mo'!$C:$C,RIGHT(W$2,5))</f>
        <v>2243.8000000000002</v>
      </c>
      <c r="X10" s="16">
        <f>SUMIFS('Dry peas_Mo'!$P:$P,'Dry peas_Mo'!$B:$B,"Production",'Dry peas_Mo'!$C:$C,RIGHT(X$2,5))</f>
        <v>3423.3</v>
      </c>
      <c r="Y10" s="16">
        <f>SUMIFS('Dry peas_Mo'!$P:$P,'Dry peas_Mo'!$B:$B,"Production",'Dry peas_Mo'!$C:$C,RIGHT(Y$2,5))</f>
        <v>2608.8000000000002</v>
      </c>
      <c r="Z10" s="16">
        <f>SUMIFS('Dry peas_Mo'!$P:$P,'Dry peas_Mo'!$B:$B,"Production",'Dry peas_Mo'!$C:$C,RIGHT(Z$2,5))</f>
        <v>2997.4</v>
      </c>
    </row>
    <row r="11" spans="1:26" x14ac:dyDescent="0.3">
      <c r="A11" s="17" t="s">
        <v>75</v>
      </c>
      <c r="B11" s="17" t="s">
        <v>60</v>
      </c>
      <c r="C11" s="18" t="s">
        <v>59</v>
      </c>
      <c r="D11" s="19">
        <f t="shared" ref="D11:Z11" si="2">D8+D9+D10</f>
        <v>1558.7999999999997</v>
      </c>
      <c r="E11" s="19">
        <f t="shared" si="2"/>
        <v>2158.8999999999996</v>
      </c>
      <c r="F11" s="19">
        <f t="shared" si="2"/>
        <v>3297.1999999999989</v>
      </c>
      <c r="G11" s="19">
        <f t="shared" si="2"/>
        <v>3466.5999999999995</v>
      </c>
      <c r="H11" s="19">
        <f t="shared" si="2"/>
        <v>2882.9000000000005</v>
      </c>
      <c r="I11" s="19">
        <f t="shared" si="2"/>
        <v>3101.8000000000011</v>
      </c>
      <c r="J11" s="19">
        <f t="shared" si="2"/>
        <v>3819.5000000000018</v>
      </c>
      <c r="K11" s="19">
        <f t="shared" si="2"/>
        <v>3824.4000000000015</v>
      </c>
      <c r="L11" s="19">
        <f t="shared" si="2"/>
        <v>3928.2000000000003</v>
      </c>
      <c r="M11" s="19">
        <f t="shared" si="2"/>
        <v>3036.9999999999991</v>
      </c>
      <c r="N11" s="19">
        <f t="shared" si="2"/>
        <v>3605.7999999999993</v>
      </c>
      <c r="O11" s="19">
        <f t="shared" si="2"/>
        <v>4134.8000000000011</v>
      </c>
      <c r="P11" s="19">
        <f t="shared" si="2"/>
        <v>4139.1000000000004</v>
      </c>
      <c r="Q11" s="19">
        <f t="shared" si="2"/>
        <v>3884.6999999999994</v>
      </c>
      <c r="R11" s="19">
        <f t="shared" si="2"/>
        <v>5010.0999999999985</v>
      </c>
      <c r="S11" s="19">
        <f t="shared" si="2"/>
        <v>4412.5999999999985</v>
      </c>
      <c r="T11" s="19">
        <f t="shared" si="2"/>
        <v>4228.8999999999996</v>
      </c>
      <c r="U11" s="19">
        <f t="shared" si="2"/>
        <v>4548.8000000000011</v>
      </c>
      <c r="V11" s="19">
        <f t="shared" si="2"/>
        <v>4827.6000000000013</v>
      </c>
      <c r="W11" s="19">
        <f t="shared" si="2"/>
        <v>2803.1000000000022</v>
      </c>
      <c r="X11" s="19">
        <f t="shared" si="2"/>
        <v>3762.400000000001</v>
      </c>
      <c r="Y11" s="19">
        <f t="shared" si="2"/>
        <v>3158.7000000000007</v>
      </c>
      <c r="Z11" s="19">
        <f t="shared" si="2"/>
        <v>3296.7000000000012</v>
      </c>
    </row>
    <row r="13" spans="1:26" x14ac:dyDescent="0.3">
      <c r="A13" s="11" t="s">
        <v>75</v>
      </c>
      <c r="B13" s="11" t="s">
        <v>46</v>
      </c>
      <c r="C13" s="12" t="s">
        <v>59</v>
      </c>
      <c r="D13" s="16">
        <f>SUMIFS('Dry peas_Mo'!$P:$P,'Dry peas_Mo'!$B:$B,"Food",'Dry peas_Mo'!$C:$C,RIGHT(D$2,5))</f>
        <v>0</v>
      </c>
      <c r="E13" s="16">
        <f>SUMIFS('Dry peas_Mo'!$P:$P,'Dry peas_Mo'!$B:$B,"Food",'Dry peas_Mo'!$C:$C,RIGHT(E$2,5))</f>
        <v>0</v>
      </c>
      <c r="F13" s="16">
        <f>SUMIFS('Dry peas_Mo'!$P:$P,'Dry peas_Mo'!$B:$B,"Food",'Dry peas_Mo'!$C:$C,RIGHT(F$2,5))</f>
        <v>0</v>
      </c>
      <c r="G13" s="16">
        <f>SUMIFS('Dry peas_Mo'!$P:$P,'Dry peas_Mo'!$B:$B,"Food",'Dry peas_Mo'!$C:$C,RIGHT(G$2,5))</f>
        <v>0</v>
      </c>
      <c r="H13" s="16">
        <f>SUMIFS('Dry peas_Mo'!$P:$P,'Dry peas_Mo'!$B:$B,"Food",'Dry peas_Mo'!$C:$C,RIGHT(H$2,5))</f>
        <v>0</v>
      </c>
      <c r="I13" s="16">
        <f>SUMIFS('Dry peas_Mo'!$P:$P,'Dry peas_Mo'!$B:$B,"Food",'Dry peas_Mo'!$C:$C,RIGHT(I$2,5))</f>
        <v>0</v>
      </c>
      <c r="J13" s="16">
        <f>SUMIFS('Dry peas_Mo'!$P:$P,'Dry peas_Mo'!$B:$B,"Food",'Dry peas_Mo'!$C:$C,RIGHT(J$2,5))</f>
        <v>0</v>
      </c>
      <c r="K13" s="16">
        <f>SUMIFS('Dry peas_Mo'!$P:$P,'Dry peas_Mo'!$B:$B,"Food",'Dry peas_Mo'!$C:$C,RIGHT(K$2,5))</f>
        <v>0</v>
      </c>
      <c r="L13" s="16">
        <f>SUMIFS('Dry peas_Mo'!$P:$P,'Dry peas_Mo'!$B:$B,"Food",'Dry peas_Mo'!$C:$C,RIGHT(L$2,5))</f>
        <v>0</v>
      </c>
      <c r="M13" s="16">
        <f>SUMIFS('Dry peas_Mo'!$P:$P,'Dry peas_Mo'!$B:$B,"Food",'Dry peas_Mo'!$C:$C,RIGHT(M$2,5))</f>
        <v>0</v>
      </c>
      <c r="N13" s="16">
        <f>SUMIFS('Dry peas_Mo'!$P:$P,'Dry peas_Mo'!$B:$B,"Food",'Dry peas_Mo'!$C:$C,RIGHT(N$2,5))</f>
        <v>0</v>
      </c>
      <c r="O13" s="16">
        <f>SUMIFS('Dry peas_Mo'!$P:$P,'Dry peas_Mo'!$B:$B,"Food",'Dry peas_Mo'!$C:$C,RIGHT(O$2,5))</f>
        <v>0</v>
      </c>
      <c r="P13" s="16">
        <f>SUMIFS('Dry peas_Mo'!$P:$P,'Dry peas_Mo'!$B:$B,"Food",'Dry peas_Mo'!$C:$C,RIGHT(P$2,5))</f>
        <v>0</v>
      </c>
      <c r="Q13" s="16">
        <f>SUMIFS('Dry peas_Mo'!$P:$P,'Dry peas_Mo'!$B:$B,"Food",'Dry peas_Mo'!$C:$C,RIGHT(Q$2,5))</f>
        <v>0</v>
      </c>
      <c r="R13" s="16">
        <f>SUMIFS('Dry peas_Mo'!$P:$P,'Dry peas_Mo'!$B:$B,"Food",'Dry peas_Mo'!$C:$C,RIGHT(R$2,5))</f>
        <v>0</v>
      </c>
      <c r="S13" s="16">
        <f>SUMIFS('Dry peas_Mo'!$P:$P,'Dry peas_Mo'!$B:$B,"Food",'Dry peas_Mo'!$C:$C,RIGHT(S$2,5))</f>
        <v>0</v>
      </c>
      <c r="T13" s="16">
        <f>SUMIFS('Dry peas_Mo'!$P:$P,'Dry peas_Mo'!$B:$B,"Food",'Dry peas_Mo'!$C:$C,RIGHT(T$2,5))</f>
        <v>0</v>
      </c>
      <c r="U13" s="16">
        <f>SUMIFS('Dry peas_Mo'!$P:$P,'Dry peas_Mo'!$B:$B,"Food",'Dry peas_Mo'!$C:$C,RIGHT(U$2,5))</f>
        <v>0</v>
      </c>
      <c r="V13" s="16">
        <f>SUMIFS('Dry peas_Mo'!$P:$P,'Dry peas_Mo'!$B:$B,"Food",'Dry peas_Mo'!$C:$C,RIGHT(V$2,5))</f>
        <v>0</v>
      </c>
      <c r="W13" s="16">
        <f>SUMIFS('Dry peas_Mo'!$P:$P,'Dry peas_Mo'!$B:$B,"Food",'Dry peas_Mo'!$C:$C,RIGHT(W$2,5))</f>
        <v>0</v>
      </c>
      <c r="X13" s="16">
        <f>SUMIFS('Dry peas_Mo'!$P:$P,'Dry peas_Mo'!$B:$B,"Food",'Dry peas_Mo'!$C:$C,RIGHT(X$2,5))</f>
        <v>0</v>
      </c>
      <c r="Y13" s="16">
        <f>SUMIFS('Dry peas_Mo'!$P:$P,'Dry peas_Mo'!$B:$B,"Food",'Dry peas_Mo'!$C:$C,RIGHT(Y$2,5))</f>
        <v>0</v>
      </c>
      <c r="Z13" s="16">
        <f>SUMIFS('Dry peas_Mo'!$P:$P,'Dry peas_Mo'!$B:$B,"Food",'Dry peas_Mo'!$C:$C,RIGHT(Z$2,5))</f>
        <v>0</v>
      </c>
    </row>
    <row r="14" spans="1:26" x14ac:dyDescent="0.3">
      <c r="A14" s="11" t="s">
        <v>75</v>
      </c>
      <c r="B14" s="11" t="s">
        <v>47</v>
      </c>
      <c r="C14" s="12" t="s">
        <v>59</v>
      </c>
      <c r="D14" s="16">
        <f>SUMIFS('Dry peas_Mo'!$P:$P,'Dry peas_Mo'!$B:$B,"Industrial",'Dry peas_Mo'!$C:$C,RIGHT(D$2,5))</f>
        <v>0</v>
      </c>
      <c r="E14" s="16">
        <f>SUMIFS('Dry peas_Mo'!$P:$P,'Dry peas_Mo'!$B:$B,"Industrial",'Dry peas_Mo'!$C:$C,RIGHT(E$2,5))</f>
        <v>0</v>
      </c>
      <c r="F14" s="16">
        <f>SUMIFS('Dry peas_Mo'!$P:$P,'Dry peas_Mo'!$B:$B,"Industrial",'Dry peas_Mo'!$C:$C,RIGHT(F$2,5))</f>
        <v>0</v>
      </c>
      <c r="G14" s="16">
        <f>SUMIFS('Dry peas_Mo'!$P:$P,'Dry peas_Mo'!$B:$B,"Industrial",'Dry peas_Mo'!$C:$C,RIGHT(G$2,5))</f>
        <v>0</v>
      </c>
      <c r="H14" s="16">
        <f>SUMIFS('Dry peas_Mo'!$P:$P,'Dry peas_Mo'!$B:$B,"Industrial",'Dry peas_Mo'!$C:$C,RIGHT(H$2,5))</f>
        <v>0</v>
      </c>
      <c r="I14" s="16">
        <f>SUMIFS('Dry peas_Mo'!$P:$P,'Dry peas_Mo'!$B:$B,"Industrial",'Dry peas_Mo'!$C:$C,RIGHT(I$2,5))</f>
        <v>0</v>
      </c>
      <c r="J14" s="16">
        <f>SUMIFS('Dry peas_Mo'!$P:$P,'Dry peas_Mo'!$B:$B,"Industrial",'Dry peas_Mo'!$C:$C,RIGHT(J$2,5))</f>
        <v>0</v>
      </c>
      <c r="K14" s="16">
        <f>SUMIFS('Dry peas_Mo'!$P:$P,'Dry peas_Mo'!$B:$B,"Industrial",'Dry peas_Mo'!$C:$C,RIGHT(K$2,5))</f>
        <v>0</v>
      </c>
      <c r="L14" s="16">
        <f>SUMIFS('Dry peas_Mo'!$P:$P,'Dry peas_Mo'!$B:$B,"Industrial",'Dry peas_Mo'!$C:$C,RIGHT(L$2,5))</f>
        <v>0</v>
      </c>
      <c r="M14" s="16">
        <f>SUMIFS('Dry peas_Mo'!$P:$P,'Dry peas_Mo'!$B:$B,"Industrial",'Dry peas_Mo'!$C:$C,RIGHT(M$2,5))</f>
        <v>0</v>
      </c>
      <c r="N14" s="16">
        <f>SUMIFS('Dry peas_Mo'!$P:$P,'Dry peas_Mo'!$B:$B,"Industrial",'Dry peas_Mo'!$C:$C,RIGHT(N$2,5))</f>
        <v>0</v>
      </c>
      <c r="O14" s="16">
        <f>SUMIFS('Dry peas_Mo'!$P:$P,'Dry peas_Mo'!$B:$B,"Industrial",'Dry peas_Mo'!$C:$C,RIGHT(O$2,5))</f>
        <v>0</v>
      </c>
      <c r="P14" s="16">
        <f>SUMIFS('Dry peas_Mo'!$P:$P,'Dry peas_Mo'!$B:$B,"Industrial",'Dry peas_Mo'!$C:$C,RIGHT(P$2,5))</f>
        <v>0</v>
      </c>
      <c r="Q14" s="16">
        <f>SUMIFS('Dry peas_Mo'!$P:$P,'Dry peas_Mo'!$B:$B,"Industrial",'Dry peas_Mo'!$C:$C,RIGHT(Q$2,5))</f>
        <v>0</v>
      </c>
      <c r="R14" s="16">
        <f>SUMIFS('Dry peas_Mo'!$P:$P,'Dry peas_Mo'!$B:$B,"Industrial",'Dry peas_Mo'!$C:$C,RIGHT(R$2,5))</f>
        <v>0</v>
      </c>
      <c r="S14" s="16">
        <f>SUMIFS('Dry peas_Mo'!$P:$P,'Dry peas_Mo'!$B:$B,"Industrial",'Dry peas_Mo'!$C:$C,RIGHT(S$2,5))</f>
        <v>0</v>
      </c>
      <c r="T14" s="16">
        <f>SUMIFS('Dry peas_Mo'!$P:$P,'Dry peas_Mo'!$B:$B,"Industrial",'Dry peas_Mo'!$C:$C,RIGHT(T$2,5))</f>
        <v>0</v>
      </c>
      <c r="U14" s="16">
        <f>SUMIFS('Dry peas_Mo'!$P:$P,'Dry peas_Mo'!$B:$B,"Industrial",'Dry peas_Mo'!$C:$C,RIGHT(U$2,5))</f>
        <v>0</v>
      </c>
      <c r="V14" s="16">
        <f>SUMIFS('Dry peas_Mo'!$P:$P,'Dry peas_Mo'!$B:$B,"Industrial",'Dry peas_Mo'!$C:$C,RIGHT(V$2,5))</f>
        <v>0</v>
      </c>
      <c r="W14" s="16">
        <f>SUMIFS('Dry peas_Mo'!$P:$P,'Dry peas_Mo'!$B:$B,"Industrial",'Dry peas_Mo'!$C:$C,RIGHT(W$2,5))</f>
        <v>0</v>
      </c>
      <c r="X14" s="16">
        <f>SUMIFS('Dry peas_Mo'!$P:$P,'Dry peas_Mo'!$B:$B,"Industrial",'Dry peas_Mo'!$C:$C,RIGHT(X$2,5))</f>
        <v>0</v>
      </c>
      <c r="Y14" s="16">
        <f>SUMIFS('Dry peas_Mo'!$P:$P,'Dry peas_Mo'!$B:$B,"Industrial",'Dry peas_Mo'!$C:$C,RIGHT(Y$2,5))</f>
        <v>0</v>
      </c>
      <c r="Z14" s="16">
        <f>SUMIFS('Dry peas_Mo'!$P:$P,'Dry peas_Mo'!$B:$B,"Industrial",'Dry peas_Mo'!$C:$C,RIGHT(Z$2,5))</f>
        <v>0</v>
      </c>
    </row>
    <row r="15" spans="1:26" x14ac:dyDescent="0.3">
      <c r="A15" s="11" t="s">
        <v>75</v>
      </c>
      <c r="B15" s="11" t="s">
        <v>50</v>
      </c>
      <c r="C15" s="12" t="s">
        <v>59</v>
      </c>
      <c r="D15" s="16">
        <f>SUMIFS('Dry peas_Mo'!$P:$P,'Dry peas_Mo'!$B:$B,"FSR",'Dry peas_Mo'!$C:$C,RIGHT(D$2,5))+SUMIFS('Dry peas_Mo'!$P:$P,'Dry peas_Mo'!$B:$B,"Seed",'Dry peas_Mo'!$C:$C,RIGHT(D$2,5))</f>
        <v>1330.8000000000002</v>
      </c>
      <c r="E15" s="16">
        <f>SUMIFS('Dry peas_Mo'!$P:$P,'Dry peas_Mo'!$B:$B,"FSR",'Dry peas_Mo'!$C:$C,RIGHT(E$2,5))+SUMIFS('Dry peas_Mo'!$P:$P,'Dry peas_Mo'!$B:$B,"Seed",'Dry peas_Mo'!$C:$C,RIGHT(E$2,5))</f>
        <v>1958.9000000000008</v>
      </c>
      <c r="F15" s="16">
        <f>SUMIFS('Dry peas_Mo'!$P:$P,'Dry peas_Mo'!$B:$B,"FSR",'Dry peas_Mo'!$C:$C,RIGHT(F$2,5))+SUMIFS('Dry peas_Mo'!$P:$P,'Dry peas_Mo'!$B:$B,"Seed",'Dry peas_Mo'!$C:$C,RIGHT(F$2,5))</f>
        <v>2824.1999999999994</v>
      </c>
      <c r="G15" s="16">
        <f>SUMIFS('Dry peas_Mo'!$P:$P,'Dry peas_Mo'!$B:$B,"FSR",'Dry peas_Mo'!$C:$C,RIGHT(G$2,5))+SUMIFS('Dry peas_Mo'!$P:$P,'Dry peas_Mo'!$B:$B,"Seed",'Dry peas_Mo'!$C:$C,RIGHT(G$2,5))</f>
        <v>3103.599999999999</v>
      </c>
      <c r="H15" s="16">
        <f>SUMIFS('Dry peas_Mo'!$P:$P,'Dry peas_Mo'!$B:$B,"FSR",'Dry peas_Mo'!$C:$C,RIGHT(H$2,5))+SUMIFS('Dry peas_Mo'!$P:$P,'Dry peas_Mo'!$B:$B,"Seed",'Dry peas_Mo'!$C:$C,RIGHT(H$2,5))</f>
        <v>2715.8999999999996</v>
      </c>
      <c r="I15" s="16">
        <f>SUMIFS('Dry peas_Mo'!$P:$P,'Dry peas_Mo'!$B:$B,"FSR",'Dry peas_Mo'!$C:$C,RIGHT(I$2,5))+SUMIFS('Dry peas_Mo'!$P:$P,'Dry peas_Mo'!$B:$B,"Seed",'Dry peas_Mo'!$C:$C,RIGHT(I$2,5))</f>
        <v>2846.7999999999993</v>
      </c>
      <c r="J15" s="16">
        <f>SUMIFS('Dry peas_Mo'!$P:$P,'Dry peas_Mo'!$B:$B,"FSR",'Dry peas_Mo'!$C:$C,RIGHT(J$2,5))+SUMIFS('Dry peas_Mo'!$P:$P,'Dry peas_Mo'!$B:$B,"Seed",'Dry peas_Mo'!$C:$C,RIGHT(J$2,5))</f>
        <v>3374.5000000000005</v>
      </c>
      <c r="K15" s="16">
        <f>SUMIFS('Dry peas_Mo'!$P:$P,'Dry peas_Mo'!$B:$B,"FSR",'Dry peas_Mo'!$C:$C,RIGHT(K$2,5))+SUMIFS('Dry peas_Mo'!$P:$P,'Dry peas_Mo'!$B:$B,"Seed",'Dry peas_Mo'!$C:$C,RIGHT(K$2,5))</f>
        <v>2914.400000000001</v>
      </c>
      <c r="L15" s="16">
        <f>SUMIFS('Dry peas_Mo'!$P:$P,'Dry peas_Mo'!$B:$B,"FSR",'Dry peas_Mo'!$C:$C,RIGHT(L$2,5))+SUMIFS('Dry peas_Mo'!$P:$P,'Dry peas_Mo'!$B:$B,"Seed",'Dry peas_Mo'!$C:$C,RIGHT(L$2,5))</f>
        <v>3393.2000000000012</v>
      </c>
      <c r="M15" s="16">
        <f>SUMIFS('Dry peas_Mo'!$P:$P,'Dry peas_Mo'!$B:$B,"FSR",'Dry peas_Mo'!$C:$C,RIGHT(M$2,5))+SUMIFS('Dry peas_Mo'!$P:$P,'Dry peas_Mo'!$B:$B,"Seed",'Dry peas_Mo'!$C:$C,RIGHT(M$2,5))</f>
        <v>2772</v>
      </c>
      <c r="N15" s="16">
        <f>SUMIFS('Dry peas_Mo'!$P:$P,'Dry peas_Mo'!$B:$B,"FSR",'Dry peas_Mo'!$C:$C,RIGHT(N$2,5))+SUMIFS('Dry peas_Mo'!$P:$P,'Dry peas_Mo'!$B:$B,"Seed",'Dry peas_Mo'!$C:$C,RIGHT(N$2,5))</f>
        <v>3431.7999999999988</v>
      </c>
      <c r="O15" s="16">
        <f>SUMIFS('Dry peas_Mo'!$P:$P,'Dry peas_Mo'!$B:$B,"FSR",'Dry peas_Mo'!$C:$C,RIGHT(O$2,5))+SUMIFS('Dry peas_Mo'!$P:$P,'Dry peas_Mo'!$B:$B,"Seed",'Dry peas_Mo'!$C:$C,RIGHT(O$2,5))</f>
        <v>3805.8000000000006</v>
      </c>
      <c r="P15" s="16">
        <f>SUMIFS('Dry peas_Mo'!$P:$P,'Dry peas_Mo'!$B:$B,"FSR",'Dry peas_Mo'!$C:$C,RIGHT(P$2,5))+SUMIFS('Dry peas_Mo'!$P:$P,'Dry peas_Mo'!$B:$B,"Seed",'Dry peas_Mo'!$C:$C,RIGHT(P$2,5))</f>
        <v>3455.1000000000008</v>
      </c>
      <c r="Q15" s="16">
        <f>SUMIFS('Dry peas_Mo'!$P:$P,'Dry peas_Mo'!$B:$B,"FSR",'Dry peas_Mo'!$C:$C,RIGHT(Q$2,5))+SUMIFS('Dry peas_Mo'!$P:$P,'Dry peas_Mo'!$B:$B,"Seed",'Dry peas_Mo'!$C:$C,RIGHT(Q$2,5))</f>
        <v>3710.5000000000005</v>
      </c>
      <c r="R15" s="16">
        <f>SUMIFS('Dry peas_Mo'!$P:$P,'Dry peas_Mo'!$B:$B,"FSR",'Dry peas_Mo'!$C:$C,RIGHT(R$2,5))+SUMIFS('Dry peas_Mo'!$P:$P,'Dry peas_Mo'!$B:$B,"Seed",'Dry peas_Mo'!$C:$C,RIGHT(R$2,5))</f>
        <v>4709.7</v>
      </c>
      <c r="S15" s="16">
        <f>SUMIFS('Dry peas_Mo'!$P:$P,'Dry peas_Mo'!$B:$B,"FSR",'Dry peas_Mo'!$C:$C,RIGHT(S$2,5))+SUMIFS('Dry peas_Mo'!$P:$P,'Dry peas_Mo'!$B:$B,"Seed",'Dry peas_Mo'!$C:$C,RIGHT(S$2,5))</f>
        <v>3764.3999999999992</v>
      </c>
      <c r="T15" s="16">
        <f>SUMIFS('Dry peas_Mo'!$P:$P,'Dry peas_Mo'!$B:$B,"FSR",'Dry peas_Mo'!$C:$C,RIGHT(T$2,5))+SUMIFS('Dry peas_Mo'!$P:$P,'Dry peas_Mo'!$B:$B,"Seed",'Dry peas_Mo'!$C:$C,RIGHT(T$2,5))</f>
        <v>3916.599999999999</v>
      </c>
      <c r="U15" s="16">
        <f>SUMIFS('Dry peas_Mo'!$P:$P,'Dry peas_Mo'!$B:$B,"FSR",'Dry peas_Mo'!$C:$C,RIGHT(U$2,5))+SUMIFS('Dry peas_Mo'!$P:$P,'Dry peas_Mo'!$B:$B,"Seed",'Dry peas_Mo'!$C:$C,RIGHT(U$2,5))</f>
        <v>4315.5999999999995</v>
      </c>
      <c r="V15" s="16">
        <f>SUMIFS('Dry peas_Mo'!$P:$P,'Dry peas_Mo'!$B:$B,"FSR",'Dry peas_Mo'!$C:$C,RIGHT(V$2,5))+SUMIFS('Dry peas_Mo'!$P:$P,'Dry peas_Mo'!$B:$B,"Seed",'Dry peas_Mo'!$C:$C,RIGHT(V$2,5))</f>
        <v>4268.2999999999993</v>
      </c>
      <c r="W15" s="16">
        <f>SUMIFS('Dry peas_Mo'!$P:$P,'Dry peas_Mo'!$B:$B,"FSR",'Dry peas_Mo'!$C:$C,RIGHT(W$2,5))+SUMIFS('Dry peas_Mo'!$P:$P,'Dry peas_Mo'!$B:$B,"Seed",'Dry peas_Mo'!$C:$C,RIGHT(W$2,5))</f>
        <v>2464.0000000000014</v>
      </c>
      <c r="X15" s="16">
        <f>SUMIFS('Dry peas_Mo'!$P:$P,'Dry peas_Mo'!$B:$B,"FSR",'Dry peas_Mo'!$C:$C,RIGHT(X$2,5))+SUMIFS('Dry peas_Mo'!$P:$P,'Dry peas_Mo'!$B:$B,"Seed",'Dry peas_Mo'!$C:$C,RIGHT(X$2,5))</f>
        <v>3212.5000000000005</v>
      </c>
      <c r="Y15" s="16">
        <f>SUMIFS('Dry peas_Mo'!$P:$P,'Dry peas_Mo'!$B:$B,"FSR",'Dry peas_Mo'!$C:$C,RIGHT(Y$2,5))+SUMIFS('Dry peas_Mo'!$P:$P,'Dry peas_Mo'!$B:$B,"Seed",'Dry peas_Mo'!$C:$C,RIGHT(Y$2,5))</f>
        <v>2859.3999999999996</v>
      </c>
      <c r="Z15" s="16">
        <f>SUMIFS('Dry peas_Mo'!$P:$P,'Dry peas_Mo'!$B:$B,"FSR",'Dry peas_Mo'!$C:$C,RIGHT(Z$2,5))+SUMIFS('Dry peas_Mo'!$P:$P,'Dry peas_Mo'!$B:$B,"Seed",'Dry peas_Mo'!$C:$C,RIGHT(Z$2,5))</f>
        <v>2807.6999999999994</v>
      </c>
    </row>
    <row r="16" spans="1:26" x14ac:dyDescent="0.3">
      <c r="A16" s="11" t="s">
        <v>75</v>
      </c>
      <c r="B16" s="11" t="s">
        <v>44</v>
      </c>
      <c r="C16" s="12" t="s">
        <v>59</v>
      </c>
      <c r="D16" s="16">
        <f>SUMIFS('Dry peas_Mo'!$P:$P,'Dry peas_Mo'!$B:$B,"Exports",'Dry peas_Mo'!$C:$C,RIGHT(D$2,5))</f>
        <v>0</v>
      </c>
      <c r="E16" s="16">
        <f>SUMIFS('Dry peas_Mo'!$P:$P,'Dry peas_Mo'!$B:$B,"Exports",'Dry peas_Mo'!$C:$C,RIGHT(E$2,5))</f>
        <v>0</v>
      </c>
      <c r="F16" s="16">
        <f>SUMIFS('Dry peas_Mo'!$P:$P,'Dry peas_Mo'!$B:$B,"Exports",'Dry peas_Mo'!$C:$C,RIGHT(F$2,5))</f>
        <v>0</v>
      </c>
      <c r="G16" s="16">
        <f>SUMIFS('Dry peas_Mo'!$P:$P,'Dry peas_Mo'!$B:$B,"Exports",'Dry peas_Mo'!$C:$C,RIGHT(G$2,5))</f>
        <v>0</v>
      </c>
      <c r="H16" s="16">
        <f>SUMIFS('Dry peas_Mo'!$P:$P,'Dry peas_Mo'!$B:$B,"Exports",'Dry peas_Mo'!$C:$C,RIGHT(H$2,5))</f>
        <v>0</v>
      </c>
      <c r="I16" s="16">
        <f>SUMIFS('Dry peas_Mo'!$P:$P,'Dry peas_Mo'!$B:$B,"Exports",'Dry peas_Mo'!$C:$C,RIGHT(I$2,5))</f>
        <v>0</v>
      </c>
      <c r="J16" s="16">
        <f>SUMIFS('Dry peas_Mo'!$P:$P,'Dry peas_Mo'!$B:$B,"Exports",'Dry peas_Mo'!$C:$C,RIGHT(J$2,5))</f>
        <v>0</v>
      </c>
      <c r="K16" s="16">
        <f>SUMIFS('Dry peas_Mo'!$P:$P,'Dry peas_Mo'!$B:$B,"Exports",'Dry peas_Mo'!$C:$C,RIGHT(K$2,5))</f>
        <v>0</v>
      </c>
      <c r="L16" s="16">
        <f>SUMIFS('Dry peas_Mo'!$P:$P,'Dry peas_Mo'!$B:$B,"Exports",'Dry peas_Mo'!$C:$C,RIGHT(L$2,5))</f>
        <v>0</v>
      </c>
      <c r="M16" s="16">
        <f>SUMIFS('Dry peas_Mo'!$P:$P,'Dry peas_Mo'!$B:$B,"Exports",'Dry peas_Mo'!$C:$C,RIGHT(M$2,5))</f>
        <v>0</v>
      </c>
      <c r="N16" s="16">
        <f>SUMIFS('Dry peas_Mo'!$P:$P,'Dry peas_Mo'!$B:$B,"Exports",'Dry peas_Mo'!$C:$C,RIGHT(N$2,5))</f>
        <v>0</v>
      </c>
      <c r="O16" s="16">
        <f>SUMIFS('Dry peas_Mo'!$P:$P,'Dry peas_Mo'!$B:$B,"Exports",'Dry peas_Mo'!$C:$C,RIGHT(O$2,5))</f>
        <v>0</v>
      </c>
      <c r="P16" s="16">
        <f>SUMIFS('Dry peas_Mo'!$P:$P,'Dry peas_Mo'!$B:$B,"Exports",'Dry peas_Mo'!$C:$C,RIGHT(P$2,5))</f>
        <v>0</v>
      </c>
      <c r="Q16" s="16">
        <f>SUMIFS('Dry peas_Mo'!$P:$P,'Dry peas_Mo'!$B:$B,"Exports",'Dry peas_Mo'!$C:$C,RIGHT(Q$2,5))</f>
        <v>0</v>
      </c>
      <c r="R16" s="16">
        <f>SUMIFS('Dry peas_Mo'!$P:$P,'Dry peas_Mo'!$B:$B,"Exports",'Dry peas_Mo'!$C:$C,RIGHT(R$2,5))</f>
        <v>0</v>
      </c>
      <c r="S16" s="16">
        <f>SUMIFS('Dry peas_Mo'!$P:$P,'Dry peas_Mo'!$B:$B,"Exports",'Dry peas_Mo'!$C:$C,RIGHT(S$2,5))</f>
        <v>0</v>
      </c>
      <c r="T16" s="16">
        <f>SUMIFS('Dry peas_Mo'!$P:$P,'Dry peas_Mo'!$B:$B,"Exports",'Dry peas_Mo'!$C:$C,RIGHT(T$2,5))</f>
        <v>0</v>
      </c>
      <c r="U16" s="16">
        <f>SUMIFS('Dry peas_Mo'!$P:$P,'Dry peas_Mo'!$B:$B,"Exports",'Dry peas_Mo'!$C:$C,RIGHT(U$2,5))</f>
        <v>0</v>
      </c>
      <c r="V16" s="16">
        <f>SUMIFS('Dry peas_Mo'!$P:$P,'Dry peas_Mo'!$B:$B,"Exports",'Dry peas_Mo'!$C:$C,RIGHT(V$2,5))</f>
        <v>0</v>
      </c>
      <c r="W16" s="16">
        <f>SUMIFS('Dry peas_Mo'!$P:$P,'Dry peas_Mo'!$B:$B,"Exports",'Dry peas_Mo'!$C:$C,RIGHT(W$2,5))</f>
        <v>0</v>
      </c>
      <c r="X16" s="16">
        <f>SUMIFS('Dry peas_Mo'!$P:$P,'Dry peas_Mo'!$B:$B,"Exports",'Dry peas_Mo'!$C:$C,RIGHT(X$2,5))</f>
        <v>0</v>
      </c>
      <c r="Y16" s="16">
        <f>SUMIFS('Dry peas_Mo'!$P:$P,'Dry peas_Mo'!$B:$B,"Exports",'Dry peas_Mo'!$C:$C,RIGHT(Y$2,5))</f>
        <v>0</v>
      </c>
      <c r="Z16" s="16">
        <f>SUMIFS('Dry peas_Mo'!$P:$P,'Dry peas_Mo'!$B:$B,"Exports",'Dry peas_Mo'!$C:$C,RIGHT(Z$2,5))</f>
        <v>0</v>
      </c>
    </row>
    <row r="17" spans="1:26" x14ac:dyDescent="0.3">
      <c r="A17" s="17" t="s">
        <v>75</v>
      </c>
      <c r="B17" s="17" t="s">
        <v>61</v>
      </c>
      <c r="C17" s="18" t="s">
        <v>59</v>
      </c>
      <c r="D17" s="19">
        <f t="shared" ref="D17:Z17" si="3">D13+D14+D15+D16</f>
        <v>1330.8000000000002</v>
      </c>
      <c r="E17" s="19">
        <f t="shared" si="3"/>
        <v>1958.9000000000008</v>
      </c>
      <c r="F17" s="19">
        <f t="shared" si="3"/>
        <v>2824.1999999999994</v>
      </c>
      <c r="G17" s="19">
        <f t="shared" si="3"/>
        <v>3103.599999999999</v>
      </c>
      <c r="H17" s="19">
        <f t="shared" si="3"/>
        <v>2715.8999999999996</v>
      </c>
      <c r="I17" s="19">
        <f t="shared" si="3"/>
        <v>2846.7999999999993</v>
      </c>
      <c r="J17" s="19">
        <f t="shared" si="3"/>
        <v>3374.5000000000005</v>
      </c>
      <c r="K17" s="19">
        <f t="shared" si="3"/>
        <v>2914.400000000001</v>
      </c>
      <c r="L17" s="19">
        <f t="shared" si="3"/>
        <v>3393.2000000000012</v>
      </c>
      <c r="M17" s="19">
        <f t="shared" si="3"/>
        <v>2772</v>
      </c>
      <c r="N17" s="19">
        <f t="shared" si="3"/>
        <v>3431.7999999999988</v>
      </c>
      <c r="O17" s="19">
        <f t="shared" si="3"/>
        <v>3805.8000000000006</v>
      </c>
      <c r="P17" s="19">
        <f t="shared" si="3"/>
        <v>3455.1000000000008</v>
      </c>
      <c r="Q17" s="19">
        <f t="shared" si="3"/>
        <v>3710.5000000000005</v>
      </c>
      <c r="R17" s="19">
        <f t="shared" si="3"/>
        <v>4709.7</v>
      </c>
      <c r="S17" s="19">
        <f t="shared" si="3"/>
        <v>3764.3999999999992</v>
      </c>
      <c r="T17" s="19">
        <f t="shared" si="3"/>
        <v>3916.599999999999</v>
      </c>
      <c r="U17" s="19">
        <f t="shared" si="3"/>
        <v>4315.5999999999995</v>
      </c>
      <c r="V17" s="19">
        <f t="shared" si="3"/>
        <v>4268.2999999999993</v>
      </c>
      <c r="W17" s="19">
        <f t="shared" si="3"/>
        <v>2464.0000000000014</v>
      </c>
      <c r="X17" s="19">
        <f t="shared" si="3"/>
        <v>3212.5000000000005</v>
      </c>
      <c r="Y17" s="19">
        <f t="shared" si="3"/>
        <v>2859.3999999999996</v>
      </c>
      <c r="Z17" s="19">
        <f t="shared" si="3"/>
        <v>2807.6999999999994</v>
      </c>
    </row>
    <row r="19" spans="1:26" x14ac:dyDescent="0.3">
      <c r="A19" s="20" t="s">
        <v>75</v>
      </c>
      <c r="B19" s="20" t="s">
        <v>62</v>
      </c>
      <c r="C19" s="21" t="s">
        <v>59</v>
      </c>
      <c r="D19" s="22">
        <f t="shared" ref="D19:Z19" si="4">D11-D17</f>
        <v>227.99999999999955</v>
      </c>
      <c r="E19" s="22">
        <f t="shared" si="4"/>
        <v>199.99999999999886</v>
      </c>
      <c r="F19" s="22">
        <f t="shared" si="4"/>
        <v>472.99999999999955</v>
      </c>
      <c r="G19" s="22">
        <f t="shared" si="4"/>
        <v>363.00000000000045</v>
      </c>
      <c r="H19" s="22">
        <f t="shared" si="4"/>
        <v>167.00000000000091</v>
      </c>
      <c r="I19" s="22">
        <f t="shared" si="4"/>
        <v>255.00000000000182</v>
      </c>
      <c r="J19" s="22">
        <f t="shared" si="4"/>
        <v>445.00000000000136</v>
      </c>
      <c r="K19" s="22">
        <f t="shared" si="4"/>
        <v>910.00000000000045</v>
      </c>
      <c r="L19" s="22">
        <f t="shared" si="4"/>
        <v>534.99999999999909</v>
      </c>
      <c r="M19" s="22">
        <f t="shared" si="4"/>
        <v>264.99999999999909</v>
      </c>
      <c r="N19" s="22">
        <f t="shared" si="4"/>
        <v>174.00000000000045</v>
      </c>
      <c r="O19" s="22">
        <f t="shared" si="4"/>
        <v>329.00000000000045</v>
      </c>
      <c r="P19" s="22">
        <f t="shared" si="4"/>
        <v>683.99999999999955</v>
      </c>
      <c r="Q19" s="22">
        <f t="shared" si="4"/>
        <v>174.19999999999891</v>
      </c>
      <c r="R19" s="22">
        <f t="shared" si="4"/>
        <v>300.39999999999873</v>
      </c>
      <c r="S19" s="22">
        <f t="shared" si="4"/>
        <v>648.19999999999936</v>
      </c>
      <c r="T19" s="22">
        <f t="shared" si="4"/>
        <v>312.30000000000064</v>
      </c>
      <c r="U19" s="22">
        <f t="shared" si="4"/>
        <v>233.20000000000164</v>
      </c>
      <c r="V19" s="22">
        <f t="shared" si="4"/>
        <v>559.300000000002</v>
      </c>
      <c r="W19" s="22">
        <f t="shared" si="4"/>
        <v>339.10000000000082</v>
      </c>
      <c r="X19" s="22">
        <f t="shared" si="4"/>
        <v>549.90000000000055</v>
      </c>
      <c r="Y19" s="22">
        <f t="shared" si="4"/>
        <v>299.30000000000109</v>
      </c>
      <c r="Z19" s="22">
        <f t="shared" si="4"/>
        <v>489.00000000000182</v>
      </c>
    </row>
    <row r="20" spans="1:26" x14ac:dyDescent="0.3">
      <c r="A20" s="11" t="s">
        <v>75</v>
      </c>
      <c r="B20" s="11" t="s">
        <v>63</v>
      </c>
      <c r="C20" s="12" t="s">
        <v>56</v>
      </c>
      <c r="D20" s="14">
        <f t="shared" ref="D20:Z20" si="5">IF(D17&lt;&gt;0,D19/D17,"")</f>
        <v>0.17132551848512137</v>
      </c>
      <c r="E20" s="14">
        <f t="shared" si="5"/>
        <v>0.10209811628975383</v>
      </c>
      <c r="F20" s="14">
        <f t="shared" si="5"/>
        <v>0.1674810565823949</v>
      </c>
      <c r="G20" s="14">
        <f t="shared" si="5"/>
        <v>0.11696094857584759</v>
      </c>
      <c r="H20" s="14">
        <f t="shared" si="5"/>
        <v>6.1489745572370462E-2</v>
      </c>
      <c r="I20" s="14">
        <f t="shared" si="5"/>
        <v>8.9574258816917898E-2</v>
      </c>
      <c r="J20" s="14">
        <f t="shared" si="5"/>
        <v>0.13187138835383058</v>
      </c>
      <c r="K20" s="14">
        <f t="shared" si="5"/>
        <v>0.31224265715070004</v>
      </c>
      <c r="L20" s="14">
        <f t="shared" si="5"/>
        <v>0.15766827773193415</v>
      </c>
      <c r="M20" s="14">
        <f t="shared" si="5"/>
        <v>9.5598845598845267E-2</v>
      </c>
      <c r="N20" s="14">
        <f t="shared" si="5"/>
        <v>5.0702255376187576E-2</v>
      </c>
      <c r="O20" s="14">
        <f t="shared" si="5"/>
        <v>8.6447001944400761E-2</v>
      </c>
      <c r="P20" s="14">
        <f t="shared" si="5"/>
        <v>0.19796822089085681</v>
      </c>
      <c r="Q20" s="14">
        <f t="shared" si="5"/>
        <v>4.6947850693976251E-2</v>
      </c>
      <c r="R20" s="14">
        <f t="shared" si="5"/>
        <v>6.3783255833704644E-2</v>
      </c>
      <c r="S20" s="14">
        <f t="shared" si="5"/>
        <v>0.17219211560939313</v>
      </c>
      <c r="T20" s="14">
        <f t="shared" si="5"/>
        <v>7.9737527447275885E-2</v>
      </c>
      <c r="U20" s="14">
        <f t="shared" si="5"/>
        <v>5.4036518676430084E-2</v>
      </c>
      <c r="V20" s="14">
        <f t="shared" si="5"/>
        <v>0.13103577536724273</v>
      </c>
      <c r="W20" s="14">
        <f t="shared" si="5"/>
        <v>0.13762175324675349</v>
      </c>
      <c r="X20" s="14">
        <f t="shared" si="5"/>
        <v>0.17117509727626473</v>
      </c>
      <c r="Y20" s="14">
        <f t="shared" si="5"/>
        <v>0.10467230887598837</v>
      </c>
      <c r="Z20" s="14">
        <f t="shared" si="5"/>
        <v>0.17416390640025711</v>
      </c>
    </row>
    <row r="21" spans="1:26" x14ac:dyDescent="0.3">
      <c r="A21" s="11" t="s">
        <v>75</v>
      </c>
      <c r="B21" s="11" t="s">
        <v>64</v>
      </c>
      <c r="C21" s="12" t="s">
        <v>65</v>
      </c>
      <c r="D21" s="16">
        <f t="shared" ref="D21:Z21" si="6">IF(D17&lt;&gt;0,D19/D17*365,"")</f>
        <v>62.533814247069301</v>
      </c>
      <c r="E21" s="16">
        <f t="shared" si="6"/>
        <v>37.265812445760147</v>
      </c>
      <c r="F21" s="16">
        <f t="shared" si="6"/>
        <v>61.13058565257414</v>
      </c>
      <c r="G21" s="16">
        <f t="shared" si="6"/>
        <v>42.690746230184367</v>
      </c>
      <c r="H21" s="16">
        <f t="shared" si="6"/>
        <v>22.44375713391522</v>
      </c>
      <c r="I21" s="16">
        <f t="shared" si="6"/>
        <v>32.694604468175029</v>
      </c>
      <c r="J21" s="16">
        <f t="shared" si="6"/>
        <v>48.13305674914816</v>
      </c>
      <c r="K21" s="16">
        <f t="shared" si="6"/>
        <v>113.96856986000552</v>
      </c>
      <c r="L21" s="16">
        <f t="shared" si="6"/>
        <v>57.548921372155966</v>
      </c>
      <c r="M21" s="16">
        <f t="shared" si="6"/>
        <v>34.893578643578522</v>
      </c>
      <c r="N21" s="16">
        <f t="shared" si="6"/>
        <v>18.506323212308466</v>
      </c>
      <c r="O21" s="16">
        <f t="shared" si="6"/>
        <v>31.553155709706278</v>
      </c>
      <c r="P21" s="16">
        <f t="shared" si="6"/>
        <v>72.258400625162736</v>
      </c>
      <c r="Q21" s="16">
        <f t="shared" si="6"/>
        <v>17.135965503301332</v>
      </c>
      <c r="R21" s="16">
        <f t="shared" si="6"/>
        <v>23.280888379302194</v>
      </c>
      <c r="S21" s="16">
        <f t="shared" si="6"/>
        <v>62.85012219742849</v>
      </c>
      <c r="T21" s="16">
        <f t="shared" si="6"/>
        <v>29.104197518255699</v>
      </c>
      <c r="U21" s="16">
        <f t="shared" si="6"/>
        <v>19.723329316896979</v>
      </c>
      <c r="V21" s="16">
        <f t="shared" si="6"/>
        <v>47.828058009043595</v>
      </c>
      <c r="W21" s="16">
        <f t="shared" si="6"/>
        <v>50.231939935065022</v>
      </c>
      <c r="X21" s="16">
        <f t="shared" si="6"/>
        <v>62.47891050583663</v>
      </c>
      <c r="Y21" s="16">
        <f t="shared" si="6"/>
        <v>38.205392739735757</v>
      </c>
      <c r="Z21" s="16">
        <f t="shared" si="6"/>
        <v>63.569825836093848</v>
      </c>
    </row>
    <row r="22" spans="1:26" x14ac:dyDescent="0.3">
      <c r="A22" s="20" t="s">
        <v>75</v>
      </c>
      <c r="B22" s="20" t="s">
        <v>66</v>
      </c>
      <c r="C22" s="21" t="s">
        <v>59</v>
      </c>
      <c r="D22" s="22">
        <f>D19-SUMIFS('Dry peas_Mo'!$P:$P,'Dry peas_Mo'!$B:$B,"STOCKS",'Dry peas_Mo'!$C:$C,RIGHT(D$2,5))</f>
        <v>0</v>
      </c>
      <c r="E22" s="22">
        <f>E19-SUMIFS('Dry peas_Mo'!$P:$P,'Dry peas_Mo'!$B:$B,"STOCKS",'Dry peas_Mo'!$C:$C,RIGHT(E$2,5))</f>
        <v>0</v>
      </c>
      <c r="F22" s="22">
        <f>F19-SUMIFS('Dry peas_Mo'!$P:$P,'Dry peas_Mo'!$B:$B,"STOCKS",'Dry peas_Mo'!$C:$C,RIGHT(F$2,5))</f>
        <v>0</v>
      </c>
      <c r="G22" s="22">
        <f>G19-SUMIFS('Dry peas_Mo'!$P:$P,'Dry peas_Mo'!$B:$B,"STOCKS",'Dry peas_Mo'!$C:$C,RIGHT(G$2,5))</f>
        <v>0</v>
      </c>
      <c r="H22" s="22">
        <f>H19-SUMIFS('Dry peas_Mo'!$P:$P,'Dry peas_Mo'!$B:$B,"STOCKS",'Dry peas_Mo'!$C:$C,RIGHT(H$2,5))</f>
        <v>5.6843418860808015E-13</v>
      </c>
      <c r="I22" s="22">
        <f>I19-SUMIFS('Dry peas_Mo'!$P:$P,'Dry peas_Mo'!$B:$B,"STOCKS",'Dry peas_Mo'!$C:$C,RIGHT(I$2,5))</f>
        <v>3.4106051316484809E-13</v>
      </c>
      <c r="J22" s="22">
        <f>J19-SUMIFS('Dry peas_Mo'!$P:$P,'Dry peas_Mo'!$B:$B,"STOCKS",'Dry peas_Mo'!$C:$C,RIGHT(J$2,5))</f>
        <v>5.1159076974727213E-13</v>
      </c>
      <c r="K22" s="22">
        <f>K19-SUMIFS('Dry peas_Mo'!$P:$P,'Dry peas_Mo'!$B:$B,"STOCKS",'Dry peas_Mo'!$C:$C,RIGHT(K$2,5))</f>
        <v>0</v>
      </c>
      <c r="L22" s="22">
        <f>L19-SUMIFS('Dry peas_Mo'!$P:$P,'Dry peas_Mo'!$B:$B,"STOCKS",'Dry peas_Mo'!$C:$C,RIGHT(L$2,5))</f>
        <v>9.0949470177292824E-13</v>
      </c>
      <c r="M22" s="22">
        <f>M19-SUMIFS('Dry peas_Mo'!$P:$P,'Dry peas_Mo'!$B:$B,"STOCKS",'Dry peas_Mo'!$C:$C,RIGHT(M$2,5))</f>
        <v>9.0949470177292824E-13</v>
      </c>
      <c r="N22" s="22">
        <f>N19-SUMIFS('Dry peas_Mo'!$P:$P,'Dry peas_Mo'!$B:$B,"STOCKS",'Dry peas_Mo'!$C:$C,RIGHT(N$2,5))</f>
        <v>1.0231815394945443E-12</v>
      </c>
      <c r="O22" s="22">
        <f>O19-SUMIFS('Dry peas_Mo'!$P:$P,'Dry peas_Mo'!$B:$B,"STOCKS",'Dry peas_Mo'!$C:$C,RIGHT(O$2,5))</f>
        <v>1.9326762412674725E-12</v>
      </c>
      <c r="P22" s="22">
        <f>P19-SUMIFS('Dry peas_Mo'!$P:$P,'Dry peas_Mo'!$B:$B,"STOCKS",'Dry peas_Mo'!$C:$C,RIGHT(P$2,5))</f>
        <v>2.0463630789890885E-12</v>
      </c>
      <c r="Q22" s="22">
        <f>Q19-SUMIFS('Dry peas_Mo'!$P:$P,'Dry peas_Mo'!$B:$B,"STOCKS",'Dry peas_Mo'!$C:$C,RIGHT(Q$2,5))</f>
        <v>2.1600499167107046E-12</v>
      </c>
      <c r="R22" s="22">
        <f>R19-SUMIFS('Dry peas_Mo'!$P:$P,'Dry peas_Mo'!$B:$B,"STOCKS",'Dry peas_Mo'!$C:$C,RIGHT(R$2,5))</f>
        <v>2.0463630789890885E-12</v>
      </c>
      <c r="S22" s="22">
        <f>S19-SUMIFS('Dry peas_Mo'!$P:$P,'Dry peas_Mo'!$B:$B,"STOCKS",'Dry peas_Mo'!$C:$C,RIGHT(S$2,5))</f>
        <v>1.5916157281026244E-12</v>
      </c>
      <c r="T22" s="22">
        <f>T19-SUMIFS('Dry peas_Mo'!$P:$P,'Dry peas_Mo'!$B:$B,"STOCKS",'Dry peas_Mo'!$C:$C,RIGHT(T$2,5))</f>
        <v>1.7053025658242404E-12</v>
      </c>
      <c r="U22" s="22">
        <f>U19-SUMIFS('Dry peas_Mo'!$P:$P,'Dry peas_Mo'!$B:$B,"STOCKS",'Dry peas_Mo'!$C:$C,RIGHT(U$2,5))</f>
        <v>2.2168933355715126E-12</v>
      </c>
      <c r="V22" s="22">
        <f>V19-SUMIFS('Dry peas_Mo'!$P:$P,'Dry peas_Mo'!$B:$B,"STOCKS",'Dry peas_Mo'!$C:$C,RIGHT(V$2,5))</f>
        <v>1.8189894035458565E-12</v>
      </c>
      <c r="W22" s="22">
        <f>W19-SUMIFS('Dry peas_Mo'!$P:$P,'Dry peas_Mo'!$B:$B,"STOCKS",'Dry peas_Mo'!$C:$C,RIGHT(W$2,5))</f>
        <v>1.8189894035458565E-12</v>
      </c>
      <c r="X22" s="22">
        <f>X19-SUMIFS('Dry peas_Mo'!$P:$P,'Dry peas_Mo'!$B:$B,"STOCKS",'Dry peas_Mo'!$C:$C,RIGHT(X$2,5))</f>
        <v>1.8189894035458565E-12</v>
      </c>
      <c r="Y22" s="22">
        <f>Y19-SUMIFS('Dry peas_Mo'!$P:$P,'Dry peas_Mo'!$B:$B,"STOCKS",'Dry peas_Mo'!$C:$C,RIGHT(Y$2,5))</f>
        <v>1.8189894035458565E-12</v>
      </c>
      <c r="Z22" s="22">
        <f>Z19-SUMIFS('Dry peas_Mo'!$P:$P,'Dry peas_Mo'!$B:$B,"STOCKS",'Dry peas_Mo'!$C:$C,RIGHT(Z$2,5))</f>
        <v>1.7053025658242404E-12</v>
      </c>
    </row>
    <row r="25" spans="1:26" s="25" customFormat="1" ht="13.8" x14ac:dyDescent="0.3">
      <c r="A25" s="25" t="str">
        <f>A22</f>
        <v>Dry peas</v>
      </c>
      <c r="B25" s="25" t="s">
        <v>81</v>
      </c>
      <c r="D25" s="40" cm="1">
        <f t="array" ref="D25">SUM(D13:D14/D$10)</f>
        <v>0</v>
      </c>
      <c r="E25" s="40" cm="1">
        <f t="array" ref="E25">SUM(E13:E14/E$10)</f>
        <v>0</v>
      </c>
      <c r="F25" s="40" cm="1">
        <f t="array" ref="F25">SUM(F13:F14/F$10)</f>
        <v>0</v>
      </c>
      <c r="G25" s="40" cm="1">
        <f t="array" ref="G25">SUM(G13:G14/G$10)</f>
        <v>0</v>
      </c>
      <c r="H25" s="40" cm="1">
        <f t="array" ref="H25">SUM(H13:H14/H$10)</f>
        <v>0</v>
      </c>
      <c r="I25" s="40" cm="1">
        <f t="array" ref="I25">SUM(I13:I14/I$10)</f>
        <v>0</v>
      </c>
      <c r="J25" s="40" cm="1">
        <f t="array" ref="J25">SUM(J13:J14/J$10)</f>
        <v>0</v>
      </c>
      <c r="K25" s="40" cm="1">
        <f t="array" ref="K25">SUM(K13:K14/K$10)</f>
        <v>0</v>
      </c>
      <c r="L25" s="40" cm="1">
        <f t="array" ref="L25">SUM(L13:L14/L$10)</f>
        <v>0</v>
      </c>
      <c r="M25" s="40" cm="1">
        <f t="array" ref="M25">SUM(M13:M14/M$10)</f>
        <v>0</v>
      </c>
      <c r="N25" s="40" cm="1">
        <f t="array" ref="N25">SUM(N13:N14/N$10)</f>
        <v>0</v>
      </c>
      <c r="O25" s="40" cm="1">
        <f t="array" ref="O25">SUM(O13:O14/O$10)</f>
        <v>0</v>
      </c>
      <c r="P25" s="40" cm="1">
        <f t="array" ref="P25">SUM(P13:P14/P$10)</f>
        <v>0</v>
      </c>
      <c r="Q25" s="40" cm="1">
        <f t="array" ref="Q25">SUM(Q13:Q14/Q$10)</f>
        <v>0</v>
      </c>
      <c r="R25" s="40" cm="1">
        <f t="array" ref="R25">SUM(R13:R14/R$10)</f>
        <v>0</v>
      </c>
      <c r="S25" s="40" cm="1">
        <f t="array" ref="S25">SUM(S13:S14/S$10)</f>
        <v>0</v>
      </c>
      <c r="T25" s="40" cm="1">
        <f t="array" ref="T25">SUM(T13:T14/T$10)</f>
        <v>0</v>
      </c>
      <c r="U25" s="40" cm="1">
        <f t="array" ref="U25">SUM(U13:U14/U$10)</f>
        <v>0</v>
      </c>
      <c r="V25" s="40" cm="1">
        <f t="array" ref="V25">SUM(V13:V14/V$10)</f>
        <v>0</v>
      </c>
      <c r="W25" s="40" cm="1">
        <f t="array" ref="W25">SUM(W13:W14/W$10)</f>
        <v>0</v>
      </c>
      <c r="X25" s="40" cm="1">
        <f t="array" ref="X25">SUM(X13:X14/X$10)</f>
        <v>0</v>
      </c>
      <c r="Y25" s="40" cm="1">
        <f t="array" ref="Y25">SUM(Y13:Y14/Y$10)</f>
        <v>0</v>
      </c>
      <c r="Z25" s="40" cm="1">
        <f t="array" ref="Z25">SUM(Z13:Z14/Z$10)</f>
        <v>0</v>
      </c>
    </row>
    <row r="26" spans="1:26" s="25" customFormat="1" ht="13.8" x14ac:dyDescent="0.3">
      <c r="A26" s="25" t="str">
        <f>A25</f>
        <v>Dry peas</v>
      </c>
      <c r="B26" s="25" t="s">
        <v>82</v>
      </c>
      <c r="D26" s="40">
        <f t="shared" ref="D26:Z27" si="7">D15/D$10</f>
        <v>1.0366100638728775</v>
      </c>
      <c r="E26" s="40">
        <f t="shared" si="7"/>
        <v>1.0145010098917606</v>
      </c>
      <c r="F26" s="40">
        <f t="shared" si="7"/>
        <v>0.9118558698178999</v>
      </c>
      <c r="G26" s="40">
        <f t="shared" si="7"/>
        <v>1.0367450561197218</v>
      </c>
      <c r="H26" s="40">
        <f t="shared" si="7"/>
        <v>1.0777808643200124</v>
      </c>
      <c r="I26" s="40">
        <f t="shared" si="7"/>
        <v>0.97001499250374779</v>
      </c>
      <c r="J26" s="40">
        <f t="shared" si="7"/>
        <v>0.94669659138729145</v>
      </c>
      <c r="K26" s="40">
        <f t="shared" si="7"/>
        <v>0.8624016097532109</v>
      </c>
      <c r="L26" s="40">
        <f t="shared" si="7"/>
        <v>1.1242462394804855</v>
      </c>
      <c r="M26" s="40">
        <f t="shared" si="7"/>
        <v>1.1079136690647482</v>
      </c>
      <c r="N26" s="40">
        <f t="shared" si="7"/>
        <v>1.0272389846743291</v>
      </c>
      <c r="O26" s="40">
        <f t="shared" si="7"/>
        <v>0.96086649161785509</v>
      </c>
      <c r="P26" s="40">
        <f t="shared" si="7"/>
        <v>0.90682659247788799</v>
      </c>
      <c r="Q26" s="40">
        <f t="shared" si="7"/>
        <v>1.1592776580123101</v>
      </c>
      <c r="R26" s="40">
        <f t="shared" si="7"/>
        <v>0.97390351330672675</v>
      </c>
      <c r="S26" s="40">
        <f t="shared" si="7"/>
        <v>0.91542240163416155</v>
      </c>
      <c r="T26" s="40">
        <f t="shared" si="7"/>
        <v>1.0938084732035633</v>
      </c>
      <c r="U26" s="40">
        <f t="shared" si="7"/>
        <v>1.0186710728195443</v>
      </c>
      <c r="V26" s="40">
        <f t="shared" si="7"/>
        <v>0.92902228800278597</v>
      </c>
      <c r="W26" s="40">
        <f t="shared" si="7"/>
        <v>1.0981370888671009</v>
      </c>
      <c r="X26" s="40">
        <f t="shared" si="7"/>
        <v>0.93842199047702513</v>
      </c>
      <c r="Y26" s="40">
        <f t="shared" si="7"/>
        <v>1.0960594909536949</v>
      </c>
      <c r="Z26" s="40">
        <f t="shared" si="7"/>
        <v>0.93671181690798666</v>
      </c>
    </row>
    <row r="27" spans="1:26" s="25" customFormat="1" ht="13.8" x14ac:dyDescent="0.3">
      <c r="A27" s="25" t="str">
        <f>A26</f>
        <v>Dry peas</v>
      </c>
      <c r="B27" s="25" t="s">
        <v>83</v>
      </c>
      <c r="D27" s="40">
        <f t="shared" si="7"/>
        <v>0</v>
      </c>
      <c r="E27" s="40">
        <f t="shared" si="7"/>
        <v>0</v>
      </c>
      <c r="F27" s="40">
        <f t="shared" si="7"/>
        <v>0</v>
      </c>
      <c r="G27" s="40">
        <f t="shared" si="7"/>
        <v>0</v>
      </c>
      <c r="H27" s="40">
        <f t="shared" si="7"/>
        <v>0</v>
      </c>
      <c r="I27" s="40">
        <f t="shared" si="7"/>
        <v>0</v>
      </c>
      <c r="J27" s="40">
        <f t="shared" si="7"/>
        <v>0</v>
      </c>
      <c r="K27" s="40">
        <f t="shared" si="7"/>
        <v>0</v>
      </c>
      <c r="L27" s="40">
        <f t="shared" si="7"/>
        <v>0</v>
      </c>
      <c r="M27" s="40">
        <f t="shared" si="7"/>
        <v>0</v>
      </c>
      <c r="N27" s="40">
        <f t="shared" si="7"/>
        <v>0</v>
      </c>
      <c r="O27" s="40">
        <f t="shared" si="7"/>
        <v>0</v>
      </c>
      <c r="P27" s="40">
        <f t="shared" si="7"/>
        <v>0</v>
      </c>
      <c r="Q27" s="40">
        <f t="shared" si="7"/>
        <v>0</v>
      </c>
      <c r="R27" s="40">
        <f t="shared" si="7"/>
        <v>0</v>
      </c>
      <c r="S27" s="40">
        <f t="shared" si="7"/>
        <v>0</v>
      </c>
      <c r="T27" s="40">
        <f t="shared" si="7"/>
        <v>0</v>
      </c>
      <c r="U27" s="40">
        <f t="shared" si="7"/>
        <v>0</v>
      </c>
      <c r="V27" s="40">
        <f t="shared" si="7"/>
        <v>0</v>
      </c>
      <c r="W27" s="40">
        <f t="shared" si="7"/>
        <v>0</v>
      </c>
      <c r="X27" s="40">
        <f t="shared" si="7"/>
        <v>0</v>
      </c>
      <c r="Y27" s="40">
        <f t="shared" si="7"/>
        <v>0</v>
      </c>
      <c r="Z27" s="40">
        <f>Z16/Z$10</f>
        <v>0</v>
      </c>
    </row>
    <row r="28" spans="1:26" s="25" customFormat="1" ht="13.8" x14ac:dyDescent="0.3"/>
    <row r="29" spans="1:26" s="25" customFormat="1" ht="13.8" x14ac:dyDescent="0.3">
      <c r="D29" s="39" t="e">
        <f t="shared" ref="D29:Y32" si="8">(D13-C13)/C13</f>
        <v>#VALUE!</v>
      </c>
      <c r="E29" s="39" t="e">
        <f t="shared" si="8"/>
        <v>#DIV/0!</v>
      </c>
      <c r="F29" s="39" t="e">
        <f t="shared" si="8"/>
        <v>#DIV/0!</v>
      </c>
      <c r="G29" s="39" t="e">
        <f t="shared" si="8"/>
        <v>#DIV/0!</v>
      </c>
      <c r="H29" s="39" t="e">
        <f t="shared" si="8"/>
        <v>#DIV/0!</v>
      </c>
      <c r="I29" s="39" t="e">
        <f t="shared" si="8"/>
        <v>#DIV/0!</v>
      </c>
      <c r="J29" s="39" t="e">
        <f t="shared" si="8"/>
        <v>#DIV/0!</v>
      </c>
      <c r="K29" s="39" t="e">
        <f t="shared" si="8"/>
        <v>#DIV/0!</v>
      </c>
      <c r="L29" s="39" t="e">
        <f t="shared" si="8"/>
        <v>#DIV/0!</v>
      </c>
      <c r="M29" s="39" t="e">
        <f t="shared" si="8"/>
        <v>#DIV/0!</v>
      </c>
      <c r="N29" s="39" t="e">
        <f t="shared" si="8"/>
        <v>#DIV/0!</v>
      </c>
      <c r="O29" s="39" t="e">
        <f t="shared" si="8"/>
        <v>#DIV/0!</v>
      </c>
      <c r="P29" s="39" t="e">
        <f t="shared" si="8"/>
        <v>#DIV/0!</v>
      </c>
      <c r="Q29" s="39" t="e">
        <f t="shared" si="8"/>
        <v>#DIV/0!</v>
      </c>
      <c r="R29" s="39" t="e">
        <f t="shared" si="8"/>
        <v>#DIV/0!</v>
      </c>
      <c r="S29" s="39" t="e">
        <f t="shared" si="8"/>
        <v>#DIV/0!</v>
      </c>
      <c r="T29" s="39" t="e">
        <f t="shared" si="8"/>
        <v>#DIV/0!</v>
      </c>
      <c r="U29" s="39" t="e">
        <f t="shared" si="8"/>
        <v>#DIV/0!</v>
      </c>
      <c r="V29" s="39" t="e">
        <f t="shared" si="8"/>
        <v>#DIV/0!</v>
      </c>
      <c r="W29" s="39" t="e">
        <f t="shared" si="8"/>
        <v>#DIV/0!</v>
      </c>
      <c r="X29" s="39" t="e">
        <f t="shared" si="8"/>
        <v>#DIV/0!</v>
      </c>
      <c r="Y29" s="39" t="e">
        <f t="shared" si="8"/>
        <v>#DIV/0!</v>
      </c>
      <c r="Z29" s="39" t="e">
        <f>(Z13-Y13)/Y13</f>
        <v>#DIV/0!</v>
      </c>
    </row>
    <row r="30" spans="1:26" s="25" customFormat="1" ht="13.8" x14ac:dyDescent="0.3">
      <c r="D30" s="39" t="e">
        <f t="shared" si="8"/>
        <v>#VALUE!</v>
      </c>
      <c r="E30" s="39" t="e">
        <f t="shared" si="8"/>
        <v>#DIV/0!</v>
      </c>
      <c r="F30" s="39" t="e">
        <f t="shared" si="8"/>
        <v>#DIV/0!</v>
      </c>
      <c r="G30" s="39" t="e">
        <f t="shared" si="8"/>
        <v>#DIV/0!</v>
      </c>
      <c r="H30" s="39" t="e">
        <f t="shared" si="8"/>
        <v>#DIV/0!</v>
      </c>
      <c r="I30" s="39" t="e">
        <f t="shared" si="8"/>
        <v>#DIV/0!</v>
      </c>
      <c r="J30" s="39" t="e">
        <f t="shared" si="8"/>
        <v>#DIV/0!</v>
      </c>
      <c r="K30" s="39" t="e">
        <f t="shared" si="8"/>
        <v>#DIV/0!</v>
      </c>
      <c r="L30" s="39" t="e">
        <f t="shared" si="8"/>
        <v>#DIV/0!</v>
      </c>
      <c r="M30" s="39" t="e">
        <f t="shared" si="8"/>
        <v>#DIV/0!</v>
      </c>
      <c r="N30" s="39" t="e">
        <f t="shared" si="8"/>
        <v>#DIV/0!</v>
      </c>
      <c r="O30" s="39" t="e">
        <f t="shared" si="8"/>
        <v>#DIV/0!</v>
      </c>
      <c r="P30" s="39" t="e">
        <f t="shared" si="8"/>
        <v>#DIV/0!</v>
      </c>
      <c r="Q30" s="39" t="e">
        <f t="shared" si="8"/>
        <v>#DIV/0!</v>
      </c>
      <c r="R30" s="39" t="e">
        <f t="shared" si="8"/>
        <v>#DIV/0!</v>
      </c>
      <c r="S30" s="39" t="e">
        <f t="shared" si="8"/>
        <v>#DIV/0!</v>
      </c>
      <c r="T30" s="39" t="e">
        <f t="shared" si="8"/>
        <v>#DIV/0!</v>
      </c>
      <c r="U30" s="39" t="e">
        <f t="shared" si="8"/>
        <v>#DIV/0!</v>
      </c>
      <c r="V30" s="39" t="e">
        <f t="shared" si="8"/>
        <v>#DIV/0!</v>
      </c>
      <c r="W30" s="39" t="e">
        <f t="shared" si="8"/>
        <v>#DIV/0!</v>
      </c>
      <c r="X30" s="39" t="e">
        <f t="shared" si="8"/>
        <v>#DIV/0!</v>
      </c>
      <c r="Y30" s="39" t="e">
        <f t="shared" si="8"/>
        <v>#DIV/0!</v>
      </c>
      <c r="Z30" s="39" t="e">
        <f t="shared" ref="Z30:Z32" si="9">(Z14-Y14)/Y14</f>
        <v>#DIV/0!</v>
      </c>
    </row>
    <row r="31" spans="1:26" s="25" customFormat="1" ht="13.8" x14ac:dyDescent="0.3">
      <c r="D31" s="39" t="e">
        <f t="shared" si="8"/>
        <v>#VALUE!</v>
      </c>
      <c r="E31" s="39">
        <f t="shared" si="8"/>
        <v>0.47197174631800459</v>
      </c>
      <c r="F31" s="39">
        <f t="shared" si="8"/>
        <v>0.44172750012762174</v>
      </c>
      <c r="G31" s="39">
        <f t="shared" si="8"/>
        <v>9.8930670632391374E-2</v>
      </c>
      <c r="H31" s="39">
        <f t="shared" si="8"/>
        <v>-0.12491944838252336</v>
      </c>
      <c r="I31" s="39">
        <f t="shared" si="8"/>
        <v>4.8197650870797769E-2</v>
      </c>
      <c r="J31" s="39">
        <f t="shared" si="8"/>
        <v>0.18536602501053862</v>
      </c>
      <c r="K31" s="39">
        <f t="shared" si="8"/>
        <v>-0.1363461253519038</v>
      </c>
      <c r="L31" s="39">
        <f t="shared" si="8"/>
        <v>0.16428767499313754</v>
      </c>
      <c r="M31" s="39">
        <f t="shared" si="8"/>
        <v>-0.18307202640575296</v>
      </c>
      <c r="N31" s="39">
        <f t="shared" si="8"/>
        <v>0.23802308802308761</v>
      </c>
      <c r="O31" s="39">
        <f t="shared" si="8"/>
        <v>0.10898070983157583</v>
      </c>
      <c r="P31" s="39">
        <f t="shared" si="8"/>
        <v>-9.2148825476903604E-2</v>
      </c>
      <c r="Q31" s="39">
        <f t="shared" si="8"/>
        <v>7.3919712888194142E-2</v>
      </c>
      <c r="R31" s="39">
        <f t="shared" si="8"/>
        <v>0.26928985311952547</v>
      </c>
      <c r="S31" s="39">
        <f t="shared" si="8"/>
        <v>-0.2007134212370216</v>
      </c>
      <c r="T31" s="39">
        <f t="shared" si="8"/>
        <v>4.0431410052066692E-2</v>
      </c>
      <c r="U31" s="39">
        <f t="shared" si="8"/>
        <v>0.10187407445233125</v>
      </c>
      <c r="V31" s="39">
        <f t="shared" si="8"/>
        <v>-1.0960237278709841E-2</v>
      </c>
      <c r="W31" s="39">
        <f t="shared" si="8"/>
        <v>-0.42272098962116023</v>
      </c>
      <c r="X31" s="39">
        <f t="shared" si="8"/>
        <v>0.3037743506493501</v>
      </c>
      <c r="Y31" s="39">
        <f t="shared" si="8"/>
        <v>-0.10991439688715977</v>
      </c>
      <c r="Z31" s="39">
        <f t="shared" si="9"/>
        <v>-1.80807162341751E-2</v>
      </c>
    </row>
    <row r="32" spans="1:26" s="25" customFormat="1" ht="13.8" x14ac:dyDescent="0.3">
      <c r="D32" s="39" t="e">
        <f t="shared" si="8"/>
        <v>#VALUE!</v>
      </c>
      <c r="E32" s="39" t="e">
        <f t="shared" si="8"/>
        <v>#DIV/0!</v>
      </c>
      <c r="F32" s="39" t="e">
        <f t="shared" si="8"/>
        <v>#DIV/0!</v>
      </c>
      <c r="G32" s="39" t="e">
        <f t="shared" si="8"/>
        <v>#DIV/0!</v>
      </c>
      <c r="H32" s="39" t="e">
        <f t="shared" si="8"/>
        <v>#DIV/0!</v>
      </c>
      <c r="I32" s="39" t="e">
        <f t="shared" si="8"/>
        <v>#DIV/0!</v>
      </c>
      <c r="J32" s="39" t="e">
        <f t="shared" si="8"/>
        <v>#DIV/0!</v>
      </c>
      <c r="K32" s="39" t="e">
        <f t="shared" si="8"/>
        <v>#DIV/0!</v>
      </c>
      <c r="L32" s="39" t="e">
        <f t="shared" si="8"/>
        <v>#DIV/0!</v>
      </c>
      <c r="M32" s="39" t="e">
        <f t="shared" si="8"/>
        <v>#DIV/0!</v>
      </c>
      <c r="N32" s="39" t="e">
        <f t="shared" si="8"/>
        <v>#DIV/0!</v>
      </c>
      <c r="O32" s="39" t="e">
        <f t="shared" si="8"/>
        <v>#DIV/0!</v>
      </c>
      <c r="P32" s="39" t="e">
        <f t="shared" si="8"/>
        <v>#DIV/0!</v>
      </c>
      <c r="Q32" s="39" t="e">
        <f t="shared" si="8"/>
        <v>#DIV/0!</v>
      </c>
      <c r="R32" s="39" t="e">
        <f t="shared" si="8"/>
        <v>#DIV/0!</v>
      </c>
      <c r="S32" s="39" t="e">
        <f t="shared" si="8"/>
        <v>#DIV/0!</v>
      </c>
      <c r="T32" s="39" t="e">
        <f t="shared" si="8"/>
        <v>#DIV/0!</v>
      </c>
      <c r="U32" s="39" t="e">
        <f t="shared" si="8"/>
        <v>#DIV/0!</v>
      </c>
      <c r="V32" s="39" t="e">
        <f t="shared" si="8"/>
        <v>#DIV/0!</v>
      </c>
      <c r="W32" s="39" t="e">
        <f t="shared" si="8"/>
        <v>#DIV/0!</v>
      </c>
      <c r="X32" s="39" t="e">
        <f t="shared" si="8"/>
        <v>#DIV/0!</v>
      </c>
      <c r="Y32" s="39" t="e">
        <f t="shared" si="8"/>
        <v>#DIV/0!</v>
      </c>
      <c r="Z32" s="39" t="e">
        <f t="shared" si="9"/>
        <v>#DIV/0!</v>
      </c>
    </row>
  </sheetData>
  <conditionalFormatting sqref="D22:Z22">
    <cfRule type="cellIs" dxfId="9" priority="3" operator="between">
      <formula>-0.0009</formula>
      <formula>0.0009</formula>
    </cfRule>
  </conditionalFormatting>
  <conditionalFormatting sqref="D25:Z25">
    <cfRule type="colorScale" priority="2">
      <colorScale>
        <cfvo type="min"/>
        <cfvo type="max"/>
        <color rgb="FFFCFCFF"/>
        <color rgb="FF63BE7B"/>
      </colorScale>
    </cfRule>
  </conditionalFormatting>
  <conditionalFormatting sqref="D27:Z27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77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20" customWidth="1"/>
    <col min="3" max="16" width="7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76</v>
      </c>
      <c r="B2" s="2" t="s">
        <v>17</v>
      </c>
      <c r="C2" s="2" t="s">
        <v>18</v>
      </c>
      <c r="D2" s="3">
        <v>1.335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>
        <f t="shared" ref="P2:P33" si="0">D2</f>
        <v>1.335</v>
      </c>
    </row>
    <row r="3" spans="1:16" x14ac:dyDescent="0.3">
      <c r="A3" s="2" t="s">
        <v>76</v>
      </c>
      <c r="B3" s="2" t="s">
        <v>17</v>
      </c>
      <c r="C3" s="2" t="s">
        <v>19</v>
      </c>
      <c r="D3" s="3">
        <v>1.2689999999999999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>
        <f t="shared" si="0"/>
        <v>1.2689999999999999</v>
      </c>
    </row>
    <row r="4" spans="1:16" x14ac:dyDescent="0.3">
      <c r="A4" s="2" t="s">
        <v>76</v>
      </c>
      <c r="B4" s="2" t="s">
        <v>17</v>
      </c>
      <c r="C4" s="2" t="s">
        <v>20</v>
      </c>
      <c r="D4" s="3">
        <v>1.825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>
        <f t="shared" si="0"/>
        <v>1.825</v>
      </c>
    </row>
    <row r="5" spans="1:16" x14ac:dyDescent="0.3">
      <c r="A5" s="2" t="s">
        <v>76</v>
      </c>
      <c r="B5" s="2" t="s">
        <v>17</v>
      </c>
      <c r="C5" s="2" t="s">
        <v>21</v>
      </c>
      <c r="D5" s="3">
        <v>1.984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>
        <f t="shared" si="0"/>
        <v>1.984</v>
      </c>
    </row>
    <row r="6" spans="1:16" x14ac:dyDescent="0.3">
      <c r="A6" s="2" t="s">
        <v>76</v>
      </c>
      <c r="B6" s="2" t="s">
        <v>17</v>
      </c>
      <c r="C6" s="2" t="s">
        <v>22</v>
      </c>
      <c r="D6" s="3">
        <v>1.4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>
        <f t="shared" si="0"/>
        <v>1.4</v>
      </c>
    </row>
    <row r="7" spans="1:16" x14ac:dyDescent="0.3">
      <c r="A7" s="2" t="s">
        <v>76</v>
      </c>
      <c r="B7" s="2" t="s">
        <v>17</v>
      </c>
      <c r="C7" s="2" t="s">
        <v>23</v>
      </c>
      <c r="D7" s="3">
        <v>1.4350000000000001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>
        <f t="shared" si="0"/>
        <v>1.4350000000000001</v>
      </c>
    </row>
    <row r="8" spans="1:16" x14ac:dyDescent="0.3">
      <c r="A8" s="2" t="s">
        <v>76</v>
      </c>
      <c r="B8" s="2" t="s">
        <v>17</v>
      </c>
      <c r="C8" s="2" t="s">
        <v>24</v>
      </c>
      <c r="D8" s="3">
        <v>1.7450000000000001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>
        <f t="shared" si="0"/>
        <v>1.7450000000000001</v>
      </c>
    </row>
    <row r="9" spans="1:16" x14ac:dyDescent="0.3">
      <c r="A9" s="2" t="s">
        <v>76</v>
      </c>
      <c r="B9" s="2" t="s">
        <v>17</v>
      </c>
      <c r="C9" s="2" t="s">
        <v>25</v>
      </c>
      <c r="D9" s="3">
        <v>2.4049999999999998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>
        <f t="shared" si="0"/>
        <v>2.4049999999999998</v>
      </c>
    </row>
    <row r="10" spans="1:16" x14ac:dyDescent="0.3">
      <c r="A10" s="2" t="s">
        <v>76</v>
      </c>
      <c r="B10" s="2" t="s">
        <v>17</v>
      </c>
      <c r="C10" s="2" t="s">
        <v>26</v>
      </c>
      <c r="D10" s="3">
        <v>3.4449999999999998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>
        <f t="shared" si="0"/>
        <v>3.4449999999999998</v>
      </c>
    </row>
    <row r="11" spans="1:16" x14ac:dyDescent="0.3">
      <c r="A11" s="2" t="s">
        <v>76</v>
      </c>
      <c r="B11" s="2" t="s">
        <v>17</v>
      </c>
      <c r="C11" s="2" t="s">
        <v>27</v>
      </c>
      <c r="D11" s="3">
        <v>2.5577749999999999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>
        <f t="shared" si="0"/>
        <v>2.5577749999999999</v>
      </c>
    </row>
    <row r="12" spans="1:16" x14ac:dyDescent="0.3">
      <c r="A12" s="2" t="s">
        <v>76</v>
      </c>
      <c r="B12" s="2" t="s">
        <v>17</v>
      </c>
      <c r="C12" s="2" t="s">
        <v>28</v>
      </c>
      <c r="D12" s="3">
        <v>2.5049999999999999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>
        <f t="shared" si="0"/>
        <v>2.5049999999999999</v>
      </c>
    </row>
    <row r="13" spans="1:16" x14ac:dyDescent="0.3">
      <c r="A13" s="2" t="s">
        <v>76</v>
      </c>
      <c r="B13" s="2" t="s">
        <v>17</v>
      </c>
      <c r="C13" s="2" t="s">
        <v>29</v>
      </c>
      <c r="D13" s="3">
        <v>2.72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>
        <f t="shared" si="0"/>
        <v>2.72</v>
      </c>
    </row>
    <row r="14" spans="1:16" x14ac:dyDescent="0.3">
      <c r="A14" s="2" t="s">
        <v>76</v>
      </c>
      <c r="B14" s="2" t="s">
        <v>17</v>
      </c>
      <c r="C14" s="2" t="s">
        <v>30</v>
      </c>
      <c r="D14" s="3">
        <v>3.12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>
        <f t="shared" si="0"/>
        <v>3.12</v>
      </c>
    </row>
    <row r="15" spans="1:16" x14ac:dyDescent="0.3">
      <c r="A15" s="2" t="s">
        <v>76</v>
      </c>
      <c r="B15" s="2" t="s">
        <v>17</v>
      </c>
      <c r="C15" s="2" t="s">
        <v>31</v>
      </c>
      <c r="D15" s="3">
        <v>4.0350000000000001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>
        <f t="shared" si="0"/>
        <v>4.0350000000000001</v>
      </c>
    </row>
    <row r="16" spans="1:16" x14ac:dyDescent="0.3">
      <c r="A16" s="2" t="s">
        <v>76</v>
      </c>
      <c r="B16" s="2" t="s">
        <v>17</v>
      </c>
      <c r="C16" s="2" t="s">
        <v>32</v>
      </c>
      <c r="D16" s="3">
        <v>5.5685000000000002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>
        <f t="shared" si="0"/>
        <v>5.5685000000000002</v>
      </c>
    </row>
    <row r="17" spans="1:16" x14ac:dyDescent="0.3">
      <c r="A17" s="2" t="s">
        <v>76</v>
      </c>
      <c r="B17" s="2" t="s">
        <v>17</v>
      </c>
      <c r="C17" s="2" t="s">
        <v>33</v>
      </c>
      <c r="D17" s="3">
        <v>4.4050000000000002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>
        <f t="shared" si="0"/>
        <v>4.4050000000000002</v>
      </c>
    </row>
    <row r="18" spans="1:16" x14ac:dyDescent="0.3">
      <c r="A18" s="2" t="s">
        <v>76</v>
      </c>
      <c r="B18" s="2" t="s">
        <v>17</v>
      </c>
      <c r="C18" s="2" t="s">
        <v>34</v>
      </c>
      <c r="D18" s="3">
        <v>3.7681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>
        <f t="shared" si="0"/>
        <v>3.7681</v>
      </c>
    </row>
    <row r="19" spans="1:16" x14ac:dyDescent="0.3">
      <c r="A19" s="2" t="s">
        <v>76</v>
      </c>
      <c r="B19" s="2" t="s">
        <v>17</v>
      </c>
      <c r="C19" s="2" t="s">
        <v>35</v>
      </c>
      <c r="D19" s="3">
        <v>3.7805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>
        <f t="shared" si="0"/>
        <v>3.7805</v>
      </c>
    </row>
    <row r="20" spans="1:16" x14ac:dyDescent="0.3">
      <c r="A20" s="2" t="s">
        <v>76</v>
      </c>
      <c r="B20" s="2" t="s">
        <v>17</v>
      </c>
      <c r="C20" s="2" t="s">
        <v>36</v>
      </c>
      <c r="D20" s="3">
        <v>4.2328000000000001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>
        <f t="shared" si="0"/>
        <v>4.2328000000000001</v>
      </c>
    </row>
    <row r="21" spans="1:16" x14ac:dyDescent="0.3">
      <c r="A21" s="2" t="s">
        <v>76</v>
      </c>
      <c r="B21" s="2" t="s">
        <v>17</v>
      </c>
      <c r="C21" s="2" t="s">
        <v>37</v>
      </c>
      <c r="D21" s="3">
        <v>4.2006860000000001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>
        <f t="shared" si="0"/>
        <v>4.2006860000000001</v>
      </c>
    </row>
    <row r="22" spans="1:16" x14ac:dyDescent="0.3">
      <c r="A22" s="2" t="s">
        <v>76</v>
      </c>
      <c r="B22" s="2" t="s">
        <v>17</v>
      </c>
      <c r="C22" s="2" t="s">
        <v>38</v>
      </c>
      <c r="D22" s="3">
        <v>4.3212999999999999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>
        <f t="shared" si="0"/>
        <v>4.3212999999999999</v>
      </c>
    </row>
    <row r="23" spans="1:16" x14ac:dyDescent="0.3">
      <c r="A23" s="2" t="s">
        <v>76</v>
      </c>
      <c r="B23" s="2" t="s">
        <v>17</v>
      </c>
      <c r="C23" s="2" t="s">
        <v>39</v>
      </c>
      <c r="D23" s="3">
        <v>3.6684999999999999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>
        <f t="shared" si="0"/>
        <v>3.6684999999999999</v>
      </c>
    </row>
    <row r="24" spans="1:16" x14ac:dyDescent="0.3">
      <c r="A24" s="2" t="s">
        <v>76</v>
      </c>
      <c r="B24" s="2" t="s">
        <v>17</v>
      </c>
      <c r="C24" s="2" t="s">
        <v>40</v>
      </c>
      <c r="D24" s="3">
        <v>4.2100999999999997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>
        <f t="shared" si="0"/>
        <v>4.2100999999999997</v>
      </c>
    </row>
    <row r="25" spans="1:16" x14ac:dyDescent="0.3">
      <c r="A25" s="2" t="s">
        <v>76</v>
      </c>
      <c r="B25" s="2" t="s">
        <v>41</v>
      </c>
      <c r="C25" s="2" t="s">
        <v>18</v>
      </c>
      <c r="D25" s="3">
        <v>0.88100000000000001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>
        <f t="shared" si="0"/>
        <v>0.88100000000000001</v>
      </c>
    </row>
    <row r="26" spans="1:16" x14ac:dyDescent="0.3">
      <c r="A26" s="2" t="s">
        <v>76</v>
      </c>
      <c r="B26" s="2" t="s">
        <v>41</v>
      </c>
      <c r="C26" s="2" t="s">
        <v>19</v>
      </c>
      <c r="D26" s="3">
        <v>1.234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>
        <f t="shared" si="0"/>
        <v>1.234</v>
      </c>
    </row>
    <row r="27" spans="1:16" x14ac:dyDescent="0.3">
      <c r="A27" s="2" t="s">
        <v>76</v>
      </c>
      <c r="B27" s="2" t="s">
        <v>41</v>
      </c>
      <c r="C27" s="2" t="s">
        <v>20</v>
      </c>
      <c r="D27" s="3">
        <v>1.7649999999999999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>
        <f t="shared" si="0"/>
        <v>1.7649999999999999</v>
      </c>
    </row>
    <row r="28" spans="1:16" x14ac:dyDescent="0.3">
      <c r="A28" s="2" t="s">
        <v>76</v>
      </c>
      <c r="B28" s="2" t="s">
        <v>41</v>
      </c>
      <c r="C28" s="2" t="s">
        <v>21</v>
      </c>
      <c r="D28" s="3">
        <v>1.94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>
        <f t="shared" si="0"/>
        <v>1.94</v>
      </c>
    </row>
    <row r="29" spans="1:16" x14ac:dyDescent="0.3">
      <c r="A29" s="2" t="s">
        <v>76</v>
      </c>
      <c r="B29" s="2" t="s">
        <v>41</v>
      </c>
      <c r="C29" s="2" t="s">
        <v>22</v>
      </c>
      <c r="D29" s="3">
        <v>1.37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>
        <f t="shared" si="0"/>
        <v>1.37</v>
      </c>
    </row>
    <row r="30" spans="1:16" x14ac:dyDescent="0.3">
      <c r="A30" s="2" t="s">
        <v>76</v>
      </c>
      <c r="B30" s="2" t="s">
        <v>41</v>
      </c>
      <c r="C30" s="2" t="s">
        <v>23</v>
      </c>
      <c r="D30" s="3">
        <v>1.425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>
        <f t="shared" si="0"/>
        <v>1.425</v>
      </c>
    </row>
    <row r="31" spans="1:16" x14ac:dyDescent="0.3">
      <c r="A31" s="2" t="s">
        <v>76</v>
      </c>
      <c r="B31" s="2" t="s">
        <v>41</v>
      </c>
      <c r="C31" s="2" t="s">
        <v>24</v>
      </c>
      <c r="D31" s="3">
        <v>1.73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>
        <f t="shared" si="0"/>
        <v>1.73</v>
      </c>
    </row>
    <row r="32" spans="1:16" x14ac:dyDescent="0.3">
      <c r="A32" s="2" t="s">
        <v>76</v>
      </c>
      <c r="B32" s="2" t="s">
        <v>41</v>
      </c>
      <c r="C32" s="2" t="s">
        <v>25</v>
      </c>
      <c r="D32" s="3">
        <v>2.3849999999999998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>
        <f t="shared" si="0"/>
        <v>2.3849999999999998</v>
      </c>
    </row>
    <row r="33" spans="1:16" x14ac:dyDescent="0.3">
      <c r="A33" s="2" t="s">
        <v>76</v>
      </c>
      <c r="B33" s="2" t="s">
        <v>41</v>
      </c>
      <c r="C33" s="2" t="s">
        <v>26</v>
      </c>
      <c r="D33" s="3">
        <v>3.3119999999999998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>
        <f t="shared" si="0"/>
        <v>3.3119999999999998</v>
      </c>
    </row>
    <row r="34" spans="1:16" x14ac:dyDescent="0.3">
      <c r="A34" s="2" t="s">
        <v>76</v>
      </c>
      <c r="B34" s="2" t="s">
        <v>41</v>
      </c>
      <c r="C34" s="2" t="s">
        <v>27</v>
      </c>
      <c r="D34" s="3">
        <v>2.4827750000000002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>
        <f t="shared" ref="P34:P65" si="1">D34</f>
        <v>2.4827750000000002</v>
      </c>
    </row>
    <row r="35" spans="1:16" x14ac:dyDescent="0.3">
      <c r="A35" s="2" t="s">
        <v>76</v>
      </c>
      <c r="B35" s="2" t="s">
        <v>41</v>
      </c>
      <c r="C35" s="2" t="s">
        <v>28</v>
      </c>
      <c r="D35" s="3">
        <v>2.476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>
        <f t="shared" si="1"/>
        <v>2.476</v>
      </c>
    </row>
    <row r="36" spans="1:16" x14ac:dyDescent="0.3">
      <c r="A36" s="2" t="s">
        <v>76</v>
      </c>
      <c r="B36" s="2" t="s">
        <v>41</v>
      </c>
      <c r="C36" s="2" t="s">
        <v>29</v>
      </c>
      <c r="D36" s="3">
        <v>2.6949999999999998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>
        <f t="shared" si="1"/>
        <v>2.6949999999999998</v>
      </c>
    </row>
    <row r="37" spans="1:16" x14ac:dyDescent="0.3">
      <c r="A37" s="2" t="s">
        <v>76</v>
      </c>
      <c r="B37" s="2" t="s">
        <v>41</v>
      </c>
      <c r="C37" s="2" t="s">
        <v>30</v>
      </c>
      <c r="D37" s="3">
        <v>3.008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>
        <f t="shared" si="1"/>
        <v>3.008</v>
      </c>
    </row>
    <row r="38" spans="1:16" x14ac:dyDescent="0.3">
      <c r="A38" s="2" t="s">
        <v>76</v>
      </c>
      <c r="B38" s="2" t="s">
        <v>41</v>
      </c>
      <c r="C38" s="2" t="s">
        <v>31</v>
      </c>
      <c r="D38" s="3">
        <v>4.0279999999999996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>
        <f t="shared" si="1"/>
        <v>4.0279999999999996</v>
      </c>
    </row>
    <row r="39" spans="1:16" x14ac:dyDescent="0.3">
      <c r="A39" s="2" t="s">
        <v>76</v>
      </c>
      <c r="B39" s="2" t="s">
        <v>41</v>
      </c>
      <c r="C39" s="2" t="s">
        <v>32</v>
      </c>
      <c r="D39" s="3">
        <v>5.4880000000000004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>
        <f t="shared" si="1"/>
        <v>5.4880000000000004</v>
      </c>
    </row>
    <row r="40" spans="1:16" x14ac:dyDescent="0.3">
      <c r="A40" s="2" t="s">
        <v>76</v>
      </c>
      <c r="B40" s="2" t="s">
        <v>41</v>
      </c>
      <c r="C40" s="2" t="s">
        <v>33</v>
      </c>
      <c r="D40" s="3">
        <v>4.383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>
        <f t="shared" si="1"/>
        <v>4.383</v>
      </c>
    </row>
    <row r="41" spans="1:16" x14ac:dyDescent="0.3">
      <c r="A41" s="2" t="s">
        <v>76</v>
      </c>
      <c r="B41" s="2" t="s">
        <v>41</v>
      </c>
      <c r="C41" s="2" t="s">
        <v>34</v>
      </c>
      <c r="D41" s="3">
        <v>3.7052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>
        <f t="shared" si="1"/>
        <v>3.7052</v>
      </c>
    </row>
    <row r="42" spans="1:16" x14ac:dyDescent="0.3">
      <c r="A42" s="2" t="s">
        <v>76</v>
      </c>
      <c r="B42" s="2" t="s">
        <v>41</v>
      </c>
      <c r="C42" s="2" t="s">
        <v>35</v>
      </c>
      <c r="D42" s="3">
        <v>3.6783000000000001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>
        <f t="shared" si="1"/>
        <v>3.6783000000000001</v>
      </c>
    </row>
    <row r="43" spans="1:16" x14ac:dyDescent="0.3">
      <c r="A43" s="2" t="s">
        <v>76</v>
      </c>
      <c r="B43" s="2" t="s">
        <v>41</v>
      </c>
      <c r="C43" s="2" t="s">
        <v>36</v>
      </c>
      <c r="D43" s="3">
        <v>4.2126000000000001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>
        <f t="shared" si="1"/>
        <v>4.2126000000000001</v>
      </c>
    </row>
    <row r="44" spans="1:16" x14ac:dyDescent="0.3">
      <c r="A44" s="2" t="s">
        <v>76</v>
      </c>
      <c r="B44" s="2" t="s">
        <v>41</v>
      </c>
      <c r="C44" s="2" t="s">
        <v>37</v>
      </c>
      <c r="D44" s="3">
        <v>4.13828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>
        <f t="shared" si="1"/>
        <v>4.13828</v>
      </c>
    </row>
    <row r="45" spans="1:16" x14ac:dyDescent="0.3">
      <c r="A45" s="2" t="s">
        <v>76</v>
      </c>
      <c r="B45" s="2" t="s">
        <v>41</v>
      </c>
      <c r="C45" s="2" t="s">
        <v>38</v>
      </c>
      <c r="D45" s="3">
        <v>4.2378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>
        <f t="shared" si="1"/>
        <v>4.2378</v>
      </c>
    </row>
    <row r="46" spans="1:16" x14ac:dyDescent="0.3">
      <c r="A46" s="2" t="s">
        <v>76</v>
      </c>
      <c r="B46" s="2" t="s">
        <v>41</v>
      </c>
      <c r="C46" s="2" t="s">
        <v>39</v>
      </c>
      <c r="D46" s="3">
        <v>3.6082000000000001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>
        <f t="shared" si="1"/>
        <v>3.6082000000000001</v>
      </c>
    </row>
    <row r="47" spans="1:16" x14ac:dyDescent="0.3">
      <c r="A47" s="2" t="s">
        <v>76</v>
      </c>
      <c r="B47" s="2" t="s">
        <v>41</v>
      </c>
      <c r="C47" s="2" t="s">
        <v>40</v>
      </c>
      <c r="D47" s="3">
        <v>4.1826999999999996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>
        <f t="shared" si="1"/>
        <v>4.1826999999999996</v>
      </c>
    </row>
    <row r="48" spans="1:16" x14ac:dyDescent="0.3">
      <c r="A48" s="2" t="s">
        <v>76</v>
      </c>
      <c r="B48" s="2" t="s">
        <v>42</v>
      </c>
      <c r="C48" s="2" t="s">
        <v>18</v>
      </c>
      <c r="D48" s="5">
        <v>13.67983382519864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6">
        <f t="shared" si="1"/>
        <v>13.67983382519864</v>
      </c>
    </row>
    <row r="49" spans="1:16" x14ac:dyDescent="0.3">
      <c r="A49" s="2" t="s">
        <v>76</v>
      </c>
      <c r="B49" s="2" t="s">
        <v>42</v>
      </c>
      <c r="C49" s="2" t="s">
        <v>19</v>
      </c>
      <c r="D49" s="5">
        <v>14.429495153970819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6">
        <f t="shared" si="1"/>
        <v>14.429495153970819</v>
      </c>
    </row>
    <row r="50" spans="1:16" x14ac:dyDescent="0.3">
      <c r="A50" s="2" t="s">
        <v>76</v>
      </c>
      <c r="B50" s="2" t="s">
        <v>42</v>
      </c>
      <c r="C50" s="2" t="s">
        <v>20</v>
      </c>
      <c r="D50" s="5">
        <v>19.06508807932012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">
        <f t="shared" si="1"/>
        <v>19.06508807932012</v>
      </c>
    </row>
    <row r="51" spans="1:16" x14ac:dyDescent="0.3">
      <c r="A51" s="2" t="s">
        <v>76</v>
      </c>
      <c r="B51" s="2" t="s">
        <v>42</v>
      </c>
      <c r="C51" s="2" t="s">
        <v>21</v>
      </c>
      <c r="D51" s="5">
        <v>22.05190201546392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6">
        <f t="shared" si="1"/>
        <v>22.05190201546392</v>
      </c>
    </row>
    <row r="52" spans="1:16" x14ac:dyDescent="0.3">
      <c r="A52" s="2" t="s">
        <v>76</v>
      </c>
      <c r="B52" s="2" t="s">
        <v>42</v>
      </c>
      <c r="C52" s="2" t="s">
        <v>22</v>
      </c>
      <c r="D52" s="5">
        <v>18.5810477080292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6">
        <f t="shared" si="1"/>
        <v>18.5810477080292</v>
      </c>
    </row>
    <row r="53" spans="1:16" x14ac:dyDescent="0.3">
      <c r="A53" s="2" t="s">
        <v>76</v>
      </c>
      <c r="B53" s="2" t="s">
        <v>42</v>
      </c>
      <c r="C53" s="2" t="s">
        <v>23</v>
      </c>
      <c r="D53" s="5">
        <v>18.923650126315788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6">
        <f t="shared" si="1"/>
        <v>18.923650126315788</v>
      </c>
    </row>
    <row r="54" spans="1:16" x14ac:dyDescent="0.3">
      <c r="A54" s="2" t="s">
        <v>76</v>
      </c>
      <c r="B54" s="2" t="s">
        <v>42</v>
      </c>
      <c r="C54" s="2" t="s">
        <v>24</v>
      </c>
      <c r="D54" s="5">
        <v>22.156663491329478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6">
        <f t="shared" si="1"/>
        <v>22.156663491329478</v>
      </c>
    </row>
    <row r="55" spans="1:16" x14ac:dyDescent="0.3">
      <c r="A55" s="2" t="s">
        <v>76</v>
      </c>
      <c r="B55" s="2" t="s">
        <v>42</v>
      </c>
      <c r="C55" s="2" t="s">
        <v>25</v>
      </c>
      <c r="D55" s="5">
        <v>23.574511421383651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6">
        <f t="shared" si="1"/>
        <v>23.574511421383651</v>
      </c>
    </row>
    <row r="56" spans="1:16" x14ac:dyDescent="0.3">
      <c r="A56" s="2" t="s">
        <v>76</v>
      </c>
      <c r="B56" s="2" t="s">
        <v>42</v>
      </c>
      <c r="C56" s="2" t="s">
        <v>26</v>
      </c>
      <c r="D56" s="5">
        <v>22.241476376811601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6">
        <f t="shared" si="1"/>
        <v>22.241476376811601</v>
      </c>
    </row>
    <row r="57" spans="1:16" x14ac:dyDescent="0.3">
      <c r="A57" s="2" t="s">
        <v>76</v>
      </c>
      <c r="B57" s="2" t="s">
        <v>42</v>
      </c>
      <c r="C57" s="2" t="s">
        <v>27</v>
      </c>
      <c r="D57" s="5">
        <v>23.286931739686441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>
        <f t="shared" si="1"/>
        <v>23.286931739686441</v>
      </c>
    </row>
    <row r="58" spans="1:16" x14ac:dyDescent="0.3">
      <c r="A58" s="2" t="s">
        <v>76</v>
      </c>
      <c r="B58" s="2" t="s">
        <v>42</v>
      </c>
      <c r="C58" s="2" t="s">
        <v>28</v>
      </c>
      <c r="D58" s="5">
        <v>22.822349042810981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6">
        <f t="shared" si="1"/>
        <v>22.822349042810981</v>
      </c>
    </row>
    <row r="59" spans="1:16" x14ac:dyDescent="0.3">
      <c r="A59" s="2" t="s">
        <v>76</v>
      </c>
      <c r="B59" s="2" t="s">
        <v>42</v>
      </c>
      <c r="C59" s="2" t="s">
        <v>29</v>
      </c>
      <c r="D59" s="5">
        <v>30.836076545454539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6">
        <f t="shared" si="1"/>
        <v>30.836076545454539</v>
      </c>
    </row>
    <row r="60" spans="1:16" x14ac:dyDescent="0.3">
      <c r="A60" s="2" t="s">
        <v>76</v>
      </c>
      <c r="B60" s="2" t="s">
        <v>42</v>
      </c>
      <c r="C60" s="2" t="s">
        <v>30</v>
      </c>
      <c r="D60" s="5">
        <v>24.271852360372339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6">
        <f t="shared" si="1"/>
        <v>24.271852360372339</v>
      </c>
    </row>
    <row r="61" spans="1:16" x14ac:dyDescent="0.3">
      <c r="A61" s="2" t="s">
        <v>76</v>
      </c>
      <c r="B61" s="2" t="s">
        <v>42</v>
      </c>
      <c r="C61" s="2" t="s">
        <v>31</v>
      </c>
      <c r="D61" s="5">
        <v>23.174620121648459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6">
        <f t="shared" si="1"/>
        <v>23.174620121648459</v>
      </c>
    </row>
    <row r="62" spans="1:16" x14ac:dyDescent="0.3">
      <c r="A62" s="2" t="s">
        <v>76</v>
      </c>
      <c r="B62" s="2" t="s">
        <v>42</v>
      </c>
      <c r="C62" s="2" t="s">
        <v>32</v>
      </c>
      <c r="D62" s="5">
        <v>21.38338721938776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6">
        <f t="shared" si="1"/>
        <v>21.38338721938776</v>
      </c>
    </row>
    <row r="63" spans="1:16" x14ac:dyDescent="0.3">
      <c r="A63" s="2" t="s">
        <v>76</v>
      </c>
      <c r="B63" s="2" t="s">
        <v>42</v>
      </c>
      <c r="C63" s="2" t="s">
        <v>33</v>
      </c>
      <c r="D63" s="5">
        <v>21.44849565366188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>
        <f t="shared" si="1"/>
        <v>21.44849565366188</v>
      </c>
    </row>
    <row r="64" spans="1:16" x14ac:dyDescent="0.3">
      <c r="A64" s="2" t="s">
        <v>76</v>
      </c>
      <c r="B64" s="2" t="s">
        <v>42</v>
      </c>
      <c r="C64" s="2" t="s">
        <v>34</v>
      </c>
      <c r="D64" s="5">
        <v>21.738601093058399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6">
        <f t="shared" si="1"/>
        <v>21.738601093058399</v>
      </c>
    </row>
    <row r="65" spans="1:16" x14ac:dyDescent="0.3">
      <c r="A65" s="2" t="s">
        <v>76</v>
      </c>
      <c r="B65" s="2" t="s">
        <v>42</v>
      </c>
      <c r="C65" s="2" t="s">
        <v>35</v>
      </c>
      <c r="D65" s="5">
        <v>23.794550036701729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>
        <f t="shared" si="1"/>
        <v>23.794550036701729</v>
      </c>
    </row>
    <row r="66" spans="1:16" x14ac:dyDescent="0.3">
      <c r="A66" s="2" t="s">
        <v>76</v>
      </c>
      <c r="B66" s="2" t="s">
        <v>42</v>
      </c>
      <c r="C66" s="2" t="s">
        <v>36</v>
      </c>
      <c r="D66" s="5">
        <v>25.01303434695912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>
        <f t="shared" ref="P66:P93" si="2">D66</f>
        <v>25.01303434695912</v>
      </c>
    </row>
    <row r="67" spans="1:16" x14ac:dyDescent="0.3">
      <c r="A67" s="2" t="s">
        <v>76</v>
      </c>
      <c r="B67" s="2" t="s">
        <v>42</v>
      </c>
      <c r="C67" s="2" t="s">
        <v>37</v>
      </c>
      <c r="D67" s="5">
        <v>14.149540466087361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6">
        <f t="shared" si="2"/>
        <v>14.149540466087361</v>
      </c>
    </row>
    <row r="68" spans="1:16" x14ac:dyDescent="0.3">
      <c r="A68" s="2" t="s">
        <v>76</v>
      </c>
      <c r="B68" s="2" t="s">
        <v>42</v>
      </c>
      <c r="C68" s="2" t="s">
        <v>38</v>
      </c>
      <c r="D68" s="5">
        <v>20.207387611496529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6">
        <f t="shared" si="2"/>
        <v>20.207387611496529</v>
      </c>
    </row>
    <row r="69" spans="1:16" x14ac:dyDescent="0.3">
      <c r="A69" s="2" t="s">
        <v>76</v>
      </c>
      <c r="B69" s="2" t="s">
        <v>42</v>
      </c>
      <c r="C69" s="2" t="s">
        <v>39</v>
      </c>
      <c r="D69" s="5">
        <v>18.341299836483561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6">
        <f t="shared" si="2"/>
        <v>18.341299836483561</v>
      </c>
    </row>
    <row r="70" spans="1:16" x14ac:dyDescent="0.3">
      <c r="A70" s="2" t="s">
        <v>76</v>
      </c>
      <c r="B70" s="2" t="s">
        <v>42</v>
      </c>
      <c r="C70" s="2" t="s">
        <v>40</v>
      </c>
      <c r="D70" s="5">
        <v>21.358203507303891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>
        <f t="shared" si="2"/>
        <v>21.358203507303891</v>
      </c>
    </row>
    <row r="71" spans="1:16" x14ac:dyDescent="0.3">
      <c r="A71" s="2" t="s">
        <v>76</v>
      </c>
      <c r="B71" s="2" t="s">
        <v>43</v>
      </c>
      <c r="C71" s="2" t="s">
        <v>18</v>
      </c>
      <c r="D71" s="7">
        <v>328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8">
        <f t="shared" si="2"/>
        <v>328</v>
      </c>
    </row>
    <row r="72" spans="1:16" x14ac:dyDescent="0.3">
      <c r="A72" s="2" t="s">
        <v>76</v>
      </c>
      <c r="B72" s="2" t="s">
        <v>43</v>
      </c>
      <c r="C72" s="2" t="s">
        <v>19</v>
      </c>
      <c r="D72" s="7">
        <v>484.6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8">
        <f t="shared" si="2"/>
        <v>484.6</v>
      </c>
    </row>
    <row r="73" spans="1:16" x14ac:dyDescent="0.3">
      <c r="A73" s="2" t="s">
        <v>76</v>
      </c>
      <c r="B73" s="2" t="s">
        <v>43</v>
      </c>
      <c r="C73" s="2" t="s">
        <v>20</v>
      </c>
      <c r="D73" s="7">
        <v>915.8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8">
        <f t="shared" si="2"/>
        <v>915.8</v>
      </c>
    </row>
    <row r="74" spans="1:16" x14ac:dyDescent="0.3">
      <c r="A74" s="2" t="s">
        <v>76</v>
      </c>
      <c r="B74" s="2" t="s">
        <v>43</v>
      </c>
      <c r="C74" s="2" t="s">
        <v>21</v>
      </c>
      <c r="D74" s="7">
        <v>1164.3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8">
        <f t="shared" si="2"/>
        <v>1164.3</v>
      </c>
    </row>
    <row r="75" spans="1:16" x14ac:dyDescent="0.3">
      <c r="A75" s="2" t="s">
        <v>76</v>
      </c>
      <c r="B75" s="2" t="s">
        <v>43</v>
      </c>
      <c r="C75" s="2" t="s">
        <v>22</v>
      </c>
      <c r="D75" s="7">
        <v>692.8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8">
        <f t="shared" si="2"/>
        <v>692.8</v>
      </c>
    </row>
    <row r="76" spans="1:16" x14ac:dyDescent="0.3">
      <c r="A76" s="2" t="s">
        <v>76</v>
      </c>
      <c r="B76" s="2" t="s">
        <v>43</v>
      </c>
      <c r="C76" s="2" t="s">
        <v>23</v>
      </c>
      <c r="D76" s="7">
        <v>733.9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8">
        <f t="shared" si="2"/>
        <v>733.9</v>
      </c>
    </row>
    <row r="77" spans="1:16" x14ac:dyDescent="0.3">
      <c r="A77" s="2" t="s">
        <v>76</v>
      </c>
      <c r="B77" s="2" t="s">
        <v>43</v>
      </c>
      <c r="C77" s="2" t="s">
        <v>24</v>
      </c>
      <c r="D77" s="7">
        <v>1043.2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8">
        <f t="shared" si="2"/>
        <v>1043.2</v>
      </c>
    </row>
    <row r="78" spans="1:16" x14ac:dyDescent="0.3">
      <c r="A78" s="2" t="s">
        <v>76</v>
      </c>
      <c r="B78" s="2" t="s">
        <v>43</v>
      </c>
      <c r="C78" s="2" t="s">
        <v>25</v>
      </c>
      <c r="D78" s="7">
        <v>1530.2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8">
        <f t="shared" si="2"/>
        <v>1530.2</v>
      </c>
    </row>
    <row r="79" spans="1:16" x14ac:dyDescent="0.3">
      <c r="A79" s="2" t="s">
        <v>76</v>
      </c>
      <c r="B79" s="2" t="s">
        <v>43</v>
      </c>
      <c r="C79" s="2" t="s">
        <v>26</v>
      </c>
      <c r="D79" s="7">
        <v>2004.8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8">
        <f t="shared" si="2"/>
        <v>2004.8</v>
      </c>
    </row>
    <row r="80" spans="1:16" x14ac:dyDescent="0.3">
      <c r="A80" s="2" t="s">
        <v>76</v>
      </c>
      <c r="B80" s="2" t="s">
        <v>43</v>
      </c>
      <c r="C80" s="2" t="s">
        <v>27</v>
      </c>
      <c r="D80" s="7">
        <v>1573.5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8">
        <f t="shared" si="2"/>
        <v>1573.5</v>
      </c>
    </row>
    <row r="81" spans="1:16" x14ac:dyDescent="0.3">
      <c r="A81" s="2" t="s">
        <v>76</v>
      </c>
      <c r="B81" s="2" t="s">
        <v>43</v>
      </c>
      <c r="C81" s="2" t="s">
        <v>28</v>
      </c>
      <c r="D81" s="7">
        <v>1537.9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8">
        <f t="shared" si="2"/>
        <v>1537.9</v>
      </c>
    </row>
    <row r="82" spans="1:16" x14ac:dyDescent="0.3">
      <c r="A82" s="2" t="s">
        <v>76</v>
      </c>
      <c r="B82" s="2" t="s">
        <v>43</v>
      </c>
      <c r="C82" s="2" t="s">
        <v>29</v>
      </c>
      <c r="D82" s="7">
        <v>2261.6999999999998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8">
        <f t="shared" si="2"/>
        <v>2261.6999999999998</v>
      </c>
    </row>
    <row r="83" spans="1:16" x14ac:dyDescent="0.3">
      <c r="A83" s="2" t="s">
        <v>76</v>
      </c>
      <c r="B83" s="2" t="s">
        <v>43</v>
      </c>
      <c r="C83" s="2" t="s">
        <v>30</v>
      </c>
      <c r="D83" s="7">
        <v>1987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8">
        <f t="shared" si="2"/>
        <v>1987</v>
      </c>
    </row>
    <row r="84" spans="1:16" x14ac:dyDescent="0.3">
      <c r="A84" s="2" t="s">
        <v>76</v>
      </c>
      <c r="B84" s="2" t="s">
        <v>43</v>
      </c>
      <c r="C84" s="2" t="s">
        <v>31</v>
      </c>
      <c r="D84" s="7">
        <v>2540.5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8">
        <f t="shared" si="2"/>
        <v>2540.5</v>
      </c>
    </row>
    <row r="85" spans="1:16" x14ac:dyDescent="0.3">
      <c r="A85" s="2" t="s">
        <v>76</v>
      </c>
      <c r="B85" s="2" t="s">
        <v>43</v>
      </c>
      <c r="C85" s="2" t="s">
        <v>32</v>
      </c>
      <c r="D85" s="7">
        <v>3193.8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8">
        <f t="shared" si="2"/>
        <v>3193.8</v>
      </c>
    </row>
    <row r="86" spans="1:16" x14ac:dyDescent="0.3">
      <c r="A86" s="2" t="s">
        <v>76</v>
      </c>
      <c r="B86" s="2" t="s">
        <v>43</v>
      </c>
      <c r="C86" s="2" t="s">
        <v>33</v>
      </c>
      <c r="D86" s="7">
        <v>2558.5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8">
        <f t="shared" si="2"/>
        <v>2558.5</v>
      </c>
    </row>
    <row r="87" spans="1:16" x14ac:dyDescent="0.3">
      <c r="A87" s="2" t="s">
        <v>76</v>
      </c>
      <c r="B87" s="2" t="s">
        <v>43</v>
      </c>
      <c r="C87" s="2" t="s">
        <v>34</v>
      </c>
      <c r="D87" s="7">
        <v>2192.1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8">
        <f t="shared" si="2"/>
        <v>2192.1</v>
      </c>
    </row>
    <row r="88" spans="1:16" x14ac:dyDescent="0.3">
      <c r="A88" s="2" t="s">
        <v>76</v>
      </c>
      <c r="B88" s="2" t="s">
        <v>43</v>
      </c>
      <c r="C88" s="2" t="s">
        <v>35</v>
      </c>
      <c r="D88" s="7">
        <v>2382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8">
        <f t="shared" si="2"/>
        <v>2382</v>
      </c>
    </row>
    <row r="89" spans="1:16" x14ac:dyDescent="0.3">
      <c r="A89" s="2" t="s">
        <v>76</v>
      </c>
      <c r="B89" s="2" t="s">
        <v>43</v>
      </c>
      <c r="C89" s="2" t="s">
        <v>36</v>
      </c>
      <c r="D89" s="7">
        <v>2867.7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8">
        <f t="shared" si="2"/>
        <v>2867.7</v>
      </c>
    </row>
    <row r="90" spans="1:16" x14ac:dyDescent="0.3">
      <c r="A90" s="2" t="s">
        <v>76</v>
      </c>
      <c r="B90" s="2" t="s">
        <v>43</v>
      </c>
      <c r="C90" s="2" t="s">
        <v>37</v>
      </c>
      <c r="D90" s="7">
        <v>1593.6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8">
        <f t="shared" si="2"/>
        <v>1593.6</v>
      </c>
    </row>
    <row r="91" spans="1:16" x14ac:dyDescent="0.3">
      <c r="A91" s="2" t="s">
        <v>76</v>
      </c>
      <c r="B91" s="2" t="s">
        <v>43</v>
      </c>
      <c r="C91" s="2" t="s">
        <v>38</v>
      </c>
      <c r="D91" s="7">
        <v>2330.6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8">
        <f t="shared" si="2"/>
        <v>2330.6</v>
      </c>
    </row>
    <row r="92" spans="1:16" x14ac:dyDescent="0.3">
      <c r="A92" s="2" t="s">
        <v>76</v>
      </c>
      <c r="B92" s="2" t="s">
        <v>43</v>
      </c>
      <c r="C92" s="2" t="s">
        <v>39</v>
      </c>
      <c r="D92" s="7">
        <v>1801.1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8">
        <f t="shared" si="2"/>
        <v>1801.1</v>
      </c>
    </row>
    <row r="93" spans="1:16" x14ac:dyDescent="0.3">
      <c r="A93" s="2" t="s">
        <v>76</v>
      </c>
      <c r="B93" s="2" t="s">
        <v>43</v>
      </c>
      <c r="C93" s="2" t="s">
        <v>40</v>
      </c>
      <c r="D93" s="7">
        <v>2431.3000000000002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8">
        <f t="shared" si="2"/>
        <v>2431.3000000000002</v>
      </c>
    </row>
    <row r="94" spans="1:16" x14ac:dyDescent="0.3">
      <c r="A94" s="2" t="s">
        <v>76</v>
      </c>
      <c r="B94" s="2" t="s">
        <v>44</v>
      </c>
      <c r="C94" s="2" t="s">
        <v>18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8">
        <f t="shared" ref="P94:P125" si="3">SUM(D94:O94)</f>
        <v>0</v>
      </c>
    </row>
    <row r="95" spans="1:16" x14ac:dyDescent="0.3">
      <c r="A95" s="2" t="s">
        <v>76</v>
      </c>
      <c r="B95" s="2" t="s">
        <v>44</v>
      </c>
      <c r="C95" s="2" t="s">
        <v>19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8">
        <f t="shared" si="3"/>
        <v>0</v>
      </c>
    </row>
    <row r="96" spans="1:16" x14ac:dyDescent="0.3">
      <c r="A96" s="2" t="s">
        <v>76</v>
      </c>
      <c r="B96" s="2" t="s">
        <v>44</v>
      </c>
      <c r="C96" s="2" t="s">
        <v>20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8">
        <f t="shared" si="3"/>
        <v>0</v>
      </c>
    </row>
    <row r="97" spans="1:16" x14ac:dyDescent="0.3">
      <c r="A97" s="2" t="s">
        <v>76</v>
      </c>
      <c r="B97" s="2" t="s">
        <v>44</v>
      </c>
      <c r="C97" s="2" t="s">
        <v>21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8">
        <f t="shared" si="3"/>
        <v>0</v>
      </c>
    </row>
    <row r="98" spans="1:16" x14ac:dyDescent="0.3">
      <c r="A98" s="2" t="s">
        <v>76</v>
      </c>
      <c r="B98" s="2" t="s">
        <v>44</v>
      </c>
      <c r="C98" s="2" t="s">
        <v>22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8">
        <f t="shared" si="3"/>
        <v>0</v>
      </c>
    </row>
    <row r="99" spans="1:16" x14ac:dyDescent="0.3">
      <c r="A99" s="2" t="s">
        <v>76</v>
      </c>
      <c r="B99" s="2" t="s">
        <v>44</v>
      </c>
      <c r="C99" s="2" t="s">
        <v>23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8">
        <f t="shared" si="3"/>
        <v>0</v>
      </c>
    </row>
    <row r="100" spans="1:16" x14ac:dyDescent="0.3">
      <c r="A100" s="2" t="s">
        <v>76</v>
      </c>
      <c r="B100" s="2" t="s">
        <v>44</v>
      </c>
      <c r="C100" s="2" t="s">
        <v>24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8">
        <f t="shared" si="3"/>
        <v>0</v>
      </c>
    </row>
    <row r="101" spans="1:16" x14ac:dyDescent="0.3">
      <c r="A101" s="2" t="s">
        <v>76</v>
      </c>
      <c r="B101" s="2" t="s">
        <v>44</v>
      </c>
      <c r="C101" s="2" t="s">
        <v>25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8">
        <f t="shared" si="3"/>
        <v>0</v>
      </c>
    </row>
    <row r="102" spans="1:16" x14ac:dyDescent="0.3">
      <c r="A102" s="2" t="s">
        <v>76</v>
      </c>
      <c r="B102" s="2" t="s">
        <v>44</v>
      </c>
      <c r="C102" s="2" t="s">
        <v>26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8">
        <f t="shared" si="3"/>
        <v>0</v>
      </c>
    </row>
    <row r="103" spans="1:16" x14ac:dyDescent="0.3">
      <c r="A103" s="2" t="s">
        <v>76</v>
      </c>
      <c r="B103" s="2" t="s">
        <v>44</v>
      </c>
      <c r="C103" s="2" t="s">
        <v>27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8">
        <f t="shared" si="3"/>
        <v>0</v>
      </c>
    </row>
    <row r="104" spans="1:16" x14ac:dyDescent="0.3">
      <c r="A104" s="2" t="s">
        <v>76</v>
      </c>
      <c r="B104" s="2" t="s">
        <v>44</v>
      </c>
      <c r="C104" s="2" t="s">
        <v>28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8">
        <f t="shared" si="3"/>
        <v>0</v>
      </c>
    </row>
    <row r="105" spans="1:16" x14ac:dyDescent="0.3">
      <c r="A105" s="2" t="s">
        <v>76</v>
      </c>
      <c r="B105" s="2" t="s">
        <v>44</v>
      </c>
      <c r="C105" s="2" t="s">
        <v>29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8">
        <f t="shared" si="3"/>
        <v>0</v>
      </c>
    </row>
    <row r="106" spans="1:16" x14ac:dyDescent="0.3">
      <c r="A106" s="2" t="s">
        <v>76</v>
      </c>
      <c r="B106" s="2" t="s">
        <v>44</v>
      </c>
      <c r="C106" s="2" t="s">
        <v>30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8">
        <f t="shared" si="3"/>
        <v>0</v>
      </c>
    </row>
    <row r="107" spans="1:16" x14ac:dyDescent="0.3">
      <c r="A107" s="2" t="s">
        <v>76</v>
      </c>
      <c r="B107" s="2" t="s">
        <v>44</v>
      </c>
      <c r="C107" s="2" t="s">
        <v>31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8">
        <f t="shared" si="3"/>
        <v>0</v>
      </c>
    </row>
    <row r="108" spans="1:16" x14ac:dyDescent="0.3">
      <c r="A108" s="2" t="s">
        <v>76</v>
      </c>
      <c r="B108" s="2" t="s">
        <v>44</v>
      </c>
      <c r="C108" s="2" t="s">
        <v>32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8">
        <f t="shared" si="3"/>
        <v>0</v>
      </c>
    </row>
    <row r="109" spans="1:16" x14ac:dyDescent="0.3">
      <c r="A109" s="2" t="s">
        <v>76</v>
      </c>
      <c r="B109" s="2" t="s">
        <v>44</v>
      </c>
      <c r="C109" s="2" t="s">
        <v>33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8">
        <f t="shared" si="3"/>
        <v>0</v>
      </c>
    </row>
    <row r="110" spans="1:16" x14ac:dyDescent="0.3">
      <c r="A110" s="2" t="s">
        <v>76</v>
      </c>
      <c r="B110" s="2" t="s">
        <v>44</v>
      </c>
      <c r="C110" s="2" t="s">
        <v>34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8">
        <f t="shared" si="3"/>
        <v>0</v>
      </c>
    </row>
    <row r="111" spans="1:16" x14ac:dyDescent="0.3">
      <c r="A111" s="2" t="s">
        <v>76</v>
      </c>
      <c r="B111" s="2" t="s">
        <v>44</v>
      </c>
      <c r="C111" s="2" t="s">
        <v>35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8">
        <f t="shared" si="3"/>
        <v>0</v>
      </c>
    </row>
    <row r="112" spans="1:16" x14ac:dyDescent="0.3">
      <c r="A112" s="2" t="s">
        <v>76</v>
      </c>
      <c r="B112" s="2" t="s">
        <v>44</v>
      </c>
      <c r="C112" s="2" t="s">
        <v>36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8">
        <f t="shared" si="3"/>
        <v>0</v>
      </c>
    </row>
    <row r="113" spans="1:16" x14ac:dyDescent="0.3">
      <c r="A113" s="2" t="s">
        <v>76</v>
      </c>
      <c r="B113" s="2" t="s">
        <v>44</v>
      </c>
      <c r="C113" s="2" t="s">
        <v>37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8">
        <f t="shared" si="3"/>
        <v>0</v>
      </c>
    </row>
    <row r="114" spans="1:16" x14ac:dyDescent="0.3">
      <c r="A114" s="2" t="s">
        <v>76</v>
      </c>
      <c r="B114" s="2" t="s">
        <v>44</v>
      </c>
      <c r="C114" s="2" t="s">
        <v>38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8">
        <f t="shared" si="3"/>
        <v>0</v>
      </c>
    </row>
    <row r="115" spans="1:16" x14ac:dyDescent="0.3">
      <c r="A115" s="2" t="s">
        <v>76</v>
      </c>
      <c r="B115" s="2" t="s">
        <v>44</v>
      </c>
      <c r="C115" s="2" t="s">
        <v>39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8">
        <f t="shared" si="3"/>
        <v>0</v>
      </c>
    </row>
    <row r="116" spans="1:16" x14ac:dyDescent="0.3">
      <c r="A116" s="2" t="s">
        <v>76</v>
      </c>
      <c r="B116" s="2" t="s">
        <v>44</v>
      </c>
      <c r="C116" s="2" t="s">
        <v>40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8">
        <f t="shared" si="3"/>
        <v>0</v>
      </c>
    </row>
    <row r="117" spans="1:16" x14ac:dyDescent="0.3">
      <c r="A117" s="2" t="s">
        <v>76</v>
      </c>
      <c r="B117" s="2" t="s">
        <v>45</v>
      </c>
      <c r="C117" s="2" t="s">
        <v>18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8">
        <f t="shared" si="3"/>
        <v>0</v>
      </c>
    </row>
    <row r="118" spans="1:16" x14ac:dyDescent="0.3">
      <c r="A118" s="2" t="s">
        <v>76</v>
      </c>
      <c r="B118" s="2" t="s">
        <v>45</v>
      </c>
      <c r="C118" s="2" t="s">
        <v>19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8">
        <f t="shared" si="3"/>
        <v>0</v>
      </c>
    </row>
    <row r="119" spans="1:16" x14ac:dyDescent="0.3">
      <c r="A119" s="2" t="s">
        <v>76</v>
      </c>
      <c r="B119" s="2" t="s">
        <v>45</v>
      </c>
      <c r="C119" s="2" t="s">
        <v>20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8">
        <f t="shared" si="3"/>
        <v>0</v>
      </c>
    </row>
    <row r="120" spans="1:16" x14ac:dyDescent="0.3">
      <c r="A120" s="2" t="s">
        <v>76</v>
      </c>
      <c r="B120" s="2" t="s">
        <v>45</v>
      </c>
      <c r="C120" s="2" t="s">
        <v>21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8">
        <f t="shared" si="3"/>
        <v>0</v>
      </c>
    </row>
    <row r="121" spans="1:16" x14ac:dyDescent="0.3">
      <c r="A121" s="2" t="s">
        <v>76</v>
      </c>
      <c r="B121" s="2" t="s">
        <v>45</v>
      </c>
      <c r="C121" s="2" t="s">
        <v>22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8">
        <f t="shared" si="3"/>
        <v>0</v>
      </c>
    </row>
    <row r="122" spans="1:16" x14ac:dyDescent="0.3">
      <c r="A122" s="2" t="s">
        <v>76</v>
      </c>
      <c r="B122" s="2" t="s">
        <v>45</v>
      </c>
      <c r="C122" s="2" t="s">
        <v>23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8">
        <f t="shared" si="3"/>
        <v>0</v>
      </c>
    </row>
    <row r="123" spans="1:16" x14ac:dyDescent="0.3">
      <c r="A123" s="2" t="s">
        <v>76</v>
      </c>
      <c r="B123" s="2" t="s">
        <v>45</v>
      </c>
      <c r="C123" s="2" t="s">
        <v>24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8">
        <f t="shared" si="3"/>
        <v>0</v>
      </c>
    </row>
    <row r="124" spans="1:16" x14ac:dyDescent="0.3">
      <c r="A124" s="2" t="s">
        <v>76</v>
      </c>
      <c r="B124" s="2" t="s">
        <v>45</v>
      </c>
      <c r="C124" s="2" t="s">
        <v>25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8">
        <f t="shared" si="3"/>
        <v>0</v>
      </c>
    </row>
    <row r="125" spans="1:16" x14ac:dyDescent="0.3">
      <c r="A125" s="2" t="s">
        <v>76</v>
      </c>
      <c r="B125" s="2" t="s">
        <v>45</v>
      </c>
      <c r="C125" s="2" t="s">
        <v>26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8">
        <f t="shared" si="3"/>
        <v>0</v>
      </c>
    </row>
    <row r="126" spans="1:16" x14ac:dyDescent="0.3">
      <c r="A126" s="2" t="s">
        <v>76</v>
      </c>
      <c r="B126" s="2" t="s">
        <v>45</v>
      </c>
      <c r="C126" s="2" t="s">
        <v>27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8">
        <f t="shared" ref="P126:P157" si="4">SUM(D126:O126)</f>
        <v>0</v>
      </c>
    </row>
    <row r="127" spans="1:16" x14ac:dyDescent="0.3">
      <c r="A127" s="2" t="s">
        <v>76</v>
      </c>
      <c r="B127" s="2" t="s">
        <v>45</v>
      </c>
      <c r="C127" s="2" t="s">
        <v>28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8">
        <f t="shared" si="4"/>
        <v>0</v>
      </c>
    </row>
    <row r="128" spans="1:16" x14ac:dyDescent="0.3">
      <c r="A128" s="2" t="s">
        <v>76</v>
      </c>
      <c r="B128" s="2" t="s">
        <v>45</v>
      </c>
      <c r="C128" s="2" t="s">
        <v>29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8">
        <f t="shared" si="4"/>
        <v>0</v>
      </c>
    </row>
    <row r="129" spans="1:16" x14ac:dyDescent="0.3">
      <c r="A129" s="2" t="s">
        <v>76</v>
      </c>
      <c r="B129" s="2" t="s">
        <v>45</v>
      </c>
      <c r="C129" s="2" t="s">
        <v>30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8">
        <f t="shared" si="4"/>
        <v>0</v>
      </c>
    </row>
    <row r="130" spans="1:16" x14ac:dyDescent="0.3">
      <c r="A130" s="2" t="s">
        <v>76</v>
      </c>
      <c r="B130" s="2" t="s">
        <v>45</v>
      </c>
      <c r="C130" s="2" t="s">
        <v>31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8">
        <f t="shared" si="4"/>
        <v>0</v>
      </c>
    </row>
    <row r="131" spans="1:16" x14ac:dyDescent="0.3">
      <c r="A131" s="2" t="s">
        <v>76</v>
      </c>
      <c r="B131" s="2" t="s">
        <v>45</v>
      </c>
      <c r="C131" s="2" t="s">
        <v>32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8">
        <f t="shared" si="4"/>
        <v>0</v>
      </c>
    </row>
    <row r="132" spans="1:16" x14ac:dyDescent="0.3">
      <c r="A132" s="2" t="s">
        <v>76</v>
      </c>
      <c r="B132" s="2" t="s">
        <v>45</v>
      </c>
      <c r="C132" s="2" t="s">
        <v>33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8">
        <f t="shared" si="4"/>
        <v>0</v>
      </c>
    </row>
    <row r="133" spans="1:16" x14ac:dyDescent="0.3">
      <c r="A133" s="2" t="s">
        <v>76</v>
      </c>
      <c r="B133" s="2" t="s">
        <v>45</v>
      </c>
      <c r="C133" s="2" t="s">
        <v>34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8">
        <f t="shared" si="4"/>
        <v>0</v>
      </c>
    </row>
    <row r="134" spans="1:16" x14ac:dyDescent="0.3">
      <c r="A134" s="2" t="s">
        <v>76</v>
      </c>
      <c r="B134" s="2" t="s">
        <v>45</v>
      </c>
      <c r="C134" s="2" t="s">
        <v>35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8">
        <f t="shared" si="4"/>
        <v>0</v>
      </c>
    </row>
    <row r="135" spans="1:16" x14ac:dyDescent="0.3">
      <c r="A135" s="2" t="s">
        <v>76</v>
      </c>
      <c r="B135" s="2" t="s">
        <v>45</v>
      </c>
      <c r="C135" s="2" t="s">
        <v>36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8">
        <f t="shared" si="4"/>
        <v>0</v>
      </c>
    </row>
    <row r="136" spans="1:16" x14ac:dyDescent="0.3">
      <c r="A136" s="2" t="s">
        <v>76</v>
      </c>
      <c r="B136" s="2" t="s">
        <v>45</v>
      </c>
      <c r="C136" s="2" t="s">
        <v>37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8">
        <f t="shared" si="4"/>
        <v>0</v>
      </c>
    </row>
    <row r="137" spans="1:16" x14ac:dyDescent="0.3">
      <c r="A137" s="2" t="s">
        <v>76</v>
      </c>
      <c r="B137" s="2" t="s">
        <v>45</v>
      </c>
      <c r="C137" s="2" t="s">
        <v>38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8">
        <f t="shared" si="4"/>
        <v>0</v>
      </c>
    </row>
    <row r="138" spans="1:16" x14ac:dyDescent="0.3">
      <c r="A138" s="2" t="s">
        <v>76</v>
      </c>
      <c r="B138" s="2" t="s">
        <v>45</v>
      </c>
      <c r="C138" s="2" t="s">
        <v>39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8">
        <f t="shared" si="4"/>
        <v>0</v>
      </c>
    </row>
    <row r="139" spans="1:16" x14ac:dyDescent="0.3">
      <c r="A139" s="2" t="s">
        <v>76</v>
      </c>
      <c r="B139" s="2" t="s">
        <v>45</v>
      </c>
      <c r="C139" s="2" t="s">
        <v>40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8">
        <f t="shared" si="4"/>
        <v>0</v>
      </c>
    </row>
    <row r="140" spans="1:16" x14ac:dyDescent="0.3">
      <c r="A140" s="2" t="s">
        <v>76</v>
      </c>
      <c r="B140" s="2" t="s">
        <v>46</v>
      </c>
      <c r="C140" s="2" t="s">
        <v>18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8">
        <f t="shared" si="4"/>
        <v>0</v>
      </c>
    </row>
    <row r="141" spans="1:16" x14ac:dyDescent="0.3">
      <c r="A141" s="2" t="s">
        <v>76</v>
      </c>
      <c r="B141" s="2" t="s">
        <v>46</v>
      </c>
      <c r="C141" s="2" t="s">
        <v>19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8">
        <f t="shared" si="4"/>
        <v>0</v>
      </c>
    </row>
    <row r="142" spans="1:16" x14ac:dyDescent="0.3">
      <c r="A142" s="2" t="s">
        <v>76</v>
      </c>
      <c r="B142" s="2" t="s">
        <v>46</v>
      </c>
      <c r="C142" s="2" t="s">
        <v>20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8">
        <f t="shared" si="4"/>
        <v>0</v>
      </c>
    </row>
    <row r="143" spans="1:16" x14ac:dyDescent="0.3">
      <c r="A143" s="2" t="s">
        <v>76</v>
      </c>
      <c r="B143" s="2" t="s">
        <v>46</v>
      </c>
      <c r="C143" s="2" t="s">
        <v>21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8">
        <f t="shared" si="4"/>
        <v>0</v>
      </c>
    </row>
    <row r="144" spans="1:16" x14ac:dyDescent="0.3">
      <c r="A144" s="2" t="s">
        <v>76</v>
      </c>
      <c r="B144" s="2" t="s">
        <v>46</v>
      </c>
      <c r="C144" s="2" t="s">
        <v>22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8">
        <f t="shared" si="4"/>
        <v>0</v>
      </c>
    </row>
    <row r="145" spans="1:16" x14ac:dyDescent="0.3">
      <c r="A145" s="2" t="s">
        <v>76</v>
      </c>
      <c r="B145" s="2" t="s">
        <v>46</v>
      </c>
      <c r="C145" s="2" t="s">
        <v>23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8">
        <f t="shared" si="4"/>
        <v>0</v>
      </c>
    </row>
    <row r="146" spans="1:16" x14ac:dyDescent="0.3">
      <c r="A146" s="2" t="s">
        <v>76</v>
      </c>
      <c r="B146" s="2" t="s">
        <v>46</v>
      </c>
      <c r="C146" s="2" t="s">
        <v>24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8">
        <f t="shared" si="4"/>
        <v>0</v>
      </c>
    </row>
    <row r="147" spans="1:16" x14ac:dyDescent="0.3">
      <c r="A147" s="2" t="s">
        <v>76</v>
      </c>
      <c r="B147" s="2" t="s">
        <v>46</v>
      </c>
      <c r="C147" s="2" t="s">
        <v>25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8">
        <f t="shared" si="4"/>
        <v>0</v>
      </c>
    </row>
    <row r="148" spans="1:16" x14ac:dyDescent="0.3">
      <c r="A148" s="2" t="s">
        <v>76</v>
      </c>
      <c r="B148" s="2" t="s">
        <v>46</v>
      </c>
      <c r="C148" s="2" t="s">
        <v>26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8">
        <f t="shared" si="4"/>
        <v>0</v>
      </c>
    </row>
    <row r="149" spans="1:16" x14ac:dyDescent="0.3">
      <c r="A149" s="2" t="s">
        <v>76</v>
      </c>
      <c r="B149" s="2" t="s">
        <v>46</v>
      </c>
      <c r="C149" s="2" t="s">
        <v>27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8">
        <f t="shared" si="4"/>
        <v>0</v>
      </c>
    </row>
    <row r="150" spans="1:16" x14ac:dyDescent="0.3">
      <c r="A150" s="2" t="s">
        <v>76</v>
      </c>
      <c r="B150" s="2" t="s">
        <v>46</v>
      </c>
      <c r="C150" s="2" t="s">
        <v>28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8">
        <f t="shared" si="4"/>
        <v>0</v>
      </c>
    </row>
    <row r="151" spans="1:16" x14ac:dyDescent="0.3">
      <c r="A151" s="2" t="s">
        <v>76</v>
      </c>
      <c r="B151" s="2" t="s">
        <v>46</v>
      </c>
      <c r="C151" s="2" t="s">
        <v>29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8">
        <f t="shared" si="4"/>
        <v>0</v>
      </c>
    </row>
    <row r="152" spans="1:16" x14ac:dyDescent="0.3">
      <c r="A152" s="2" t="s">
        <v>76</v>
      </c>
      <c r="B152" s="2" t="s">
        <v>46</v>
      </c>
      <c r="C152" s="2" t="s">
        <v>30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8">
        <f t="shared" si="4"/>
        <v>0</v>
      </c>
    </row>
    <row r="153" spans="1:16" x14ac:dyDescent="0.3">
      <c r="A153" s="2" t="s">
        <v>76</v>
      </c>
      <c r="B153" s="2" t="s">
        <v>46</v>
      </c>
      <c r="C153" s="2" t="s">
        <v>31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8">
        <f t="shared" si="4"/>
        <v>0</v>
      </c>
    </row>
    <row r="154" spans="1:16" x14ac:dyDescent="0.3">
      <c r="A154" s="2" t="s">
        <v>76</v>
      </c>
      <c r="B154" s="2" t="s">
        <v>46</v>
      </c>
      <c r="C154" s="2" t="s">
        <v>32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8">
        <f t="shared" si="4"/>
        <v>0</v>
      </c>
    </row>
    <row r="155" spans="1:16" x14ac:dyDescent="0.3">
      <c r="A155" s="2" t="s">
        <v>76</v>
      </c>
      <c r="B155" s="2" t="s">
        <v>46</v>
      </c>
      <c r="C155" s="2" t="s">
        <v>33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8">
        <f t="shared" si="4"/>
        <v>0</v>
      </c>
    </row>
    <row r="156" spans="1:16" x14ac:dyDescent="0.3">
      <c r="A156" s="2" t="s">
        <v>76</v>
      </c>
      <c r="B156" s="2" t="s">
        <v>46</v>
      </c>
      <c r="C156" s="2" t="s">
        <v>34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8">
        <f t="shared" si="4"/>
        <v>0</v>
      </c>
    </row>
    <row r="157" spans="1:16" x14ac:dyDescent="0.3">
      <c r="A157" s="2" t="s">
        <v>76</v>
      </c>
      <c r="B157" s="2" t="s">
        <v>46</v>
      </c>
      <c r="C157" s="2" t="s">
        <v>35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8">
        <f t="shared" si="4"/>
        <v>0</v>
      </c>
    </row>
    <row r="158" spans="1:16" x14ac:dyDescent="0.3">
      <c r="A158" s="2" t="s">
        <v>76</v>
      </c>
      <c r="B158" s="2" t="s">
        <v>46</v>
      </c>
      <c r="C158" s="2" t="s">
        <v>36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8">
        <f t="shared" ref="P158:P189" si="5">SUM(D158:O158)</f>
        <v>0</v>
      </c>
    </row>
    <row r="159" spans="1:16" x14ac:dyDescent="0.3">
      <c r="A159" s="2" t="s">
        <v>76</v>
      </c>
      <c r="B159" s="2" t="s">
        <v>46</v>
      </c>
      <c r="C159" s="2" t="s">
        <v>37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8">
        <f t="shared" si="5"/>
        <v>0</v>
      </c>
    </row>
    <row r="160" spans="1:16" x14ac:dyDescent="0.3">
      <c r="A160" s="2" t="s">
        <v>76</v>
      </c>
      <c r="B160" s="2" t="s">
        <v>46</v>
      </c>
      <c r="C160" s="2" t="s">
        <v>38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8">
        <f t="shared" si="5"/>
        <v>0</v>
      </c>
    </row>
    <row r="161" spans="1:16" x14ac:dyDescent="0.3">
      <c r="A161" s="2" t="s">
        <v>76</v>
      </c>
      <c r="B161" s="2" t="s">
        <v>46</v>
      </c>
      <c r="C161" s="2" t="s">
        <v>39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8">
        <f t="shared" si="5"/>
        <v>0</v>
      </c>
    </row>
    <row r="162" spans="1:16" x14ac:dyDescent="0.3">
      <c r="A162" s="2" t="s">
        <v>76</v>
      </c>
      <c r="B162" s="2" t="s">
        <v>46</v>
      </c>
      <c r="C162" s="2" t="s">
        <v>40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8">
        <f t="shared" si="5"/>
        <v>0</v>
      </c>
    </row>
    <row r="163" spans="1:16" x14ac:dyDescent="0.3">
      <c r="A163" s="2" t="s">
        <v>76</v>
      </c>
      <c r="B163" s="2" t="s">
        <v>47</v>
      </c>
      <c r="C163" s="2" t="s">
        <v>18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8">
        <f t="shared" si="5"/>
        <v>0</v>
      </c>
    </row>
    <row r="164" spans="1:16" x14ac:dyDescent="0.3">
      <c r="A164" s="2" t="s">
        <v>76</v>
      </c>
      <c r="B164" s="2" t="s">
        <v>47</v>
      </c>
      <c r="C164" s="2" t="s">
        <v>19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8">
        <f t="shared" si="5"/>
        <v>0</v>
      </c>
    </row>
    <row r="165" spans="1:16" x14ac:dyDescent="0.3">
      <c r="A165" s="2" t="s">
        <v>76</v>
      </c>
      <c r="B165" s="2" t="s">
        <v>47</v>
      </c>
      <c r="C165" s="2" t="s">
        <v>20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8">
        <f t="shared" si="5"/>
        <v>0</v>
      </c>
    </row>
    <row r="166" spans="1:16" x14ac:dyDescent="0.3">
      <c r="A166" s="2" t="s">
        <v>76</v>
      </c>
      <c r="B166" s="2" t="s">
        <v>47</v>
      </c>
      <c r="C166" s="2" t="s">
        <v>21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8">
        <f t="shared" si="5"/>
        <v>0</v>
      </c>
    </row>
    <row r="167" spans="1:16" x14ac:dyDescent="0.3">
      <c r="A167" s="2" t="s">
        <v>76</v>
      </c>
      <c r="B167" s="2" t="s">
        <v>47</v>
      </c>
      <c r="C167" s="2" t="s">
        <v>22</v>
      </c>
      <c r="D167" s="7">
        <v>0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8">
        <f t="shared" si="5"/>
        <v>0</v>
      </c>
    </row>
    <row r="168" spans="1:16" x14ac:dyDescent="0.3">
      <c r="A168" s="2" t="s">
        <v>76</v>
      </c>
      <c r="B168" s="2" t="s">
        <v>47</v>
      </c>
      <c r="C168" s="2" t="s">
        <v>23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8">
        <f t="shared" si="5"/>
        <v>0</v>
      </c>
    </row>
    <row r="169" spans="1:16" x14ac:dyDescent="0.3">
      <c r="A169" s="2" t="s">
        <v>76</v>
      </c>
      <c r="B169" s="2" t="s">
        <v>47</v>
      </c>
      <c r="C169" s="2" t="s">
        <v>24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8">
        <f t="shared" si="5"/>
        <v>0</v>
      </c>
    </row>
    <row r="170" spans="1:16" x14ac:dyDescent="0.3">
      <c r="A170" s="2" t="s">
        <v>76</v>
      </c>
      <c r="B170" s="2" t="s">
        <v>47</v>
      </c>
      <c r="C170" s="2" t="s">
        <v>25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8">
        <f t="shared" si="5"/>
        <v>0</v>
      </c>
    </row>
    <row r="171" spans="1:16" x14ac:dyDescent="0.3">
      <c r="A171" s="2" t="s">
        <v>76</v>
      </c>
      <c r="B171" s="2" t="s">
        <v>47</v>
      </c>
      <c r="C171" s="2" t="s">
        <v>26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8">
        <f t="shared" si="5"/>
        <v>0</v>
      </c>
    </row>
    <row r="172" spans="1:16" x14ac:dyDescent="0.3">
      <c r="A172" s="2" t="s">
        <v>76</v>
      </c>
      <c r="B172" s="2" t="s">
        <v>47</v>
      </c>
      <c r="C172" s="2" t="s">
        <v>27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8">
        <f t="shared" si="5"/>
        <v>0</v>
      </c>
    </row>
    <row r="173" spans="1:16" x14ac:dyDescent="0.3">
      <c r="A173" s="2" t="s">
        <v>76</v>
      </c>
      <c r="B173" s="2" t="s">
        <v>47</v>
      </c>
      <c r="C173" s="2" t="s">
        <v>28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8">
        <f t="shared" si="5"/>
        <v>0</v>
      </c>
    </row>
    <row r="174" spans="1:16" x14ac:dyDescent="0.3">
      <c r="A174" s="2" t="s">
        <v>76</v>
      </c>
      <c r="B174" s="2" t="s">
        <v>47</v>
      </c>
      <c r="C174" s="2" t="s">
        <v>29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8">
        <f t="shared" si="5"/>
        <v>0</v>
      </c>
    </row>
    <row r="175" spans="1:16" x14ac:dyDescent="0.3">
      <c r="A175" s="2" t="s">
        <v>76</v>
      </c>
      <c r="B175" s="2" t="s">
        <v>47</v>
      </c>
      <c r="C175" s="2" t="s">
        <v>30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8">
        <f t="shared" si="5"/>
        <v>0</v>
      </c>
    </row>
    <row r="176" spans="1:16" x14ac:dyDescent="0.3">
      <c r="A176" s="2" t="s">
        <v>76</v>
      </c>
      <c r="B176" s="2" t="s">
        <v>47</v>
      </c>
      <c r="C176" s="2" t="s">
        <v>31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8">
        <f t="shared" si="5"/>
        <v>0</v>
      </c>
    </row>
    <row r="177" spans="1:16" x14ac:dyDescent="0.3">
      <c r="A177" s="2" t="s">
        <v>76</v>
      </c>
      <c r="B177" s="2" t="s">
        <v>47</v>
      </c>
      <c r="C177" s="2" t="s">
        <v>32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8">
        <f t="shared" si="5"/>
        <v>0</v>
      </c>
    </row>
    <row r="178" spans="1:16" x14ac:dyDescent="0.3">
      <c r="A178" s="2" t="s">
        <v>76</v>
      </c>
      <c r="B178" s="2" t="s">
        <v>47</v>
      </c>
      <c r="C178" s="2" t="s">
        <v>33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8">
        <f t="shared" si="5"/>
        <v>0</v>
      </c>
    </row>
    <row r="179" spans="1:16" x14ac:dyDescent="0.3">
      <c r="A179" s="2" t="s">
        <v>76</v>
      </c>
      <c r="B179" s="2" t="s">
        <v>47</v>
      </c>
      <c r="C179" s="2" t="s">
        <v>34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8">
        <f t="shared" si="5"/>
        <v>0</v>
      </c>
    </row>
    <row r="180" spans="1:16" x14ac:dyDescent="0.3">
      <c r="A180" s="2" t="s">
        <v>76</v>
      </c>
      <c r="B180" s="2" t="s">
        <v>47</v>
      </c>
      <c r="C180" s="2" t="s">
        <v>35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8">
        <f t="shared" si="5"/>
        <v>0</v>
      </c>
    </row>
    <row r="181" spans="1:16" x14ac:dyDescent="0.3">
      <c r="A181" s="2" t="s">
        <v>76</v>
      </c>
      <c r="B181" s="2" t="s">
        <v>47</v>
      </c>
      <c r="C181" s="2" t="s">
        <v>36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8">
        <f t="shared" si="5"/>
        <v>0</v>
      </c>
    </row>
    <row r="182" spans="1:16" x14ac:dyDescent="0.3">
      <c r="A182" s="2" t="s">
        <v>76</v>
      </c>
      <c r="B182" s="2" t="s">
        <v>47</v>
      </c>
      <c r="C182" s="2" t="s">
        <v>37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8">
        <f t="shared" si="5"/>
        <v>0</v>
      </c>
    </row>
    <row r="183" spans="1:16" x14ac:dyDescent="0.3">
      <c r="A183" s="2" t="s">
        <v>76</v>
      </c>
      <c r="B183" s="2" t="s">
        <v>47</v>
      </c>
      <c r="C183" s="2" t="s">
        <v>38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8">
        <f t="shared" si="5"/>
        <v>0</v>
      </c>
    </row>
    <row r="184" spans="1:16" x14ac:dyDescent="0.3">
      <c r="A184" s="2" t="s">
        <v>76</v>
      </c>
      <c r="B184" s="2" t="s">
        <v>47</v>
      </c>
      <c r="C184" s="2" t="s">
        <v>39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8">
        <f t="shared" si="5"/>
        <v>0</v>
      </c>
    </row>
    <row r="185" spans="1:16" x14ac:dyDescent="0.3">
      <c r="A185" s="2" t="s">
        <v>76</v>
      </c>
      <c r="B185" s="2" t="s">
        <v>47</v>
      </c>
      <c r="C185" s="2" t="s">
        <v>40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8">
        <f t="shared" si="5"/>
        <v>0</v>
      </c>
    </row>
    <row r="186" spans="1:16" x14ac:dyDescent="0.3">
      <c r="A186" s="2" t="s">
        <v>76</v>
      </c>
      <c r="B186" s="2" t="s">
        <v>48</v>
      </c>
      <c r="C186" s="2" t="s">
        <v>18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8">
        <f t="shared" si="5"/>
        <v>0</v>
      </c>
    </row>
    <row r="187" spans="1:16" x14ac:dyDescent="0.3">
      <c r="A187" s="2" t="s">
        <v>76</v>
      </c>
      <c r="B187" s="2" t="s">
        <v>48</v>
      </c>
      <c r="C187" s="2" t="s">
        <v>19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8">
        <f t="shared" si="5"/>
        <v>0</v>
      </c>
    </row>
    <row r="188" spans="1:16" x14ac:dyDescent="0.3">
      <c r="A188" s="2" t="s">
        <v>76</v>
      </c>
      <c r="B188" s="2" t="s">
        <v>48</v>
      </c>
      <c r="C188" s="2" t="s">
        <v>20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8">
        <f t="shared" si="5"/>
        <v>0</v>
      </c>
    </row>
    <row r="189" spans="1:16" x14ac:dyDescent="0.3">
      <c r="A189" s="2" t="s">
        <v>76</v>
      </c>
      <c r="B189" s="2" t="s">
        <v>48</v>
      </c>
      <c r="C189" s="2" t="s">
        <v>21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8">
        <f t="shared" si="5"/>
        <v>0</v>
      </c>
    </row>
    <row r="190" spans="1:16" x14ac:dyDescent="0.3">
      <c r="A190" s="2" t="s">
        <v>76</v>
      </c>
      <c r="B190" s="2" t="s">
        <v>48</v>
      </c>
      <c r="C190" s="2" t="s">
        <v>22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8">
        <f t="shared" ref="P190:P221" si="6">SUM(D190:O190)</f>
        <v>0</v>
      </c>
    </row>
    <row r="191" spans="1:16" x14ac:dyDescent="0.3">
      <c r="A191" s="2" t="s">
        <v>76</v>
      </c>
      <c r="B191" s="2" t="s">
        <v>48</v>
      </c>
      <c r="C191" s="2" t="s">
        <v>23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8">
        <f t="shared" si="6"/>
        <v>0</v>
      </c>
    </row>
    <row r="192" spans="1:16" x14ac:dyDescent="0.3">
      <c r="A192" s="2" t="s">
        <v>76</v>
      </c>
      <c r="B192" s="2" t="s">
        <v>48</v>
      </c>
      <c r="C192" s="2" t="s">
        <v>24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8">
        <f t="shared" si="6"/>
        <v>0</v>
      </c>
    </row>
    <row r="193" spans="1:16" x14ac:dyDescent="0.3">
      <c r="A193" s="2" t="s">
        <v>76</v>
      </c>
      <c r="B193" s="2" t="s">
        <v>48</v>
      </c>
      <c r="C193" s="2" t="s">
        <v>25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8">
        <f t="shared" si="6"/>
        <v>0</v>
      </c>
    </row>
    <row r="194" spans="1:16" x14ac:dyDescent="0.3">
      <c r="A194" s="2" t="s">
        <v>76</v>
      </c>
      <c r="B194" s="2" t="s">
        <v>48</v>
      </c>
      <c r="C194" s="2" t="s">
        <v>26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8">
        <f t="shared" si="6"/>
        <v>0</v>
      </c>
    </row>
    <row r="195" spans="1:16" x14ac:dyDescent="0.3">
      <c r="A195" s="2" t="s">
        <v>76</v>
      </c>
      <c r="B195" s="2" t="s">
        <v>48</v>
      </c>
      <c r="C195" s="2" t="s">
        <v>27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8">
        <f t="shared" si="6"/>
        <v>0</v>
      </c>
    </row>
    <row r="196" spans="1:16" x14ac:dyDescent="0.3">
      <c r="A196" s="2" t="s">
        <v>76</v>
      </c>
      <c r="B196" s="2" t="s">
        <v>48</v>
      </c>
      <c r="C196" s="2" t="s">
        <v>28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8">
        <f t="shared" si="6"/>
        <v>0</v>
      </c>
    </row>
    <row r="197" spans="1:16" x14ac:dyDescent="0.3">
      <c r="A197" s="2" t="s">
        <v>76</v>
      </c>
      <c r="B197" s="2" t="s">
        <v>48</v>
      </c>
      <c r="C197" s="2" t="s">
        <v>29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8">
        <f t="shared" si="6"/>
        <v>0</v>
      </c>
    </row>
    <row r="198" spans="1:16" x14ac:dyDescent="0.3">
      <c r="A198" s="2" t="s">
        <v>76</v>
      </c>
      <c r="B198" s="2" t="s">
        <v>48</v>
      </c>
      <c r="C198" s="2" t="s">
        <v>30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8">
        <f t="shared" si="6"/>
        <v>0</v>
      </c>
    </row>
    <row r="199" spans="1:16" x14ac:dyDescent="0.3">
      <c r="A199" s="2" t="s">
        <v>76</v>
      </c>
      <c r="B199" s="2" t="s">
        <v>48</v>
      </c>
      <c r="C199" s="2" t="s">
        <v>31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8">
        <f t="shared" si="6"/>
        <v>0</v>
      </c>
    </row>
    <row r="200" spans="1:16" x14ac:dyDescent="0.3">
      <c r="A200" s="2" t="s">
        <v>76</v>
      </c>
      <c r="B200" s="2" t="s">
        <v>48</v>
      </c>
      <c r="C200" s="2" t="s">
        <v>32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8">
        <f t="shared" si="6"/>
        <v>0</v>
      </c>
    </row>
    <row r="201" spans="1:16" x14ac:dyDescent="0.3">
      <c r="A201" s="2" t="s">
        <v>76</v>
      </c>
      <c r="B201" s="2" t="s">
        <v>48</v>
      </c>
      <c r="C201" s="2" t="s">
        <v>33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8">
        <f t="shared" si="6"/>
        <v>0</v>
      </c>
    </row>
    <row r="202" spans="1:16" x14ac:dyDescent="0.3">
      <c r="A202" s="2" t="s">
        <v>76</v>
      </c>
      <c r="B202" s="2" t="s">
        <v>48</v>
      </c>
      <c r="C202" s="2" t="s">
        <v>34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8">
        <f t="shared" si="6"/>
        <v>0</v>
      </c>
    </row>
    <row r="203" spans="1:16" x14ac:dyDescent="0.3">
      <c r="A203" s="2" t="s">
        <v>76</v>
      </c>
      <c r="B203" s="2" t="s">
        <v>48</v>
      </c>
      <c r="C203" s="2" t="s">
        <v>35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8">
        <f t="shared" si="6"/>
        <v>0</v>
      </c>
    </row>
    <row r="204" spans="1:16" x14ac:dyDescent="0.3">
      <c r="A204" s="2" t="s">
        <v>76</v>
      </c>
      <c r="B204" s="2" t="s">
        <v>48</v>
      </c>
      <c r="C204" s="2" t="s">
        <v>36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8">
        <f t="shared" si="6"/>
        <v>0</v>
      </c>
    </row>
    <row r="205" spans="1:16" x14ac:dyDescent="0.3">
      <c r="A205" s="2" t="s">
        <v>76</v>
      </c>
      <c r="B205" s="2" t="s">
        <v>48</v>
      </c>
      <c r="C205" s="2" t="s">
        <v>37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8">
        <f t="shared" si="6"/>
        <v>0</v>
      </c>
    </row>
    <row r="206" spans="1:16" x14ac:dyDescent="0.3">
      <c r="A206" s="2" t="s">
        <v>76</v>
      </c>
      <c r="B206" s="2" t="s">
        <v>48</v>
      </c>
      <c r="C206" s="2" t="s">
        <v>38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8">
        <f t="shared" si="6"/>
        <v>0</v>
      </c>
    </row>
    <row r="207" spans="1:16" x14ac:dyDescent="0.3">
      <c r="A207" s="2" t="s">
        <v>76</v>
      </c>
      <c r="B207" s="2" t="s">
        <v>48</v>
      </c>
      <c r="C207" s="2" t="s">
        <v>39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8">
        <f t="shared" si="6"/>
        <v>0</v>
      </c>
    </row>
    <row r="208" spans="1:16" x14ac:dyDescent="0.3">
      <c r="A208" s="2" t="s">
        <v>76</v>
      </c>
      <c r="B208" s="2" t="s">
        <v>48</v>
      </c>
      <c r="C208" s="2" t="s">
        <v>40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8">
        <f t="shared" si="6"/>
        <v>0</v>
      </c>
    </row>
    <row r="209" spans="1:16" x14ac:dyDescent="0.3">
      <c r="A209" s="2" t="s">
        <v>76</v>
      </c>
      <c r="B209" s="2" t="s">
        <v>49</v>
      </c>
      <c r="C209" s="2" t="s">
        <v>18</v>
      </c>
      <c r="D209" s="7">
        <f t="shared" ref="D209:O209" si="7">D140+D163</f>
        <v>0</v>
      </c>
      <c r="E209" s="7">
        <f t="shared" si="7"/>
        <v>0</v>
      </c>
      <c r="F209" s="7">
        <f t="shared" si="7"/>
        <v>0</v>
      </c>
      <c r="G209" s="7">
        <f t="shared" si="7"/>
        <v>0</v>
      </c>
      <c r="H209" s="7">
        <f t="shared" si="7"/>
        <v>0</v>
      </c>
      <c r="I209" s="7">
        <f t="shared" si="7"/>
        <v>0</v>
      </c>
      <c r="J209" s="7">
        <f t="shared" si="7"/>
        <v>0</v>
      </c>
      <c r="K209" s="7">
        <f t="shared" si="7"/>
        <v>0</v>
      </c>
      <c r="L209" s="7">
        <f t="shared" si="7"/>
        <v>0</v>
      </c>
      <c r="M209" s="7">
        <f t="shared" si="7"/>
        <v>0</v>
      </c>
      <c r="N209" s="7">
        <f t="shared" si="7"/>
        <v>0</v>
      </c>
      <c r="O209" s="7">
        <f t="shared" si="7"/>
        <v>0</v>
      </c>
      <c r="P209" s="8">
        <f t="shared" si="6"/>
        <v>0</v>
      </c>
    </row>
    <row r="210" spans="1:16" x14ac:dyDescent="0.3">
      <c r="A210" s="2" t="s">
        <v>76</v>
      </c>
      <c r="B210" s="2" t="s">
        <v>49</v>
      </c>
      <c r="C210" s="2" t="s">
        <v>19</v>
      </c>
      <c r="D210" s="7">
        <f t="shared" ref="D210:O210" si="8">D141+D164</f>
        <v>0</v>
      </c>
      <c r="E210" s="7">
        <f t="shared" si="8"/>
        <v>0</v>
      </c>
      <c r="F210" s="7">
        <f t="shared" si="8"/>
        <v>0</v>
      </c>
      <c r="G210" s="7">
        <f t="shared" si="8"/>
        <v>0</v>
      </c>
      <c r="H210" s="7">
        <f t="shared" si="8"/>
        <v>0</v>
      </c>
      <c r="I210" s="7">
        <f t="shared" si="8"/>
        <v>0</v>
      </c>
      <c r="J210" s="7">
        <f t="shared" si="8"/>
        <v>0</v>
      </c>
      <c r="K210" s="7">
        <f t="shared" si="8"/>
        <v>0</v>
      </c>
      <c r="L210" s="7">
        <f t="shared" si="8"/>
        <v>0</v>
      </c>
      <c r="M210" s="7">
        <f t="shared" si="8"/>
        <v>0</v>
      </c>
      <c r="N210" s="7">
        <f t="shared" si="8"/>
        <v>0</v>
      </c>
      <c r="O210" s="7">
        <f t="shared" si="8"/>
        <v>0</v>
      </c>
      <c r="P210" s="8">
        <f t="shared" si="6"/>
        <v>0</v>
      </c>
    </row>
    <row r="211" spans="1:16" x14ac:dyDescent="0.3">
      <c r="A211" s="2" t="s">
        <v>76</v>
      </c>
      <c r="B211" s="2" t="s">
        <v>49</v>
      </c>
      <c r="C211" s="2" t="s">
        <v>20</v>
      </c>
      <c r="D211" s="7">
        <f t="shared" ref="D211:O211" si="9">D142+D165</f>
        <v>0</v>
      </c>
      <c r="E211" s="7">
        <f t="shared" si="9"/>
        <v>0</v>
      </c>
      <c r="F211" s="7">
        <f t="shared" si="9"/>
        <v>0</v>
      </c>
      <c r="G211" s="7">
        <f t="shared" si="9"/>
        <v>0</v>
      </c>
      <c r="H211" s="7">
        <f t="shared" si="9"/>
        <v>0</v>
      </c>
      <c r="I211" s="7">
        <f t="shared" si="9"/>
        <v>0</v>
      </c>
      <c r="J211" s="7">
        <f t="shared" si="9"/>
        <v>0</v>
      </c>
      <c r="K211" s="7">
        <f t="shared" si="9"/>
        <v>0</v>
      </c>
      <c r="L211" s="7">
        <f t="shared" si="9"/>
        <v>0</v>
      </c>
      <c r="M211" s="7">
        <f t="shared" si="9"/>
        <v>0</v>
      </c>
      <c r="N211" s="7">
        <f t="shared" si="9"/>
        <v>0</v>
      </c>
      <c r="O211" s="7">
        <f t="shared" si="9"/>
        <v>0</v>
      </c>
      <c r="P211" s="8">
        <f t="shared" si="6"/>
        <v>0</v>
      </c>
    </row>
    <row r="212" spans="1:16" x14ac:dyDescent="0.3">
      <c r="A212" s="2" t="s">
        <v>76</v>
      </c>
      <c r="B212" s="2" t="s">
        <v>49</v>
      </c>
      <c r="C212" s="2" t="s">
        <v>21</v>
      </c>
      <c r="D212" s="7">
        <f t="shared" ref="D212:O212" si="10">D143+D166</f>
        <v>0</v>
      </c>
      <c r="E212" s="7">
        <f t="shared" si="10"/>
        <v>0</v>
      </c>
      <c r="F212" s="7">
        <f t="shared" si="10"/>
        <v>0</v>
      </c>
      <c r="G212" s="7">
        <f t="shared" si="10"/>
        <v>0</v>
      </c>
      <c r="H212" s="7">
        <f t="shared" si="10"/>
        <v>0</v>
      </c>
      <c r="I212" s="7">
        <f t="shared" si="10"/>
        <v>0</v>
      </c>
      <c r="J212" s="7">
        <f t="shared" si="10"/>
        <v>0</v>
      </c>
      <c r="K212" s="7">
        <f t="shared" si="10"/>
        <v>0</v>
      </c>
      <c r="L212" s="7">
        <f t="shared" si="10"/>
        <v>0</v>
      </c>
      <c r="M212" s="7">
        <f t="shared" si="10"/>
        <v>0</v>
      </c>
      <c r="N212" s="7">
        <f t="shared" si="10"/>
        <v>0</v>
      </c>
      <c r="O212" s="7">
        <f t="shared" si="10"/>
        <v>0</v>
      </c>
      <c r="P212" s="8">
        <f t="shared" si="6"/>
        <v>0</v>
      </c>
    </row>
    <row r="213" spans="1:16" x14ac:dyDescent="0.3">
      <c r="A213" s="2" t="s">
        <v>76</v>
      </c>
      <c r="B213" s="2" t="s">
        <v>49</v>
      </c>
      <c r="C213" s="2" t="s">
        <v>22</v>
      </c>
      <c r="D213" s="7">
        <f t="shared" ref="D213:O213" si="11">D144+D167</f>
        <v>0</v>
      </c>
      <c r="E213" s="7">
        <f t="shared" si="11"/>
        <v>0</v>
      </c>
      <c r="F213" s="7">
        <f t="shared" si="11"/>
        <v>0</v>
      </c>
      <c r="G213" s="7">
        <f t="shared" si="11"/>
        <v>0</v>
      </c>
      <c r="H213" s="7">
        <f t="shared" si="11"/>
        <v>0</v>
      </c>
      <c r="I213" s="7">
        <f t="shared" si="11"/>
        <v>0</v>
      </c>
      <c r="J213" s="7">
        <f t="shared" si="11"/>
        <v>0</v>
      </c>
      <c r="K213" s="7">
        <f t="shared" si="11"/>
        <v>0</v>
      </c>
      <c r="L213" s="7">
        <f t="shared" si="11"/>
        <v>0</v>
      </c>
      <c r="M213" s="7">
        <f t="shared" si="11"/>
        <v>0</v>
      </c>
      <c r="N213" s="7">
        <f t="shared" si="11"/>
        <v>0</v>
      </c>
      <c r="O213" s="7">
        <f t="shared" si="11"/>
        <v>0</v>
      </c>
      <c r="P213" s="8">
        <f t="shared" si="6"/>
        <v>0</v>
      </c>
    </row>
    <row r="214" spans="1:16" x14ac:dyDescent="0.3">
      <c r="A214" s="2" t="s">
        <v>76</v>
      </c>
      <c r="B214" s="2" t="s">
        <v>49</v>
      </c>
      <c r="C214" s="2" t="s">
        <v>23</v>
      </c>
      <c r="D214" s="7">
        <f t="shared" ref="D214:O214" si="12">D145+D168</f>
        <v>0</v>
      </c>
      <c r="E214" s="7">
        <f t="shared" si="12"/>
        <v>0</v>
      </c>
      <c r="F214" s="7">
        <f t="shared" si="12"/>
        <v>0</v>
      </c>
      <c r="G214" s="7">
        <f t="shared" si="12"/>
        <v>0</v>
      </c>
      <c r="H214" s="7">
        <f t="shared" si="12"/>
        <v>0</v>
      </c>
      <c r="I214" s="7">
        <f t="shared" si="12"/>
        <v>0</v>
      </c>
      <c r="J214" s="7">
        <f t="shared" si="12"/>
        <v>0</v>
      </c>
      <c r="K214" s="7">
        <f t="shared" si="12"/>
        <v>0</v>
      </c>
      <c r="L214" s="7">
        <f t="shared" si="12"/>
        <v>0</v>
      </c>
      <c r="M214" s="7">
        <f t="shared" si="12"/>
        <v>0</v>
      </c>
      <c r="N214" s="7">
        <f t="shared" si="12"/>
        <v>0</v>
      </c>
      <c r="O214" s="7">
        <f t="shared" si="12"/>
        <v>0</v>
      </c>
      <c r="P214" s="8">
        <f t="shared" si="6"/>
        <v>0</v>
      </c>
    </row>
    <row r="215" spans="1:16" x14ac:dyDescent="0.3">
      <c r="A215" s="2" t="s">
        <v>76</v>
      </c>
      <c r="B215" s="2" t="s">
        <v>49</v>
      </c>
      <c r="C215" s="2" t="s">
        <v>24</v>
      </c>
      <c r="D215" s="7">
        <f t="shared" ref="D215:O215" si="13">D146+D169</f>
        <v>0</v>
      </c>
      <c r="E215" s="7">
        <f t="shared" si="13"/>
        <v>0</v>
      </c>
      <c r="F215" s="7">
        <f t="shared" si="13"/>
        <v>0</v>
      </c>
      <c r="G215" s="7">
        <f t="shared" si="13"/>
        <v>0</v>
      </c>
      <c r="H215" s="7">
        <f t="shared" si="13"/>
        <v>0</v>
      </c>
      <c r="I215" s="7">
        <f t="shared" si="13"/>
        <v>0</v>
      </c>
      <c r="J215" s="7">
        <f t="shared" si="13"/>
        <v>0</v>
      </c>
      <c r="K215" s="7">
        <f t="shared" si="13"/>
        <v>0</v>
      </c>
      <c r="L215" s="7">
        <f t="shared" si="13"/>
        <v>0</v>
      </c>
      <c r="M215" s="7">
        <f t="shared" si="13"/>
        <v>0</v>
      </c>
      <c r="N215" s="7">
        <f t="shared" si="13"/>
        <v>0</v>
      </c>
      <c r="O215" s="7">
        <f t="shared" si="13"/>
        <v>0</v>
      </c>
      <c r="P215" s="8">
        <f t="shared" si="6"/>
        <v>0</v>
      </c>
    </row>
    <row r="216" spans="1:16" x14ac:dyDescent="0.3">
      <c r="A216" s="2" t="s">
        <v>76</v>
      </c>
      <c r="B216" s="2" t="s">
        <v>49</v>
      </c>
      <c r="C216" s="2" t="s">
        <v>25</v>
      </c>
      <c r="D216" s="7">
        <f t="shared" ref="D216:O216" si="14">D147+D170</f>
        <v>0</v>
      </c>
      <c r="E216" s="7">
        <f t="shared" si="14"/>
        <v>0</v>
      </c>
      <c r="F216" s="7">
        <f t="shared" si="14"/>
        <v>0</v>
      </c>
      <c r="G216" s="7">
        <f t="shared" si="14"/>
        <v>0</v>
      </c>
      <c r="H216" s="7">
        <f t="shared" si="14"/>
        <v>0</v>
      </c>
      <c r="I216" s="7">
        <f t="shared" si="14"/>
        <v>0</v>
      </c>
      <c r="J216" s="7">
        <f t="shared" si="14"/>
        <v>0</v>
      </c>
      <c r="K216" s="7">
        <f t="shared" si="14"/>
        <v>0</v>
      </c>
      <c r="L216" s="7">
        <f t="shared" si="14"/>
        <v>0</v>
      </c>
      <c r="M216" s="7">
        <f t="shared" si="14"/>
        <v>0</v>
      </c>
      <c r="N216" s="7">
        <f t="shared" si="14"/>
        <v>0</v>
      </c>
      <c r="O216" s="7">
        <f t="shared" si="14"/>
        <v>0</v>
      </c>
      <c r="P216" s="8">
        <f t="shared" si="6"/>
        <v>0</v>
      </c>
    </row>
    <row r="217" spans="1:16" x14ac:dyDescent="0.3">
      <c r="A217" s="2" t="s">
        <v>76</v>
      </c>
      <c r="B217" s="2" t="s">
        <v>49</v>
      </c>
      <c r="C217" s="2" t="s">
        <v>26</v>
      </c>
      <c r="D217" s="7">
        <f t="shared" ref="D217:O217" si="15">D148+D171</f>
        <v>0</v>
      </c>
      <c r="E217" s="7">
        <f t="shared" si="15"/>
        <v>0</v>
      </c>
      <c r="F217" s="7">
        <f t="shared" si="15"/>
        <v>0</v>
      </c>
      <c r="G217" s="7">
        <f t="shared" si="15"/>
        <v>0</v>
      </c>
      <c r="H217" s="7">
        <f t="shared" si="15"/>
        <v>0</v>
      </c>
      <c r="I217" s="7">
        <f t="shared" si="15"/>
        <v>0</v>
      </c>
      <c r="J217" s="7">
        <f t="shared" si="15"/>
        <v>0</v>
      </c>
      <c r="K217" s="7">
        <f t="shared" si="15"/>
        <v>0</v>
      </c>
      <c r="L217" s="7">
        <f t="shared" si="15"/>
        <v>0</v>
      </c>
      <c r="M217" s="7">
        <f t="shared" si="15"/>
        <v>0</v>
      </c>
      <c r="N217" s="7">
        <f t="shared" si="15"/>
        <v>0</v>
      </c>
      <c r="O217" s="7">
        <f t="shared" si="15"/>
        <v>0</v>
      </c>
      <c r="P217" s="8">
        <f t="shared" si="6"/>
        <v>0</v>
      </c>
    </row>
    <row r="218" spans="1:16" x14ac:dyDescent="0.3">
      <c r="A218" s="2" t="s">
        <v>76</v>
      </c>
      <c r="B218" s="2" t="s">
        <v>49</v>
      </c>
      <c r="C218" s="2" t="s">
        <v>27</v>
      </c>
      <c r="D218" s="7">
        <f t="shared" ref="D218:O218" si="16">D149+D172</f>
        <v>0</v>
      </c>
      <c r="E218" s="7">
        <f t="shared" si="16"/>
        <v>0</v>
      </c>
      <c r="F218" s="7">
        <f t="shared" si="16"/>
        <v>0</v>
      </c>
      <c r="G218" s="7">
        <f t="shared" si="16"/>
        <v>0</v>
      </c>
      <c r="H218" s="7">
        <f t="shared" si="16"/>
        <v>0</v>
      </c>
      <c r="I218" s="7">
        <f t="shared" si="16"/>
        <v>0</v>
      </c>
      <c r="J218" s="7">
        <f t="shared" si="16"/>
        <v>0</v>
      </c>
      <c r="K218" s="7">
        <f t="shared" si="16"/>
        <v>0</v>
      </c>
      <c r="L218" s="7">
        <f t="shared" si="16"/>
        <v>0</v>
      </c>
      <c r="M218" s="7">
        <f t="shared" si="16"/>
        <v>0</v>
      </c>
      <c r="N218" s="7">
        <f t="shared" si="16"/>
        <v>0</v>
      </c>
      <c r="O218" s="7">
        <f t="shared" si="16"/>
        <v>0</v>
      </c>
      <c r="P218" s="8">
        <f t="shared" si="6"/>
        <v>0</v>
      </c>
    </row>
    <row r="219" spans="1:16" x14ac:dyDescent="0.3">
      <c r="A219" s="2" t="s">
        <v>76</v>
      </c>
      <c r="B219" s="2" t="s">
        <v>49</v>
      </c>
      <c r="C219" s="2" t="s">
        <v>28</v>
      </c>
      <c r="D219" s="7">
        <f t="shared" ref="D219:O219" si="17">D150+D173</f>
        <v>0</v>
      </c>
      <c r="E219" s="7">
        <f t="shared" si="17"/>
        <v>0</v>
      </c>
      <c r="F219" s="7">
        <f t="shared" si="17"/>
        <v>0</v>
      </c>
      <c r="G219" s="7">
        <f t="shared" si="17"/>
        <v>0</v>
      </c>
      <c r="H219" s="7">
        <f t="shared" si="17"/>
        <v>0</v>
      </c>
      <c r="I219" s="7">
        <f t="shared" si="17"/>
        <v>0</v>
      </c>
      <c r="J219" s="7">
        <f t="shared" si="17"/>
        <v>0</v>
      </c>
      <c r="K219" s="7">
        <f t="shared" si="17"/>
        <v>0</v>
      </c>
      <c r="L219" s="7">
        <f t="shared" si="17"/>
        <v>0</v>
      </c>
      <c r="M219" s="7">
        <f t="shared" si="17"/>
        <v>0</v>
      </c>
      <c r="N219" s="7">
        <f t="shared" si="17"/>
        <v>0</v>
      </c>
      <c r="O219" s="7">
        <f t="shared" si="17"/>
        <v>0</v>
      </c>
      <c r="P219" s="8">
        <f t="shared" si="6"/>
        <v>0</v>
      </c>
    </row>
    <row r="220" spans="1:16" x14ac:dyDescent="0.3">
      <c r="A220" s="2" t="s">
        <v>76</v>
      </c>
      <c r="B220" s="2" t="s">
        <v>49</v>
      </c>
      <c r="C220" s="2" t="s">
        <v>29</v>
      </c>
      <c r="D220" s="7">
        <f t="shared" ref="D220:O220" si="18">D151+D174</f>
        <v>0</v>
      </c>
      <c r="E220" s="7">
        <f t="shared" si="18"/>
        <v>0</v>
      </c>
      <c r="F220" s="7">
        <f t="shared" si="18"/>
        <v>0</v>
      </c>
      <c r="G220" s="7">
        <f t="shared" si="18"/>
        <v>0</v>
      </c>
      <c r="H220" s="7">
        <f t="shared" si="18"/>
        <v>0</v>
      </c>
      <c r="I220" s="7">
        <f t="shared" si="18"/>
        <v>0</v>
      </c>
      <c r="J220" s="7">
        <f t="shared" si="18"/>
        <v>0</v>
      </c>
      <c r="K220" s="7">
        <f t="shared" si="18"/>
        <v>0</v>
      </c>
      <c r="L220" s="7">
        <f t="shared" si="18"/>
        <v>0</v>
      </c>
      <c r="M220" s="7">
        <f t="shared" si="18"/>
        <v>0</v>
      </c>
      <c r="N220" s="7">
        <f t="shared" si="18"/>
        <v>0</v>
      </c>
      <c r="O220" s="7">
        <f t="shared" si="18"/>
        <v>0</v>
      </c>
      <c r="P220" s="8">
        <f t="shared" si="6"/>
        <v>0</v>
      </c>
    </row>
    <row r="221" spans="1:16" x14ac:dyDescent="0.3">
      <c r="A221" s="2" t="s">
        <v>76</v>
      </c>
      <c r="B221" s="2" t="s">
        <v>49</v>
      </c>
      <c r="C221" s="2" t="s">
        <v>30</v>
      </c>
      <c r="D221" s="7">
        <f t="shared" ref="D221:O221" si="19">D152+D175</f>
        <v>0</v>
      </c>
      <c r="E221" s="7">
        <f t="shared" si="19"/>
        <v>0</v>
      </c>
      <c r="F221" s="7">
        <f t="shared" si="19"/>
        <v>0</v>
      </c>
      <c r="G221" s="7">
        <f t="shared" si="19"/>
        <v>0</v>
      </c>
      <c r="H221" s="7">
        <f t="shared" si="19"/>
        <v>0</v>
      </c>
      <c r="I221" s="7">
        <f t="shared" si="19"/>
        <v>0</v>
      </c>
      <c r="J221" s="7">
        <f t="shared" si="19"/>
        <v>0</v>
      </c>
      <c r="K221" s="7">
        <f t="shared" si="19"/>
        <v>0</v>
      </c>
      <c r="L221" s="7">
        <f t="shared" si="19"/>
        <v>0</v>
      </c>
      <c r="M221" s="7">
        <f t="shared" si="19"/>
        <v>0</v>
      </c>
      <c r="N221" s="7">
        <f t="shared" si="19"/>
        <v>0</v>
      </c>
      <c r="O221" s="7">
        <f t="shared" si="19"/>
        <v>0</v>
      </c>
      <c r="P221" s="8">
        <f t="shared" si="6"/>
        <v>0</v>
      </c>
    </row>
    <row r="222" spans="1:16" x14ac:dyDescent="0.3">
      <c r="A222" s="2" t="s">
        <v>76</v>
      </c>
      <c r="B222" s="2" t="s">
        <v>49</v>
      </c>
      <c r="C222" s="2" t="s">
        <v>31</v>
      </c>
      <c r="D222" s="7">
        <f t="shared" ref="D222:O222" si="20">D153+D176</f>
        <v>0</v>
      </c>
      <c r="E222" s="7">
        <f t="shared" si="20"/>
        <v>0</v>
      </c>
      <c r="F222" s="7">
        <f t="shared" si="20"/>
        <v>0</v>
      </c>
      <c r="G222" s="7">
        <f t="shared" si="20"/>
        <v>0</v>
      </c>
      <c r="H222" s="7">
        <f t="shared" si="20"/>
        <v>0</v>
      </c>
      <c r="I222" s="7">
        <f t="shared" si="20"/>
        <v>0</v>
      </c>
      <c r="J222" s="7">
        <f t="shared" si="20"/>
        <v>0</v>
      </c>
      <c r="K222" s="7">
        <f t="shared" si="20"/>
        <v>0</v>
      </c>
      <c r="L222" s="7">
        <f t="shared" si="20"/>
        <v>0</v>
      </c>
      <c r="M222" s="7">
        <f t="shared" si="20"/>
        <v>0</v>
      </c>
      <c r="N222" s="7">
        <f t="shared" si="20"/>
        <v>0</v>
      </c>
      <c r="O222" s="7">
        <f t="shared" si="20"/>
        <v>0</v>
      </c>
      <c r="P222" s="8">
        <f t="shared" ref="P222:P253" si="21">SUM(D222:O222)</f>
        <v>0</v>
      </c>
    </row>
    <row r="223" spans="1:16" x14ac:dyDescent="0.3">
      <c r="A223" s="2" t="s">
        <v>76</v>
      </c>
      <c r="B223" s="2" t="s">
        <v>49</v>
      </c>
      <c r="C223" s="2" t="s">
        <v>32</v>
      </c>
      <c r="D223" s="7">
        <f t="shared" ref="D223:O223" si="22">D154+D177</f>
        <v>0</v>
      </c>
      <c r="E223" s="7">
        <f t="shared" si="22"/>
        <v>0</v>
      </c>
      <c r="F223" s="7">
        <f t="shared" si="22"/>
        <v>0</v>
      </c>
      <c r="G223" s="7">
        <f t="shared" si="22"/>
        <v>0</v>
      </c>
      <c r="H223" s="7">
        <f t="shared" si="22"/>
        <v>0</v>
      </c>
      <c r="I223" s="7">
        <f t="shared" si="22"/>
        <v>0</v>
      </c>
      <c r="J223" s="7">
        <f t="shared" si="22"/>
        <v>0</v>
      </c>
      <c r="K223" s="7">
        <f t="shared" si="22"/>
        <v>0</v>
      </c>
      <c r="L223" s="7">
        <f t="shared" si="22"/>
        <v>0</v>
      </c>
      <c r="M223" s="7">
        <f t="shared" si="22"/>
        <v>0</v>
      </c>
      <c r="N223" s="7">
        <f t="shared" si="22"/>
        <v>0</v>
      </c>
      <c r="O223" s="7">
        <f t="shared" si="22"/>
        <v>0</v>
      </c>
      <c r="P223" s="8">
        <f t="shared" si="21"/>
        <v>0</v>
      </c>
    </row>
    <row r="224" spans="1:16" x14ac:dyDescent="0.3">
      <c r="A224" s="2" t="s">
        <v>76</v>
      </c>
      <c r="B224" s="2" t="s">
        <v>49</v>
      </c>
      <c r="C224" s="2" t="s">
        <v>33</v>
      </c>
      <c r="D224" s="7">
        <f t="shared" ref="D224:O224" si="23">D155+D178</f>
        <v>0</v>
      </c>
      <c r="E224" s="7">
        <f t="shared" si="23"/>
        <v>0</v>
      </c>
      <c r="F224" s="7">
        <f t="shared" si="23"/>
        <v>0</v>
      </c>
      <c r="G224" s="7">
        <f t="shared" si="23"/>
        <v>0</v>
      </c>
      <c r="H224" s="7">
        <f t="shared" si="23"/>
        <v>0</v>
      </c>
      <c r="I224" s="7">
        <f t="shared" si="23"/>
        <v>0</v>
      </c>
      <c r="J224" s="7">
        <f t="shared" si="23"/>
        <v>0</v>
      </c>
      <c r="K224" s="7">
        <f t="shared" si="23"/>
        <v>0</v>
      </c>
      <c r="L224" s="7">
        <f t="shared" si="23"/>
        <v>0</v>
      </c>
      <c r="M224" s="7">
        <f t="shared" si="23"/>
        <v>0</v>
      </c>
      <c r="N224" s="7">
        <f t="shared" si="23"/>
        <v>0</v>
      </c>
      <c r="O224" s="7">
        <f t="shared" si="23"/>
        <v>0</v>
      </c>
      <c r="P224" s="8">
        <f t="shared" si="21"/>
        <v>0</v>
      </c>
    </row>
    <row r="225" spans="1:16" x14ac:dyDescent="0.3">
      <c r="A225" s="2" t="s">
        <v>76</v>
      </c>
      <c r="B225" s="2" t="s">
        <v>49</v>
      </c>
      <c r="C225" s="2" t="s">
        <v>34</v>
      </c>
      <c r="D225" s="7">
        <f t="shared" ref="D225:O225" si="24">D156+D179</f>
        <v>0</v>
      </c>
      <c r="E225" s="7">
        <f t="shared" si="24"/>
        <v>0</v>
      </c>
      <c r="F225" s="7">
        <f t="shared" si="24"/>
        <v>0</v>
      </c>
      <c r="G225" s="7">
        <f t="shared" si="24"/>
        <v>0</v>
      </c>
      <c r="H225" s="7">
        <f t="shared" si="24"/>
        <v>0</v>
      </c>
      <c r="I225" s="7">
        <f t="shared" si="24"/>
        <v>0</v>
      </c>
      <c r="J225" s="7">
        <f t="shared" si="24"/>
        <v>0</v>
      </c>
      <c r="K225" s="7">
        <f t="shared" si="24"/>
        <v>0</v>
      </c>
      <c r="L225" s="7">
        <f t="shared" si="24"/>
        <v>0</v>
      </c>
      <c r="M225" s="7">
        <f t="shared" si="24"/>
        <v>0</v>
      </c>
      <c r="N225" s="7">
        <f t="shared" si="24"/>
        <v>0</v>
      </c>
      <c r="O225" s="7">
        <f t="shared" si="24"/>
        <v>0</v>
      </c>
      <c r="P225" s="8">
        <f t="shared" si="21"/>
        <v>0</v>
      </c>
    </row>
    <row r="226" spans="1:16" x14ac:dyDescent="0.3">
      <c r="A226" s="2" t="s">
        <v>76</v>
      </c>
      <c r="B226" s="2" t="s">
        <v>49</v>
      </c>
      <c r="C226" s="2" t="s">
        <v>35</v>
      </c>
      <c r="D226" s="7">
        <f t="shared" ref="D226:O226" si="25">D157+D180</f>
        <v>0</v>
      </c>
      <c r="E226" s="7">
        <f t="shared" si="25"/>
        <v>0</v>
      </c>
      <c r="F226" s="7">
        <f t="shared" si="25"/>
        <v>0</v>
      </c>
      <c r="G226" s="7">
        <f t="shared" si="25"/>
        <v>0</v>
      </c>
      <c r="H226" s="7">
        <f t="shared" si="25"/>
        <v>0</v>
      </c>
      <c r="I226" s="7">
        <f t="shared" si="25"/>
        <v>0</v>
      </c>
      <c r="J226" s="7">
        <f t="shared" si="25"/>
        <v>0</v>
      </c>
      <c r="K226" s="7">
        <f t="shared" si="25"/>
        <v>0</v>
      </c>
      <c r="L226" s="7">
        <f t="shared" si="25"/>
        <v>0</v>
      </c>
      <c r="M226" s="7">
        <f t="shared" si="25"/>
        <v>0</v>
      </c>
      <c r="N226" s="7">
        <f t="shared" si="25"/>
        <v>0</v>
      </c>
      <c r="O226" s="7">
        <f t="shared" si="25"/>
        <v>0</v>
      </c>
      <c r="P226" s="8">
        <f t="shared" si="21"/>
        <v>0</v>
      </c>
    </row>
    <row r="227" spans="1:16" x14ac:dyDescent="0.3">
      <c r="A227" s="2" t="s">
        <v>76</v>
      </c>
      <c r="B227" s="2" t="s">
        <v>49</v>
      </c>
      <c r="C227" s="2" t="s">
        <v>36</v>
      </c>
      <c r="D227" s="7">
        <f t="shared" ref="D227:O227" si="26">D158+D181</f>
        <v>0</v>
      </c>
      <c r="E227" s="7">
        <f t="shared" si="26"/>
        <v>0</v>
      </c>
      <c r="F227" s="7">
        <f t="shared" si="26"/>
        <v>0</v>
      </c>
      <c r="G227" s="7">
        <f t="shared" si="26"/>
        <v>0</v>
      </c>
      <c r="H227" s="7">
        <f t="shared" si="26"/>
        <v>0</v>
      </c>
      <c r="I227" s="7">
        <f t="shared" si="26"/>
        <v>0</v>
      </c>
      <c r="J227" s="7">
        <f t="shared" si="26"/>
        <v>0</v>
      </c>
      <c r="K227" s="7">
        <f t="shared" si="26"/>
        <v>0</v>
      </c>
      <c r="L227" s="7">
        <f t="shared" si="26"/>
        <v>0</v>
      </c>
      <c r="M227" s="7">
        <f t="shared" si="26"/>
        <v>0</v>
      </c>
      <c r="N227" s="7">
        <f t="shared" si="26"/>
        <v>0</v>
      </c>
      <c r="O227" s="7">
        <f t="shared" si="26"/>
        <v>0</v>
      </c>
      <c r="P227" s="8">
        <f t="shared" si="21"/>
        <v>0</v>
      </c>
    </row>
    <row r="228" spans="1:16" x14ac:dyDescent="0.3">
      <c r="A228" s="2" t="s">
        <v>76</v>
      </c>
      <c r="B228" s="2" t="s">
        <v>49</v>
      </c>
      <c r="C228" s="2" t="s">
        <v>37</v>
      </c>
      <c r="D228" s="7">
        <f t="shared" ref="D228:O228" si="27">D159+D182</f>
        <v>0</v>
      </c>
      <c r="E228" s="7">
        <f t="shared" si="27"/>
        <v>0</v>
      </c>
      <c r="F228" s="7">
        <f t="shared" si="27"/>
        <v>0</v>
      </c>
      <c r="G228" s="7">
        <f t="shared" si="27"/>
        <v>0</v>
      </c>
      <c r="H228" s="7">
        <f t="shared" si="27"/>
        <v>0</v>
      </c>
      <c r="I228" s="7">
        <f t="shared" si="27"/>
        <v>0</v>
      </c>
      <c r="J228" s="7">
        <f t="shared" si="27"/>
        <v>0</v>
      </c>
      <c r="K228" s="7">
        <f t="shared" si="27"/>
        <v>0</v>
      </c>
      <c r="L228" s="7">
        <f t="shared" si="27"/>
        <v>0</v>
      </c>
      <c r="M228" s="7">
        <f t="shared" si="27"/>
        <v>0</v>
      </c>
      <c r="N228" s="7">
        <f t="shared" si="27"/>
        <v>0</v>
      </c>
      <c r="O228" s="7">
        <f t="shared" si="27"/>
        <v>0</v>
      </c>
      <c r="P228" s="8">
        <f t="shared" si="21"/>
        <v>0</v>
      </c>
    </row>
    <row r="229" spans="1:16" x14ac:dyDescent="0.3">
      <c r="A229" s="2" t="s">
        <v>76</v>
      </c>
      <c r="B229" s="2" t="s">
        <v>49</v>
      </c>
      <c r="C229" s="2" t="s">
        <v>38</v>
      </c>
      <c r="D229" s="7">
        <f t="shared" ref="D229:O229" si="28">D160+D183</f>
        <v>0</v>
      </c>
      <c r="E229" s="7">
        <f t="shared" si="28"/>
        <v>0</v>
      </c>
      <c r="F229" s="7">
        <f t="shared" si="28"/>
        <v>0</v>
      </c>
      <c r="G229" s="7">
        <f t="shared" si="28"/>
        <v>0</v>
      </c>
      <c r="H229" s="7">
        <f t="shared" si="28"/>
        <v>0</v>
      </c>
      <c r="I229" s="7">
        <f t="shared" si="28"/>
        <v>0</v>
      </c>
      <c r="J229" s="7">
        <f t="shared" si="28"/>
        <v>0</v>
      </c>
      <c r="K229" s="7">
        <f t="shared" si="28"/>
        <v>0</v>
      </c>
      <c r="L229" s="7">
        <f t="shared" si="28"/>
        <v>0</v>
      </c>
      <c r="M229" s="7">
        <f t="shared" si="28"/>
        <v>0</v>
      </c>
      <c r="N229" s="7">
        <f t="shared" si="28"/>
        <v>0</v>
      </c>
      <c r="O229" s="7">
        <f t="shared" si="28"/>
        <v>0</v>
      </c>
      <c r="P229" s="8">
        <f t="shared" si="21"/>
        <v>0</v>
      </c>
    </row>
    <row r="230" spans="1:16" x14ac:dyDescent="0.3">
      <c r="A230" s="2" t="s">
        <v>76</v>
      </c>
      <c r="B230" s="2" t="s">
        <v>49</v>
      </c>
      <c r="C230" s="2" t="s">
        <v>39</v>
      </c>
      <c r="D230" s="7">
        <f t="shared" ref="D230:O230" si="29">D161+D184</f>
        <v>0</v>
      </c>
      <c r="E230" s="7">
        <f t="shared" si="29"/>
        <v>0</v>
      </c>
      <c r="F230" s="7">
        <f t="shared" si="29"/>
        <v>0</v>
      </c>
      <c r="G230" s="7">
        <f t="shared" si="29"/>
        <v>0</v>
      </c>
      <c r="H230" s="7">
        <f t="shared" si="29"/>
        <v>0</v>
      </c>
      <c r="I230" s="7">
        <f t="shared" si="29"/>
        <v>0</v>
      </c>
      <c r="J230" s="7">
        <f t="shared" si="29"/>
        <v>0</v>
      </c>
      <c r="K230" s="7">
        <f t="shared" si="29"/>
        <v>0</v>
      </c>
      <c r="L230" s="7">
        <f t="shared" si="29"/>
        <v>0</v>
      </c>
      <c r="M230" s="7">
        <f t="shared" si="29"/>
        <v>0</v>
      </c>
      <c r="N230" s="7">
        <f t="shared" si="29"/>
        <v>0</v>
      </c>
      <c r="O230" s="7">
        <f t="shared" si="29"/>
        <v>0</v>
      </c>
      <c r="P230" s="8">
        <f t="shared" si="21"/>
        <v>0</v>
      </c>
    </row>
    <row r="231" spans="1:16" x14ac:dyDescent="0.3">
      <c r="A231" s="2" t="s">
        <v>76</v>
      </c>
      <c r="B231" s="2" t="s">
        <v>49</v>
      </c>
      <c r="C231" s="2" t="s">
        <v>40</v>
      </c>
      <c r="D231" s="7">
        <f t="shared" ref="D231:O231" si="30">D162+D185</f>
        <v>0</v>
      </c>
      <c r="E231" s="7">
        <f t="shared" si="30"/>
        <v>0</v>
      </c>
      <c r="F231" s="7">
        <f t="shared" si="30"/>
        <v>0</v>
      </c>
      <c r="G231" s="7">
        <f t="shared" si="30"/>
        <v>0</v>
      </c>
      <c r="H231" s="7">
        <f t="shared" si="30"/>
        <v>0</v>
      </c>
      <c r="I231" s="7">
        <f t="shared" si="30"/>
        <v>0</v>
      </c>
      <c r="J231" s="7">
        <f t="shared" si="30"/>
        <v>0</v>
      </c>
      <c r="K231" s="7">
        <f t="shared" si="30"/>
        <v>0</v>
      </c>
      <c r="L231" s="7">
        <f t="shared" si="30"/>
        <v>0</v>
      </c>
      <c r="M231" s="7">
        <f t="shared" si="30"/>
        <v>0</v>
      </c>
      <c r="N231" s="7">
        <f t="shared" si="30"/>
        <v>0</v>
      </c>
      <c r="O231" s="7">
        <f t="shared" si="30"/>
        <v>0</v>
      </c>
      <c r="P231" s="8">
        <f t="shared" si="21"/>
        <v>0</v>
      </c>
    </row>
    <row r="232" spans="1:16" x14ac:dyDescent="0.3">
      <c r="A232" s="2" t="s">
        <v>76</v>
      </c>
      <c r="B232" s="2" t="s">
        <v>50</v>
      </c>
      <c r="C232" s="2" t="s">
        <v>18</v>
      </c>
      <c r="D232" s="7">
        <v>34.166666666666657</v>
      </c>
      <c r="E232" s="7">
        <v>34.166666666666657</v>
      </c>
      <c r="F232" s="7">
        <v>34.166666666666657</v>
      </c>
      <c r="G232" s="7">
        <v>34.166666666666657</v>
      </c>
      <c r="H232" s="7">
        <v>34.166666666666657</v>
      </c>
      <c r="I232" s="7">
        <v>34.166666666666657</v>
      </c>
      <c r="J232" s="7">
        <v>34.166666666666657</v>
      </c>
      <c r="K232" s="7">
        <v>34.166666666666657</v>
      </c>
      <c r="L232" s="7">
        <v>34.166666666666657</v>
      </c>
      <c r="M232" s="7">
        <v>34.166666666666657</v>
      </c>
      <c r="N232" s="7">
        <v>34.166666666666657</v>
      </c>
      <c r="O232" s="7">
        <v>34.166666666666657</v>
      </c>
      <c r="P232" s="8">
        <f t="shared" si="21"/>
        <v>409.99999999999977</v>
      </c>
    </row>
    <row r="233" spans="1:16" x14ac:dyDescent="0.3">
      <c r="A233" s="2" t="s">
        <v>76</v>
      </c>
      <c r="B233" s="2" t="s">
        <v>50</v>
      </c>
      <c r="C233" s="2" t="s">
        <v>19</v>
      </c>
      <c r="D233" s="7">
        <v>41.383333333333333</v>
      </c>
      <c r="E233" s="7">
        <v>41.383333333333333</v>
      </c>
      <c r="F233" s="7">
        <v>41.383333333333333</v>
      </c>
      <c r="G233" s="7">
        <v>41.383333333333333</v>
      </c>
      <c r="H233" s="7">
        <v>41.383333333333333</v>
      </c>
      <c r="I233" s="7">
        <v>41.383333333333333</v>
      </c>
      <c r="J233" s="7">
        <v>41.383333333333333</v>
      </c>
      <c r="K233" s="7">
        <v>41.383333333333333</v>
      </c>
      <c r="L233" s="7">
        <v>41.383333333333333</v>
      </c>
      <c r="M233" s="7">
        <v>41.383333333333333</v>
      </c>
      <c r="N233" s="7">
        <v>41.383333333333333</v>
      </c>
      <c r="O233" s="7">
        <v>41.383333333333333</v>
      </c>
      <c r="P233" s="8">
        <f t="shared" si="21"/>
        <v>496.59999999999997</v>
      </c>
    </row>
    <row r="234" spans="1:16" x14ac:dyDescent="0.3">
      <c r="A234" s="2" t="s">
        <v>76</v>
      </c>
      <c r="B234" s="2" t="s">
        <v>50</v>
      </c>
      <c r="C234" s="2" t="s">
        <v>20</v>
      </c>
      <c r="D234" s="7">
        <v>59.316666666666663</v>
      </c>
      <c r="E234" s="7">
        <v>59.316666666666663</v>
      </c>
      <c r="F234" s="7">
        <v>59.316666666666663</v>
      </c>
      <c r="G234" s="7">
        <v>59.316666666666663</v>
      </c>
      <c r="H234" s="7">
        <v>59.316666666666663</v>
      </c>
      <c r="I234" s="7">
        <v>59.316666666666663</v>
      </c>
      <c r="J234" s="7">
        <v>59.316666666666663</v>
      </c>
      <c r="K234" s="7">
        <v>59.316666666666663</v>
      </c>
      <c r="L234" s="7">
        <v>59.316666666666663</v>
      </c>
      <c r="M234" s="7">
        <v>59.316666666666663</v>
      </c>
      <c r="N234" s="7">
        <v>59.316666666666663</v>
      </c>
      <c r="O234" s="7">
        <v>59.316666666666663</v>
      </c>
      <c r="P234" s="8">
        <f t="shared" si="21"/>
        <v>711.79999999999973</v>
      </c>
    </row>
    <row r="235" spans="1:16" x14ac:dyDescent="0.3">
      <c r="A235" s="2" t="s">
        <v>76</v>
      </c>
      <c r="B235" s="2" t="s">
        <v>50</v>
      </c>
      <c r="C235" s="2" t="s">
        <v>21</v>
      </c>
      <c r="D235" s="7">
        <v>76.774999999999991</v>
      </c>
      <c r="E235" s="7">
        <v>76.774999999999991</v>
      </c>
      <c r="F235" s="7">
        <v>76.774999999999991</v>
      </c>
      <c r="G235" s="7">
        <v>76.774999999999991</v>
      </c>
      <c r="H235" s="7">
        <v>76.774999999999991</v>
      </c>
      <c r="I235" s="7">
        <v>76.774999999999991</v>
      </c>
      <c r="J235" s="7">
        <v>76.774999999999991</v>
      </c>
      <c r="K235" s="7">
        <v>76.774999999999991</v>
      </c>
      <c r="L235" s="7">
        <v>76.774999999999991</v>
      </c>
      <c r="M235" s="7">
        <v>76.774999999999991</v>
      </c>
      <c r="N235" s="7">
        <v>76.774999999999991</v>
      </c>
      <c r="O235" s="7">
        <v>76.774999999999991</v>
      </c>
      <c r="P235" s="8">
        <f t="shared" si="21"/>
        <v>921.29999999999984</v>
      </c>
    </row>
    <row r="236" spans="1:16" x14ac:dyDescent="0.3">
      <c r="A236" s="2" t="s">
        <v>76</v>
      </c>
      <c r="B236" s="2" t="s">
        <v>50</v>
      </c>
      <c r="C236" s="2" t="s">
        <v>22</v>
      </c>
      <c r="D236" s="7">
        <v>81.566666666666663</v>
      </c>
      <c r="E236" s="7">
        <v>81.566666666666663</v>
      </c>
      <c r="F236" s="7">
        <v>81.566666666666663</v>
      </c>
      <c r="G236" s="7">
        <v>81.566666666666663</v>
      </c>
      <c r="H236" s="7">
        <v>81.566666666666663</v>
      </c>
      <c r="I236" s="7">
        <v>81.566666666666663</v>
      </c>
      <c r="J236" s="7">
        <v>81.566666666666663</v>
      </c>
      <c r="K236" s="7">
        <v>81.566666666666663</v>
      </c>
      <c r="L236" s="7">
        <v>81.566666666666663</v>
      </c>
      <c r="M236" s="7">
        <v>81.566666666666663</v>
      </c>
      <c r="N236" s="7">
        <v>81.566666666666663</v>
      </c>
      <c r="O236" s="7">
        <v>81.566666666666663</v>
      </c>
      <c r="P236" s="8">
        <f t="shared" si="21"/>
        <v>978.79999999999973</v>
      </c>
    </row>
    <row r="237" spans="1:16" x14ac:dyDescent="0.3">
      <c r="A237" s="2" t="s">
        <v>76</v>
      </c>
      <c r="B237" s="2" t="s">
        <v>50</v>
      </c>
      <c r="C237" s="2" t="s">
        <v>23</v>
      </c>
      <c r="D237" s="7">
        <v>73.908333333333331</v>
      </c>
      <c r="E237" s="7">
        <v>73.908333333333331</v>
      </c>
      <c r="F237" s="7">
        <v>73.908333333333331</v>
      </c>
      <c r="G237" s="7">
        <v>73.908333333333331</v>
      </c>
      <c r="H237" s="7">
        <v>73.908333333333331</v>
      </c>
      <c r="I237" s="7">
        <v>73.908333333333331</v>
      </c>
      <c r="J237" s="7">
        <v>73.908333333333331</v>
      </c>
      <c r="K237" s="7">
        <v>73.908333333333331</v>
      </c>
      <c r="L237" s="7">
        <v>73.908333333333331</v>
      </c>
      <c r="M237" s="7">
        <v>73.908333333333331</v>
      </c>
      <c r="N237" s="7">
        <v>73.908333333333331</v>
      </c>
      <c r="O237" s="7">
        <v>73.908333333333331</v>
      </c>
      <c r="P237" s="8">
        <f t="shared" si="21"/>
        <v>886.89999999999975</v>
      </c>
    </row>
    <row r="238" spans="1:16" x14ac:dyDescent="0.3">
      <c r="A238" s="2" t="s">
        <v>76</v>
      </c>
      <c r="B238" s="2" t="s">
        <v>50</v>
      </c>
      <c r="C238" s="2" t="s">
        <v>24</v>
      </c>
      <c r="D238" s="7">
        <v>88.933333333333337</v>
      </c>
      <c r="E238" s="7">
        <v>88.933333333333337</v>
      </c>
      <c r="F238" s="7">
        <v>88.933333333333337</v>
      </c>
      <c r="G238" s="7">
        <v>88.933333333333337</v>
      </c>
      <c r="H238" s="7">
        <v>88.933333333333337</v>
      </c>
      <c r="I238" s="7">
        <v>88.933333333333337</v>
      </c>
      <c r="J238" s="7">
        <v>88.933333333333337</v>
      </c>
      <c r="K238" s="7">
        <v>88.933333333333337</v>
      </c>
      <c r="L238" s="7">
        <v>88.933333333333337</v>
      </c>
      <c r="M238" s="7">
        <v>88.933333333333337</v>
      </c>
      <c r="N238" s="7">
        <v>88.933333333333337</v>
      </c>
      <c r="O238" s="7">
        <v>88.933333333333337</v>
      </c>
      <c r="P238" s="8">
        <f t="shared" si="21"/>
        <v>1067.2000000000003</v>
      </c>
    </row>
    <row r="239" spans="1:16" x14ac:dyDescent="0.3">
      <c r="A239" s="2" t="s">
        <v>76</v>
      </c>
      <c r="B239" s="2" t="s">
        <v>50</v>
      </c>
      <c r="C239" s="2" t="s">
        <v>25</v>
      </c>
      <c r="D239" s="7">
        <v>126.01666666666669</v>
      </c>
      <c r="E239" s="7">
        <v>126.01666666666669</v>
      </c>
      <c r="F239" s="7">
        <v>126.01666666666669</v>
      </c>
      <c r="G239" s="7">
        <v>126.01666666666669</v>
      </c>
      <c r="H239" s="7">
        <v>126.01666666666669</v>
      </c>
      <c r="I239" s="7">
        <v>126.01666666666669</v>
      </c>
      <c r="J239" s="7">
        <v>126.01666666666669</v>
      </c>
      <c r="K239" s="7">
        <v>126.01666666666669</v>
      </c>
      <c r="L239" s="7">
        <v>126.01666666666669</v>
      </c>
      <c r="M239" s="7">
        <v>126.01666666666669</v>
      </c>
      <c r="N239" s="7">
        <v>126.01666666666669</v>
      </c>
      <c r="O239" s="7">
        <v>126.01666666666669</v>
      </c>
      <c r="P239" s="8">
        <f t="shared" si="21"/>
        <v>1512.2</v>
      </c>
    </row>
    <row r="240" spans="1:16" x14ac:dyDescent="0.3">
      <c r="A240" s="2" t="s">
        <v>76</v>
      </c>
      <c r="B240" s="2" t="s">
        <v>50</v>
      </c>
      <c r="C240" s="2" t="s">
        <v>26</v>
      </c>
      <c r="D240" s="7">
        <v>101.23333333333331</v>
      </c>
      <c r="E240" s="7">
        <v>101.23333333333331</v>
      </c>
      <c r="F240" s="7">
        <v>101.23333333333331</v>
      </c>
      <c r="G240" s="7">
        <v>101.23333333333331</v>
      </c>
      <c r="H240" s="7">
        <v>101.23333333333331</v>
      </c>
      <c r="I240" s="7">
        <v>101.23333333333331</v>
      </c>
      <c r="J240" s="7">
        <v>101.23333333333331</v>
      </c>
      <c r="K240" s="7">
        <v>101.23333333333331</v>
      </c>
      <c r="L240" s="7">
        <v>101.23333333333331</v>
      </c>
      <c r="M240" s="7">
        <v>101.23333333333331</v>
      </c>
      <c r="N240" s="7">
        <v>101.23333333333331</v>
      </c>
      <c r="O240" s="7">
        <v>101.23333333333331</v>
      </c>
      <c r="P240" s="8">
        <f t="shared" si="21"/>
        <v>1214.8</v>
      </c>
    </row>
    <row r="241" spans="1:16" x14ac:dyDescent="0.3">
      <c r="A241" s="2" t="s">
        <v>76</v>
      </c>
      <c r="B241" s="2" t="s">
        <v>50</v>
      </c>
      <c r="C241" s="2" t="s">
        <v>27</v>
      </c>
      <c r="D241" s="7">
        <v>128.625</v>
      </c>
      <c r="E241" s="7">
        <v>128.625</v>
      </c>
      <c r="F241" s="7">
        <v>128.625</v>
      </c>
      <c r="G241" s="7">
        <v>128.625</v>
      </c>
      <c r="H241" s="7">
        <v>128.625</v>
      </c>
      <c r="I241" s="7">
        <v>128.625</v>
      </c>
      <c r="J241" s="7">
        <v>128.625</v>
      </c>
      <c r="K241" s="7">
        <v>128.625</v>
      </c>
      <c r="L241" s="7">
        <v>128.625</v>
      </c>
      <c r="M241" s="7">
        <v>128.625</v>
      </c>
      <c r="N241" s="7">
        <v>128.625</v>
      </c>
      <c r="O241" s="7">
        <v>128.625</v>
      </c>
      <c r="P241" s="8">
        <f t="shared" si="21"/>
        <v>1543.5</v>
      </c>
    </row>
    <row r="242" spans="1:16" x14ac:dyDescent="0.3">
      <c r="A242" s="2" t="s">
        <v>76</v>
      </c>
      <c r="B242" s="2" t="s">
        <v>50</v>
      </c>
      <c r="C242" s="2" t="s">
        <v>28</v>
      </c>
      <c r="D242" s="7">
        <v>160.9083333333333</v>
      </c>
      <c r="E242" s="7">
        <v>160.9083333333333</v>
      </c>
      <c r="F242" s="7">
        <v>160.9083333333333</v>
      </c>
      <c r="G242" s="7">
        <v>160.9083333333333</v>
      </c>
      <c r="H242" s="7">
        <v>160.9083333333333</v>
      </c>
      <c r="I242" s="7">
        <v>160.9083333333333</v>
      </c>
      <c r="J242" s="7">
        <v>160.9083333333333</v>
      </c>
      <c r="K242" s="7">
        <v>160.9083333333333</v>
      </c>
      <c r="L242" s="7">
        <v>160.9083333333333</v>
      </c>
      <c r="M242" s="7">
        <v>160.9083333333333</v>
      </c>
      <c r="N242" s="7">
        <v>160.9083333333333</v>
      </c>
      <c r="O242" s="7">
        <v>160.9083333333333</v>
      </c>
      <c r="P242" s="8">
        <f t="shared" si="21"/>
        <v>1930.8999999999996</v>
      </c>
    </row>
    <row r="243" spans="1:16" x14ac:dyDescent="0.3">
      <c r="A243" s="2" t="s">
        <v>76</v>
      </c>
      <c r="B243" s="2" t="s">
        <v>50</v>
      </c>
      <c r="C243" s="2" t="s">
        <v>29</v>
      </c>
      <c r="D243" s="7">
        <v>161.89166666666671</v>
      </c>
      <c r="E243" s="7">
        <v>161.89166666666671</v>
      </c>
      <c r="F243" s="7">
        <v>161.89166666666671</v>
      </c>
      <c r="G243" s="7">
        <v>161.89166666666671</v>
      </c>
      <c r="H243" s="7">
        <v>161.89166666666671</v>
      </c>
      <c r="I243" s="7">
        <v>161.89166666666671</v>
      </c>
      <c r="J243" s="7">
        <v>161.89166666666671</v>
      </c>
      <c r="K243" s="7">
        <v>161.89166666666671</v>
      </c>
      <c r="L243" s="7">
        <v>161.89166666666671</v>
      </c>
      <c r="M243" s="7">
        <v>161.89166666666671</v>
      </c>
      <c r="N243" s="7">
        <v>161.89166666666671</v>
      </c>
      <c r="O243" s="7">
        <v>161.89166666666671</v>
      </c>
      <c r="P243" s="8">
        <f t="shared" si="21"/>
        <v>1942.7</v>
      </c>
    </row>
    <row r="244" spans="1:16" x14ac:dyDescent="0.3">
      <c r="A244" s="2" t="s">
        <v>76</v>
      </c>
      <c r="B244" s="2" t="s">
        <v>50</v>
      </c>
      <c r="C244" s="2" t="s">
        <v>30</v>
      </c>
      <c r="D244" s="7">
        <v>200.83333333333329</v>
      </c>
      <c r="E244" s="7">
        <v>200.83333333333329</v>
      </c>
      <c r="F244" s="7">
        <v>200.83333333333329</v>
      </c>
      <c r="G244" s="7">
        <v>200.83333333333329</v>
      </c>
      <c r="H244" s="7">
        <v>200.83333333333329</v>
      </c>
      <c r="I244" s="7">
        <v>200.83333333333329</v>
      </c>
      <c r="J244" s="7">
        <v>200.83333333333329</v>
      </c>
      <c r="K244" s="7">
        <v>200.83333333333329</v>
      </c>
      <c r="L244" s="7">
        <v>200.83333333333329</v>
      </c>
      <c r="M244" s="7">
        <v>200.83333333333329</v>
      </c>
      <c r="N244" s="7">
        <v>200.83333333333329</v>
      </c>
      <c r="O244" s="7">
        <v>200.83333333333329</v>
      </c>
      <c r="P244" s="8">
        <f t="shared" si="21"/>
        <v>2409.9999999999995</v>
      </c>
    </row>
    <row r="245" spans="1:16" x14ac:dyDescent="0.3">
      <c r="A245" s="2" t="s">
        <v>76</v>
      </c>
      <c r="B245" s="2" t="s">
        <v>50</v>
      </c>
      <c r="C245" s="2" t="s">
        <v>31</v>
      </c>
      <c r="D245" s="7">
        <v>235.8416666666667</v>
      </c>
      <c r="E245" s="7">
        <v>235.8416666666667</v>
      </c>
      <c r="F245" s="7">
        <v>235.8416666666667</v>
      </c>
      <c r="G245" s="7">
        <v>235.8416666666667</v>
      </c>
      <c r="H245" s="7">
        <v>235.8416666666667</v>
      </c>
      <c r="I245" s="7">
        <v>235.8416666666667</v>
      </c>
      <c r="J245" s="7">
        <v>235.8416666666667</v>
      </c>
      <c r="K245" s="7">
        <v>235.8416666666667</v>
      </c>
      <c r="L245" s="7">
        <v>235.8416666666667</v>
      </c>
      <c r="M245" s="7">
        <v>235.8416666666667</v>
      </c>
      <c r="N245" s="7">
        <v>235.8416666666667</v>
      </c>
      <c r="O245" s="7">
        <v>235.8416666666667</v>
      </c>
      <c r="P245" s="8">
        <f t="shared" si="21"/>
        <v>2830.1000000000004</v>
      </c>
    </row>
    <row r="246" spans="1:16" x14ac:dyDescent="0.3">
      <c r="A246" s="2" t="s">
        <v>76</v>
      </c>
      <c r="B246" s="2" t="s">
        <v>50</v>
      </c>
      <c r="C246" s="2" t="s">
        <v>32</v>
      </c>
      <c r="D246" s="7">
        <v>246.01666666666671</v>
      </c>
      <c r="E246" s="7">
        <v>246.01666666666671</v>
      </c>
      <c r="F246" s="7">
        <v>246.01666666666671</v>
      </c>
      <c r="G246" s="7">
        <v>246.01666666666671</v>
      </c>
      <c r="H246" s="7">
        <v>246.01666666666671</v>
      </c>
      <c r="I246" s="7">
        <v>246.01666666666671</v>
      </c>
      <c r="J246" s="7">
        <v>246.01666666666671</v>
      </c>
      <c r="K246" s="7">
        <v>246.01666666666671</v>
      </c>
      <c r="L246" s="7">
        <v>246.01666666666671</v>
      </c>
      <c r="M246" s="7">
        <v>246.01666666666671</v>
      </c>
      <c r="N246" s="7">
        <v>246.01666666666671</v>
      </c>
      <c r="O246" s="7">
        <v>246.01666666666671</v>
      </c>
      <c r="P246" s="8">
        <f t="shared" si="21"/>
        <v>2952.2000000000007</v>
      </c>
    </row>
    <row r="247" spans="1:16" x14ac:dyDescent="0.3">
      <c r="A247" s="2" t="s">
        <v>76</v>
      </c>
      <c r="B247" s="2" t="s">
        <v>50</v>
      </c>
      <c r="C247" s="2" t="s">
        <v>33</v>
      </c>
      <c r="D247" s="7">
        <v>166.73333333333329</v>
      </c>
      <c r="E247" s="7">
        <v>166.73333333333329</v>
      </c>
      <c r="F247" s="7">
        <v>166.73333333333329</v>
      </c>
      <c r="G247" s="7">
        <v>166.73333333333329</v>
      </c>
      <c r="H247" s="7">
        <v>166.73333333333329</v>
      </c>
      <c r="I247" s="7">
        <v>166.73333333333329</v>
      </c>
      <c r="J247" s="7">
        <v>166.73333333333329</v>
      </c>
      <c r="K247" s="7">
        <v>166.73333333333329</v>
      </c>
      <c r="L247" s="7">
        <v>166.73333333333329</v>
      </c>
      <c r="M247" s="7">
        <v>166.73333333333329</v>
      </c>
      <c r="N247" s="7">
        <v>166.73333333333329</v>
      </c>
      <c r="O247" s="7">
        <v>166.73333333333329</v>
      </c>
      <c r="P247" s="8">
        <f t="shared" si="21"/>
        <v>2000.8</v>
      </c>
    </row>
    <row r="248" spans="1:16" x14ac:dyDescent="0.3">
      <c r="A248" s="2" t="s">
        <v>76</v>
      </c>
      <c r="B248" s="2" t="s">
        <v>50</v>
      </c>
      <c r="C248" s="2" t="s">
        <v>34</v>
      </c>
      <c r="D248" s="7">
        <v>184.1</v>
      </c>
      <c r="E248" s="7">
        <v>184.1</v>
      </c>
      <c r="F248" s="7">
        <v>184.1</v>
      </c>
      <c r="G248" s="7">
        <v>184.1</v>
      </c>
      <c r="H248" s="7">
        <v>184.1</v>
      </c>
      <c r="I248" s="7">
        <v>184.1</v>
      </c>
      <c r="J248" s="7">
        <v>184.1</v>
      </c>
      <c r="K248" s="7">
        <v>184.1</v>
      </c>
      <c r="L248" s="7">
        <v>184.1</v>
      </c>
      <c r="M248" s="7">
        <v>184.1</v>
      </c>
      <c r="N248" s="7">
        <v>184.1</v>
      </c>
      <c r="O248" s="7">
        <v>184.1</v>
      </c>
      <c r="P248" s="8">
        <f t="shared" si="21"/>
        <v>2209.1999999999994</v>
      </c>
    </row>
    <row r="249" spans="1:16" x14ac:dyDescent="0.3">
      <c r="A249" s="2" t="s">
        <v>76</v>
      </c>
      <c r="B249" s="2" t="s">
        <v>50</v>
      </c>
      <c r="C249" s="2" t="s">
        <v>35</v>
      </c>
      <c r="D249" s="7">
        <v>252.3833333333333</v>
      </c>
      <c r="E249" s="7">
        <v>252.3833333333333</v>
      </c>
      <c r="F249" s="7">
        <v>252.3833333333333</v>
      </c>
      <c r="G249" s="7">
        <v>252.3833333333333</v>
      </c>
      <c r="H249" s="7">
        <v>252.3833333333333</v>
      </c>
      <c r="I249" s="7">
        <v>252.3833333333333</v>
      </c>
      <c r="J249" s="7">
        <v>252.3833333333333</v>
      </c>
      <c r="K249" s="7">
        <v>252.3833333333333</v>
      </c>
      <c r="L249" s="7">
        <v>252.3833333333333</v>
      </c>
      <c r="M249" s="7">
        <v>252.3833333333333</v>
      </c>
      <c r="N249" s="7">
        <v>252.3833333333333</v>
      </c>
      <c r="O249" s="7">
        <v>252.3833333333333</v>
      </c>
      <c r="P249" s="8">
        <f t="shared" si="21"/>
        <v>3028.599999999999</v>
      </c>
    </row>
    <row r="250" spans="1:16" x14ac:dyDescent="0.3">
      <c r="A250" s="2" t="s">
        <v>76</v>
      </c>
      <c r="B250" s="2" t="s">
        <v>50</v>
      </c>
      <c r="C250" s="2" t="s">
        <v>36</v>
      </c>
      <c r="D250" s="7">
        <v>219.89166666666671</v>
      </c>
      <c r="E250" s="7">
        <v>219.89166666666671</v>
      </c>
      <c r="F250" s="7">
        <v>219.89166666666671</v>
      </c>
      <c r="G250" s="7">
        <v>219.89166666666671</v>
      </c>
      <c r="H250" s="7">
        <v>219.89166666666671</v>
      </c>
      <c r="I250" s="7">
        <v>219.89166666666671</v>
      </c>
      <c r="J250" s="7">
        <v>219.89166666666671</v>
      </c>
      <c r="K250" s="7">
        <v>219.89166666666671</v>
      </c>
      <c r="L250" s="7">
        <v>219.89166666666671</v>
      </c>
      <c r="M250" s="7">
        <v>219.89166666666671</v>
      </c>
      <c r="N250" s="7">
        <v>219.89166666666671</v>
      </c>
      <c r="O250" s="7">
        <v>219.89166666666671</v>
      </c>
      <c r="P250" s="8">
        <f t="shared" si="21"/>
        <v>2638.7000000000007</v>
      </c>
    </row>
    <row r="251" spans="1:16" x14ac:dyDescent="0.3">
      <c r="A251" s="2" t="s">
        <v>76</v>
      </c>
      <c r="B251" s="2" t="s">
        <v>50</v>
      </c>
      <c r="C251" s="2" t="s">
        <v>37</v>
      </c>
      <c r="D251" s="7">
        <v>150.55000000000001</v>
      </c>
      <c r="E251" s="7">
        <v>150.55000000000001</v>
      </c>
      <c r="F251" s="7">
        <v>150.55000000000001</v>
      </c>
      <c r="G251" s="7">
        <v>150.55000000000001</v>
      </c>
      <c r="H251" s="7">
        <v>150.55000000000001</v>
      </c>
      <c r="I251" s="7">
        <v>150.55000000000001</v>
      </c>
      <c r="J251" s="7">
        <v>150.55000000000001</v>
      </c>
      <c r="K251" s="7">
        <v>150.55000000000001</v>
      </c>
      <c r="L251" s="7">
        <v>150.55000000000001</v>
      </c>
      <c r="M251" s="7">
        <v>150.55000000000001</v>
      </c>
      <c r="N251" s="7">
        <v>150.55000000000001</v>
      </c>
      <c r="O251" s="7">
        <v>150.55000000000001</v>
      </c>
      <c r="P251" s="8">
        <f t="shared" si="21"/>
        <v>1806.5999999999997</v>
      </c>
    </row>
    <row r="252" spans="1:16" x14ac:dyDescent="0.3">
      <c r="A252" s="2" t="s">
        <v>76</v>
      </c>
      <c r="B252" s="2" t="s">
        <v>50</v>
      </c>
      <c r="C252" s="2" t="s">
        <v>38</v>
      </c>
      <c r="D252" s="7">
        <v>195.3666666666667</v>
      </c>
      <c r="E252" s="7">
        <v>195.3666666666667</v>
      </c>
      <c r="F252" s="7">
        <v>195.3666666666667</v>
      </c>
      <c r="G252" s="7">
        <v>195.3666666666667</v>
      </c>
      <c r="H252" s="7">
        <v>195.3666666666667</v>
      </c>
      <c r="I252" s="7">
        <v>195.3666666666667</v>
      </c>
      <c r="J252" s="7">
        <v>195.3666666666667</v>
      </c>
      <c r="K252" s="7">
        <v>195.3666666666667</v>
      </c>
      <c r="L252" s="7">
        <v>195.3666666666667</v>
      </c>
      <c r="M252" s="7">
        <v>195.3666666666667</v>
      </c>
      <c r="N252" s="7">
        <v>195.3666666666667</v>
      </c>
      <c r="O252" s="7">
        <v>195.3666666666667</v>
      </c>
      <c r="P252" s="8">
        <f t="shared" si="21"/>
        <v>2344.400000000001</v>
      </c>
    </row>
    <row r="253" spans="1:16" x14ac:dyDescent="0.3">
      <c r="A253" s="2" t="s">
        <v>76</v>
      </c>
      <c r="B253" s="2" t="s">
        <v>50</v>
      </c>
      <c r="C253" s="2" t="s">
        <v>39</v>
      </c>
      <c r="D253" s="7">
        <v>153.94166666666669</v>
      </c>
      <c r="E253" s="7">
        <v>153.94166666666669</v>
      </c>
      <c r="F253" s="7">
        <v>153.94166666666669</v>
      </c>
      <c r="G253" s="7">
        <v>153.94166666666669</v>
      </c>
      <c r="H253" s="7">
        <v>153.94166666666669</v>
      </c>
      <c r="I253" s="7">
        <v>153.94166666666669</v>
      </c>
      <c r="J253" s="7">
        <v>153.94166666666669</v>
      </c>
      <c r="K253" s="7">
        <v>153.94166666666669</v>
      </c>
      <c r="L253" s="7">
        <v>153.94166666666669</v>
      </c>
      <c r="M253" s="7">
        <v>153.94166666666669</v>
      </c>
      <c r="N253" s="7">
        <v>153.94166666666669</v>
      </c>
      <c r="O253" s="7">
        <v>153.94166666666669</v>
      </c>
      <c r="P253" s="8">
        <f t="shared" si="21"/>
        <v>1847.3</v>
      </c>
    </row>
    <row r="254" spans="1:16" x14ac:dyDescent="0.3">
      <c r="A254" s="2" t="s">
        <v>76</v>
      </c>
      <c r="B254" s="2" t="s">
        <v>50</v>
      </c>
      <c r="C254" s="2" t="s">
        <v>40</v>
      </c>
      <c r="D254" s="7">
        <v>169.5916666666667</v>
      </c>
      <c r="E254" s="7">
        <v>169.5916666666667</v>
      </c>
      <c r="F254" s="7">
        <v>169.5916666666667</v>
      </c>
      <c r="G254" s="7">
        <v>169.5916666666667</v>
      </c>
      <c r="H254" s="7">
        <v>169.5916666666667</v>
      </c>
      <c r="I254" s="7">
        <v>169.5916666666667</v>
      </c>
      <c r="J254" s="7">
        <v>169.5916666666667</v>
      </c>
      <c r="K254" s="7">
        <v>169.5916666666667</v>
      </c>
      <c r="L254" s="7">
        <v>169.5916666666667</v>
      </c>
      <c r="M254" s="7">
        <v>169.5916666666667</v>
      </c>
      <c r="N254" s="7">
        <v>169.5916666666667</v>
      </c>
      <c r="O254" s="7">
        <v>169.5916666666667</v>
      </c>
      <c r="P254" s="8">
        <f t="shared" ref="P254" si="31">SUM(D254:O254)</f>
        <v>2035.1000000000004</v>
      </c>
    </row>
    <row r="255" spans="1:16" x14ac:dyDescent="0.3">
      <c r="A255" s="2" t="s">
        <v>76</v>
      </c>
      <c r="B255" s="2" t="s">
        <v>51</v>
      </c>
      <c r="C255" s="2" t="s">
        <v>18</v>
      </c>
      <c r="D255" s="7">
        <f>132+D71+D117-D94-D209-D232-D186</f>
        <v>425.83333333333337</v>
      </c>
      <c r="E255" s="7">
        <f t="shared" ref="E255:O255" si="32">D255+E71+E117-E94-E209-E232-E186</f>
        <v>391.66666666666674</v>
      </c>
      <c r="F255" s="7">
        <f t="shared" si="32"/>
        <v>357.50000000000011</v>
      </c>
      <c r="G255" s="7">
        <f t="shared" si="32"/>
        <v>323.33333333333348</v>
      </c>
      <c r="H255" s="7">
        <f t="shared" si="32"/>
        <v>289.16666666666686</v>
      </c>
      <c r="I255" s="7">
        <f t="shared" si="32"/>
        <v>255.0000000000002</v>
      </c>
      <c r="J255" s="7">
        <f t="shared" si="32"/>
        <v>220.83333333333354</v>
      </c>
      <c r="K255" s="7">
        <f t="shared" si="32"/>
        <v>186.66666666666688</v>
      </c>
      <c r="L255" s="7">
        <f t="shared" si="32"/>
        <v>152.50000000000023</v>
      </c>
      <c r="M255" s="7">
        <f t="shared" si="32"/>
        <v>118.33333333333357</v>
      </c>
      <c r="N255" s="7">
        <f t="shared" si="32"/>
        <v>84.166666666666913</v>
      </c>
      <c r="O255" s="7">
        <f t="shared" si="32"/>
        <v>50.000000000000256</v>
      </c>
      <c r="P255" s="8">
        <f t="shared" ref="P255:P277" si="33">O255</f>
        <v>50.000000000000256</v>
      </c>
    </row>
    <row r="256" spans="1:16" x14ac:dyDescent="0.3">
      <c r="A256" s="2" t="s">
        <v>76</v>
      </c>
      <c r="B256" s="2" t="s">
        <v>51</v>
      </c>
      <c r="C256" s="2" t="s">
        <v>19</v>
      </c>
      <c r="D256" s="7">
        <f t="shared" ref="D256:D277" si="34">O255+D72+D118-D95-D210-D233-D187</f>
        <v>493.21666666666692</v>
      </c>
      <c r="E256" s="7">
        <f t="shared" ref="E256:O256" si="35">D256+E72+E118-E95-E210-E233-E187</f>
        <v>451.8333333333336</v>
      </c>
      <c r="F256" s="7">
        <f t="shared" si="35"/>
        <v>410.45000000000027</v>
      </c>
      <c r="G256" s="7">
        <f t="shared" si="35"/>
        <v>369.06666666666695</v>
      </c>
      <c r="H256" s="7">
        <f t="shared" si="35"/>
        <v>327.68333333333362</v>
      </c>
      <c r="I256" s="7">
        <f t="shared" si="35"/>
        <v>286.3000000000003</v>
      </c>
      <c r="J256" s="7">
        <f t="shared" si="35"/>
        <v>244.91666666666697</v>
      </c>
      <c r="K256" s="7">
        <f t="shared" si="35"/>
        <v>203.53333333333364</v>
      </c>
      <c r="L256" s="7">
        <f t="shared" si="35"/>
        <v>162.15000000000032</v>
      </c>
      <c r="M256" s="7">
        <f t="shared" si="35"/>
        <v>120.76666666666699</v>
      </c>
      <c r="N256" s="7">
        <f t="shared" si="35"/>
        <v>79.383333333333667</v>
      </c>
      <c r="O256" s="7">
        <f t="shared" si="35"/>
        <v>38.000000000000334</v>
      </c>
      <c r="P256" s="8">
        <f t="shared" si="33"/>
        <v>38.000000000000334</v>
      </c>
    </row>
    <row r="257" spans="1:16" x14ac:dyDescent="0.3">
      <c r="A257" s="2" t="s">
        <v>76</v>
      </c>
      <c r="B257" s="2" t="s">
        <v>51</v>
      </c>
      <c r="C257" s="2" t="s">
        <v>20</v>
      </c>
      <c r="D257" s="7">
        <f t="shared" si="34"/>
        <v>894.48333333333358</v>
      </c>
      <c r="E257" s="7">
        <f t="shared" ref="E257:O257" si="36">D257+E73+E119-E96-E211-E234-E188</f>
        <v>835.16666666666697</v>
      </c>
      <c r="F257" s="7">
        <f t="shared" si="36"/>
        <v>775.85000000000036</v>
      </c>
      <c r="G257" s="7">
        <f t="shared" si="36"/>
        <v>716.53333333333376</v>
      </c>
      <c r="H257" s="7">
        <f t="shared" si="36"/>
        <v>657.21666666666715</v>
      </c>
      <c r="I257" s="7">
        <f t="shared" si="36"/>
        <v>597.90000000000055</v>
      </c>
      <c r="J257" s="7">
        <f t="shared" si="36"/>
        <v>538.58333333333394</v>
      </c>
      <c r="K257" s="7">
        <f t="shared" si="36"/>
        <v>479.26666666666728</v>
      </c>
      <c r="L257" s="7">
        <f t="shared" si="36"/>
        <v>419.95000000000061</v>
      </c>
      <c r="M257" s="7">
        <f t="shared" si="36"/>
        <v>360.63333333333395</v>
      </c>
      <c r="N257" s="7">
        <f t="shared" si="36"/>
        <v>301.31666666666729</v>
      </c>
      <c r="O257" s="7">
        <f t="shared" si="36"/>
        <v>242.00000000000063</v>
      </c>
      <c r="P257" s="8">
        <f t="shared" si="33"/>
        <v>242.00000000000063</v>
      </c>
    </row>
    <row r="258" spans="1:16" x14ac:dyDescent="0.3">
      <c r="A258" s="2" t="s">
        <v>76</v>
      </c>
      <c r="B258" s="2" t="s">
        <v>51</v>
      </c>
      <c r="C258" s="2" t="s">
        <v>21</v>
      </c>
      <c r="D258" s="7">
        <f t="shared" si="34"/>
        <v>1329.5250000000005</v>
      </c>
      <c r="E258" s="7">
        <f t="shared" ref="E258:O258" si="37">D258+E74+E120-E97-E212-E235-E189</f>
        <v>1252.7500000000005</v>
      </c>
      <c r="F258" s="7">
        <f t="shared" si="37"/>
        <v>1175.9750000000004</v>
      </c>
      <c r="G258" s="7">
        <f t="shared" si="37"/>
        <v>1099.2000000000003</v>
      </c>
      <c r="H258" s="7">
        <f t="shared" si="37"/>
        <v>1022.4250000000003</v>
      </c>
      <c r="I258" s="7">
        <f t="shared" si="37"/>
        <v>945.65000000000032</v>
      </c>
      <c r="J258" s="7">
        <f t="shared" si="37"/>
        <v>868.87500000000034</v>
      </c>
      <c r="K258" s="7">
        <f t="shared" si="37"/>
        <v>792.10000000000036</v>
      </c>
      <c r="L258" s="7">
        <f t="shared" si="37"/>
        <v>715.32500000000039</v>
      </c>
      <c r="M258" s="7">
        <f t="shared" si="37"/>
        <v>638.55000000000041</v>
      </c>
      <c r="N258" s="7">
        <f t="shared" si="37"/>
        <v>561.77500000000043</v>
      </c>
      <c r="O258" s="7">
        <f t="shared" si="37"/>
        <v>485.00000000000045</v>
      </c>
      <c r="P258" s="8">
        <f t="shared" si="33"/>
        <v>485.00000000000045</v>
      </c>
    </row>
    <row r="259" spans="1:16" x14ac:dyDescent="0.3">
      <c r="A259" s="2" t="s">
        <v>76</v>
      </c>
      <c r="B259" s="2" t="s">
        <v>51</v>
      </c>
      <c r="C259" s="2" t="s">
        <v>22</v>
      </c>
      <c r="D259" s="7">
        <f t="shared" si="34"/>
        <v>1096.2333333333338</v>
      </c>
      <c r="E259" s="7">
        <f t="shared" ref="E259:O259" si="38">D259+E75+E121-E98-E213-E236-E190</f>
        <v>1014.6666666666672</v>
      </c>
      <c r="F259" s="7">
        <f t="shared" si="38"/>
        <v>933.10000000000059</v>
      </c>
      <c r="G259" s="7">
        <f t="shared" si="38"/>
        <v>851.53333333333399</v>
      </c>
      <c r="H259" s="7">
        <f t="shared" si="38"/>
        <v>769.96666666666738</v>
      </c>
      <c r="I259" s="7">
        <f t="shared" si="38"/>
        <v>688.40000000000077</v>
      </c>
      <c r="J259" s="7">
        <f t="shared" si="38"/>
        <v>606.83333333333417</v>
      </c>
      <c r="K259" s="7">
        <f t="shared" si="38"/>
        <v>525.26666666666756</v>
      </c>
      <c r="L259" s="7">
        <f t="shared" si="38"/>
        <v>443.7000000000009</v>
      </c>
      <c r="M259" s="7">
        <f t="shared" si="38"/>
        <v>362.13333333333424</v>
      </c>
      <c r="N259" s="7">
        <f t="shared" si="38"/>
        <v>280.56666666666757</v>
      </c>
      <c r="O259" s="7">
        <f t="shared" si="38"/>
        <v>199.00000000000091</v>
      </c>
      <c r="P259" s="8">
        <f t="shared" si="33"/>
        <v>199.00000000000091</v>
      </c>
    </row>
    <row r="260" spans="1:16" x14ac:dyDescent="0.3">
      <c r="A260" s="2" t="s">
        <v>76</v>
      </c>
      <c r="B260" s="2" t="s">
        <v>51</v>
      </c>
      <c r="C260" s="2" t="s">
        <v>23</v>
      </c>
      <c r="D260" s="7">
        <f t="shared" si="34"/>
        <v>858.99166666666758</v>
      </c>
      <c r="E260" s="7">
        <f t="shared" ref="E260:O260" si="39">D260+E76+E122-E99-E214-E237-E191</f>
        <v>785.08333333333428</v>
      </c>
      <c r="F260" s="7">
        <f t="shared" si="39"/>
        <v>711.17500000000098</v>
      </c>
      <c r="G260" s="7">
        <f t="shared" si="39"/>
        <v>637.26666666666767</v>
      </c>
      <c r="H260" s="7">
        <f t="shared" si="39"/>
        <v>563.35833333333437</v>
      </c>
      <c r="I260" s="7">
        <f t="shared" si="39"/>
        <v>489.45000000000107</v>
      </c>
      <c r="J260" s="7">
        <f t="shared" si="39"/>
        <v>415.54166666666777</v>
      </c>
      <c r="K260" s="7">
        <f t="shared" si="39"/>
        <v>341.63333333333446</v>
      </c>
      <c r="L260" s="7">
        <f t="shared" si="39"/>
        <v>267.72500000000116</v>
      </c>
      <c r="M260" s="7">
        <f t="shared" si="39"/>
        <v>193.81666666666783</v>
      </c>
      <c r="N260" s="7">
        <f t="shared" si="39"/>
        <v>119.9083333333345</v>
      </c>
      <c r="O260" s="7">
        <f t="shared" si="39"/>
        <v>46.000000000001165</v>
      </c>
      <c r="P260" s="8">
        <f t="shared" si="33"/>
        <v>46.000000000001165</v>
      </c>
    </row>
    <row r="261" spans="1:16" x14ac:dyDescent="0.3">
      <c r="A261" s="2" t="s">
        <v>76</v>
      </c>
      <c r="B261" s="2" t="s">
        <v>51</v>
      </c>
      <c r="C261" s="2" t="s">
        <v>24</v>
      </c>
      <c r="D261" s="7">
        <f t="shared" si="34"/>
        <v>1000.2666666666678</v>
      </c>
      <c r="E261" s="7">
        <f t="shared" ref="E261:O261" si="40">D261+E77+E123-E100-E215-E238-E192</f>
        <v>911.33333333333439</v>
      </c>
      <c r="F261" s="7">
        <f t="shared" si="40"/>
        <v>822.400000000001</v>
      </c>
      <c r="G261" s="7">
        <f t="shared" si="40"/>
        <v>733.46666666666761</v>
      </c>
      <c r="H261" s="7">
        <f t="shared" si="40"/>
        <v>644.53333333333421</v>
      </c>
      <c r="I261" s="7">
        <f t="shared" si="40"/>
        <v>555.60000000000082</v>
      </c>
      <c r="J261" s="7">
        <f t="shared" si="40"/>
        <v>466.66666666666748</v>
      </c>
      <c r="K261" s="7">
        <f t="shared" si="40"/>
        <v>377.73333333333414</v>
      </c>
      <c r="L261" s="7">
        <f t="shared" si="40"/>
        <v>288.80000000000081</v>
      </c>
      <c r="M261" s="7">
        <f t="shared" si="40"/>
        <v>199.86666666666747</v>
      </c>
      <c r="N261" s="7">
        <f t="shared" si="40"/>
        <v>110.93333333333413</v>
      </c>
      <c r="O261" s="7">
        <f t="shared" si="40"/>
        <v>22.000000000000796</v>
      </c>
      <c r="P261" s="8">
        <f t="shared" si="33"/>
        <v>22.000000000000796</v>
      </c>
    </row>
    <row r="262" spans="1:16" x14ac:dyDescent="0.3">
      <c r="A262" s="2" t="s">
        <v>76</v>
      </c>
      <c r="B262" s="2" t="s">
        <v>51</v>
      </c>
      <c r="C262" s="2" t="s">
        <v>25</v>
      </c>
      <c r="D262" s="7">
        <f t="shared" si="34"/>
        <v>1426.1833333333341</v>
      </c>
      <c r="E262" s="7">
        <f t="shared" ref="E262:O262" si="41">D262+E78+E124-E101-E216-E239-E193</f>
        <v>1300.1666666666674</v>
      </c>
      <c r="F262" s="7">
        <f t="shared" si="41"/>
        <v>1174.1500000000008</v>
      </c>
      <c r="G262" s="7">
        <f t="shared" si="41"/>
        <v>1048.1333333333341</v>
      </c>
      <c r="H262" s="7">
        <f t="shared" si="41"/>
        <v>922.11666666666747</v>
      </c>
      <c r="I262" s="7">
        <f t="shared" si="41"/>
        <v>796.10000000000082</v>
      </c>
      <c r="J262" s="7">
        <f t="shared" si="41"/>
        <v>670.08333333333417</v>
      </c>
      <c r="K262" s="7">
        <f t="shared" si="41"/>
        <v>544.06666666666752</v>
      </c>
      <c r="L262" s="7">
        <f t="shared" si="41"/>
        <v>418.05000000000081</v>
      </c>
      <c r="M262" s="7">
        <f t="shared" si="41"/>
        <v>292.0333333333341</v>
      </c>
      <c r="N262" s="7">
        <f t="shared" si="41"/>
        <v>166.01666666666739</v>
      </c>
      <c r="O262" s="7">
        <f t="shared" si="41"/>
        <v>40.000000000000696</v>
      </c>
      <c r="P262" s="8">
        <f t="shared" si="33"/>
        <v>40.000000000000696</v>
      </c>
    </row>
    <row r="263" spans="1:16" x14ac:dyDescent="0.3">
      <c r="A263" s="2" t="s">
        <v>76</v>
      </c>
      <c r="B263" s="2" t="s">
        <v>51</v>
      </c>
      <c r="C263" s="2" t="s">
        <v>26</v>
      </c>
      <c r="D263" s="7">
        <f t="shared" si="34"/>
        <v>1943.5666666666673</v>
      </c>
      <c r="E263" s="7">
        <f t="shared" ref="E263:O263" si="42">D263+E79+E125-E102-E217-E240-E194</f>
        <v>1842.3333333333339</v>
      </c>
      <c r="F263" s="7">
        <f t="shared" si="42"/>
        <v>1741.1000000000006</v>
      </c>
      <c r="G263" s="7">
        <f t="shared" si="42"/>
        <v>1639.8666666666672</v>
      </c>
      <c r="H263" s="7">
        <f t="shared" si="42"/>
        <v>1538.6333333333339</v>
      </c>
      <c r="I263" s="7">
        <f t="shared" si="42"/>
        <v>1437.4000000000005</v>
      </c>
      <c r="J263" s="7">
        <f t="shared" si="42"/>
        <v>1336.1666666666672</v>
      </c>
      <c r="K263" s="7">
        <f t="shared" si="42"/>
        <v>1234.9333333333338</v>
      </c>
      <c r="L263" s="7">
        <f t="shared" si="42"/>
        <v>1133.7000000000005</v>
      </c>
      <c r="M263" s="7">
        <f t="shared" si="42"/>
        <v>1032.4666666666672</v>
      </c>
      <c r="N263" s="7">
        <f t="shared" si="42"/>
        <v>931.2333333333338</v>
      </c>
      <c r="O263" s="7">
        <f t="shared" si="42"/>
        <v>830.00000000000045</v>
      </c>
      <c r="P263" s="8">
        <f t="shared" si="33"/>
        <v>830.00000000000045</v>
      </c>
    </row>
    <row r="264" spans="1:16" x14ac:dyDescent="0.3">
      <c r="A264" s="2" t="s">
        <v>76</v>
      </c>
      <c r="B264" s="2" t="s">
        <v>51</v>
      </c>
      <c r="C264" s="2" t="s">
        <v>27</v>
      </c>
      <c r="D264" s="7">
        <f t="shared" si="34"/>
        <v>2274.8750000000005</v>
      </c>
      <c r="E264" s="7">
        <f t="shared" ref="E264:O264" si="43">D264+E80+E126-E103-E218-E241-E195</f>
        <v>2146.2500000000005</v>
      </c>
      <c r="F264" s="7">
        <f t="shared" si="43"/>
        <v>2017.6250000000005</v>
      </c>
      <c r="G264" s="7">
        <f t="shared" si="43"/>
        <v>1889.0000000000005</v>
      </c>
      <c r="H264" s="7">
        <f t="shared" si="43"/>
        <v>1760.3750000000005</v>
      </c>
      <c r="I264" s="7">
        <f t="shared" si="43"/>
        <v>1631.7500000000005</v>
      </c>
      <c r="J264" s="7">
        <f t="shared" si="43"/>
        <v>1503.1250000000005</v>
      </c>
      <c r="K264" s="7">
        <f t="shared" si="43"/>
        <v>1374.5000000000005</v>
      </c>
      <c r="L264" s="7">
        <f t="shared" si="43"/>
        <v>1245.8750000000005</v>
      </c>
      <c r="M264" s="7">
        <f t="shared" si="43"/>
        <v>1117.2500000000005</v>
      </c>
      <c r="N264" s="7">
        <f t="shared" si="43"/>
        <v>988.62500000000045</v>
      </c>
      <c r="O264" s="7">
        <f t="shared" si="43"/>
        <v>860.00000000000045</v>
      </c>
      <c r="P264" s="8">
        <f t="shared" si="33"/>
        <v>860.00000000000045</v>
      </c>
    </row>
    <row r="265" spans="1:16" x14ac:dyDescent="0.3">
      <c r="A265" s="2" t="s">
        <v>76</v>
      </c>
      <c r="B265" s="2" t="s">
        <v>51</v>
      </c>
      <c r="C265" s="2" t="s">
        <v>28</v>
      </c>
      <c r="D265" s="7">
        <f t="shared" si="34"/>
        <v>2236.9916666666672</v>
      </c>
      <c r="E265" s="7">
        <f t="shared" ref="E265:O265" si="44">D265+E81+E127-E104-E219-E242-E196</f>
        <v>2076.0833333333339</v>
      </c>
      <c r="F265" s="7">
        <f t="shared" si="44"/>
        <v>1915.1750000000006</v>
      </c>
      <c r="G265" s="7">
        <f t="shared" si="44"/>
        <v>1754.2666666666673</v>
      </c>
      <c r="H265" s="7">
        <f t="shared" si="44"/>
        <v>1593.358333333334</v>
      </c>
      <c r="I265" s="7">
        <f t="shared" si="44"/>
        <v>1432.4500000000007</v>
      </c>
      <c r="J265" s="7">
        <f t="shared" si="44"/>
        <v>1271.5416666666674</v>
      </c>
      <c r="K265" s="7">
        <f t="shared" si="44"/>
        <v>1110.6333333333341</v>
      </c>
      <c r="L265" s="7">
        <f t="shared" si="44"/>
        <v>949.72500000000082</v>
      </c>
      <c r="M265" s="7">
        <f t="shared" si="44"/>
        <v>788.81666666666752</v>
      </c>
      <c r="N265" s="7">
        <f t="shared" si="44"/>
        <v>627.90833333333421</v>
      </c>
      <c r="O265" s="7">
        <f t="shared" si="44"/>
        <v>467.00000000000091</v>
      </c>
      <c r="P265" s="8">
        <f t="shared" si="33"/>
        <v>467.00000000000091</v>
      </c>
    </row>
    <row r="266" spans="1:16" x14ac:dyDescent="0.3">
      <c r="A266" s="2" t="s">
        <v>76</v>
      </c>
      <c r="B266" s="2" t="s">
        <v>51</v>
      </c>
      <c r="C266" s="2" t="s">
        <v>29</v>
      </c>
      <c r="D266" s="7">
        <f t="shared" si="34"/>
        <v>2566.8083333333338</v>
      </c>
      <c r="E266" s="7">
        <f t="shared" ref="E266:O266" si="45">D266+E82+E128-E105-E220-E243-E197</f>
        <v>2404.916666666667</v>
      </c>
      <c r="F266" s="7">
        <f t="shared" si="45"/>
        <v>2243.0250000000001</v>
      </c>
      <c r="G266" s="7">
        <f t="shared" si="45"/>
        <v>2081.1333333333332</v>
      </c>
      <c r="H266" s="7">
        <f t="shared" si="45"/>
        <v>1919.2416666666666</v>
      </c>
      <c r="I266" s="7">
        <f t="shared" si="45"/>
        <v>1757.35</v>
      </c>
      <c r="J266" s="7">
        <f t="shared" si="45"/>
        <v>1595.4583333333333</v>
      </c>
      <c r="K266" s="7">
        <f t="shared" si="45"/>
        <v>1433.5666666666666</v>
      </c>
      <c r="L266" s="7">
        <f t="shared" si="45"/>
        <v>1271.675</v>
      </c>
      <c r="M266" s="7">
        <f t="shared" si="45"/>
        <v>1109.7833333333333</v>
      </c>
      <c r="N266" s="7">
        <f t="shared" si="45"/>
        <v>947.89166666666665</v>
      </c>
      <c r="O266" s="7">
        <f t="shared" si="45"/>
        <v>786</v>
      </c>
      <c r="P266" s="8">
        <f t="shared" si="33"/>
        <v>786</v>
      </c>
    </row>
    <row r="267" spans="1:16" x14ac:dyDescent="0.3">
      <c r="A267" s="2" t="s">
        <v>76</v>
      </c>
      <c r="B267" s="2" t="s">
        <v>51</v>
      </c>
      <c r="C267" s="2" t="s">
        <v>30</v>
      </c>
      <c r="D267" s="7">
        <f t="shared" si="34"/>
        <v>2572.1666666666665</v>
      </c>
      <c r="E267" s="7">
        <f t="shared" ref="E267:O267" si="46">D267+E83+E129-E106-E221-E244-E198</f>
        <v>2371.333333333333</v>
      </c>
      <c r="F267" s="7">
        <f t="shared" si="46"/>
        <v>2170.4999999999995</v>
      </c>
      <c r="G267" s="7">
        <f t="shared" si="46"/>
        <v>1969.6666666666663</v>
      </c>
      <c r="H267" s="7">
        <f t="shared" si="46"/>
        <v>1768.833333333333</v>
      </c>
      <c r="I267" s="7">
        <f t="shared" si="46"/>
        <v>1567.9999999999998</v>
      </c>
      <c r="J267" s="7">
        <f t="shared" si="46"/>
        <v>1367.1666666666665</v>
      </c>
      <c r="K267" s="7">
        <f t="shared" si="46"/>
        <v>1166.3333333333333</v>
      </c>
      <c r="L267" s="7">
        <f t="shared" si="46"/>
        <v>965.5</v>
      </c>
      <c r="M267" s="7">
        <f t="shared" si="46"/>
        <v>764.66666666666674</v>
      </c>
      <c r="N267" s="7">
        <f t="shared" si="46"/>
        <v>563.83333333333348</v>
      </c>
      <c r="O267" s="7">
        <f t="shared" si="46"/>
        <v>363.00000000000023</v>
      </c>
      <c r="P267" s="8">
        <f t="shared" si="33"/>
        <v>363.00000000000023</v>
      </c>
    </row>
    <row r="268" spans="1:16" x14ac:dyDescent="0.3">
      <c r="A268" s="2" t="s">
        <v>76</v>
      </c>
      <c r="B268" s="2" t="s">
        <v>51</v>
      </c>
      <c r="C268" s="2" t="s">
        <v>31</v>
      </c>
      <c r="D268" s="7">
        <f t="shared" si="34"/>
        <v>2667.6583333333333</v>
      </c>
      <c r="E268" s="7">
        <f t="shared" ref="E268:O268" si="47">D268+E84+E130-E107-E222-E245-E199</f>
        <v>2431.8166666666666</v>
      </c>
      <c r="F268" s="7">
        <f t="shared" si="47"/>
        <v>2195.9749999999999</v>
      </c>
      <c r="G268" s="7">
        <f t="shared" si="47"/>
        <v>1960.1333333333332</v>
      </c>
      <c r="H268" s="7">
        <f t="shared" si="47"/>
        <v>1724.2916666666665</v>
      </c>
      <c r="I268" s="7">
        <f t="shared" si="47"/>
        <v>1488.4499999999998</v>
      </c>
      <c r="J268" s="7">
        <f t="shared" si="47"/>
        <v>1252.6083333333331</v>
      </c>
      <c r="K268" s="7">
        <f t="shared" si="47"/>
        <v>1016.7666666666664</v>
      </c>
      <c r="L268" s="7">
        <f t="shared" si="47"/>
        <v>780.92499999999973</v>
      </c>
      <c r="M268" s="7">
        <f t="shared" si="47"/>
        <v>545.08333333333303</v>
      </c>
      <c r="N268" s="7">
        <f t="shared" si="47"/>
        <v>309.24166666666633</v>
      </c>
      <c r="O268" s="7">
        <f t="shared" si="47"/>
        <v>73.399999999999636</v>
      </c>
      <c r="P268" s="8">
        <f t="shared" si="33"/>
        <v>73.399999999999636</v>
      </c>
    </row>
    <row r="269" spans="1:16" x14ac:dyDescent="0.3">
      <c r="A269" s="2" t="s">
        <v>76</v>
      </c>
      <c r="B269" s="2" t="s">
        <v>51</v>
      </c>
      <c r="C269" s="2" t="s">
        <v>32</v>
      </c>
      <c r="D269" s="7">
        <f t="shared" si="34"/>
        <v>3021.1833333333329</v>
      </c>
      <c r="E269" s="7">
        <f t="shared" ref="E269:O269" si="48">D269+E85+E131-E108-E223-E246-E200</f>
        <v>2775.1666666666661</v>
      </c>
      <c r="F269" s="7">
        <f t="shared" si="48"/>
        <v>2529.1499999999992</v>
      </c>
      <c r="G269" s="7">
        <f t="shared" si="48"/>
        <v>2283.1333333333323</v>
      </c>
      <c r="H269" s="7">
        <f t="shared" si="48"/>
        <v>2037.1166666666657</v>
      </c>
      <c r="I269" s="7">
        <f t="shared" si="48"/>
        <v>1791.099999999999</v>
      </c>
      <c r="J269" s="7">
        <f t="shared" si="48"/>
        <v>1545.0833333333323</v>
      </c>
      <c r="K269" s="7">
        <f t="shared" si="48"/>
        <v>1299.0666666666657</v>
      </c>
      <c r="L269" s="7">
        <f t="shared" si="48"/>
        <v>1053.049999999999</v>
      </c>
      <c r="M269" s="7">
        <f t="shared" si="48"/>
        <v>807.03333333333239</v>
      </c>
      <c r="N269" s="7">
        <f t="shared" si="48"/>
        <v>561.01666666666574</v>
      </c>
      <c r="O269" s="7">
        <f t="shared" si="48"/>
        <v>314.99999999999903</v>
      </c>
      <c r="P269" s="8">
        <f t="shared" si="33"/>
        <v>314.99999999999903</v>
      </c>
    </row>
    <row r="270" spans="1:16" x14ac:dyDescent="0.3">
      <c r="A270" s="2" t="s">
        <v>76</v>
      </c>
      <c r="B270" s="2" t="s">
        <v>51</v>
      </c>
      <c r="C270" s="2" t="s">
        <v>33</v>
      </c>
      <c r="D270" s="7">
        <f t="shared" si="34"/>
        <v>2706.766666666666</v>
      </c>
      <c r="E270" s="7">
        <f t="shared" ref="E270:O270" si="49">D270+E86+E132-E109-E224-E247-E201</f>
        <v>2540.0333333333328</v>
      </c>
      <c r="F270" s="7">
        <f t="shared" si="49"/>
        <v>2373.2999999999997</v>
      </c>
      <c r="G270" s="7">
        <f t="shared" si="49"/>
        <v>2206.5666666666666</v>
      </c>
      <c r="H270" s="7">
        <f t="shared" si="49"/>
        <v>2039.8333333333333</v>
      </c>
      <c r="I270" s="7">
        <f t="shared" si="49"/>
        <v>1873.1</v>
      </c>
      <c r="J270" s="7">
        <f t="shared" si="49"/>
        <v>1706.3666666666666</v>
      </c>
      <c r="K270" s="7">
        <f t="shared" si="49"/>
        <v>1539.6333333333332</v>
      </c>
      <c r="L270" s="7">
        <f t="shared" si="49"/>
        <v>1372.8999999999999</v>
      </c>
      <c r="M270" s="7">
        <f t="shared" si="49"/>
        <v>1206.1666666666665</v>
      </c>
      <c r="N270" s="7">
        <f t="shared" si="49"/>
        <v>1039.4333333333332</v>
      </c>
      <c r="O270" s="7">
        <f t="shared" si="49"/>
        <v>872.69999999999982</v>
      </c>
      <c r="P270" s="8">
        <f t="shared" si="33"/>
        <v>872.69999999999982</v>
      </c>
    </row>
    <row r="271" spans="1:16" x14ac:dyDescent="0.3">
      <c r="A271" s="2" t="s">
        <v>76</v>
      </c>
      <c r="B271" s="2" t="s">
        <v>51</v>
      </c>
      <c r="C271" s="2" t="s">
        <v>34</v>
      </c>
      <c r="D271" s="7">
        <f t="shared" si="34"/>
        <v>2880.7</v>
      </c>
      <c r="E271" s="7">
        <f t="shared" ref="E271:O271" si="50">D271+E87+E133-E110-E225-E248-E202</f>
        <v>2696.6</v>
      </c>
      <c r="F271" s="7">
        <f t="shared" si="50"/>
        <v>2512.5</v>
      </c>
      <c r="G271" s="7">
        <f t="shared" si="50"/>
        <v>2328.4</v>
      </c>
      <c r="H271" s="7">
        <f t="shared" si="50"/>
        <v>2144.3000000000002</v>
      </c>
      <c r="I271" s="7">
        <f t="shared" si="50"/>
        <v>1960.2000000000003</v>
      </c>
      <c r="J271" s="7">
        <f t="shared" si="50"/>
        <v>1776.1000000000004</v>
      </c>
      <c r="K271" s="7">
        <f t="shared" si="50"/>
        <v>1592.0000000000005</v>
      </c>
      <c r="L271" s="7">
        <f t="shared" si="50"/>
        <v>1407.9000000000005</v>
      </c>
      <c r="M271" s="7">
        <f t="shared" si="50"/>
        <v>1223.8000000000006</v>
      </c>
      <c r="N271" s="7">
        <f t="shared" si="50"/>
        <v>1039.7000000000007</v>
      </c>
      <c r="O271" s="7">
        <f t="shared" si="50"/>
        <v>855.6000000000007</v>
      </c>
      <c r="P271" s="8">
        <f t="shared" si="33"/>
        <v>855.6000000000007</v>
      </c>
    </row>
    <row r="272" spans="1:16" x14ac:dyDescent="0.3">
      <c r="A272" s="2" t="s">
        <v>76</v>
      </c>
      <c r="B272" s="2" t="s">
        <v>51</v>
      </c>
      <c r="C272" s="2" t="s">
        <v>35</v>
      </c>
      <c r="D272" s="7">
        <f t="shared" si="34"/>
        <v>2985.2166666666676</v>
      </c>
      <c r="E272" s="7">
        <f t="shared" ref="E272:O272" si="51">D272+E88+E134-E111-E226-E249-E203</f>
        <v>2732.8333333333344</v>
      </c>
      <c r="F272" s="7">
        <f t="shared" si="51"/>
        <v>2480.4500000000012</v>
      </c>
      <c r="G272" s="7">
        <f t="shared" si="51"/>
        <v>2228.066666666668</v>
      </c>
      <c r="H272" s="7">
        <f t="shared" si="51"/>
        <v>1975.6833333333348</v>
      </c>
      <c r="I272" s="7">
        <f t="shared" si="51"/>
        <v>1723.3000000000015</v>
      </c>
      <c r="J272" s="7">
        <f t="shared" si="51"/>
        <v>1470.9166666666683</v>
      </c>
      <c r="K272" s="7">
        <f t="shared" si="51"/>
        <v>1218.5333333333351</v>
      </c>
      <c r="L272" s="7">
        <f t="shared" si="51"/>
        <v>966.1500000000018</v>
      </c>
      <c r="M272" s="7">
        <f t="shared" si="51"/>
        <v>713.76666666666847</v>
      </c>
      <c r="N272" s="7">
        <f t="shared" si="51"/>
        <v>461.38333333333514</v>
      </c>
      <c r="O272" s="7">
        <f t="shared" si="51"/>
        <v>209.00000000000185</v>
      </c>
      <c r="P272" s="8">
        <f t="shared" si="33"/>
        <v>209.00000000000185</v>
      </c>
    </row>
    <row r="273" spans="1:16" x14ac:dyDescent="0.3">
      <c r="A273" s="2" t="s">
        <v>76</v>
      </c>
      <c r="B273" s="2" t="s">
        <v>51</v>
      </c>
      <c r="C273" s="2" t="s">
        <v>36</v>
      </c>
      <c r="D273" s="7">
        <f t="shared" si="34"/>
        <v>2856.8083333333348</v>
      </c>
      <c r="E273" s="7">
        <f t="shared" ref="E273:O273" si="52">D273+E89+E135-E112-E227-E250-E204</f>
        <v>2636.9166666666679</v>
      </c>
      <c r="F273" s="7">
        <f t="shared" si="52"/>
        <v>2417.025000000001</v>
      </c>
      <c r="G273" s="7">
        <f t="shared" si="52"/>
        <v>2197.1333333333341</v>
      </c>
      <c r="H273" s="7">
        <f t="shared" si="52"/>
        <v>1977.2416666666675</v>
      </c>
      <c r="I273" s="7">
        <f t="shared" si="52"/>
        <v>1757.3500000000008</v>
      </c>
      <c r="J273" s="7">
        <f t="shared" si="52"/>
        <v>1537.4583333333342</v>
      </c>
      <c r="K273" s="7">
        <f t="shared" si="52"/>
        <v>1317.5666666666675</v>
      </c>
      <c r="L273" s="7">
        <f t="shared" si="52"/>
        <v>1097.6750000000009</v>
      </c>
      <c r="M273" s="7">
        <f t="shared" si="52"/>
        <v>877.78333333333421</v>
      </c>
      <c r="N273" s="7">
        <f t="shared" si="52"/>
        <v>657.89166666666756</v>
      </c>
      <c r="O273" s="7">
        <f t="shared" si="52"/>
        <v>438.00000000000085</v>
      </c>
      <c r="P273" s="8">
        <f t="shared" si="33"/>
        <v>438.00000000000085</v>
      </c>
    </row>
    <row r="274" spans="1:16" x14ac:dyDescent="0.3">
      <c r="A274" s="2" t="s">
        <v>76</v>
      </c>
      <c r="B274" s="2" t="s">
        <v>51</v>
      </c>
      <c r="C274" s="2" t="s">
        <v>37</v>
      </c>
      <c r="D274" s="7">
        <f t="shared" si="34"/>
        <v>1881.0500000000009</v>
      </c>
      <c r="E274" s="7">
        <f t="shared" ref="E274:O274" si="53">D274+E90+E136-E113-E228-E251-E205</f>
        <v>1730.5000000000009</v>
      </c>
      <c r="F274" s="7">
        <f t="shared" si="53"/>
        <v>1579.950000000001</v>
      </c>
      <c r="G274" s="7">
        <f t="shared" si="53"/>
        <v>1429.400000000001</v>
      </c>
      <c r="H274" s="7">
        <f t="shared" si="53"/>
        <v>1278.850000000001</v>
      </c>
      <c r="I274" s="7">
        <f t="shared" si="53"/>
        <v>1128.3000000000011</v>
      </c>
      <c r="J274" s="7">
        <f t="shared" si="53"/>
        <v>977.75000000000114</v>
      </c>
      <c r="K274" s="7">
        <f t="shared" si="53"/>
        <v>827.20000000000118</v>
      </c>
      <c r="L274" s="7">
        <f t="shared" si="53"/>
        <v>676.65000000000123</v>
      </c>
      <c r="M274" s="7">
        <f t="shared" si="53"/>
        <v>526.10000000000127</v>
      </c>
      <c r="N274" s="7">
        <f t="shared" si="53"/>
        <v>375.55000000000126</v>
      </c>
      <c r="O274" s="7">
        <f t="shared" si="53"/>
        <v>225.00000000000125</v>
      </c>
      <c r="P274" s="8">
        <f t="shared" si="33"/>
        <v>225.00000000000125</v>
      </c>
    </row>
    <row r="275" spans="1:16" x14ac:dyDescent="0.3">
      <c r="A275" s="2" t="s">
        <v>76</v>
      </c>
      <c r="B275" s="2" t="s">
        <v>51</v>
      </c>
      <c r="C275" s="2" t="s">
        <v>38</v>
      </c>
      <c r="D275" s="7">
        <f t="shared" si="34"/>
        <v>2360.2333333333345</v>
      </c>
      <c r="E275" s="7">
        <f t="shared" ref="E275:O275" si="54">D275+E91+E137-E114-E229-E252-E206</f>
        <v>2164.8666666666677</v>
      </c>
      <c r="F275" s="7">
        <f t="shared" si="54"/>
        <v>1969.5000000000009</v>
      </c>
      <c r="G275" s="7">
        <f t="shared" si="54"/>
        <v>1774.1333333333341</v>
      </c>
      <c r="H275" s="7">
        <f t="shared" si="54"/>
        <v>1578.7666666666673</v>
      </c>
      <c r="I275" s="7">
        <f t="shared" si="54"/>
        <v>1383.4000000000005</v>
      </c>
      <c r="J275" s="7">
        <f t="shared" si="54"/>
        <v>1188.0333333333338</v>
      </c>
      <c r="K275" s="7">
        <f t="shared" si="54"/>
        <v>992.66666666666708</v>
      </c>
      <c r="L275" s="7">
        <f t="shared" si="54"/>
        <v>797.30000000000041</v>
      </c>
      <c r="M275" s="7">
        <f t="shared" si="54"/>
        <v>601.93333333333374</v>
      </c>
      <c r="N275" s="7">
        <f t="shared" si="54"/>
        <v>406.56666666666706</v>
      </c>
      <c r="O275" s="7">
        <f t="shared" si="54"/>
        <v>211.20000000000036</v>
      </c>
      <c r="P275" s="8">
        <f t="shared" si="33"/>
        <v>211.20000000000036</v>
      </c>
    </row>
    <row r="276" spans="1:16" x14ac:dyDescent="0.3">
      <c r="A276" s="2" t="s">
        <v>76</v>
      </c>
      <c r="B276" s="2" t="s">
        <v>51</v>
      </c>
      <c r="C276" s="2" t="s">
        <v>39</v>
      </c>
      <c r="D276" s="7">
        <f t="shared" si="34"/>
        <v>1858.3583333333336</v>
      </c>
      <c r="E276" s="7">
        <f t="shared" ref="E276:O276" si="55">D276+E92+E138-E115-E230-E253-E207</f>
        <v>1704.416666666667</v>
      </c>
      <c r="F276" s="7">
        <f t="shared" si="55"/>
        <v>1550.4750000000004</v>
      </c>
      <c r="G276" s="7">
        <f t="shared" si="55"/>
        <v>1396.5333333333338</v>
      </c>
      <c r="H276" s="7">
        <f t="shared" si="55"/>
        <v>1242.5916666666672</v>
      </c>
      <c r="I276" s="7">
        <f t="shared" si="55"/>
        <v>1088.6500000000005</v>
      </c>
      <c r="J276" s="7">
        <f t="shared" si="55"/>
        <v>934.70833333333383</v>
      </c>
      <c r="K276" s="7">
        <f t="shared" si="55"/>
        <v>780.76666666666711</v>
      </c>
      <c r="L276" s="7">
        <f t="shared" si="55"/>
        <v>626.82500000000039</v>
      </c>
      <c r="M276" s="7">
        <f t="shared" si="55"/>
        <v>472.88333333333367</v>
      </c>
      <c r="N276" s="7">
        <f t="shared" si="55"/>
        <v>318.94166666666695</v>
      </c>
      <c r="O276" s="7">
        <f t="shared" si="55"/>
        <v>165.00000000000026</v>
      </c>
      <c r="P276" s="8">
        <f t="shared" si="33"/>
        <v>165.00000000000026</v>
      </c>
    </row>
    <row r="277" spans="1:16" x14ac:dyDescent="0.3">
      <c r="A277" s="2" t="s">
        <v>76</v>
      </c>
      <c r="B277" s="2" t="s">
        <v>51</v>
      </c>
      <c r="C277" s="2" t="s">
        <v>40</v>
      </c>
      <c r="D277" s="7">
        <f t="shared" si="34"/>
        <v>2426.7083333333339</v>
      </c>
      <c r="E277" s="7">
        <f t="shared" ref="E277:O277" si="56">D277+E93+E139-E116-E231-E254-E208</f>
        <v>2257.1166666666672</v>
      </c>
      <c r="F277" s="7">
        <f t="shared" si="56"/>
        <v>2087.5250000000005</v>
      </c>
      <c r="G277" s="7">
        <f t="shared" si="56"/>
        <v>1917.9333333333338</v>
      </c>
      <c r="H277" s="7">
        <f t="shared" si="56"/>
        <v>1748.3416666666672</v>
      </c>
      <c r="I277" s="7">
        <f t="shared" si="56"/>
        <v>1578.7500000000005</v>
      </c>
      <c r="J277" s="7">
        <f t="shared" si="56"/>
        <v>1409.1583333333338</v>
      </c>
      <c r="K277" s="7">
        <f t="shared" si="56"/>
        <v>1239.5666666666671</v>
      </c>
      <c r="L277" s="7">
        <f t="shared" si="56"/>
        <v>1069.9750000000004</v>
      </c>
      <c r="M277" s="7">
        <f t="shared" si="56"/>
        <v>900.38333333333367</v>
      </c>
      <c r="N277" s="7">
        <f t="shared" si="56"/>
        <v>730.79166666666697</v>
      </c>
      <c r="O277" s="7">
        <f t="shared" si="56"/>
        <v>561.20000000000027</v>
      </c>
      <c r="P277" s="8">
        <f t="shared" si="33"/>
        <v>561.20000000000027</v>
      </c>
    </row>
  </sheetData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32"/>
  <sheetViews>
    <sheetView workbookViewId="0">
      <pane xSplit="3" ySplit="2" topLeftCell="D3" activePane="bottomRight" state="frozen"/>
      <selection pane="topRight"/>
      <selection pane="bottomLeft"/>
      <selection pane="bottomRight" activeCell="A25" sqref="A25:XFD32"/>
    </sheetView>
  </sheetViews>
  <sheetFormatPr defaultRowHeight="14.4" x14ac:dyDescent="0.3"/>
  <cols>
    <col min="1" max="1" width="18" customWidth="1"/>
    <col min="2" max="2" width="22" customWidth="1"/>
    <col min="3" max="3" width="9" customWidth="1"/>
    <col min="4" max="26" width="10" customWidth="1"/>
  </cols>
  <sheetData>
    <row r="1" spans="1:26" ht="25.8" x14ac:dyDescent="0.5">
      <c r="A1" s="9" t="s">
        <v>76</v>
      </c>
    </row>
    <row r="2" spans="1:26" x14ac:dyDescent="0.3">
      <c r="A2" s="10" t="s">
        <v>0</v>
      </c>
      <c r="B2" s="10" t="s">
        <v>1</v>
      </c>
      <c r="C2" s="10" t="s">
        <v>53</v>
      </c>
      <c r="D2" s="10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10" t="s">
        <v>23</v>
      </c>
      <c r="J2" s="10" t="s">
        <v>24</v>
      </c>
      <c r="K2" s="10" t="s">
        <v>25</v>
      </c>
      <c r="L2" s="10" t="s">
        <v>26</v>
      </c>
      <c r="M2" s="10" t="s">
        <v>27</v>
      </c>
      <c r="N2" s="10" t="s">
        <v>28</v>
      </c>
      <c r="O2" s="10" t="s">
        <v>29</v>
      </c>
      <c r="P2" s="10" t="s">
        <v>30</v>
      </c>
      <c r="Q2" s="10" t="s">
        <v>31</v>
      </c>
      <c r="R2" s="10" t="s">
        <v>32</v>
      </c>
      <c r="S2" s="10" t="s">
        <v>33</v>
      </c>
      <c r="T2" s="10" t="s">
        <v>34</v>
      </c>
      <c r="U2" s="10" t="s">
        <v>35</v>
      </c>
      <c r="V2" s="10" t="s">
        <v>36</v>
      </c>
      <c r="W2" s="10" t="s">
        <v>37</v>
      </c>
      <c r="X2" s="10" t="s">
        <v>38</v>
      </c>
      <c r="Y2" s="10" t="s">
        <v>39</v>
      </c>
      <c r="Z2" s="10" t="s">
        <v>40</v>
      </c>
    </row>
    <row r="3" spans="1:26" x14ac:dyDescent="0.3">
      <c r="A3" s="11" t="s">
        <v>76</v>
      </c>
      <c r="B3" s="11" t="s">
        <v>17</v>
      </c>
      <c r="C3" s="12" t="s">
        <v>54</v>
      </c>
      <c r="D3" s="13">
        <f>SUMIFS(Lentils_Mo!$P:$P,Lentils_Mo!$B:$B,"Planted Area",Lentils_Mo!$C:$C,RIGHT(D$2,5))</f>
        <v>1.335</v>
      </c>
      <c r="E3" s="13">
        <f>SUMIFS(Lentils_Mo!$P:$P,Lentils_Mo!$B:$B,"Planted Area",Lentils_Mo!$C:$C,RIGHT(E$2,5))</f>
        <v>1.2689999999999999</v>
      </c>
      <c r="F3" s="13">
        <f>SUMIFS(Lentils_Mo!$P:$P,Lentils_Mo!$B:$B,"Planted Area",Lentils_Mo!$C:$C,RIGHT(F$2,5))</f>
        <v>1.825</v>
      </c>
      <c r="G3" s="13">
        <f>SUMIFS(Lentils_Mo!$P:$P,Lentils_Mo!$B:$B,"Planted Area",Lentils_Mo!$C:$C,RIGHT(G$2,5))</f>
        <v>1.984</v>
      </c>
      <c r="H3" s="13">
        <f>SUMIFS(Lentils_Mo!$P:$P,Lentils_Mo!$B:$B,"Planted Area",Lentils_Mo!$C:$C,RIGHT(H$2,5))</f>
        <v>1.4</v>
      </c>
      <c r="I3" s="13">
        <f>SUMIFS(Lentils_Mo!$P:$P,Lentils_Mo!$B:$B,"Planted Area",Lentils_Mo!$C:$C,RIGHT(I$2,5))</f>
        <v>1.4350000000000001</v>
      </c>
      <c r="J3" s="13">
        <f>SUMIFS(Lentils_Mo!$P:$P,Lentils_Mo!$B:$B,"Planted Area",Lentils_Mo!$C:$C,RIGHT(J$2,5))</f>
        <v>1.7450000000000001</v>
      </c>
      <c r="K3" s="13">
        <f>SUMIFS(Lentils_Mo!$P:$P,Lentils_Mo!$B:$B,"Planted Area",Lentils_Mo!$C:$C,RIGHT(K$2,5))</f>
        <v>2.4049999999999998</v>
      </c>
      <c r="L3" s="13">
        <f>SUMIFS(Lentils_Mo!$P:$P,Lentils_Mo!$B:$B,"Planted Area",Lentils_Mo!$C:$C,RIGHT(L$2,5))</f>
        <v>3.4449999999999998</v>
      </c>
      <c r="M3" s="13">
        <f>SUMIFS(Lentils_Mo!$P:$P,Lentils_Mo!$B:$B,"Planted Area",Lentils_Mo!$C:$C,RIGHT(M$2,5))</f>
        <v>2.5577749999999999</v>
      </c>
      <c r="N3" s="13">
        <f>SUMIFS(Lentils_Mo!$P:$P,Lentils_Mo!$B:$B,"Planted Area",Lentils_Mo!$C:$C,RIGHT(N$2,5))</f>
        <v>2.5049999999999999</v>
      </c>
      <c r="O3" s="13">
        <f>SUMIFS(Lentils_Mo!$P:$P,Lentils_Mo!$B:$B,"Planted Area",Lentils_Mo!$C:$C,RIGHT(O$2,5))</f>
        <v>2.72</v>
      </c>
      <c r="P3" s="13">
        <f>SUMIFS(Lentils_Mo!$P:$P,Lentils_Mo!$B:$B,"Planted Area",Lentils_Mo!$C:$C,RIGHT(P$2,5))</f>
        <v>3.12</v>
      </c>
      <c r="Q3" s="13">
        <f>SUMIFS(Lentils_Mo!$P:$P,Lentils_Mo!$B:$B,"Planted Area",Lentils_Mo!$C:$C,RIGHT(Q$2,5))</f>
        <v>4.0350000000000001</v>
      </c>
      <c r="R3" s="13">
        <f>SUMIFS(Lentils_Mo!$P:$P,Lentils_Mo!$B:$B,"Planted Area",Lentils_Mo!$C:$C,RIGHT(R$2,5))</f>
        <v>5.5685000000000002</v>
      </c>
      <c r="S3" s="13">
        <f>SUMIFS(Lentils_Mo!$P:$P,Lentils_Mo!$B:$B,"Planted Area",Lentils_Mo!$C:$C,RIGHT(S$2,5))</f>
        <v>4.4050000000000002</v>
      </c>
      <c r="T3" s="13">
        <f>SUMIFS(Lentils_Mo!$P:$P,Lentils_Mo!$B:$B,"Planted Area",Lentils_Mo!$C:$C,RIGHT(T$2,5))</f>
        <v>3.7681</v>
      </c>
      <c r="U3" s="13">
        <f>SUMIFS(Lentils_Mo!$P:$P,Lentils_Mo!$B:$B,"Planted Area",Lentils_Mo!$C:$C,RIGHT(U$2,5))</f>
        <v>3.7805</v>
      </c>
      <c r="V3" s="13">
        <f>SUMIFS(Lentils_Mo!$P:$P,Lentils_Mo!$B:$B,"Planted Area",Lentils_Mo!$C:$C,RIGHT(V$2,5))</f>
        <v>4.2328000000000001</v>
      </c>
      <c r="W3" s="13">
        <f>SUMIFS(Lentils_Mo!$P:$P,Lentils_Mo!$B:$B,"Planted Area",Lentils_Mo!$C:$C,RIGHT(W$2,5))</f>
        <v>4.2006860000000001</v>
      </c>
      <c r="X3" s="13">
        <f>SUMIFS(Lentils_Mo!$P:$P,Lentils_Mo!$B:$B,"Planted Area",Lentils_Mo!$C:$C,RIGHT(X$2,5))</f>
        <v>4.3212999999999999</v>
      </c>
      <c r="Y3" s="13">
        <f>SUMIFS(Lentils_Mo!$P:$P,Lentils_Mo!$B:$B,"Planted Area",Lentils_Mo!$C:$C,RIGHT(Y$2,5))</f>
        <v>3.6684999999999999</v>
      </c>
      <c r="Z3" s="13">
        <f>SUMIFS(Lentils_Mo!$P:$P,Lentils_Mo!$B:$B,"Planted Area",Lentils_Mo!$C:$C,RIGHT(Z$2,5))</f>
        <v>4.2100999999999997</v>
      </c>
    </row>
    <row r="4" spans="1:26" x14ac:dyDescent="0.3">
      <c r="A4" s="11" t="s">
        <v>76</v>
      </c>
      <c r="B4" s="11" t="s">
        <v>41</v>
      </c>
      <c r="C4" s="12" t="s">
        <v>54</v>
      </c>
      <c r="D4" s="13">
        <f>SUMIFS(Lentils_Mo!$P:$P,Lentils_Mo!$B:$B,"Harvested Area",Lentils_Mo!$C:$C,RIGHT(D$2,5))</f>
        <v>0.88100000000000001</v>
      </c>
      <c r="E4" s="13">
        <f>SUMIFS(Lentils_Mo!$P:$P,Lentils_Mo!$B:$B,"Harvested Area",Lentils_Mo!$C:$C,RIGHT(E$2,5))</f>
        <v>1.234</v>
      </c>
      <c r="F4" s="13">
        <f>SUMIFS(Lentils_Mo!$P:$P,Lentils_Mo!$B:$B,"Harvested Area",Lentils_Mo!$C:$C,RIGHT(F$2,5))</f>
        <v>1.7649999999999999</v>
      </c>
      <c r="G4" s="13">
        <f>SUMIFS(Lentils_Mo!$P:$P,Lentils_Mo!$B:$B,"Harvested Area",Lentils_Mo!$C:$C,RIGHT(G$2,5))</f>
        <v>1.94</v>
      </c>
      <c r="H4" s="13">
        <f>SUMIFS(Lentils_Mo!$P:$P,Lentils_Mo!$B:$B,"Harvested Area",Lentils_Mo!$C:$C,RIGHT(H$2,5))</f>
        <v>1.37</v>
      </c>
      <c r="I4" s="13">
        <f>SUMIFS(Lentils_Mo!$P:$P,Lentils_Mo!$B:$B,"Harvested Area",Lentils_Mo!$C:$C,RIGHT(I$2,5))</f>
        <v>1.425</v>
      </c>
      <c r="J4" s="13">
        <f>SUMIFS(Lentils_Mo!$P:$P,Lentils_Mo!$B:$B,"Harvested Area",Lentils_Mo!$C:$C,RIGHT(J$2,5))</f>
        <v>1.73</v>
      </c>
      <c r="K4" s="13">
        <f>SUMIFS(Lentils_Mo!$P:$P,Lentils_Mo!$B:$B,"Harvested Area",Lentils_Mo!$C:$C,RIGHT(K$2,5))</f>
        <v>2.3849999999999998</v>
      </c>
      <c r="L4" s="13">
        <f>SUMIFS(Lentils_Mo!$P:$P,Lentils_Mo!$B:$B,"Harvested Area",Lentils_Mo!$C:$C,RIGHT(L$2,5))</f>
        <v>3.3119999999999998</v>
      </c>
      <c r="M4" s="13">
        <f>SUMIFS(Lentils_Mo!$P:$P,Lentils_Mo!$B:$B,"Harvested Area",Lentils_Mo!$C:$C,RIGHT(M$2,5))</f>
        <v>2.4827750000000002</v>
      </c>
      <c r="N4" s="13">
        <f>SUMIFS(Lentils_Mo!$P:$P,Lentils_Mo!$B:$B,"Harvested Area",Lentils_Mo!$C:$C,RIGHT(N$2,5))</f>
        <v>2.476</v>
      </c>
      <c r="O4" s="13">
        <f>SUMIFS(Lentils_Mo!$P:$P,Lentils_Mo!$B:$B,"Harvested Area",Lentils_Mo!$C:$C,RIGHT(O$2,5))</f>
        <v>2.6949999999999998</v>
      </c>
      <c r="P4" s="13">
        <f>SUMIFS(Lentils_Mo!$P:$P,Lentils_Mo!$B:$B,"Harvested Area",Lentils_Mo!$C:$C,RIGHT(P$2,5))</f>
        <v>3.008</v>
      </c>
      <c r="Q4" s="13">
        <f>SUMIFS(Lentils_Mo!$P:$P,Lentils_Mo!$B:$B,"Harvested Area",Lentils_Mo!$C:$C,RIGHT(Q$2,5))</f>
        <v>4.0279999999999996</v>
      </c>
      <c r="R4" s="13">
        <f>SUMIFS(Lentils_Mo!$P:$P,Lentils_Mo!$B:$B,"Harvested Area",Lentils_Mo!$C:$C,RIGHT(R$2,5))</f>
        <v>5.4880000000000004</v>
      </c>
      <c r="S4" s="13">
        <f>SUMIFS(Lentils_Mo!$P:$P,Lentils_Mo!$B:$B,"Harvested Area",Lentils_Mo!$C:$C,RIGHT(S$2,5))</f>
        <v>4.383</v>
      </c>
      <c r="T4" s="13">
        <f>SUMIFS(Lentils_Mo!$P:$P,Lentils_Mo!$B:$B,"Harvested Area",Lentils_Mo!$C:$C,RIGHT(T$2,5))</f>
        <v>3.7052</v>
      </c>
      <c r="U4" s="13">
        <f>SUMIFS(Lentils_Mo!$P:$P,Lentils_Mo!$B:$B,"Harvested Area",Lentils_Mo!$C:$C,RIGHT(U$2,5))</f>
        <v>3.6783000000000001</v>
      </c>
      <c r="V4" s="13">
        <f>SUMIFS(Lentils_Mo!$P:$P,Lentils_Mo!$B:$B,"Harvested Area",Lentils_Mo!$C:$C,RIGHT(V$2,5))</f>
        <v>4.2126000000000001</v>
      </c>
      <c r="W4" s="13">
        <f>SUMIFS(Lentils_Mo!$P:$P,Lentils_Mo!$B:$B,"Harvested Area",Lentils_Mo!$C:$C,RIGHT(W$2,5))</f>
        <v>4.13828</v>
      </c>
      <c r="X4" s="13">
        <f>SUMIFS(Lentils_Mo!$P:$P,Lentils_Mo!$B:$B,"Harvested Area",Lentils_Mo!$C:$C,RIGHT(X$2,5))</f>
        <v>4.2378</v>
      </c>
      <c r="Y4" s="13">
        <f>SUMIFS(Lentils_Mo!$P:$P,Lentils_Mo!$B:$B,"Harvested Area",Lentils_Mo!$C:$C,RIGHT(Y$2,5))</f>
        <v>3.6082000000000001</v>
      </c>
      <c r="Z4" s="13">
        <f>SUMIFS(Lentils_Mo!$P:$P,Lentils_Mo!$B:$B,"Harvested Area",Lentils_Mo!$C:$C,RIGHT(Z$2,5))</f>
        <v>4.1826999999999996</v>
      </c>
    </row>
    <row r="5" spans="1:26" x14ac:dyDescent="0.3">
      <c r="A5" s="11" t="s">
        <v>76</v>
      </c>
      <c r="B5" s="11" t="s">
        <v>55</v>
      </c>
      <c r="C5" s="12" t="s">
        <v>56</v>
      </c>
      <c r="D5" s="14">
        <f t="shared" ref="D5:Z5" si="0">IF(D3&lt;&gt;0,D4/D3,"")</f>
        <v>0.65992509363295881</v>
      </c>
      <c r="E5" s="14">
        <f t="shared" si="0"/>
        <v>0.97241922773837675</v>
      </c>
      <c r="F5" s="14">
        <f t="shared" si="0"/>
        <v>0.9671232876712329</v>
      </c>
      <c r="G5" s="14">
        <f t="shared" si="0"/>
        <v>0.97782258064516125</v>
      </c>
      <c r="H5" s="14">
        <f t="shared" si="0"/>
        <v>0.97857142857142876</v>
      </c>
      <c r="I5" s="14">
        <f t="shared" si="0"/>
        <v>0.99303135888501737</v>
      </c>
      <c r="J5" s="14">
        <f t="shared" si="0"/>
        <v>0.99140401146131796</v>
      </c>
      <c r="K5" s="14">
        <f t="shared" si="0"/>
        <v>0.99168399168399168</v>
      </c>
      <c r="L5" s="14">
        <f t="shared" si="0"/>
        <v>0.96139332365747465</v>
      </c>
      <c r="M5" s="14">
        <f t="shared" si="0"/>
        <v>0.97067763974548205</v>
      </c>
      <c r="N5" s="14">
        <f t="shared" si="0"/>
        <v>0.9884231536926148</v>
      </c>
      <c r="O5" s="14">
        <f t="shared" si="0"/>
        <v>0.99080882352941169</v>
      </c>
      <c r="P5" s="14">
        <f t="shared" si="0"/>
        <v>0.96410256410256412</v>
      </c>
      <c r="Q5" s="14">
        <f t="shared" si="0"/>
        <v>0.99826517967781891</v>
      </c>
      <c r="R5" s="14">
        <f t="shared" si="0"/>
        <v>0.98554368321810182</v>
      </c>
      <c r="S5" s="14">
        <f t="shared" si="0"/>
        <v>0.99500567536889895</v>
      </c>
      <c r="T5" s="14">
        <f t="shared" si="0"/>
        <v>0.98330723706907996</v>
      </c>
      <c r="U5" s="14">
        <f t="shared" si="0"/>
        <v>0.97296653881761674</v>
      </c>
      <c r="V5" s="14">
        <f t="shared" si="0"/>
        <v>0.99522774522774526</v>
      </c>
      <c r="W5" s="14">
        <f t="shared" si="0"/>
        <v>0.98514385507509961</v>
      </c>
      <c r="X5" s="14">
        <f t="shared" si="0"/>
        <v>0.9806771110545438</v>
      </c>
      <c r="Y5" s="14">
        <f t="shared" si="0"/>
        <v>0.9835627640725092</v>
      </c>
      <c r="Z5" s="14">
        <f t="shared" si="0"/>
        <v>0.9934918410489062</v>
      </c>
    </row>
    <row r="6" spans="1:26" x14ac:dyDescent="0.3">
      <c r="A6" s="11" t="s">
        <v>76</v>
      </c>
      <c r="B6" s="11" t="s">
        <v>42</v>
      </c>
      <c r="C6" s="12" t="s">
        <v>57</v>
      </c>
      <c r="D6" s="15">
        <f>SUMIFS(Lentils_Mo!$P:$P,Lentils_Mo!$B:$B,"Yield",Lentils_Mo!$C:$C,RIGHT(D$2,5))</f>
        <v>13.67983382519864</v>
      </c>
      <c r="E6" s="15">
        <f>SUMIFS(Lentils_Mo!$P:$P,Lentils_Mo!$B:$B,"Yield",Lentils_Mo!$C:$C,RIGHT(E$2,5))</f>
        <v>14.429495153970819</v>
      </c>
      <c r="F6" s="15">
        <f>SUMIFS(Lentils_Mo!$P:$P,Lentils_Mo!$B:$B,"Yield",Lentils_Mo!$C:$C,RIGHT(F$2,5))</f>
        <v>19.06508807932012</v>
      </c>
      <c r="G6" s="15">
        <f>SUMIFS(Lentils_Mo!$P:$P,Lentils_Mo!$B:$B,"Yield",Lentils_Mo!$C:$C,RIGHT(G$2,5))</f>
        <v>22.05190201546392</v>
      </c>
      <c r="H6" s="15">
        <f>SUMIFS(Lentils_Mo!$P:$P,Lentils_Mo!$B:$B,"Yield",Lentils_Mo!$C:$C,RIGHT(H$2,5))</f>
        <v>18.5810477080292</v>
      </c>
      <c r="I6" s="15">
        <f>SUMIFS(Lentils_Mo!$P:$P,Lentils_Mo!$B:$B,"Yield",Lentils_Mo!$C:$C,RIGHT(I$2,5))</f>
        <v>18.923650126315788</v>
      </c>
      <c r="J6" s="15">
        <f>SUMIFS(Lentils_Mo!$P:$P,Lentils_Mo!$B:$B,"Yield",Lentils_Mo!$C:$C,RIGHT(J$2,5))</f>
        <v>22.156663491329478</v>
      </c>
      <c r="K6" s="15">
        <f>SUMIFS(Lentils_Mo!$P:$P,Lentils_Mo!$B:$B,"Yield",Lentils_Mo!$C:$C,RIGHT(K$2,5))</f>
        <v>23.574511421383651</v>
      </c>
      <c r="L6" s="15">
        <f>SUMIFS(Lentils_Mo!$P:$P,Lentils_Mo!$B:$B,"Yield",Lentils_Mo!$C:$C,RIGHT(L$2,5))</f>
        <v>22.241476376811601</v>
      </c>
      <c r="M6" s="15">
        <f>SUMIFS(Lentils_Mo!$P:$P,Lentils_Mo!$B:$B,"Yield",Lentils_Mo!$C:$C,RIGHT(M$2,5))</f>
        <v>23.286931739686441</v>
      </c>
      <c r="N6" s="15">
        <f>SUMIFS(Lentils_Mo!$P:$P,Lentils_Mo!$B:$B,"Yield",Lentils_Mo!$C:$C,RIGHT(N$2,5))</f>
        <v>22.822349042810981</v>
      </c>
      <c r="O6" s="15">
        <f>SUMIFS(Lentils_Mo!$P:$P,Lentils_Mo!$B:$B,"Yield",Lentils_Mo!$C:$C,RIGHT(O$2,5))</f>
        <v>30.836076545454539</v>
      </c>
      <c r="P6" s="15">
        <f>SUMIFS(Lentils_Mo!$P:$P,Lentils_Mo!$B:$B,"Yield",Lentils_Mo!$C:$C,RIGHT(P$2,5))</f>
        <v>24.271852360372339</v>
      </c>
      <c r="Q6" s="15">
        <f>SUMIFS(Lentils_Mo!$P:$P,Lentils_Mo!$B:$B,"Yield",Lentils_Mo!$C:$C,RIGHT(Q$2,5))</f>
        <v>23.174620121648459</v>
      </c>
      <c r="R6" s="15">
        <f>SUMIFS(Lentils_Mo!$P:$P,Lentils_Mo!$B:$B,"Yield",Lentils_Mo!$C:$C,RIGHT(R$2,5))</f>
        <v>21.38338721938776</v>
      </c>
      <c r="S6" s="15">
        <f>SUMIFS(Lentils_Mo!$P:$P,Lentils_Mo!$B:$B,"Yield",Lentils_Mo!$C:$C,RIGHT(S$2,5))</f>
        <v>21.44849565366188</v>
      </c>
      <c r="T6" s="15">
        <f>SUMIFS(Lentils_Mo!$P:$P,Lentils_Mo!$B:$B,"Yield",Lentils_Mo!$C:$C,RIGHT(T$2,5))</f>
        <v>21.738601093058399</v>
      </c>
      <c r="U6" s="15">
        <f>SUMIFS(Lentils_Mo!$P:$P,Lentils_Mo!$B:$B,"Yield",Lentils_Mo!$C:$C,RIGHT(U$2,5))</f>
        <v>23.794550036701729</v>
      </c>
      <c r="V6" s="15">
        <f>SUMIFS(Lentils_Mo!$P:$P,Lentils_Mo!$B:$B,"Yield",Lentils_Mo!$C:$C,RIGHT(V$2,5))</f>
        <v>25.01303434695912</v>
      </c>
      <c r="W6" s="15">
        <f>SUMIFS(Lentils_Mo!$P:$P,Lentils_Mo!$B:$B,"Yield",Lentils_Mo!$C:$C,RIGHT(W$2,5))</f>
        <v>14.149540466087361</v>
      </c>
      <c r="X6" s="15">
        <f>SUMIFS(Lentils_Mo!$P:$P,Lentils_Mo!$B:$B,"Yield",Lentils_Mo!$C:$C,RIGHT(X$2,5))</f>
        <v>20.207387611496529</v>
      </c>
      <c r="Y6" s="15">
        <f>SUMIFS(Lentils_Mo!$P:$P,Lentils_Mo!$B:$B,"Yield",Lentils_Mo!$C:$C,RIGHT(Y$2,5))</f>
        <v>18.341299836483561</v>
      </c>
      <c r="Z6" s="15">
        <f>SUMIFS(Lentils_Mo!$P:$P,Lentils_Mo!$B:$B,"Yield",Lentils_Mo!$C:$C,RIGHT(Z$2,5))</f>
        <v>21.358203507303891</v>
      </c>
    </row>
    <row r="8" spans="1:26" x14ac:dyDescent="0.3">
      <c r="A8" s="11" t="s">
        <v>76</v>
      </c>
      <c r="B8" s="11" t="s">
        <v>58</v>
      </c>
      <c r="C8" s="12" t="s">
        <v>59</v>
      </c>
      <c r="D8" s="16">
        <f>SUMIFS(Lentils_Mo!$D:$D,Lentils_Mo!$B:$B,"STOCKS",Lentils_Mo!$C:$C,RIGHT(D$2,5))-SUMIFS(Lentils_Mo!$D:$D,Lentils_Mo!$B:$B,"Production",Lentils_Mo!$C:$C,RIGHT(D$2,5))-SUMIFS(Lentils_Mo!$D:$D,Lentils_Mo!$B:$B,"Imports",Lentils_Mo!$C:$C,RIGHT(D$2,5))+SUMIFS(Lentils_Mo!$D:$D,Lentils_Mo!$B:$B,"Exports",Lentils_Mo!$C:$C,RIGHT(D$2,5))+SUMIFS(Lentils_Mo!$D:$D,Lentils_Mo!$B:$B,"Food &amp; Processing",Lentils_Mo!$C:$C,RIGHT(D$2,5))+SUMIFS(Lentils_Mo!$D:$D,Lentils_Mo!$B:$B,"FSR",Lentils_Mo!$C:$C,RIGHT(D$2,5))+SUMIFS(Lentils_Mo!$D:$D,Lentils_Mo!$B:$B,"Seed",Lentils_Mo!$C:$C,RIGHT(D$2,5))</f>
        <v>132.00000000000003</v>
      </c>
      <c r="E8" s="16">
        <f t="shared" ref="E8:Z8" si="1">D19</f>
        <v>50.000000000000227</v>
      </c>
      <c r="F8" s="16">
        <f t="shared" si="1"/>
        <v>38.000000000000284</v>
      </c>
      <c r="G8" s="16">
        <f t="shared" si="1"/>
        <v>242.00000000000045</v>
      </c>
      <c r="H8" s="16">
        <f t="shared" si="1"/>
        <v>485.00000000000057</v>
      </c>
      <c r="I8" s="16">
        <f t="shared" si="1"/>
        <v>199.00000000000091</v>
      </c>
      <c r="J8" s="16">
        <f t="shared" si="1"/>
        <v>46.000000000001137</v>
      </c>
      <c r="K8" s="16">
        <f t="shared" si="1"/>
        <v>22.000000000000909</v>
      </c>
      <c r="L8" s="16">
        <f t="shared" si="1"/>
        <v>40.000000000000909</v>
      </c>
      <c r="M8" s="16">
        <f t="shared" si="1"/>
        <v>830.00000000000091</v>
      </c>
      <c r="N8" s="16">
        <f t="shared" si="1"/>
        <v>860.00000000000091</v>
      </c>
      <c r="O8" s="16">
        <f t="shared" si="1"/>
        <v>467.00000000000136</v>
      </c>
      <c r="P8" s="16">
        <f t="shared" si="1"/>
        <v>786.00000000000114</v>
      </c>
      <c r="Q8" s="16">
        <f t="shared" si="1"/>
        <v>363.00000000000136</v>
      </c>
      <c r="R8" s="16">
        <f t="shared" si="1"/>
        <v>73.400000000001</v>
      </c>
      <c r="S8" s="16">
        <f t="shared" si="1"/>
        <v>315.00000000000045</v>
      </c>
      <c r="T8" s="16">
        <f t="shared" si="1"/>
        <v>872.7000000000005</v>
      </c>
      <c r="U8" s="16">
        <f t="shared" si="1"/>
        <v>855.60000000000082</v>
      </c>
      <c r="V8" s="16">
        <f t="shared" si="1"/>
        <v>209.00000000000182</v>
      </c>
      <c r="W8" s="16">
        <f t="shared" si="1"/>
        <v>438.00000000000091</v>
      </c>
      <c r="X8" s="16">
        <f t="shared" si="1"/>
        <v>225.00000000000114</v>
      </c>
      <c r="Y8" s="16">
        <f t="shared" si="1"/>
        <v>211.20000000000027</v>
      </c>
      <c r="Z8" s="16">
        <f t="shared" si="1"/>
        <v>165.00000000000023</v>
      </c>
    </row>
    <row r="9" spans="1:26" x14ac:dyDescent="0.3">
      <c r="A9" s="11" t="s">
        <v>76</v>
      </c>
      <c r="B9" s="11" t="s">
        <v>45</v>
      </c>
      <c r="C9" s="12" t="s">
        <v>59</v>
      </c>
      <c r="D9" s="16">
        <f>SUMIFS(Lentils_Mo!$P:$P,Lentils_Mo!$B:$B,"Imports",Lentils_Mo!$C:$C,RIGHT(D$2,5))</f>
        <v>0</v>
      </c>
      <c r="E9" s="16">
        <f>SUMIFS(Lentils_Mo!$P:$P,Lentils_Mo!$B:$B,"Imports",Lentils_Mo!$C:$C,RIGHT(E$2,5))</f>
        <v>0</v>
      </c>
      <c r="F9" s="16">
        <f>SUMIFS(Lentils_Mo!$P:$P,Lentils_Mo!$B:$B,"Imports",Lentils_Mo!$C:$C,RIGHT(F$2,5))</f>
        <v>0</v>
      </c>
      <c r="G9" s="16">
        <f>SUMIFS(Lentils_Mo!$P:$P,Lentils_Mo!$B:$B,"Imports",Lentils_Mo!$C:$C,RIGHT(G$2,5))</f>
        <v>0</v>
      </c>
      <c r="H9" s="16">
        <f>SUMIFS(Lentils_Mo!$P:$P,Lentils_Mo!$B:$B,"Imports",Lentils_Mo!$C:$C,RIGHT(H$2,5))</f>
        <v>0</v>
      </c>
      <c r="I9" s="16">
        <f>SUMIFS(Lentils_Mo!$P:$P,Lentils_Mo!$B:$B,"Imports",Lentils_Mo!$C:$C,RIGHT(I$2,5))</f>
        <v>0</v>
      </c>
      <c r="J9" s="16">
        <f>SUMIFS(Lentils_Mo!$P:$P,Lentils_Mo!$B:$B,"Imports",Lentils_Mo!$C:$C,RIGHT(J$2,5))</f>
        <v>0</v>
      </c>
      <c r="K9" s="16">
        <f>SUMIFS(Lentils_Mo!$P:$P,Lentils_Mo!$B:$B,"Imports",Lentils_Mo!$C:$C,RIGHT(K$2,5))</f>
        <v>0</v>
      </c>
      <c r="L9" s="16">
        <f>SUMIFS(Lentils_Mo!$P:$P,Lentils_Mo!$B:$B,"Imports",Lentils_Mo!$C:$C,RIGHT(L$2,5))</f>
        <v>0</v>
      </c>
      <c r="M9" s="16">
        <f>SUMIFS(Lentils_Mo!$P:$P,Lentils_Mo!$B:$B,"Imports",Lentils_Mo!$C:$C,RIGHT(M$2,5))</f>
        <v>0</v>
      </c>
      <c r="N9" s="16">
        <f>SUMIFS(Lentils_Mo!$P:$P,Lentils_Mo!$B:$B,"Imports",Lentils_Mo!$C:$C,RIGHT(N$2,5))</f>
        <v>0</v>
      </c>
      <c r="O9" s="16">
        <f>SUMIFS(Lentils_Mo!$P:$P,Lentils_Mo!$B:$B,"Imports",Lentils_Mo!$C:$C,RIGHT(O$2,5))</f>
        <v>0</v>
      </c>
      <c r="P9" s="16">
        <f>SUMIFS(Lentils_Mo!$P:$P,Lentils_Mo!$B:$B,"Imports",Lentils_Mo!$C:$C,RIGHT(P$2,5))</f>
        <v>0</v>
      </c>
      <c r="Q9" s="16">
        <f>SUMIFS(Lentils_Mo!$P:$P,Lentils_Mo!$B:$B,"Imports",Lentils_Mo!$C:$C,RIGHT(Q$2,5))</f>
        <v>0</v>
      </c>
      <c r="R9" s="16">
        <f>SUMIFS(Lentils_Mo!$P:$P,Lentils_Mo!$B:$B,"Imports",Lentils_Mo!$C:$C,RIGHT(R$2,5))</f>
        <v>0</v>
      </c>
      <c r="S9" s="16">
        <f>SUMIFS(Lentils_Mo!$P:$P,Lentils_Mo!$B:$B,"Imports",Lentils_Mo!$C:$C,RIGHT(S$2,5))</f>
        <v>0</v>
      </c>
      <c r="T9" s="16">
        <f>SUMIFS(Lentils_Mo!$P:$P,Lentils_Mo!$B:$B,"Imports",Lentils_Mo!$C:$C,RIGHT(T$2,5))</f>
        <v>0</v>
      </c>
      <c r="U9" s="16">
        <f>SUMIFS(Lentils_Mo!$P:$P,Lentils_Mo!$B:$B,"Imports",Lentils_Mo!$C:$C,RIGHT(U$2,5))</f>
        <v>0</v>
      </c>
      <c r="V9" s="16">
        <f>SUMIFS(Lentils_Mo!$P:$P,Lentils_Mo!$B:$B,"Imports",Lentils_Mo!$C:$C,RIGHT(V$2,5))</f>
        <v>0</v>
      </c>
      <c r="W9" s="16">
        <f>SUMIFS(Lentils_Mo!$P:$P,Lentils_Mo!$B:$B,"Imports",Lentils_Mo!$C:$C,RIGHT(W$2,5))</f>
        <v>0</v>
      </c>
      <c r="X9" s="16">
        <f>SUMIFS(Lentils_Mo!$P:$P,Lentils_Mo!$B:$B,"Imports",Lentils_Mo!$C:$C,RIGHT(X$2,5))</f>
        <v>0</v>
      </c>
      <c r="Y9" s="16">
        <f>SUMIFS(Lentils_Mo!$P:$P,Lentils_Mo!$B:$B,"Imports",Lentils_Mo!$C:$C,RIGHT(Y$2,5))</f>
        <v>0</v>
      </c>
      <c r="Z9" s="16">
        <f>SUMIFS(Lentils_Mo!$P:$P,Lentils_Mo!$B:$B,"Imports",Lentils_Mo!$C:$C,RIGHT(Z$2,5))</f>
        <v>0</v>
      </c>
    </row>
    <row r="10" spans="1:26" x14ac:dyDescent="0.3">
      <c r="A10" s="11" t="s">
        <v>76</v>
      </c>
      <c r="B10" s="11" t="s">
        <v>43</v>
      </c>
      <c r="C10" s="12" t="s">
        <v>59</v>
      </c>
      <c r="D10" s="16">
        <f>SUMIFS(Lentils_Mo!$P:$P,Lentils_Mo!$B:$B,"Production",Lentils_Mo!$C:$C,RIGHT(D$2,5))</f>
        <v>328</v>
      </c>
      <c r="E10" s="16">
        <f>SUMIFS(Lentils_Mo!$P:$P,Lentils_Mo!$B:$B,"Production",Lentils_Mo!$C:$C,RIGHT(E$2,5))</f>
        <v>484.6</v>
      </c>
      <c r="F10" s="16">
        <f>SUMIFS(Lentils_Mo!$P:$P,Lentils_Mo!$B:$B,"Production",Lentils_Mo!$C:$C,RIGHT(F$2,5))</f>
        <v>915.8</v>
      </c>
      <c r="G10" s="16">
        <f>SUMIFS(Lentils_Mo!$P:$P,Lentils_Mo!$B:$B,"Production",Lentils_Mo!$C:$C,RIGHT(G$2,5))</f>
        <v>1164.3</v>
      </c>
      <c r="H10" s="16">
        <f>SUMIFS(Lentils_Mo!$P:$P,Lentils_Mo!$B:$B,"Production",Lentils_Mo!$C:$C,RIGHT(H$2,5))</f>
        <v>692.8</v>
      </c>
      <c r="I10" s="16">
        <f>SUMIFS(Lentils_Mo!$P:$P,Lentils_Mo!$B:$B,"Production",Lentils_Mo!$C:$C,RIGHT(I$2,5))</f>
        <v>733.9</v>
      </c>
      <c r="J10" s="16">
        <f>SUMIFS(Lentils_Mo!$P:$P,Lentils_Mo!$B:$B,"Production",Lentils_Mo!$C:$C,RIGHT(J$2,5))</f>
        <v>1043.2</v>
      </c>
      <c r="K10" s="16">
        <f>SUMIFS(Lentils_Mo!$P:$P,Lentils_Mo!$B:$B,"Production",Lentils_Mo!$C:$C,RIGHT(K$2,5))</f>
        <v>1530.2</v>
      </c>
      <c r="L10" s="16">
        <f>SUMIFS(Lentils_Mo!$P:$P,Lentils_Mo!$B:$B,"Production",Lentils_Mo!$C:$C,RIGHT(L$2,5))</f>
        <v>2004.8</v>
      </c>
      <c r="M10" s="16">
        <f>SUMIFS(Lentils_Mo!$P:$P,Lentils_Mo!$B:$B,"Production",Lentils_Mo!$C:$C,RIGHT(M$2,5))</f>
        <v>1573.5</v>
      </c>
      <c r="N10" s="16">
        <f>SUMIFS(Lentils_Mo!$P:$P,Lentils_Mo!$B:$B,"Production",Lentils_Mo!$C:$C,RIGHT(N$2,5))</f>
        <v>1537.9</v>
      </c>
      <c r="O10" s="16">
        <f>SUMIFS(Lentils_Mo!$P:$P,Lentils_Mo!$B:$B,"Production",Lentils_Mo!$C:$C,RIGHT(O$2,5))</f>
        <v>2261.6999999999998</v>
      </c>
      <c r="P10" s="16">
        <f>SUMIFS(Lentils_Mo!$P:$P,Lentils_Mo!$B:$B,"Production",Lentils_Mo!$C:$C,RIGHT(P$2,5))</f>
        <v>1987</v>
      </c>
      <c r="Q10" s="16">
        <f>SUMIFS(Lentils_Mo!$P:$P,Lentils_Mo!$B:$B,"Production",Lentils_Mo!$C:$C,RIGHT(Q$2,5))</f>
        <v>2540.5</v>
      </c>
      <c r="R10" s="16">
        <f>SUMIFS(Lentils_Mo!$P:$P,Lentils_Mo!$B:$B,"Production",Lentils_Mo!$C:$C,RIGHT(R$2,5))</f>
        <v>3193.8</v>
      </c>
      <c r="S10" s="16">
        <f>SUMIFS(Lentils_Mo!$P:$P,Lentils_Mo!$B:$B,"Production",Lentils_Mo!$C:$C,RIGHT(S$2,5))</f>
        <v>2558.5</v>
      </c>
      <c r="T10" s="16">
        <f>SUMIFS(Lentils_Mo!$P:$P,Lentils_Mo!$B:$B,"Production",Lentils_Mo!$C:$C,RIGHT(T$2,5))</f>
        <v>2192.1</v>
      </c>
      <c r="U10" s="16">
        <f>SUMIFS(Lentils_Mo!$P:$P,Lentils_Mo!$B:$B,"Production",Lentils_Mo!$C:$C,RIGHT(U$2,5))</f>
        <v>2382</v>
      </c>
      <c r="V10" s="16">
        <f>SUMIFS(Lentils_Mo!$P:$P,Lentils_Mo!$B:$B,"Production",Lentils_Mo!$C:$C,RIGHT(V$2,5))</f>
        <v>2867.7</v>
      </c>
      <c r="W10" s="16">
        <f>SUMIFS(Lentils_Mo!$P:$P,Lentils_Mo!$B:$B,"Production",Lentils_Mo!$C:$C,RIGHT(W$2,5))</f>
        <v>1593.6</v>
      </c>
      <c r="X10" s="16">
        <f>SUMIFS(Lentils_Mo!$P:$P,Lentils_Mo!$B:$B,"Production",Lentils_Mo!$C:$C,RIGHT(X$2,5))</f>
        <v>2330.6</v>
      </c>
      <c r="Y10" s="16">
        <f>SUMIFS(Lentils_Mo!$P:$P,Lentils_Mo!$B:$B,"Production",Lentils_Mo!$C:$C,RIGHT(Y$2,5))</f>
        <v>1801.1</v>
      </c>
      <c r="Z10" s="16">
        <f>SUMIFS(Lentils_Mo!$P:$P,Lentils_Mo!$B:$B,"Production",Lentils_Mo!$C:$C,RIGHT(Z$2,5))</f>
        <v>2431.3000000000002</v>
      </c>
    </row>
    <row r="11" spans="1:26" x14ac:dyDescent="0.3">
      <c r="A11" s="17" t="s">
        <v>76</v>
      </c>
      <c r="B11" s="17" t="s">
        <v>60</v>
      </c>
      <c r="C11" s="18" t="s">
        <v>59</v>
      </c>
      <c r="D11" s="19">
        <f t="shared" ref="D11:Z11" si="2">D8+D9+D10</f>
        <v>460</v>
      </c>
      <c r="E11" s="19">
        <f t="shared" si="2"/>
        <v>534.60000000000025</v>
      </c>
      <c r="F11" s="19">
        <f t="shared" si="2"/>
        <v>953.80000000000018</v>
      </c>
      <c r="G11" s="19">
        <f t="shared" si="2"/>
        <v>1406.3000000000004</v>
      </c>
      <c r="H11" s="19">
        <f t="shared" si="2"/>
        <v>1177.8000000000006</v>
      </c>
      <c r="I11" s="19">
        <f t="shared" si="2"/>
        <v>932.90000000000089</v>
      </c>
      <c r="J11" s="19">
        <f t="shared" si="2"/>
        <v>1089.2000000000012</v>
      </c>
      <c r="K11" s="19">
        <f t="shared" si="2"/>
        <v>1552.200000000001</v>
      </c>
      <c r="L11" s="19">
        <f t="shared" si="2"/>
        <v>2044.8000000000009</v>
      </c>
      <c r="M11" s="19">
        <f t="shared" si="2"/>
        <v>2403.5000000000009</v>
      </c>
      <c r="N11" s="19">
        <f t="shared" si="2"/>
        <v>2397.900000000001</v>
      </c>
      <c r="O11" s="19">
        <f t="shared" si="2"/>
        <v>2728.7000000000012</v>
      </c>
      <c r="P11" s="19">
        <f t="shared" si="2"/>
        <v>2773.0000000000009</v>
      </c>
      <c r="Q11" s="19">
        <f t="shared" si="2"/>
        <v>2903.5000000000014</v>
      </c>
      <c r="R11" s="19">
        <f t="shared" si="2"/>
        <v>3267.2000000000012</v>
      </c>
      <c r="S11" s="19">
        <f t="shared" si="2"/>
        <v>2873.5000000000005</v>
      </c>
      <c r="T11" s="19">
        <f t="shared" si="2"/>
        <v>3064.8</v>
      </c>
      <c r="U11" s="19">
        <f t="shared" si="2"/>
        <v>3237.6000000000008</v>
      </c>
      <c r="V11" s="19">
        <f t="shared" si="2"/>
        <v>3076.7000000000016</v>
      </c>
      <c r="W11" s="19">
        <f t="shared" si="2"/>
        <v>2031.6000000000008</v>
      </c>
      <c r="X11" s="19">
        <f t="shared" si="2"/>
        <v>2555.6000000000013</v>
      </c>
      <c r="Y11" s="19">
        <f t="shared" si="2"/>
        <v>2012.3000000000002</v>
      </c>
      <c r="Z11" s="19">
        <f t="shared" si="2"/>
        <v>2596.3000000000002</v>
      </c>
    </row>
    <row r="13" spans="1:26" x14ac:dyDescent="0.3">
      <c r="A13" s="11" t="s">
        <v>76</v>
      </c>
      <c r="B13" s="11" t="s">
        <v>46</v>
      </c>
      <c r="C13" s="12" t="s">
        <v>59</v>
      </c>
      <c r="D13" s="16">
        <f>SUMIFS(Lentils_Mo!$P:$P,Lentils_Mo!$B:$B,"Food",Lentils_Mo!$C:$C,RIGHT(D$2,5))</f>
        <v>0</v>
      </c>
      <c r="E13" s="16">
        <f>SUMIFS(Lentils_Mo!$P:$P,Lentils_Mo!$B:$B,"Food",Lentils_Mo!$C:$C,RIGHT(E$2,5))</f>
        <v>0</v>
      </c>
      <c r="F13" s="16">
        <f>SUMIFS(Lentils_Mo!$P:$P,Lentils_Mo!$B:$B,"Food",Lentils_Mo!$C:$C,RIGHT(F$2,5))</f>
        <v>0</v>
      </c>
      <c r="G13" s="16">
        <f>SUMIFS(Lentils_Mo!$P:$P,Lentils_Mo!$B:$B,"Food",Lentils_Mo!$C:$C,RIGHT(G$2,5))</f>
        <v>0</v>
      </c>
      <c r="H13" s="16">
        <f>SUMIFS(Lentils_Mo!$P:$P,Lentils_Mo!$B:$B,"Food",Lentils_Mo!$C:$C,RIGHT(H$2,5))</f>
        <v>0</v>
      </c>
      <c r="I13" s="16">
        <f>SUMIFS(Lentils_Mo!$P:$P,Lentils_Mo!$B:$B,"Food",Lentils_Mo!$C:$C,RIGHT(I$2,5))</f>
        <v>0</v>
      </c>
      <c r="J13" s="16">
        <f>SUMIFS(Lentils_Mo!$P:$P,Lentils_Mo!$B:$B,"Food",Lentils_Mo!$C:$C,RIGHT(J$2,5))</f>
        <v>0</v>
      </c>
      <c r="K13" s="16">
        <f>SUMIFS(Lentils_Mo!$P:$P,Lentils_Mo!$B:$B,"Food",Lentils_Mo!$C:$C,RIGHT(K$2,5))</f>
        <v>0</v>
      </c>
      <c r="L13" s="16">
        <f>SUMIFS(Lentils_Mo!$P:$P,Lentils_Mo!$B:$B,"Food",Lentils_Mo!$C:$C,RIGHT(L$2,5))</f>
        <v>0</v>
      </c>
      <c r="M13" s="16">
        <f>SUMIFS(Lentils_Mo!$P:$P,Lentils_Mo!$B:$B,"Food",Lentils_Mo!$C:$C,RIGHT(M$2,5))</f>
        <v>0</v>
      </c>
      <c r="N13" s="16">
        <f>SUMIFS(Lentils_Mo!$P:$P,Lentils_Mo!$B:$B,"Food",Lentils_Mo!$C:$C,RIGHT(N$2,5))</f>
        <v>0</v>
      </c>
      <c r="O13" s="16">
        <f>SUMIFS(Lentils_Mo!$P:$P,Lentils_Mo!$B:$B,"Food",Lentils_Mo!$C:$C,RIGHT(O$2,5))</f>
        <v>0</v>
      </c>
      <c r="P13" s="16">
        <f>SUMIFS(Lentils_Mo!$P:$P,Lentils_Mo!$B:$B,"Food",Lentils_Mo!$C:$C,RIGHT(P$2,5))</f>
        <v>0</v>
      </c>
      <c r="Q13" s="16">
        <f>SUMIFS(Lentils_Mo!$P:$P,Lentils_Mo!$B:$B,"Food",Lentils_Mo!$C:$C,RIGHT(Q$2,5))</f>
        <v>0</v>
      </c>
      <c r="R13" s="16">
        <f>SUMIFS(Lentils_Mo!$P:$P,Lentils_Mo!$B:$B,"Food",Lentils_Mo!$C:$C,RIGHT(R$2,5))</f>
        <v>0</v>
      </c>
      <c r="S13" s="16">
        <f>SUMIFS(Lentils_Mo!$P:$P,Lentils_Mo!$B:$B,"Food",Lentils_Mo!$C:$C,RIGHT(S$2,5))</f>
        <v>0</v>
      </c>
      <c r="T13" s="16">
        <f>SUMIFS(Lentils_Mo!$P:$P,Lentils_Mo!$B:$B,"Food",Lentils_Mo!$C:$C,RIGHT(T$2,5))</f>
        <v>0</v>
      </c>
      <c r="U13" s="16">
        <f>SUMIFS(Lentils_Mo!$P:$P,Lentils_Mo!$B:$B,"Food",Lentils_Mo!$C:$C,RIGHT(U$2,5))</f>
        <v>0</v>
      </c>
      <c r="V13" s="16">
        <f>SUMIFS(Lentils_Mo!$P:$P,Lentils_Mo!$B:$B,"Food",Lentils_Mo!$C:$C,RIGHT(V$2,5))</f>
        <v>0</v>
      </c>
      <c r="W13" s="16">
        <f>SUMIFS(Lentils_Mo!$P:$P,Lentils_Mo!$B:$B,"Food",Lentils_Mo!$C:$C,RIGHT(W$2,5))</f>
        <v>0</v>
      </c>
      <c r="X13" s="16">
        <f>SUMIFS(Lentils_Mo!$P:$P,Lentils_Mo!$B:$B,"Food",Lentils_Mo!$C:$C,RIGHT(X$2,5))</f>
        <v>0</v>
      </c>
      <c r="Y13" s="16">
        <f>SUMIFS(Lentils_Mo!$P:$P,Lentils_Mo!$B:$B,"Food",Lentils_Mo!$C:$C,RIGHT(Y$2,5))</f>
        <v>0</v>
      </c>
      <c r="Z13" s="16">
        <f>SUMIFS(Lentils_Mo!$P:$P,Lentils_Mo!$B:$B,"Food",Lentils_Mo!$C:$C,RIGHT(Z$2,5))</f>
        <v>0</v>
      </c>
    </row>
    <row r="14" spans="1:26" x14ac:dyDescent="0.3">
      <c r="A14" s="11" t="s">
        <v>76</v>
      </c>
      <c r="B14" s="11" t="s">
        <v>47</v>
      </c>
      <c r="C14" s="12" t="s">
        <v>59</v>
      </c>
      <c r="D14" s="16">
        <f>SUMIFS(Lentils_Mo!$P:$P,Lentils_Mo!$B:$B,"Industrial",Lentils_Mo!$C:$C,RIGHT(D$2,5))</f>
        <v>0</v>
      </c>
      <c r="E14" s="16">
        <f>SUMIFS(Lentils_Mo!$P:$P,Lentils_Mo!$B:$B,"Industrial",Lentils_Mo!$C:$C,RIGHT(E$2,5))</f>
        <v>0</v>
      </c>
      <c r="F14" s="16">
        <f>SUMIFS(Lentils_Mo!$P:$P,Lentils_Mo!$B:$B,"Industrial",Lentils_Mo!$C:$C,RIGHT(F$2,5))</f>
        <v>0</v>
      </c>
      <c r="G14" s="16">
        <f>SUMIFS(Lentils_Mo!$P:$P,Lentils_Mo!$B:$B,"Industrial",Lentils_Mo!$C:$C,RIGHT(G$2,5))</f>
        <v>0</v>
      </c>
      <c r="H14" s="16">
        <f>SUMIFS(Lentils_Mo!$P:$P,Lentils_Mo!$B:$B,"Industrial",Lentils_Mo!$C:$C,RIGHT(H$2,5))</f>
        <v>0</v>
      </c>
      <c r="I14" s="16">
        <f>SUMIFS(Lentils_Mo!$P:$P,Lentils_Mo!$B:$B,"Industrial",Lentils_Mo!$C:$C,RIGHT(I$2,5))</f>
        <v>0</v>
      </c>
      <c r="J14" s="16">
        <f>SUMIFS(Lentils_Mo!$P:$P,Lentils_Mo!$B:$B,"Industrial",Lentils_Mo!$C:$C,RIGHT(J$2,5))</f>
        <v>0</v>
      </c>
      <c r="K14" s="16">
        <f>SUMIFS(Lentils_Mo!$P:$P,Lentils_Mo!$B:$B,"Industrial",Lentils_Mo!$C:$C,RIGHT(K$2,5))</f>
        <v>0</v>
      </c>
      <c r="L14" s="16">
        <f>SUMIFS(Lentils_Mo!$P:$P,Lentils_Mo!$B:$B,"Industrial",Lentils_Mo!$C:$C,RIGHT(L$2,5))</f>
        <v>0</v>
      </c>
      <c r="M14" s="16">
        <f>SUMIFS(Lentils_Mo!$P:$P,Lentils_Mo!$B:$B,"Industrial",Lentils_Mo!$C:$C,RIGHT(M$2,5))</f>
        <v>0</v>
      </c>
      <c r="N14" s="16">
        <f>SUMIFS(Lentils_Mo!$P:$P,Lentils_Mo!$B:$B,"Industrial",Lentils_Mo!$C:$C,RIGHT(N$2,5))</f>
        <v>0</v>
      </c>
      <c r="O14" s="16">
        <f>SUMIFS(Lentils_Mo!$P:$P,Lentils_Mo!$B:$B,"Industrial",Lentils_Mo!$C:$C,RIGHT(O$2,5))</f>
        <v>0</v>
      </c>
      <c r="P14" s="16">
        <f>SUMIFS(Lentils_Mo!$P:$P,Lentils_Mo!$B:$B,"Industrial",Lentils_Mo!$C:$C,RIGHT(P$2,5))</f>
        <v>0</v>
      </c>
      <c r="Q14" s="16">
        <f>SUMIFS(Lentils_Mo!$P:$P,Lentils_Mo!$B:$B,"Industrial",Lentils_Mo!$C:$C,RIGHT(Q$2,5))</f>
        <v>0</v>
      </c>
      <c r="R14" s="16">
        <f>SUMIFS(Lentils_Mo!$P:$P,Lentils_Mo!$B:$B,"Industrial",Lentils_Mo!$C:$C,RIGHT(R$2,5))</f>
        <v>0</v>
      </c>
      <c r="S14" s="16">
        <f>SUMIFS(Lentils_Mo!$P:$P,Lentils_Mo!$B:$B,"Industrial",Lentils_Mo!$C:$C,RIGHT(S$2,5))</f>
        <v>0</v>
      </c>
      <c r="T14" s="16">
        <f>SUMIFS(Lentils_Mo!$P:$P,Lentils_Mo!$B:$B,"Industrial",Lentils_Mo!$C:$C,RIGHT(T$2,5))</f>
        <v>0</v>
      </c>
      <c r="U14" s="16">
        <f>SUMIFS(Lentils_Mo!$P:$P,Lentils_Mo!$B:$B,"Industrial",Lentils_Mo!$C:$C,RIGHT(U$2,5))</f>
        <v>0</v>
      </c>
      <c r="V14" s="16">
        <f>SUMIFS(Lentils_Mo!$P:$P,Lentils_Mo!$B:$B,"Industrial",Lentils_Mo!$C:$C,RIGHT(V$2,5))</f>
        <v>0</v>
      </c>
      <c r="W14" s="16">
        <f>SUMIFS(Lentils_Mo!$P:$P,Lentils_Mo!$B:$B,"Industrial",Lentils_Mo!$C:$C,RIGHT(W$2,5))</f>
        <v>0</v>
      </c>
      <c r="X14" s="16">
        <f>SUMIFS(Lentils_Mo!$P:$P,Lentils_Mo!$B:$B,"Industrial",Lentils_Mo!$C:$C,RIGHT(X$2,5))</f>
        <v>0</v>
      </c>
      <c r="Y14" s="16">
        <f>SUMIFS(Lentils_Mo!$P:$P,Lentils_Mo!$B:$B,"Industrial",Lentils_Mo!$C:$C,RIGHT(Y$2,5))</f>
        <v>0</v>
      </c>
      <c r="Z14" s="16">
        <f>SUMIFS(Lentils_Mo!$P:$P,Lentils_Mo!$B:$B,"Industrial",Lentils_Mo!$C:$C,RIGHT(Z$2,5))</f>
        <v>0</v>
      </c>
    </row>
    <row r="15" spans="1:26" x14ac:dyDescent="0.3">
      <c r="A15" s="11" t="s">
        <v>76</v>
      </c>
      <c r="B15" s="11" t="s">
        <v>50</v>
      </c>
      <c r="C15" s="12" t="s">
        <v>59</v>
      </c>
      <c r="D15" s="16">
        <f>SUMIFS(Lentils_Mo!$P:$P,Lentils_Mo!$B:$B,"FSR",Lentils_Mo!$C:$C,RIGHT(D$2,5))+SUMIFS(Lentils_Mo!$P:$P,Lentils_Mo!$B:$B,"Seed",Lentils_Mo!$C:$C,RIGHT(D$2,5))</f>
        <v>409.99999999999977</v>
      </c>
      <c r="E15" s="16">
        <f>SUMIFS(Lentils_Mo!$P:$P,Lentils_Mo!$B:$B,"FSR",Lentils_Mo!$C:$C,RIGHT(E$2,5))+SUMIFS(Lentils_Mo!$P:$P,Lentils_Mo!$B:$B,"Seed",Lentils_Mo!$C:$C,RIGHT(E$2,5))</f>
        <v>496.59999999999997</v>
      </c>
      <c r="F15" s="16">
        <f>SUMIFS(Lentils_Mo!$P:$P,Lentils_Mo!$B:$B,"FSR",Lentils_Mo!$C:$C,RIGHT(F$2,5))+SUMIFS(Lentils_Mo!$P:$P,Lentils_Mo!$B:$B,"Seed",Lentils_Mo!$C:$C,RIGHT(F$2,5))</f>
        <v>711.79999999999973</v>
      </c>
      <c r="G15" s="16">
        <f>SUMIFS(Lentils_Mo!$P:$P,Lentils_Mo!$B:$B,"FSR",Lentils_Mo!$C:$C,RIGHT(G$2,5))+SUMIFS(Lentils_Mo!$P:$P,Lentils_Mo!$B:$B,"Seed",Lentils_Mo!$C:$C,RIGHT(G$2,5))</f>
        <v>921.29999999999984</v>
      </c>
      <c r="H15" s="16">
        <f>SUMIFS(Lentils_Mo!$P:$P,Lentils_Mo!$B:$B,"FSR",Lentils_Mo!$C:$C,RIGHT(H$2,5))+SUMIFS(Lentils_Mo!$P:$P,Lentils_Mo!$B:$B,"Seed",Lentils_Mo!$C:$C,RIGHT(H$2,5))</f>
        <v>978.79999999999973</v>
      </c>
      <c r="I15" s="16">
        <f>SUMIFS(Lentils_Mo!$P:$P,Lentils_Mo!$B:$B,"FSR",Lentils_Mo!$C:$C,RIGHT(I$2,5))+SUMIFS(Lentils_Mo!$P:$P,Lentils_Mo!$B:$B,"Seed",Lentils_Mo!$C:$C,RIGHT(I$2,5))</f>
        <v>886.89999999999975</v>
      </c>
      <c r="J15" s="16">
        <f>SUMIFS(Lentils_Mo!$P:$P,Lentils_Mo!$B:$B,"FSR",Lentils_Mo!$C:$C,RIGHT(J$2,5))+SUMIFS(Lentils_Mo!$P:$P,Lentils_Mo!$B:$B,"Seed",Lentils_Mo!$C:$C,RIGHT(J$2,5))</f>
        <v>1067.2000000000003</v>
      </c>
      <c r="K15" s="16">
        <f>SUMIFS(Lentils_Mo!$P:$P,Lentils_Mo!$B:$B,"FSR",Lentils_Mo!$C:$C,RIGHT(K$2,5))+SUMIFS(Lentils_Mo!$P:$P,Lentils_Mo!$B:$B,"Seed",Lentils_Mo!$C:$C,RIGHT(K$2,5))</f>
        <v>1512.2</v>
      </c>
      <c r="L15" s="16">
        <f>SUMIFS(Lentils_Mo!$P:$P,Lentils_Mo!$B:$B,"FSR",Lentils_Mo!$C:$C,RIGHT(L$2,5))+SUMIFS(Lentils_Mo!$P:$P,Lentils_Mo!$B:$B,"Seed",Lentils_Mo!$C:$C,RIGHT(L$2,5))</f>
        <v>1214.8</v>
      </c>
      <c r="M15" s="16">
        <f>SUMIFS(Lentils_Mo!$P:$P,Lentils_Mo!$B:$B,"FSR",Lentils_Mo!$C:$C,RIGHT(M$2,5))+SUMIFS(Lentils_Mo!$P:$P,Lentils_Mo!$B:$B,"Seed",Lentils_Mo!$C:$C,RIGHT(M$2,5))</f>
        <v>1543.5</v>
      </c>
      <c r="N15" s="16">
        <f>SUMIFS(Lentils_Mo!$P:$P,Lentils_Mo!$B:$B,"FSR",Lentils_Mo!$C:$C,RIGHT(N$2,5))+SUMIFS(Lentils_Mo!$P:$P,Lentils_Mo!$B:$B,"Seed",Lentils_Mo!$C:$C,RIGHT(N$2,5))</f>
        <v>1930.8999999999996</v>
      </c>
      <c r="O15" s="16">
        <f>SUMIFS(Lentils_Mo!$P:$P,Lentils_Mo!$B:$B,"FSR",Lentils_Mo!$C:$C,RIGHT(O$2,5))+SUMIFS(Lentils_Mo!$P:$P,Lentils_Mo!$B:$B,"Seed",Lentils_Mo!$C:$C,RIGHT(O$2,5))</f>
        <v>1942.7</v>
      </c>
      <c r="P15" s="16">
        <f>SUMIFS(Lentils_Mo!$P:$P,Lentils_Mo!$B:$B,"FSR",Lentils_Mo!$C:$C,RIGHT(P$2,5))+SUMIFS(Lentils_Mo!$P:$P,Lentils_Mo!$B:$B,"Seed",Lentils_Mo!$C:$C,RIGHT(P$2,5))</f>
        <v>2409.9999999999995</v>
      </c>
      <c r="Q15" s="16">
        <f>SUMIFS(Lentils_Mo!$P:$P,Lentils_Mo!$B:$B,"FSR",Lentils_Mo!$C:$C,RIGHT(Q$2,5))+SUMIFS(Lentils_Mo!$P:$P,Lentils_Mo!$B:$B,"Seed",Lentils_Mo!$C:$C,RIGHT(Q$2,5))</f>
        <v>2830.1000000000004</v>
      </c>
      <c r="R15" s="16">
        <f>SUMIFS(Lentils_Mo!$P:$P,Lentils_Mo!$B:$B,"FSR",Lentils_Mo!$C:$C,RIGHT(R$2,5))+SUMIFS(Lentils_Mo!$P:$P,Lentils_Mo!$B:$B,"Seed",Lentils_Mo!$C:$C,RIGHT(R$2,5))</f>
        <v>2952.2000000000007</v>
      </c>
      <c r="S15" s="16">
        <f>SUMIFS(Lentils_Mo!$P:$P,Lentils_Mo!$B:$B,"FSR",Lentils_Mo!$C:$C,RIGHT(S$2,5))+SUMIFS(Lentils_Mo!$P:$P,Lentils_Mo!$B:$B,"Seed",Lentils_Mo!$C:$C,RIGHT(S$2,5))</f>
        <v>2000.8</v>
      </c>
      <c r="T15" s="16">
        <f>SUMIFS(Lentils_Mo!$P:$P,Lentils_Mo!$B:$B,"FSR",Lentils_Mo!$C:$C,RIGHT(T$2,5))+SUMIFS(Lentils_Mo!$P:$P,Lentils_Mo!$B:$B,"Seed",Lentils_Mo!$C:$C,RIGHT(T$2,5))</f>
        <v>2209.1999999999994</v>
      </c>
      <c r="U15" s="16">
        <f>SUMIFS(Lentils_Mo!$P:$P,Lentils_Mo!$B:$B,"FSR",Lentils_Mo!$C:$C,RIGHT(U$2,5))+SUMIFS(Lentils_Mo!$P:$P,Lentils_Mo!$B:$B,"Seed",Lentils_Mo!$C:$C,RIGHT(U$2,5))</f>
        <v>3028.599999999999</v>
      </c>
      <c r="V15" s="16">
        <f>SUMIFS(Lentils_Mo!$P:$P,Lentils_Mo!$B:$B,"FSR",Lentils_Mo!$C:$C,RIGHT(V$2,5))+SUMIFS(Lentils_Mo!$P:$P,Lentils_Mo!$B:$B,"Seed",Lentils_Mo!$C:$C,RIGHT(V$2,5))</f>
        <v>2638.7000000000007</v>
      </c>
      <c r="W15" s="16">
        <f>SUMIFS(Lentils_Mo!$P:$P,Lentils_Mo!$B:$B,"FSR",Lentils_Mo!$C:$C,RIGHT(W$2,5))+SUMIFS(Lentils_Mo!$P:$P,Lentils_Mo!$B:$B,"Seed",Lentils_Mo!$C:$C,RIGHT(W$2,5))</f>
        <v>1806.5999999999997</v>
      </c>
      <c r="X15" s="16">
        <f>SUMIFS(Lentils_Mo!$P:$P,Lentils_Mo!$B:$B,"FSR",Lentils_Mo!$C:$C,RIGHT(X$2,5))+SUMIFS(Lentils_Mo!$P:$P,Lentils_Mo!$B:$B,"Seed",Lentils_Mo!$C:$C,RIGHT(X$2,5))</f>
        <v>2344.400000000001</v>
      </c>
      <c r="Y15" s="16">
        <f>SUMIFS(Lentils_Mo!$P:$P,Lentils_Mo!$B:$B,"FSR",Lentils_Mo!$C:$C,RIGHT(Y$2,5))+SUMIFS(Lentils_Mo!$P:$P,Lentils_Mo!$B:$B,"Seed",Lentils_Mo!$C:$C,RIGHT(Y$2,5))</f>
        <v>1847.3</v>
      </c>
      <c r="Z15" s="16">
        <f>SUMIFS(Lentils_Mo!$P:$P,Lentils_Mo!$B:$B,"FSR",Lentils_Mo!$C:$C,RIGHT(Z$2,5))+SUMIFS(Lentils_Mo!$P:$P,Lentils_Mo!$B:$B,"Seed",Lentils_Mo!$C:$C,RIGHT(Z$2,5))</f>
        <v>2035.1000000000004</v>
      </c>
    </row>
    <row r="16" spans="1:26" x14ac:dyDescent="0.3">
      <c r="A16" s="11" t="s">
        <v>76</v>
      </c>
      <c r="B16" s="11" t="s">
        <v>44</v>
      </c>
      <c r="C16" s="12" t="s">
        <v>59</v>
      </c>
      <c r="D16" s="16">
        <f>SUMIFS(Lentils_Mo!$P:$P,Lentils_Mo!$B:$B,"Exports",Lentils_Mo!$C:$C,RIGHT(D$2,5))</f>
        <v>0</v>
      </c>
      <c r="E16" s="16">
        <f>SUMIFS(Lentils_Mo!$P:$P,Lentils_Mo!$B:$B,"Exports",Lentils_Mo!$C:$C,RIGHT(E$2,5))</f>
        <v>0</v>
      </c>
      <c r="F16" s="16">
        <f>SUMIFS(Lentils_Mo!$P:$P,Lentils_Mo!$B:$B,"Exports",Lentils_Mo!$C:$C,RIGHT(F$2,5))</f>
        <v>0</v>
      </c>
      <c r="G16" s="16">
        <f>SUMIFS(Lentils_Mo!$P:$P,Lentils_Mo!$B:$B,"Exports",Lentils_Mo!$C:$C,RIGHT(G$2,5))</f>
        <v>0</v>
      </c>
      <c r="H16" s="16">
        <f>SUMIFS(Lentils_Mo!$P:$P,Lentils_Mo!$B:$B,"Exports",Lentils_Mo!$C:$C,RIGHT(H$2,5))</f>
        <v>0</v>
      </c>
      <c r="I16" s="16">
        <f>SUMIFS(Lentils_Mo!$P:$P,Lentils_Mo!$B:$B,"Exports",Lentils_Mo!$C:$C,RIGHT(I$2,5))</f>
        <v>0</v>
      </c>
      <c r="J16" s="16">
        <f>SUMIFS(Lentils_Mo!$P:$P,Lentils_Mo!$B:$B,"Exports",Lentils_Mo!$C:$C,RIGHT(J$2,5))</f>
        <v>0</v>
      </c>
      <c r="K16" s="16">
        <f>SUMIFS(Lentils_Mo!$P:$P,Lentils_Mo!$B:$B,"Exports",Lentils_Mo!$C:$C,RIGHT(K$2,5))</f>
        <v>0</v>
      </c>
      <c r="L16" s="16">
        <f>SUMIFS(Lentils_Mo!$P:$P,Lentils_Mo!$B:$B,"Exports",Lentils_Mo!$C:$C,RIGHT(L$2,5))</f>
        <v>0</v>
      </c>
      <c r="M16" s="16">
        <f>SUMIFS(Lentils_Mo!$P:$P,Lentils_Mo!$B:$B,"Exports",Lentils_Mo!$C:$C,RIGHT(M$2,5))</f>
        <v>0</v>
      </c>
      <c r="N16" s="16">
        <f>SUMIFS(Lentils_Mo!$P:$P,Lentils_Mo!$B:$B,"Exports",Lentils_Mo!$C:$C,RIGHT(N$2,5))</f>
        <v>0</v>
      </c>
      <c r="O16" s="16">
        <f>SUMIFS(Lentils_Mo!$P:$P,Lentils_Mo!$B:$B,"Exports",Lentils_Mo!$C:$C,RIGHT(O$2,5))</f>
        <v>0</v>
      </c>
      <c r="P16" s="16">
        <f>SUMIFS(Lentils_Mo!$P:$P,Lentils_Mo!$B:$B,"Exports",Lentils_Mo!$C:$C,RIGHT(P$2,5))</f>
        <v>0</v>
      </c>
      <c r="Q16" s="16">
        <f>SUMIFS(Lentils_Mo!$P:$P,Lentils_Mo!$B:$B,"Exports",Lentils_Mo!$C:$C,RIGHT(Q$2,5))</f>
        <v>0</v>
      </c>
      <c r="R16" s="16">
        <f>SUMIFS(Lentils_Mo!$P:$P,Lentils_Mo!$B:$B,"Exports",Lentils_Mo!$C:$C,RIGHT(R$2,5))</f>
        <v>0</v>
      </c>
      <c r="S16" s="16">
        <f>SUMIFS(Lentils_Mo!$P:$P,Lentils_Mo!$B:$B,"Exports",Lentils_Mo!$C:$C,RIGHT(S$2,5))</f>
        <v>0</v>
      </c>
      <c r="T16" s="16">
        <f>SUMIFS(Lentils_Mo!$P:$P,Lentils_Mo!$B:$B,"Exports",Lentils_Mo!$C:$C,RIGHT(T$2,5))</f>
        <v>0</v>
      </c>
      <c r="U16" s="16">
        <f>SUMIFS(Lentils_Mo!$P:$P,Lentils_Mo!$B:$B,"Exports",Lentils_Mo!$C:$C,RIGHT(U$2,5))</f>
        <v>0</v>
      </c>
      <c r="V16" s="16">
        <f>SUMIFS(Lentils_Mo!$P:$P,Lentils_Mo!$B:$B,"Exports",Lentils_Mo!$C:$C,RIGHT(V$2,5))</f>
        <v>0</v>
      </c>
      <c r="W16" s="16">
        <f>SUMIFS(Lentils_Mo!$P:$P,Lentils_Mo!$B:$B,"Exports",Lentils_Mo!$C:$C,RIGHT(W$2,5))</f>
        <v>0</v>
      </c>
      <c r="X16" s="16">
        <f>SUMIFS(Lentils_Mo!$P:$P,Lentils_Mo!$B:$B,"Exports",Lentils_Mo!$C:$C,RIGHT(X$2,5))</f>
        <v>0</v>
      </c>
      <c r="Y16" s="16">
        <f>SUMIFS(Lentils_Mo!$P:$P,Lentils_Mo!$B:$B,"Exports",Lentils_Mo!$C:$C,RIGHT(Y$2,5))</f>
        <v>0</v>
      </c>
      <c r="Z16" s="16">
        <f>SUMIFS(Lentils_Mo!$P:$P,Lentils_Mo!$B:$B,"Exports",Lentils_Mo!$C:$C,RIGHT(Z$2,5))</f>
        <v>0</v>
      </c>
    </row>
    <row r="17" spans="1:26" x14ac:dyDescent="0.3">
      <c r="A17" s="17" t="s">
        <v>76</v>
      </c>
      <c r="B17" s="17" t="s">
        <v>61</v>
      </c>
      <c r="C17" s="18" t="s">
        <v>59</v>
      </c>
      <c r="D17" s="19">
        <f t="shared" ref="D17:Z17" si="3">D13+D14+D15+D16</f>
        <v>409.99999999999977</v>
      </c>
      <c r="E17" s="19">
        <f t="shared" si="3"/>
        <v>496.59999999999997</v>
      </c>
      <c r="F17" s="19">
        <f t="shared" si="3"/>
        <v>711.79999999999973</v>
      </c>
      <c r="G17" s="19">
        <f t="shared" si="3"/>
        <v>921.29999999999984</v>
      </c>
      <c r="H17" s="19">
        <f t="shared" si="3"/>
        <v>978.79999999999973</v>
      </c>
      <c r="I17" s="19">
        <f t="shared" si="3"/>
        <v>886.89999999999975</v>
      </c>
      <c r="J17" s="19">
        <f t="shared" si="3"/>
        <v>1067.2000000000003</v>
      </c>
      <c r="K17" s="19">
        <f t="shared" si="3"/>
        <v>1512.2</v>
      </c>
      <c r="L17" s="19">
        <f t="shared" si="3"/>
        <v>1214.8</v>
      </c>
      <c r="M17" s="19">
        <f t="shared" si="3"/>
        <v>1543.5</v>
      </c>
      <c r="N17" s="19">
        <f t="shared" si="3"/>
        <v>1930.8999999999996</v>
      </c>
      <c r="O17" s="19">
        <f t="shared" si="3"/>
        <v>1942.7</v>
      </c>
      <c r="P17" s="19">
        <f t="shared" si="3"/>
        <v>2409.9999999999995</v>
      </c>
      <c r="Q17" s="19">
        <f t="shared" si="3"/>
        <v>2830.1000000000004</v>
      </c>
      <c r="R17" s="19">
        <f t="shared" si="3"/>
        <v>2952.2000000000007</v>
      </c>
      <c r="S17" s="19">
        <f t="shared" si="3"/>
        <v>2000.8</v>
      </c>
      <c r="T17" s="19">
        <f t="shared" si="3"/>
        <v>2209.1999999999994</v>
      </c>
      <c r="U17" s="19">
        <f t="shared" si="3"/>
        <v>3028.599999999999</v>
      </c>
      <c r="V17" s="19">
        <f t="shared" si="3"/>
        <v>2638.7000000000007</v>
      </c>
      <c r="W17" s="19">
        <f t="shared" si="3"/>
        <v>1806.5999999999997</v>
      </c>
      <c r="X17" s="19">
        <f t="shared" si="3"/>
        <v>2344.400000000001</v>
      </c>
      <c r="Y17" s="19">
        <f t="shared" si="3"/>
        <v>1847.3</v>
      </c>
      <c r="Z17" s="19">
        <f t="shared" si="3"/>
        <v>2035.1000000000004</v>
      </c>
    </row>
    <row r="19" spans="1:26" x14ac:dyDescent="0.3">
      <c r="A19" s="20" t="s">
        <v>76</v>
      </c>
      <c r="B19" s="20" t="s">
        <v>62</v>
      </c>
      <c r="C19" s="21" t="s">
        <v>59</v>
      </c>
      <c r="D19" s="22">
        <f t="shared" ref="D19:Z19" si="4">D11-D17</f>
        <v>50.000000000000227</v>
      </c>
      <c r="E19" s="22">
        <f t="shared" si="4"/>
        <v>38.000000000000284</v>
      </c>
      <c r="F19" s="22">
        <f t="shared" si="4"/>
        <v>242.00000000000045</v>
      </c>
      <c r="G19" s="22">
        <f t="shared" si="4"/>
        <v>485.00000000000057</v>
      </c>
      <c r="H19" s="22">
        <f t="shared" si="4"/>
        <v>199.00000000000091</v>
      </c>
      <c r="I19" s="22">
        <f t="shared" si="4"/>
        <v>46.000000000001137</v>
      </c>
      <c r="J19" s="22">
        <f t="shared" si="4"/>
        <v>22.000000000000909</v>
      </c>
      <c r="K19" s="22">
        <f t="shared" si="4"/>
        <v>40.000000000000909</v>
      </c>
      <c r="L19" s="22">
        <f t="shared" si="4"/>
        <v>830.00000000000091</v>
      </c>
      <c r="M19" s="22">
        <f t="shared" si="4"/>
        <v>860.00000000000091</v>
      </c>
      <c r="N19" s="22">
        <f t="shared" si="4"/>
        <v>467.00000000000136</v>
      </c>
      <c r="O19" s="22">
        <f t="shared" si="4"/>
        <v>786.00000000000114</v>
      </c>
      <c r="P19" s="22">
        <f t="shared" si="4"/>
        <v>363.00000000000136</v>
      </c>
      <c r="Q19" s="22">
        <f t="shared" si="4"/>
        <v>73.400000000001</v>
      </c>
      <c r="R19" s="22">
        <f t="shared" si="4"/>
        <v>315.00000000000045</v>
      </c>
      <c r="S19" s="22">
        <f t="shared" si="4"/>
        <v>872.7000000000005</v>
      </c>
      <c r="T19" s="22">
        <f t="shared" si="4"/>
        <v>855.60000000000082</v>
      </c>
      <c r="U19" s="22">
        <f t="shared" si="4"/>
        <v>209.00000000000182</v>
      </c>
      <c r="V19" s="22">
        <f t="shared" si="4"/>
        <v>438.00000000000091</v>
      </c>
      <c r="W19" s="22">
        <f t="shared" si="4"/>
        <v>225.00000000000114</v>
      </c>
      <c r="X19" s="22">
        <f t="shared" si="4"/>
        <v>211.20000000000027</v>
      </c>
      <c r="Y19" s="22">
        <f t="shared" si="4"/>
        <v>165.00000000000023</v>
      </c>
      <c r="Z19" s="22">
        <f t="shared" si="4"/>
        <v>561.19999999999982</v>
      </c>
    </row>
    <row r="20" spans="1:26" x14ac:dyDescent="0.3">
      <c r="A20" s="11" t="s">
        <v>76</v>
      </c>
      <c r="B20" s="11" t="s">
        <v>63</v>
      </c>
      <c r="C20" s="12" t="s">
        <v>56</v>
      </c>
      <c r="D20" s="14">
        <f t="shared" ref="D20:Z20" si="5">IF(D17&lt;&gt;0,D19/D17,"")</f>
        <v>0.12195121951219574</v>
      </c>
      <c r="E20" s="14">
        <f t="shared" si="5"/>
        <v>7.6520338300443594E-2</v>
      </c>
      <c r="F20" s="14">
        <f t="shared" si="5"/>
        <v>0.33998314133183555</v>
      </c>
      <c r="G20" s="14">
        <f t="shared" si="5"/>
        <v>0.52643004450233433</v>
      </c>
      <c r="H20" s="14">
        <f t="shared" si="5"/>
        <v>0.20331017572537899</v>
      </c>
      <c r="I20" s="14">
        <f t="shared" si="5"/>
        <v>5.1866050287519616E-2</v>
      </c>
      <c r="J20" s="14">
        <f t="shared" si="5"/>
        <v>2.0614692653674011E-2</v>
      </c>
      <c r="K20" s="14">
        <f t="shared" si="5"/>
        <v>2.6451527575718097E-2</v>
      </c>
      <c r="L20" s="14">
        <f t="shared" si="5"/>
        <v>0.68324003951267775</v>
      </c>
      <c r="M20" s="14">
        <f t="shared" si="5"/>
        <v>0.55717525105280263</v>
      </c>
      <c r="N20" s="14">
        <f t="shared" si="5"/>
        <v>0.24185612926614608</v>
      </c>
      <c r="O20" s="14">
        <f t="shared" si="5"/>
        <v>0.40459154784578222</v>
      </c>
      <c r="P20" s="14">
        <f t="shared" si="5"/>
        <v>0.15062240663900475</v>
      </c>
      <c r="Q20" s="14">
        <f t="shared" si="5"/>
        <v>2.5935479311685449E-2</v>
      </c>
      <c r="R20" s="14">
        <f t="shared" si="5"/>
        <v>0.10670008806991409</v>
      </c>
      <c r="S20" s="14">
        <f t="shared" si="5"/>
        <v>0.43617552978808505</v>
      </c>
      <c r="T20" s="14">
        <f t="shared" si="5"/>
        <v>0.3872895165670836</v>
      </c>
      <c r="U20" s="14">
        <f t="shared" si="5"/>
        <v>6.9008782936010662E-2</v>
      </c>
      <c r="V20" s="14">
        <f t="shared" si="5"/>
        <v>0.16599082881722091</v>
      </c>
      <c r="W20" s="14">
        <f t="shared" si="5"/>
        <v>0.12454334108269743</v>
      </c>
      <c r="X20" s="14">
        <f t="shared" si="5"/>
        <v>9.0087015867599457E-2</v>
      </c>
      <c r="Y20" s="14">
        <f t="shared" si="5"/>
        <v>8.9319547447626393E-2</v>
      </c>
      <c r="Z20" s="14">
        <f t="shared" si="5"/>
        <v>0.27576040489410825</v>
      </c>
    </row>
    <row r="21" spans="1:26" x14ac:dyDescent="0.3">
      <c r="A21" s="11" t="s">
        <v>76</v>
      </c>
      <c r="B21" s="11" t="s">
        <v>64</v>
      </c>
      <c r="C21" s="12" t="s">
        <v>65</v>
      </c>
      <c r="D21" s="16">
        <f t="shared" ref="D21:Z21" si="6">IF(D17&lt;&gt;0,D19/D17*365,"")</f>
        <v>44.51219512195145</v>
      </c>
      <c r="E21" s="16">
        <f t="shared" si="6"/>
        <v>27.929923479661912</v>
      </c>
      <c r="F21" s="16">
        <f t="shared" si="6"/>
        <v>124.09384658611998</v>
      </c>
      <c r="G21" s="16">
        <f t="shared" si="6"/>
        <v>192.14696624335204</v>
      </c>
      <c r="H21" s="16">
        <f t="shared" si="6"/>
        <v>74.208214139763328</v>
      </c>
      <c r="I21" s="16">
        <f t="shared" si="6"/>
        <v>18.931108354944659</v>
      </c>
      <c r="J21" s="16">
        <f t="shared" si="6"/>
        <v>7.5243628185910145</v>
      </c>
      <c r="K21" s="16">
        <f t="shared" si="6"/>
        <v>9.654807565137105</v>
      </c>
      <c r="L21" s="16">
        <f t="shared" si="6"/>
        <v>249.38261442212738</v>
      </c>
      <c r="M21" s="16">
        <f t="shared" si="6"/>
        <v>203.36896663427297</v>
      </c>
      <c r="N21" s="16">
        <f t="shared" si="6"/>
        <v>88.277487182143318</v>
      </c>
      <c r="O21" s="16">
        <f t="shared" si="6"/>
        <v>147.67591496371051</v>
      </c>
      <c r="P21" s="16">
        <f t="shared" si="6"/>
        <v>54.977178423236737</v>
      </c>
      <c r="Q21" s="16">
        <f t="shared" si="6"/>
        <v>9.4664499487651881</v>
      </c>
      <c r="R21" s="16">
        <f t="shared" si="6"/>
        <v>38.945532145518641</v>
      </c>
      <c r="S21" s="16">
        <f t="shared" si="6"/>
        <v>159.20406837265105</v>
      </c>
      <c r="T21" s="16">
        <f t="shared" si="6"/>
        <v>141.36067354698551</v>
      </c>
      <c r="U21" s="16">
        <f t="shared" si="6"/>
        <v>25.18820577164389</v>
      </c>
      <c r="V21" s="16">
        <f t="shared" si="6"/>
        <v>60.586652518285632</v>
      </c>
      <c r="W21" s="16">
        <f t="shared" si="6"/>
        <v>45.458319495184561</v>
      </c>
      <c r="X21" s="16">
        <f t="shared" si="6"/>
        <v>32.881760791673798</v>
      </c>
      <c r="Y21" s="16">
        <f t="shared" si="6"/>
        <v>32.601634818383637</v>
      </c>
      <c r="Z21" s="16">
        <f t="shared" si="6"/>
        <v>100.65254778634952</v>
      </c>
    </row>
    <row r="22" spans="1:26" x14ac:dyDescent="0.3">
      <c r="A22" s="20" t="s">
        <v>76</v>
      </c>
      <c r="B22" s="20" t="s">
        <v>66</v>
      </c>
      <c r="C22" s="21" t="s">
        <v>59</v>
      </c>
      <c r="D22" s="22">
        <f>D19-SUMIFS(Lentils_Mo!$P:$P,Lentils_Mo!$B:$B,"STOCKS",Lentils_Mo!$C:$C,RIGHT(D$2,5))</f>
        <v>0</v>
      </c>
      <c r="E22" s="22">
        <f>E19-SUMIFS(Lentils_Mo!$P:$P,Lentils_Mo!$B:$B,"STOCKS",Lentils_Mo!$C:$C,RIGHT(E$2,5))</f>
        <v>0</v>
      </c>
      <c r="F22" s="22">
        <f>F19-SUMIFS(Lentils_Mo!$P:$P,Lentils_Mo!$B:$B,"STOCKS",Lentils_Mo!$C:$C,RIGHT(F$2,5))</f>
        <v>0</v>
      </c>
      <c r="G22" s="22">
        <f>G19-SUMIFS(Lentils_Mo!$P:$P,Lentils_Mo!$B:$B,"STOCKS",Lentils_Mo!$C:$C,RIGHT(G$2,5))</f>
        <v>0</v>
      </c>
      <c r="H22" s="22">
        <f>H19-SUMIFS(Lentils_Mo!$P:$P,Lentils_Mo!$B:$B,"STOCKS",Lentils_Mo!$C:$C,RIGHT(H$2,5))</f>
        <v>0</v>
      </c>
      <c r="I22" s="22">
        <f>I19-SUMIFS(Lentils_Mo!$P:$P,Lentils_Mo!$B:$B,"STOCKS",Lentils_Mo!$C:$C,RIGHT(I$2,5))</f>
        <v>0</v>
      </c>
      <c r="J22" s="22">
        <f>J19-SUMIFS(Lentils_Mo!$P:$P,Lentils_Mo!$B:$B,"STOCKS",Lentils_Mo!$C:$C,RIGHT(J$2,5))</f>
        <v>1.1368683772161603E-13</v>
      </c>
      <c r="K22" s="22">
        <f>K19-SUMIFS(Lentils_Mo!$P:$P,Lentils_Mo!$B:$B,"STOCKS",Lentils_Mo!$C:$C,RIGHT(K$2,5))</f>
        <v>2.1316282072803006E-13</v>
      </c>
      <c r="L22" s="22">
        <f>L19-SUMIFS(Lentils_Mo!$P:$P,Lentils_Mo!$B:$B,"STOCKS",Lentils_Mo!$C:$C,RIGHT(L$2,5))</f>
        <v>0</v>
      </c>
      <c r="M22" s="22">
        <f>M19-SUMIFS(Lentils_Mo!$P:$P,Lentils_Mo!$B:$B,"STOCKS",Lentils_Mo!$C:$C,RIGHT(M$2,5))</f>
        <v>0</v>
      </c>
      <c r="N22" s="22">
        <f>N19-SUMIFS(Lentils_Mo!$P:$P,Lentils_Mo!$B:$B,"STOCKS",Lentils_Mo!$C:$C,RIGHT(N$2,5))</f>
        <v>4.5474735088646412E-13</v>
      </c>
      <c r="O22" s="22">
        <f>O19-SUMIFS(Lentils_Mo!$P:$P,Lentils_Mo!$B:$B,"STOCKS",Lentils_Mo!$C:$C,RIGHT(O$2,5))</f>
        <v>1.1368683772161603E-12</v>
      </c>
      <c r="P22" s="22">
        <f>P19-SUMIFS(Lentils_Mo!$P:$P,Lentils_Mo!$B:$B,"STOCKS",Lentils_Mo!$C:$C,RIGHT(P$2,5))</f>
        <v>1.1368683772161603E-12</v>
      </c>
      <c r="Q22" s="22">
        <f>Q19-SUMIFS(Lentils_Mo!$P:$P,Lentils_Mo!$B:$B,"STOCKS",Lentils_Mo!$C:$C,RIGHT(Q$2,5))</f>
        <v>1.3642420526593924E-12</v>
      </c>
      <c r="R22" s="22">
        <f>R19-SUMIFS(Lentils_Mo!$P:$P,Lentils_Mo!$B:$B,"STOCKS",Lentils_Mo!$C:$C,RIGHT(R$2,5))</f>
        <v>1.4210854715202004E-12</v>
      </c>
      <c r="S22" s="22">
        <f>S19-SUMIFS(Lentils_Mo!$P:$P,Lentils_Mo!$B:$B,"STOCKS",Lentils_Mo!$C:$C,RIGHT(S$2,5))</f>
        <v>0</v>
      </c>
      <c r="T22" s="22">
        <f>T19-SUMIFS(Lentils_Mo!$P:$P,Lentils_Mo!$B:$B,"STOCKS",Lentils_Mo!$C:$C,RIGHT(T$2,5))</f>
        <v>0</v>
      </c>
      <c r="U22" s="22">
        <f>U19-SUMIFS(Lentils_Mo!$P:$P,Lentils_Mo!$B:$B,"STOCKS",Lentils_Mo!$C:$C,RIGHT(U$2,5))</f>
        <v>0</v>
      </c>
      <c r="V22" s="22">
        <f>V19-SUMIFS(Lentils_Mo!$P:$P,Lentils_Mo!$B:$B,"STOCKS",Lentils_Mo!$C:$C,RIGHT(V$2,5))</f>
        <v>0</v>
      </c>
      <c r="W22" s="22">
        <f>W19-SUMIFS(Lentils_Mo!$P:$P,Lentils_Mo!$B:$B,"STOCKS",Lentils_Mo!$C:$C,RIGHT(W$2,5))</f>
        <v>0</v>
      </c>
      <c r="X22" s="22">
        <f>X19-SUMIFS(Lentils_Mo!$P:$P,Lentils_Mo!$B:$B,"STOCKS",Lentils_Mo!$C:$C,RIGHT(X$2,5))</f>
        <v>0</v>
      </c>
      <c r="Y22" s="22">
        <f>Y19-SUMIFS(Lentils_Mo!$P:$P,Lentils_Mo!$B:$B,"STOCKS",Lentils_Mo!$C:$C,RIGHT(Y$2,5))</f>
        <v>0</v>
      </c>
      <c r="Z22" s="22">
        <f>Z19-SUMIFS(Lentils_Mo!$P:$P,Lentils_Mo!$B:$B,"STOCKS",Lentils_Mo!$C:$C,RIGHT(Z$2,5))</f>
        <v>0</v>
      </c>
    </row>
    <row r="25" spans="1:26" s="25" customFormat="1" ht="13.8" x14ac:dyDescent="0.3">
      <c r="A25" s="25" t="str">
        <f>A22</f>
        <v>Lentils</v>
      </c>
      <c r="B25" s="25" t="s">
        <v>81</v>
      </c>
      <c r="D25" s="40" cm="1">
        <f t="array" ref="D25">SUM(D13:D14/D$10)</f>
        <v>0</v>
      </c>
      <c r="E25" s="40" cm="1">
        <f t="array" ref="E25">SUM(E13:E14/E$10)</f>
        <v>0</v>
      </c>
      <c r="F25" s="40" cm="1">
        <f t="array" ref="F25">SUM(F13:F14/F$10)</f>
        <v>0</v>
      </c>
      <c r="G25" s="40" cm="1">
        <f t="array" ref="G25">SUM(G13:G14/G$10)</f>
        <v>0</v>
      </c>
      <c r="H25" s="40" cm="1">
        <f t="array" ref="H25">SUM(H13:H14/H$10)</f>
        <v>0</v>
      </c>
      <c r="I25" s="40" cm="1">
        <f t="array" ref="I25">SUM(I13:I14/I$10)</f>
        <v>0</v>
      </c>
      <c r="J25" s="40" cm="1">
        <f t="array" ref="J25">SUM(J13:J14/J$10)</f>
        <v>0</v>
      </c>
      <c r="K25" s="40" cm="1">
        <f t="array" ref="K25">SUM(K13:K14/K$10)</f>
        <v>0</v>
      </c>
      <c r="L25" s="40" cm="1">
        <f t="array" ref="L25">SUM(L13:L14/L$10)</f>
        <v>0</v>
      </c>
      <c r="M25" s="40" cm="1">
        <f t="array" ref="M25">SUM(M13:M14/M$10)</f>
        <v>0</v>
      </c>
      <c r="N25" s="40" cm="1">
        <f t="array" ref="N25">SUM(N13:N14/N$10)</f>
        <v>0</v>
      </c>
      <c r="O25" s="40" cm="1">
        <f t="array" ref="O25">SUM(O13:O14/O$10)</f>
        <v>0</v>
      </c>
      <c r="P25" s="40" cm="1">
        <f t="array" ref="P25">SUM(P13:P14/P$10)</f>
        <v>0</v>
      </c>
      <c r="Q25" s="40" cm="1">
        <f t="array" ref="Q25">SUM(Q13:Q14/Q$10)</f>
        <v>0</v>
      </c>
      <c r="R25" s="40" cm="1">
        <f t="array" ref="R25">SUM(R13:R14/R$10)</f>
        <v>0</v>
      </c>
      <c r="S25" s="40" cm="1">
        <f t="array" ref="S25">SUM(S13:S14/S$10)</f>
        <v>0</v>
      </c>
      <c r="T25" s="40" cm="1">
        <f t="array" ref="T25">SUM(T13:T14/T$10)</f>
        <v>0</v>
      </c>
      <c r="U25" s="40" cm="1">
        <f t="array" ref="U25">SUM(U13:U14/U$10)</f>
        <v>0</v>
      </c>
      <c r="V25" s="40" cm="1">
        <f t="array" ref="V25">SUM(V13:V14/V$10)</f>
        <v>0</v>
      </c>
      <c r="W25" s="40" cm="1">
        <f t="array" ref="W25">SUM(W13:W14/W$10)</f>
        <v>0</v>
      </c>
      <c r="X25" s="40" cm="1">
        <f t="array" ref="X25">SUM(X13:X14/X$10)</f>
        <v>0</v>
      </c>
      <c r="Y25" s="40" cm="1">
        <f t="array" ref="Y25">SUM(Y13:Y14/Y$10)</f>
        <v>0</v>
      </c>
      <c r="Z25" s="40" cm="1">
        <f t="array" ref="Z25">SUM(Z13:Z14/Z$10)</f>
        <v>0</v>
      </c>
    </row>
    <row r="26" spans="1:26" s="25" customFormat="1" ht="13.8" x14ac:dyDescent="0.3">
      <c r="A26" s="25" t="str">
        <f>A25</f>
        <v>Lentils</v>
      </c>
      <c r="B26" s="25" t="s">
        <v>82</v>
      </c>
      <c r="D26" s="40">
        <f t="shared" ref="D26:Z27" si="7">D15/D$10</f>
        <v>1.2499999999999993</v>
      </c>
      <c r="E26" s="40">
        <f t="shared" si="7"/>
        <v>1.0247626908790755</v>
      </c>
      <c r="F26" s="40">
        <f t="shared" si="7"/>
        <v>0.77724393972483052</v>
      </c>
      <c r="G26" s="40">
        <f t="shared" si="7"/>
        <v>0.79129090440608085</v>
      </c>
      <c r="H26" s="40">
        <f t="shared" si="7"/>
        <v>1.4128175519630481</v>
      </c>
      <c r="I26" s="40">
        <f t="shared" si="7"/>
        <v>1.2084752691102327</v>
      </c>
      <c r="J26" s="40">
        <f t="shared" si="7"/>
        <v>1.0230061349693254</v>
      </c>
      <c r="K26" s="40">
        <f t="shared" si="7"/>
        <v>0.98823683178669453</v>
      </c>
      <c r="L26" s="40">
        <f t="shared" si="7"/>
        <v>0.60594573024740617</v>
      </c>
      <c r="M26" s="40">
        <f t="shared" si="7"/>
        <v>0.98093422306959011</v>
      </c>
      <c r="N26" s="40">
        <f t="shared" si="7"/>
        <v>1.2555432732947522</v>
      </c>
      <c r="O26" s="40">
        <f t="shared" si="7"/>
        <v>0.85895565282751918</v>
      </c>
      <c r="P26" s="40">
        <f t="shared" si="7"/>
        <v>1.2128837443381981</v>
      </c>
      <c r="Q26" s="40">
        <f t="shared" si="7"/>
        <v>1.1139933084038576</v>
      </c>
      <c r="R26" s="40">
        <f t="shared" si="7"/>
        <v>0.92435343477988618</v>
      </c>
      <c r="S26" s="40">
        <f t="shared" si="7"/>
        <v>0.78202071526284933</v>
      </c>
      <c r="T26" s="40">
        <f t="shared" si="7"/>
        <v>1.0078007390173804</v>
      </c>
      <c r="U26" s="40">
        <f t="shared" si="7"/>
        <v>1.2714525608732155</v>
      </c>
      <c r="V26" s="40">
        <f t="shared" si="7"/>
        <v>0.92014506398856255</v>
      </c>
      <c r="W26" s="40">
        <f t="shared" si="7"/>
        <v>1.1336596385542168</v>
      </c>
      <c r="X26" s="40">
        <f t="shared" si="7"/>
        <v>1.0059212220029181</v>
      </c>
      <c r="Y26" s="40">
        <f t="shared" si="7"/>
        <v>1.0256509910610183</v>
      </c>
      <c r="Z26" s="40">
        <f t="shared" si="7"/>
        <v>0.83704191173446318</v>
      </c>
    </row>
    <row r="27" spans="1:26" s="25" customFormat="1" ht="13.8" x14ac:dyDescent="0.3">
      <c r="A27" s="25" t="str">
        <f>A26</f>
        <v>Lentils</v>
      </c>
      <c r="B27" s="25" t="s">
        <v>83</v>
      </c>
      <c r="D27" s="40">
        <f t="shared" si="7"/>
        <v>0</v>
      </c>
      <c r="E27" s="40">
        <f t="shared" si="7"/>
        <v>0</v>
      </c>
      <c r="F27" s="40">
        <f t="shared" si="7"/>
        <v>0</v>
      </c>
      <c r="G27" s="40">
        <f t="shared" si="7"/>
        <v>0</v>
      </c>
      <c r="H27" s="40">
        <f t="shared" si="7"/>
        <v>0</v>
      </c>
      <c r="I27" s="40">
        <f t="shared" si="7"/>
        <v>0</v>
      </c>
      <c r="J27" s="40">
        <f t="shared" si="7"/>
        <v>0</v>
      </c>
      <c r="K27" s="40">
        <f t="shared" si="7"/>
        <v>0</v>
      </c>
      <c r="L27" s="40">
        <f t="shared" si="7"/>
        <v>0</v>
      </c>
      <c r="M27" s="40">
        <f t="shared" si="7"/>
        <v>0</v>
      </c>
      <c r="N27" s="40">
        <f t="shared" si="7"/>
        <v>0</v>
      </c>
      <c r="O27" s="40">
        <f t="shared" si="7"/>
        <v>0</v>
      </c>
      <c r="P27" s="40">
        <f t="shared" si="7"/>
        <v>0</v>
      </c>
      <c r="Q27" s="40">
        <f t="shared" si="7"/>
        <v>0</v>
      </c>
      <c r="R27" s="40">
        <f t="shared" si="7"/>
        <v>0</v>
      </c>
      <c r="S27" s="40">
        <f t="shared" si="7"/>
        <v>0</v>
      </c>
      <c r="T27" s="40">
        <f t="shared" si="7"/>
        <v>0</v>
      </c>
      <c r="U27" s="40">
        <f t="shared" si="7"/>
        <v>0</v>
      </c>
      <c r="V27" s="40">
        <f t="shared" si="7"/>
        <v>0</v>
      </c>
      <c r="W27" s="40">
        <f t="shared" si="7"/>
        <v>0</v>
      </c>
      <c r="X27" s="40">
        <f t="shared" si="7"/>
        <v>0</v>
      </c>
      <c r="Y27" s="40">
        <f t="shared" si="7"/>
        <v>0</v>
      </c>
      <c r="Z27" s="40">
        <f>Z16/Z$10</f>
        <v>0</v>
      </c>
    </row>
    <row r="28" spans="1:26" s="25" customFormat="1" ht="13.8" x14ac:dyDescent="0.3"/>
    <row r="29" spans="1:26" s="25" customFormat="1" ht="13.8" x14ac:dyDescent="0.3">
      <c r="D29" s="39" t="e">
        <f t="shared" ref="D29:Y32" si="8">(D13-C13)/C13</f>
        <v>#VALUE!</v>
      </c>
      <c r="E29" s="39" t="e">
        <f t="shared" si="8"/>
        <v>#DIV/0!</v>
      </c>
      <c r="F29" s="39" t="e">
        <f t="shared" si="8"/>
        <v>#DIV/0!</v>
      </c>
      <c r="G29" s="39" t="e">
        <f t="shared" si="8"/>
        <v>#DIV/0!</v>
      </c>
      <c r="H29" s="39" t="e">
        <f t="shared" si="8"/>
        <v>#DIV/0!</v>
      </c>
      <c r="I29" s="39" t="e">
        <f t="shared" si="8"/>
        <v>#DIV/0!</v>
      </c>
      <c r="J29" s="39" t="e">
        <f t="shared" si="8"/>
        <v>#DIV/0!</v>
      </c>
      <c r="K29" s="39" t="e">
        <f t="shared" si="8"/>
        <v>#DIV/0!</v>
      </c>
      <c r="L29" s="39" t="e">
        <f t="shared" si="8"/>
        <v>#DIV/0!</v>
      </c>
      <c r="M29" s="39" t="e">
        <f t="shared" si="8"/>
        <v>#DIV/0!</v>
      </c>
      <c r="N29" s="39" t="e">
        <f t="shared" si="8"/>
        <v>#DIV/0!</v>
      </c>
      <c r="O29" s="39" t="e">
        <f t="shared" si="8"/>
        <v>#DIV/0!</v>
      </c>
      <c r="P29" s="39" t="e">
        <f t="shared" si="8"/>
        <v>#DIV/0!</v>
      </c>
      <c r="Q29" s="39" t="e">
        <f t="shared" si="8"/>
        <v>#DIV/0!</v>
      </c>
      <c r="R29" s="39" t="e">
        <f t="shared" si="8"/>
        <v>#DIV/0!</v>
      </c>
      <c r="S29" s="39" t="e">
        <f t="shared" si="8"/>
        <v>#DIV/0!</v>
      </c>
      <c r="T29" s="39" t="e">
        <f t="shared" si="8"/>
        <v>#DIV/0!</v>
      </c>
      <c r="U29" s="39" t="e">
        <f t="shared" si="8"/>
        <v>#DIV/0!</v>
      </c>
      <c r="V29" s="39" t="e">
        <f t="shared" si="8"/>
        <v>#DIV/0!</v>
      </c>
      <c r="W29" s="39" t="e">
        <f t="shared" si="8"/>
        <v>#DIV/0!</v>
      </c>
      <c r="X29" s="39" t="e">
        <f t="shared" si="8"/>
        <v>#DIV/0!</v>
      </c>
      <c r="Y29" s="39" t="e">
        <f t="shared" si="8"/>
        <v>#DIV/0!</v>
      </c>
      <c r="Z29" s="39" t="e">
        <f>(Z13-Y13)/Y13</f>
        <v>#DIV/0!</v>
      </c>
    </row>
    <row r="30" spans="1:26" s="25" customFormat="1" ht="13.8" x14ac:dyDescent="0.3">
      <c r="D30" s="39" t="e">
        <f t="shared" si="8"/>
        <v>#VALUE!</v>
      </c>
      <c r="E30" s="39" t="e">
        <f t="shared" si="8"/>
        <v>#DIV/0!</v>
      </c>
      <c r="F30" s="39" t="e">
        <f t="shared" si="8"/>
        <v>#DIV/0!</v>
      </c>
      <c r="G30" s="39" t="e">
        <f t="shared" si="8"/>
        <v>#DIV/0!</v>
      </c>
      <c r="H30" s="39" t="e">
        <f t="shared" si="8"/>
        <v>#DIV/0!</v>
      </c>
      <c r="I30" s="39" t="e">
        <f t="shared" si="8"/>
        <v>#DIV/0!</v>
      </c>
      <c r="J30" s="39" t="e">
        <f t="shared" si="8"/>
        <v>#DIV/0!</v>
      </c>
      <c r="K30" s="39" t="e">
        <f t="shared" si="8"/>
        <v>#DIV/0!</v>
      </c>
      <c r="L30" s="39" t="e">
        <f t="shared" si="8"/>
        <v>#DIV/0!</v>
      </c>
      <c r="M30" s="39" t="e">
        <f t="shared" si="8"/>
        <v>#DIV/0!</v>
      </c>
      <c r="N30" s="39" t="e">
        <f t="shared" si="8"/>
        <v>#DIV/0!</v>
      </c>
      <c r="O30" s="39" t="e">
        <f t="shared" si="8"/>
        <v>#DIV/0!</v>
      </c>
      <c r="P30" s="39" t="e">
        <f t="shared" si="8"/>
        <v>#DIV/0!</v>
      </c>
      <c r="Q30" s="39" t="e">
        <f t="shared" si="8"/>
        <v>#DIV/0!</v>
      </c>
      <c r="R30" s="39" t="e">
        <f t="shared" si="8"/>
        <v>#DIV/0!</v>
      </c>
      <c r="S30" s="39" t="e">
        <f t="shared" si="8"/>
        <v>#DIV/0!</v>
      </c>
      <c r="T30" s="39" t="e">
        <f t="shared" si="8"/>
        <v>#DIV/0!</v>
      </c>
      <c r="U30" s="39" t="e">
        <f t="shared" si="8"/>
        <v>#DIV/0!</v>
      </c>
      <c r="V30" s="39" t="e">
        <f t="shared" si="8"/>
        <v>#DIV/0!</v>
      </c>
      <c r="W30" s="39" t="e">
        <f t="shared" si="8"/>
        <v>#DIV/0!</v>
      </c>
      <c r="X30" s="39" t="e">
        <f t="shared" si="8"/>
        <v>#DIV/0!</v>
      </c>
      <c r="Y30" s="39" t="e">
        <f t="shared" si="8"/>
        <v>#DIV/0!</v>
      </c>
      <c r="Z30" s="39" t="e">
        <f t="shared" ref="Z30:Z32" si="9">(Z14-Y14)/Y14</f>
        <v>#DIV/0!</v>
      </c>
    </row>
    <row r="31" spans="1:26" s="25" customFormat="1" ht="13.8" x14ac:dyDescent="0.3">
      <c r="D31" s="39" t="e">
        <f t="shared" si="8"/>
        <v>#VALUE!</v>
      </c>
      <c r="E31" s="39">
        <f t="shared" si="8"/>
        <v>0.21121951219512253</v>
      </c>
      <c r="F31" s="39">
        <f t="shared" si="8"/>
        <v>0.43334675795408734</v>
      </c>
      <c r="G31" s="39">
        <f t="shared" si="8"/>
        <v>0.29432424838437793</v>
      </c>
      <c r="H31" s="39">
        <f t="shared" si="8"/>
        <v>6.2411809399761091E-2</v>
      </c>
      <c r="I31" s="39">
        <f t="shared" si="8"/>
        <v>-9.3890478136493663E-2</v>
      </c>
      <c r="J31" s="39">
        <f t="shared" si="8"/>
        <v>0.20329236667042572</v>
      </c>
      <c r="K31" s="39">
        <f t="shared" si="8"/>
        <v>0.41697901049475228</v>
      </c>
      <c r="L31" s="39">
        <f t="shared" si="8"/>
        <v>-0.19666710752545966</v>
      </c>
      <c r="M31" s="39">
        <f t="shared" si="8"/>
        <v>0.27057951926243007</v>
      </c>
      <c r="N31" s="39">
        <f t="shared" si="8"/>
        <v>0.25098801425332012</v>
      </c>
      <c r="O31" s="39">
        <f t="shared" si="8"/>
        <v>6.1111398829563476E-3</v>
      </c>
      <c r="P31" s="39">
        <f t="shared" si="8"/>
        <v>0.24054151438719282</v>
      </c>
      <c r="Q31" s="39">
        <f t="shared" si="8"/>
        <v>0.1743153526970958</v>
      </c>
      <c r="R31" s="39">
        <f t="shared" si="8"/>
        <v>4.3143351825023976E-2</v>
      </c>
      <c r="S31" s="39">
        <f t="shared" si="8"/>
        <v>-0.32226813901497209</v>
      </c>
      <c r="T31" s="39">
        <f t="shared" si="8"/>
        <v>0.10415833666533357</v>
      </c>
      <c r="U31" s="39">
        <f t="shared" si="8"/>
        <v>0.37090349447763893</v>
      </c>
      <c r="V31" s="39">
        <f t="shared" si="8"/>
        <v>-0.12873935151555121</v>
      </c>
      <c r="W31" s="39">
        <f t="shared" si="8"/>
        <v>-0.3153446773032178</v>
      </c>
      <c r="X31" s="39">
        <f t="shared" si="8"/>
        <v>0.29768626148566446</v>
      </c>
      <c r="Y31" s="39">
        <f t="shared" si="8"/>
        <v>-0.21203719501791538</v>
      </c>
      <c r="Z31" s="39">
        <f t="shared" si="9"/>
        <v>0.10166188491311666</v>
      </c>
    </row>
    <row r="32" spans="1:26" s="25" customFormat="1" ht="13.8" x14ac:dyDescent="0.3">
      <c r="D32" s="39" t="e">
        <f t="shared" si="8"/>
        <v>#VALUE!</v>
      </c>
      <c r="E32" s="39" t="e">
        <f t="shared" si="8"/>
        <v>#DIV/0!</v>
      </c>
      <c r="F32" s="39" t="e">
        <f t="shared" si="8"/>
        <v>#DIV/0!</v>
      </c>
      <c r="G32" s="39" t="e">
        <f t="shared" si="8"/>
        <v>#DIV/0!</v>
      </c>
      <c r="H32" s="39" t="e">
        <f t="shared" si="8"/>
        <v>#DIV/0!</v>
      </c>
      <c r="I32" s="39" t="e">
        <f t="shared" si="8"/>
        <v>#DIV/0!</v>
      </c>
      <c r="J32" s="39" t="e">
        <f t="shared" si="8"/>
        <v>#DIV/0!</v>
      </c>
      <c r="K32" s="39" t="e">
        <f t="shared" si="8"/>
        <v>#DIV/0!</v>
      </c>
      <c r="L32" s="39" t="e">
        <f t="shared" si="8"/>
        <v>#DIV/0!</v>
      </c>
      <c r="M32" s="39" t="e">
        <f t="shared" si="8"/>
        <v>#DIV/0!</v>
      </c>
      <c r="N32" s="39" t="e">
        <f t="shared" si="8"/>
        <v>#DIV/0!</v>
      </c>
      <c r="O32" s="39" t="e">
        <f t="shared" si="8"/>
        <v>#DIV/0!</v>
      </c>
      <c r="P32" s="39" t="e">
        <f t="shared" si="8"/>
        <v>#DIV/0!</v>
      </c>
      <c r="Q32" s="39" t="e">
        <f t="shared" si="8"/>
        <v>#DIV/0!</v>
      </c>
      <c r="R32" s="39" t="e">
        <f t="shared" si="8"/>
        <v>#DIV/0!</v>
      </c>
      <c r="S32" s="39" t="e">
        <f t="shared" si="8"/>
        <v>#DIV/0!</v>
      </c>
      <c r="T32" s="39" t="e">
        <f t="shared" si="8"/>
        <v>#DIV/0!</v>
      </c>
      <c r="U32" s="39" t="e">
        <f t="shared" si="8"/>
        <v>#DIV/0!</v>
      </c>
      <c r="V32" s="39" t="e">
        <f t="shared" si="8"/>
        <v>#DIV/0!</v>
      </c>
      <c r="W32" s="39" t="e">
        <f t="shared" si="8"/>
        <v>#DIV/0!</v>
      </c>
      <c r="X32" s="39" t="e">
        <f t="shared" si="8"/>
        <v>#DIV/0!</v>
      </c>
      <c r="Y32" s="39" t="e">
        <f t="shared" si="8"/>
        <v>#DIV/0!</v>
      </c>
      <c r="Z32" s="39" t="e">
        <f t="shared" si="9"/>
        <v>#DIV/0!</v>
      </c>
    </row>
  </sheetData>
  <conditionalFormatting sqref="D22:Z22">
    <cfRule type="cellIs" dxfId="8" priority="3" operator="between">
      <formula>-0.0009</formula>
      <formula>0.0009</formula>
    </cfRule>
  </conditionalFormatting>
  <conditionalFormatting sqref="D25:Z25">
    <cfRule type="colorScale" priority="2">
      <colorScale>
        <cfvo type="min"/>
        <cfvo type="max"/>
        <color rgb="FFFCFCFF"/>
        <color rgb="FF63BE7B"/>
      </colorScale>
    </cfRule>
  </conditionalFormatting>
  <conditionalFormatting sqref="D27:Z27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32"/>
  <sheetViews>
    <sheetView workbookViewId="0">
      <pane xSplit="3" ySplit="2" topLeftCell="D3" activePane="bottomRight" state="frozen"/>
      <selection pane="topRight"/>
      <selection pane="bottomLeft"/>
      <selection pane="bottomRight" activeCell="A25" sqref="A25:XFD32"/>
    </sheetView>
  </sheetViews>
  <sheetFormatPr defaultRowHeight="14.4" x14ac:dyDescent="0.3"/>
  <cols>
    <col min="1" max="1" width="18" customWidth="1"/>
    <col min="2" max="2" width="22" customWidth="1"/>
    <col min="3" max="3" width="9" customWidth="1"/>
    <col min="4" max="26" width="10" customWidth="1"/>
  </cols>
  <sheetData>
    <row r="1" spans="1:26" ht="25.8" x14ac:dyDescent="0.5">
      <c r="A1" s="9" t="s">
        <v>77</v>
      </c>
    </row>
    <row r="2" spans="1:26" x14ac:dyDescent="0.3">
      <c r="A2" s="10" t="s">
        <v>0</v>
      </c>
      <c r="B2" s="10" t="s">
        <v>1</v>
      </c>
      <c r="C2" s="10" t="s">
        <v>53</v>
      </c>
      <c r="D2" s="10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10" t="s">
        <v>23</v>
      </c>
      <c r="J2" s="10" t="s">
        <v>24</v>
      </c>
      <c r="K2" s="10" t="s">
        <v>25</v>
      </c>
      <c r="L2" s="10" t="s">
        <v>26</v>
      </c>
      <c r="M2" s="10" t="s">
        <v>27</v>
      </c>
      <c r="N2" s="10" t="s">
        <v>28</v>
      </c>
      <c r="O2" s="10" t="s">
        <v>29</v>
      </c>
      <c r="P2" s="10" t="s">
        <v>30</v>
      </c>
      <c r="Q2" s="10" t="s">
        <v>31</v>
      </c>
      <c r="R2" s="10" t="s">
        <v>32</v>
      </c>
      <c r="S2" s="10" t="s">
        <v>33</v>
      </c>
      <c r="T2" s="10" t="s">
        <v>34</v>
      </c>
      <c r="U2" s="10" t="s">
        <v>35</v>
      </c>
      <c r="V2" s="10" t="s">
        <v>36</v>
      </c>
      <c r="W2" s="10" t="s">
        <v>37</v>
      </c>
      <c r="X2" s="10" t="s">
        <v>38</v>
      </c>
      <c r="Y2" s="10" t="s">
        <v>39</v>
      </c>
      <c r="Z2" s="10" t="s">
        <v>40</v>
      </c>
    </row>
    <row r="3" spans="1:26" x14ac:dyDescent="0.3">
      <c r="A3" s="11" t="s">
        <v>77</v>
      </c>
      <c r="B3" s="11" t="s">
        <v>17</v>
      </c>
      <c r="C3" s="12" t="s">
        <v>54</v>
      </c>
      <c r="D3" s="13">
        <f>SUMIFS(Wheat_Yr!D:D,Wheat_Yr!$B:$B,"Planted Area")+SUMIFS(Durum_Yr!D:D,Durum_Yr!$B:$B,"Planted Area")+SUMIFS(Barley_Yr!D:D,Barley_Yr!$B:$B,"Planted Area")+SUMIFS(Oats_Yr!D:D,Oats_Yr!$B:$B,"Planted Area")</f>
        <v>43.951699999999995</v>
      </c>
      <c r="E3" s="13">
        <f>SUMIFS(Wheat_Yr!E:E,Wheat_Yr!$B:$B,"Planted Area")+SUMIFS(Durum_Yr!E:E,Durum_Yr!$B:$B,"Planted Area")+SUMIFS(Barley_Yr!E:E,Barley_Yr!$B:$B,"Planted Area")+SUMIFS(Oats_Yr!E:E,Oats_Yr!$B:$B,"Planted Area")</f>
        <v>43.0854</v>
      </c>
      <c r="F3" s="13">
        <f>SUMIFS(Wheat_Yr!F:F,Wheat_Yr!$B:$B,"Planted Area")+SUMIFS(Durum_Yr!F:F,Durum_Yr!$B:$B,"Planted Area")+SUMIFS(Barley_Yr!F:F,Barley_Yr!$B:$B,"Planted Area")+SUMIFS(Oats_Yr!F:F,Oats_Yr!$B:$B,"Planted Area")</f>
        <v>40.135300000000001</v>
      </c>
      <c r="G3" s="13">
        <f>SUMIFS(Wheat_Yr!G:G,Wheat_Yr!$B:$B,"Planted Area")+SUMIFS(Durum_Yr!G:G,Durum_Yr!$B:$B,"Planted Area")+SUMIFS(Barley_Yr!G:G,Barley_Yr!$B:$B,"Planted Area")+SUMIFS(Oats_Yr!G:G,Oats_Yr!$B:$B,"Planted Area")</f>
        <v>38.461199999999998</v>
      </c>
      <c r="H3" s="13">
        <f>SUMIFS(Wheat_Yr!H:H,Wheat_Yr!$B:$B,"Planted Area")+SUMIFS(Durum_Yr!H:H,Durum_Yr!$B:$B,"Planted Area")+SUMIFS(Barley_Yr!H:H,Barley_Yr!$B:$B,"Planted Area")+SUMIFS(Oats_Yr!H:H,Oats_Yr!$B:$B,"Planted Area")</f>
        <v>38.562384000000002</v>
      </c>
      <c r="I3" s="13">
        <f>SUMIFS(Wheat_Yr!I:I,Wheat_Yr!$B:$B,"Planted Area")+SUMIFS(Durum_Yr!I:I,Durum_Yr!$B:$B,"Planted Area")+SUMIFS(Barley_Yr!I:I,Barley_Yr!$B:$B,"Planted Area")+SUMIFS(Oats_Yr!I:I,Oats_Yr!$B:$B,"Planted Area")</f>
        <v>37.825600000000001</v>
      </c>
      <c r="J3" s="13">
        <f>SUMIFS(Wheat_Yr!J:J,Wheat_Yr!$B:$B,"Planted Area")+SUMIFS(Durum_Yr!J:J,Durum_Yr!$B:$B,"Planted Area")+SUMIFS(Barley_Yr!J:J,Barley_Yr!$B:$B,"Planted Area")+SUMIFS(Oats_Yr!J:J,Oats_Yr!$B:$B,"Planted Area")</f>
        <v>38.738100000000003</v>
      </c>
      <c r="K3" s="13">
        <f>SUMIFS(Wheat_Yr!K:K,Wheat_Yr!$B:$B,"Planted Area")+SUMIFS(Durum_Yr!K:K,Durum_Yr!$B:$B,"Planted Area")+SUMIFS(Barley_Yr!K:K,Barley_Yr!$B:$B,"Planted Area")+SUMIFS(Oats_Yr!K:K,Oats_Yr!$B:$B,"Planted Area")</f>
        <v>37.261800000000001</v>
      </c>
      <c r="L3" s="13">
        <f>SUMIFS(Wheat_Yr!L:L,Wheat_Yr!$B:$B,"Planted Area")+SUMIFS(Durum_Yr!L:L,Durum_Yr!$B:$B,"Planted Area")+SUMIFS(Barley_Yr!L:L,Barley_Yr!$B:$B,"Planted Area")+SUMIFS(Oats_Yr!L:L,Oats_Yr!$B:$B,"Planted Area")</f>
        <v>31.038700000000002</v>
      </c>
      <c r="M3" s="13">
        <f>SUMIFS(Wheat_Yr!M:M,Wheat_Yr!$B:$B,"Planted Area")+SUMIFS(Durum_Yr!M:M,Durum_Yr!$B:$B,"Planted Area")+SUMIFS(Barley_Yr!M:M,Barley_Yr!$B:$B,"Planted Area")+SUMIFS(Oats_Yr!M:M,Oats_Yr!$B:$B,"Planted Area")</f>
        <v>31.396076000000001</v>
      </c>
      <c r="N3" s="13">
        <f>SUMIFS(Wheat_Yr!N:N,Wheat_Yr!$B:$B,"Planted Area")+SUMIFS(Durum_Yr!N:N,Durum_Yr!$B:$B,"Planted Area")+SUMIFS(Barley_Yr!N:N,Barley_Yr!$B:$B,"Planted Area")+SUMIFS(Oats_Yr!N:N,Oats_Yr!$B:$B,"Planted Area")</f>
        <v>34.090399999999995</v>
      </c>
      <c r="O3" s="13">
        <f>SUMIFS(Wheat_Yr!O:O,Wheat_Yr!$B:$B,"Planted Area")+SUMIFS(Durum_Yr!O:O,Durum_Yr!$B:$B,"Planted Area")+SUMIFS(Barley_Yr!O:O,Barley_Yr!$B:$B,"Planted Area")+SUMIFS(Oats_Yr!O:O,Oats_Yr!$B:$B,"Planted Area")</f>
        <v>36.697499999999998</v>
      </c>
      <c r="P3" s="13">
        <f>SUMIFS(Wheat_Yr!P:P,Wheat_Yr!$B:$B,"Planted Area")+SUMIFS(Durum_Yr!P:P,Durum_Yr!$B:$B,"Planted Area")+SUMIFS(Barley_Yr!P:P,Barley_Yr!$B:$B,"Planted Area")+SUMIFS(Oats_Yr!P:P,Oats_Yr!$B:$B,"Planted Area")</f>
        <v>33.256399999999999</v>
      </c>
      <c r="Q3" s="13">
        <f>SUMIFS(Wheat_Yr!Q:Q,Wheat_Yr!$B:$B,"Planted Area")+SUMIFS(Durum_Yr!Q:Q,Durum_Yr!$B:$B,"Planted Area")+SUMIFS(Barley_Yr!Q:Q,Barley_Yr!$B:$B,"Planted Area")+SUMIFS(Oats_Yr!Q:Q,Oats_Yr!$B:$B,"Planted Area")</f>
        <v>34.217500000000001</v>
      </c>
      <c r="R3" s="13">
        <f>SUMIFS(Wheat_Yr!R:R,Wheat_Yr!$B:$B,"Planted Area")+SUMIFS(Durum_Yr!R:R,Durum_Yr!$B:$B,"Planted Area")+SUMIFS(Barley_Yr!R:R,Barley_Yr!$B:$B,"Planted Area")+SUMIFS(Oats_Yr!R:R,Oats_Yr!$B:$B,"Planted Area")</f>
        <v>33.503878</v>
      </c>
      <c r="S3" s="13">
        <f>SUMIFS(Wheat_Yr!S:S,Wheat_Yr!$B:$B,"Planted Area")+SUMIFS(Durum_Yr!S:S,Durum_Yr!$B:$B,"Planted Area")+SUMIFS(Barley_Yr!S:S,Barley_Yr!$B:$B,"Planted Area")+SUMIFS(Oats_Yr!S:S,Oats_Yr!$B:$B,"Planted Area")</f>
        <v>31.517599999999995</v>
      </c>
      <c r="T3" s="13">
        <f>SUMIFS(Wheat_Yr!T:T,Wheat_Yr!$B:$B,"Planted Area")+SUMIFS(Durum_Yr!T:T,Durum_Yr!$B:$B,"Planted Area")+SUMIFS(Barley_Yr!T:T,Barley_Yr!$B:$B,"Planted Area")+SUMIFS(Oats_Yr!T:T,Oats_Yr!$B:$B,"Planted Area")</f>
        <v>34.437899999999999</v>
      </c>
      <c r="U3" s="13">
        <f>SUMIFS(Wheat_Yr!U:U,Wheat_Yr!$B:$B,"Planted Area")+SUMIFS(Durum_Yr!U:U,Durum_Yr!$B:$B,"Planted Area")+SUMIFS(Barley_Yr!U:U,Barley_Yr!$B:$B,"Planted Area")+SUMIFS(Oats_Yr!U:U,Oats_Yr!$B:$B,"Planted Area")</f>
        <v>36.019099999999995</v>
      </c>
      <c r="V3" s="13">
        <f>SUMIFS(Wheat_Yr!V:V,Wheat_Yr!$B:$B,"Planted Area")+SUMIFS(Durum_Yr!V:V,Durum_Yr!$B:$B,"Planted Area")+SUMIFS(Barley_Yr!V:V,Barley_Yr!$B:$B,"Planted Area")+SUMIFS(Oats_Yr!V:V,Oats_Yr!$B:$B,"Planted Area")</f>
        <v>36.589900000000007</v>
      </c>
      <c r="W3" s="13">
        <f>SUMIFS(Wheat_Yr!W:W,Wheat_Yr!$B:$B,"Planted Area")+SUMIFS(Durum_Yr!W:W,Durum_Yr!$B:$B,"Planted Area")+SUMIFS(Barley_Yr!W:W,Barley_Yr!$B:$B,"Planted Area")+SUMIFS(Oats_Yr!W:W,Oats_Yr!$B:$B,"Planted Area")</f>
        <v>35.488484999999997</v>
      </c>
      <c r="X3" s="13">
        <f>SUMIFS(Wheat_Yr!X:X,Wheat_Yr!$B:$B,"Planted Area")+SUMIFS(Durum_Yr!X:X,Durum_Yr!$B:$B,"Planted Area")+SUMIFS(Barley_Yr!X:X,Barley_Yr!$B:$B,"Planted Area")+SUMIFS(Oats_Yr!X:X,Oats_Yr!$B:$B,"Planted Area")</f>
        <v>36.407000000000004</v>
      </c>
      <c r="Y3" s="13">
        <f>SUMIFS(Wheat_Yr!Y:Y,Wheat_Yr!$B:$B,"Planted Area")+SUMIFS(Durum_Yr!Y:Y,Durum_Yr!$B:$B,"Planted Area")+SUMIFS(Barley_Yr!Y:Y,Barley_Yr!$B:$B,"Planted Area")+SUMIFS(Oats_Yr!Y:Y,Oats_Yr!$B:$B,"Planted Area")</f>
        <v>36.916199999999996</v>
      </c>
      <c r="Z3" s="13">
        <f>SUMIFS(Wheat_Yr!Z:Z,Wheat_Yr!$B:$B,"Planted Area")+SUMIFS(Durum_Yr!Z:Z,Durum_Yr!$B:$B,"Planted Area")+SUMIFS(Barley_Yr!Z:Z,Barley_Yr!$B:$B,"Planted Area")+SUMIFS(Oats_Yr!Z:Z,Oats_Yr!$B:$B,"Planted Area")</f>
        <v>36.078800000000001</v>
      </c>
    </row>
    <row r="4" spans="1:26" x14ac:dyDescent="0.3">
      <c r="A4" s="11" t="s">
        <v>77</v>
      </c>
      <c r="B4" s="11" t="s">
        <v>41</v>
      </c>
      <c r="C4" s="12" t="s">
        <v>54</v>
      </c>
      <c r="D4" s="13">
        <f>SUMIFS(Wheat_Yr!D:D,Wheat_Yr!$B:$B,"Harvested Area")+SUMIFS(Durum_Yr!D:D,Durum_Yr!$B:$B,"Harvested Area")+SUMIFS(Barley_Yr!D:D,Barley_Yr!$B:$B,"Harvested Area")+SUMIFS(Oats_Yr!D:D,Oats_Yr!$B:$B,"Harvested Area")</f>
        <v>33.189900000000002</v>
      </c>
      <c r="E4" s="13">
        <f>SUMIFS(Wheat_Yr!E:E,Wheat_Yr!$B:$B,"Harvested Area")+SUMIFS(Durum_Yr!E:E,Durum_Yr!$B:$B,"Harvested Area")+SUMIFS(Barley_Yr!E:E,Barley_Yr!$B:$B,"Harvested Area")+SUMIFS(Oats_Yr!E:E,Oats_Yr!$B:$B,"Harvested Area")</f>
        <v>39.603000000000002</v>
      </c>
      <c r="F4" s="13">
        <f>SUMIFS(Wheat_Yr!F:F,Wheat_Yr!$B:$B,"Harvested Area")+SUMIFS(Durum_Yr!F:F,Durum_Yr!$B:$B,"Harvested Area")+SUMIFS(Barley_Yr!F:F,Barley_Yr!$B:$B,"Harvested Area")+SUMIFS(Oats_Yr!F:F,Oats_Yr!$B:$B,"Harvested Area")</f>
        <v>35.741799999999998</v>
      </c>
      <c r="G4" s="13">
        <f>SUMIFS(Wheat_Yr!G:G,Wheat_Yr!$B:$B,"Harvested Area")+SUMIFS(Durum_Yr!G:G,Durum_Yr!$B:$B,"Harvested Area")+SUMIFS(Barley_Yr!G:G,Barley_Yr!$B:$B,"Harvested Area")+SUMIFS(Oats_Yr!G:G,Oats_Yr!$B:$B,"Harvested Area")</f>
        <v>35.358499999999999</v>
      </c>
      <c r="H4" s="13">
        <f>SUMIFS(Wheat_Yr!H:H,Wheat_Yr!$B:$B,"Harvested Area")+SUMIFS(Durum_Yr!H:H,Durum_Yr!$B:$B,"Harvested Area")+SUMIFS(Barley_Yr!H:H,Barley_Yr!$B:$B,"Harvested Area")+SUMIFS(Oats_Yr!H:H,Oats_Yr!$B:$B,"Harvested Area")</f>
        <v>35.686</v>
      </c>
      <c r="I4" s="13">
        <f>SUMIFS(Wheat_Yr!I:I,Wheat_Yr!$B:$B,"Harvested Area")+SUMIFS(Durum_Yr!I:I,Durum_Yr!$B:$B,"Harvested Area")+SUMIFS(Barley_Yr!I:I,Barley_Yr!$B:$B,"Harvested Area")+SUMIFS(Oats_Yr!I:I,Oats_Yr!$B:$B,"Harvested Area")</f>
        <v>35.491499999999995</v>
      </c>
      <c r="J4" s="13">
        <f>SUMIFS(Wheat_Yr!J:J,Wheat_Yr!$B:$B,"Harvested Area")+SUMIFS(Durum_Yr!J:J,Durum_Yr!$B:$B,"Harvested Area")+SUMIFS(Barley_Yr!J:J,Barley_Yr!$B:$B,"Harvested Area")+SUMIFS(Oats_Yr!J:J,Oats_Yr!$B:$B,"Harvested Area")</f>
        <v>36.985699999999994</v>
      </c>
      <c r="K4" s="13">
        <f>SUMIFS(Wheat_Yr!K:K,Wheat_Yr!$B:$B,"Harvested Area")+SUMIFS(Durum_Yr!K:K,Durum_Yr!$B:$B,"Harvested Area")+SUMIFS(Barley_Yr!K:K,Barley_Yr!$B:$B,"Harvested Area")+SUMIFS(Oats_Yr!K:K,Oats_Yr!$B:$B,"Harvested Area")</f>
        <v>33.519099999999995</v>
      </c>
      <c r="L4" s="13">
        <f>SUMIFS(Wheat_Yr!L:L,Wheat_Yr!$B:$B,"Harvested Area")+SUMIFS(Durum_Yr!L:L,Durum_Yr!$B:$B,"Harvested Area")+SUMIFS(Barley_Yr!L:L,Barley_Yr!$B:$B,"Harvested Area")+SUMIFS(Oats_Yr!L:L,Oats_Yr!$B:$B,"Harvested Area")</f>
        <v>28.620399999999997</v>
      </c>
      <c r="M4" s="13">
        <f>SUMIFS(Wheat_Yr!M:M,Wheat_Yr!$B:$B,"Harvested Area")+SUMIFS(Durum_Yr!M:M,Durum_Yr!$B:$B,"Harvested Area")+SUMIFS(Barley_Yr!M:M,Barley_Yr!$B:$B,"Harvested Area")+SUMIFS(Oats_Yr!M:M,Oats_Yr!$B:$B,"Harvested Area")</f>
        <v>29.7456</v>
      </c>
      <c r="N4" s="13">
        <f>SUMIFS(Wheat_Yr!N:N,Wheat_Yr!$B:$B,"Harvested Area")+SUMIFS(Durum_Yr!N:N,Durum_Yr!$B:$B,"Harvested Area")+SUMIFS(Barley_Yr!N:N,Barley_Yr!$B:$B,"Harvested Area")+SUMIFS(Oats_Yr!N:N,Oats_Yr!$B:$B,"Harvested Area")</f>
        <v>32.739100000000001</v>
      </c>
      <c r="O4" s="13">
        <f>SUMIFS(Wheat_Yr!O:O,Wheat_Yr!$B:$B,"Harvested Area")+SUMIFS(Durum_Yr!O:O,Durum_Yr!$B:$B,"Harvested Area")+SUMIFS(Barley_Yr!O:O,Barley_Yr!$B:$B,"Harvested Area")+SUMIFS(Oats_Yr!O:O,Oats_Yr!$B:$B,"Harvested Area")</f>
        <v>35.245600000000003</v>
      </c>
      <c r="P4" s="13">
        <f>SUMIFS(Wheat_Yr!P:P,Wheat_Yr!$B:$B,"Harvested Area")+SUMIFS(Durum_Yr!P:P,Durum_Yr!$B:$B,"Harvested Area")+SUMIFS(Barley_Yr!P:P,Barley_Yr!$B:$B,"Harvested Area")+SUMIFS(Oats_Yr!P:P,Oats_Yr!$B:$B,"Harvested Area")</f>
        <v>31.2819</v>
      </c>
      <c r="Q4" s="13">
        <f>SUMIFS(Wheat_Yr!Q:Q,Wheat_Yr!$B:$B,"Harvested Area")+SUMIFS(Durum_Yr!Q:Q,Durum_Yr!$B:$B,"Harvested Area")+SUMIFS(Barley_Yr!Q:Q,Barley_Yr!$B:$B,"Harvested Area")+SUMIFS(Oats_Yr!Q:Q,Oats_Yr!$B:$B,"Harvested Area")</f>
        <v>32.0229</v>
      </c>
      <c r="R4" s="13">
        <f>SUMIFS(Wheat_Yr!R:R,Wheat_Yr!$B:$B,"Harvested Area")+SUMIFS(Durum_Yr!R:R,Durum_Yr!$B:$B,"Harvested Area")+SUMIFS(Barley_Yr!R:R,Barley_Yr!$B:$B,"Harvested Area")+SUMIFS(Oats_Yr!R:R,Oats_Yr!$B:$B,"Harvested Area")</f>
        <v>30.064300000000003</v>
      </c>
      <c r="S4" s="13">
        <f>SUMIFS(Wheat_Yr!S:S,Wheat_Yr!$B:$B,"Harvested Area")+SUMIFS(Durum_Yr!S:S,Durum_Yr!$B:$B,"Harvested Area")+SUMIFS(Barley_Yr!S:S,Barley_Yr!$B:$B,"Harvested Area")+SUMIFS(Oats_Yr!S:S,Oats_Yr!$B:$B,"Harvested Area")</f>
        <v>30.020099999999999</v>
      </c>
      <c r="T4" s="13">
        <f>SUMIFS(Wheat_Yr!T:T,Wheat_Yr!$B:$B,"Harvested Area")+SUMIFS(Durum_Yr!T:T,Durum_Yr!$B:$B,"Harvested Area")+SUMIFS(Barley_Yr!T:T,Barley_Yr!$B:$B,"Harvested Area")+SUMIFS(Oats_Yr!T:T,Oats_Yr!$B:$B,"Harvested Area")</f>
        <v>32.8185</v>
      </c>
      <c r="U4" s="13">
        <f>SUMIFS(Wheat_Yr!U:U,Wheat_Yr!$B:$B,"Harvested Area")+SUMIFS(Durum_Yr!U:U,Durum_Yr!$B:$B,"Harvested Area")+SUMIFS(Barley_Yr!U:U,Barley_Yr!$B:$B,"Harvested Area")+SUMIFS(Oats_Yr!U:U,Oats_Yr!$B:$B,"Harvested Area")</f>
        <v>33.483200000000004</v>
      </c>
      <c r="V4" s="13">
        <f>SUMIFS(Wheat_Yr!V:V,Wheat_Yr!$B:$B,"Harvested Area")+SUMIFS(Durum_Yr!V:V,Durum_Yr!$B:$B,"Harvested Area")+SUMIFS(Barley_Yr!V:V,Barley_Yr!$B:$B,"Harvested Area")+SUMIFS(Oats_Yr!V:V,Oats_Yr!$B:$B,"Harvested Area")</f>
        <v>34.943100000000001</v>
      </c>
      <c r="W4" s="13">
        <f>SUMIFS(Wheat_Yr!W:W,Wheat_Yr!$B:$B,"Harvested Area")+SUMIFS(Durum_Yr!W:W,Durum_Yr!$B:$B,"Harvested Area")+SUMIFS(Barley_Yr!W:W,Barley_Yr!$B:$B,"Harvested Area")+SUMIFS(Oats_Yr!W:W,Oats_Yr!$B:$B,"Harvested Area")</f>
        <v>33.170655000000004</v>
      </c>
      <c r="X4" s="13">
        <f>SUMIFS(Wheat_Yr!X:X,Wheat_Yr!$B:$B,"Harvested Area")+SUMIFS(Durum_Yr!X:X,Durum_Yr!$B:$B,"Harvested Area")+SUMIFS(Barley_Yr!X:X,Barley_Yr!$B:$B,"Harvested Area")+SUMIFS(Oats_Yr!X:X,Oats_Yr!$B:$B,"Harvested Area")</f>
        <v>34.962000000000003</v>
      </c>
      <c r="Y4" s="13">
        <f>SUMIFS(Wheat_Yr!Y:Y,Wheat_Yr!$B:$B,"Harvested Area")+SUMIFS(Durum_Yr!Y:Y,Durum_Yr!$B:$B,"Harvested Area")+SUMIFS(Barley_Yr!Y:Y,Barley_Yr!$B:$B,"Harvested Area")+SUMIFS(Oats_Yr!Y:Y,Oats_Yr!$B:$B,"Harvested Area")</f>
        <v>35.181800000000003</v>
      </c>
      <c r="Z4" s="13">
        <f>SUMIFS(Wheat_Yr!Z:Z,Wheat_Yr!$B:$B,"Harvested Area")+SUMIFS(Durum_Yr!Z:Z,Durum_Yr!$B:$B,"Harvested Area")+SUMIFS(Barley_Yr!Z:Z,Barley_Yr!$B:$B,"Harvested Area")+SUMIFS(Oats_Yr!Z:Z,Oats_Yr!$B:$B,"Harvested Area")</f>
        <v>34.691099999999992</v>
      </c>
    </row>
    <row r="5" spans="1:26" x14ac:dyDescent="0.3">
      <c r="A5" s="11" t="s">
        <v>77</v>
      </c>
      <c r="B5" s="11" t="s">
        <v>55</v>
      </c>
      <c r="C5" s="12" t="s">
        <v>56</v>
      </c>
      <c r="D5" s="14">
        <f t="shared" ref="D5:Z5" si="0">IF(D3&lt;&gt;0,D4/D3,"")</f>
        <v>0.75514485219001781</v>
      </c>
      <c r="E5" s="14">
        <f t="shared" si="0"/>
        <v>0.91917447673689934</v>
      </c>
      <c r="F5" s="14">
        <f t="shared" si="0"/>
        <v>0.89053277289568034</v>
      </c>
      <c r="G5" s="14">
        <f t="shared" si="0"/>
        <v>0.91932909009599284</v>
      </c>
      <c r="H5" s="14">
        <f t="shared" si="0"/>
        <v>0.92540959085932029</v>
      </c>
      <c r="I5" s="14">
        <f t="shared" si="0"/>
        <v>0.93829311365847456</v>
      </c>
      <c r="J5" s="14">
        <f t="shared" si="0"/>
        <v>0.95476288202054282</v>
      </c>
      <c r="K5" s="14">
        <f t="shared" si="0"/>
        <v>0.89955665051071054</v>
      </c>
      <c r="L5" s="14">
        <f t="shared" si="0"/>
        <v>0.92208758743117447</v>
      </c>
      <c r="M5" s="14">
        <f t="shared" si="0"/>
        <v>0.94743050055045097</v>
      </c>
      <c r="N5" s="14">
        <f t="shared" si="0"/>
        <v>0.96036127472836941</v>
      </c>
      <c r="O5" s="14">
        <f t="shared" si="0"/>
        <v>0.96043599700252069</v>
      </c>
      <c r="P5" s="14">
        <f t="shared" si="0"/>
        <v>0.94062796935326742</v>
      </c>
      <c r="Q5" s="14">
        <f t="shared" si="0"/>
        <v>0.93586322788047049</v>
      </c>
      <c r="R5" s="14">
        <f t="shared" si="0"/>
        <v>0.89733791413638753</v>
      </c>
      <c r="S5" s="14">
        <f t="shared" si="0"/>
        <v>0.95248686448206732</v>
      </c>
      <c r="T5" s="14">
        <f t="shared" si="0"/>
        <v>0.95297622677340954</v>
      </c>
      <c r="U5" s="14">
        <f t="shared" si="0"/>
        <v>0.92959568673287252</v>
      </c>
      <c r="V5" s="14">
        <f t="shared" si="0"/>
        <v>0.95499304452868128</v>
      </c>
      <c r="W5" s="14">
        <f t="shared" si="0"/>
        <v>0.93468782902397796</v>
      </c>
      <c r="X5" s="14">
        <f t="shared" si="0"/>
        <v>0.9603098305270964</v>
      </c>
      <c r="Y5" s="14">
        <f t="shared" si="0"/>
        <v>0.95301791625356902</v>
      </c>
      <c r="Z5" s="14">
        <f t="shared" si="0"/>
        <v>0.96153696907879393</v>
      </c>
    </row>
    <row r="6" spans="1:26" x14ac:dyDescent="0.3">
      <c r="A6" s="11" t="s">
        <v>77</v>
      </c>
      <c r="B6" s="11" t="s">
        <v>42</v>
      </c>
      <c r="C6" s="12" t="s">
        <v>78</v>
      </c>
      <c r="D6" s="23">
        <f t="shared" ref="D6:Z6" si="1">IF(D4&lt;&gt;0,D10/(D4*1000),"")</f>
        <v>0.79360588612800886</v>
      </c>
      <c r="E6" s="23">
        <f t="shared" si="1"/>
        <v>0.97440850440623183</v>
      </c>
      <c r="F6" s="23">
        <f t="shared" si="1"/>
        <v>1.1420633543917766</v>
      </c>
      <c r="G6" s="23">
        <f t="shared" si="1"/>
        <v>1.1513044953830054</v>
      </c>
      <c r="H6" s="23">
        <f t="shared" si="1"/>
        <v>1.0841982850417531</v>
      </c>
      <c r="I6" s="23">
        <f t="shared" si="1"/>
        <v>1.0035811391459928</v>
      </c>
      <c r="J6" s="23">
        <f t="shared" si="1"/>
        <v>1.2079695666162868</v>
      </c>
      <c r="K6" s="23">
        <f t="shared" si="1"/>
        <v>1.1751389506281498</v>
      </c>
      <c r="L6" s="23">
        <f t="shared" si="1"/>
        <v>1.1662380679515314</v>
      </c>
      <c r="M6" s="23">
        <f t="shared" si="1"/>
        <v>1.2215957990425474</v>
      </c>
      <c r="N6" s="23">
        <f t="shared" si="1"/>
        <v>1.1633765130990161</v>
      </c>
      <c r="O6" s="23">
        <f t="shared" si="1"/>
        <v>1.4696387634201145</v>
      </c>
      <c r="P6" s="23">
        <f t="shared" si="1"/>
        <v>1.2638522596133868</v>
      </c>
      <c r="Q6" s="23">
        <f t="shared" si="1"/>
        <v>1.2281523534720464</v>
      </c>
      <c r="R6" s="23">
        <f t="shared" si="1"/>
        <v>1.4705314941641745</v>
      </c>
      <c r="S6" s="23">
        <f t="shared" si="1"/>
        <v>1.3991159256631391</v>
      </c>
      <c r="T6" s="23">
        <f t="shared" si="1"/>
        <v>1.3458140987552751</v>
      </c>
      <c r="U6" s="23">
        <f t="shared" si="1"/>
        <v>1.4120424571128207</v>
      </c>
      <c r="V6" s="23">
        <f t="shared" si="1"/>
        <v>1.4524641488591452</v>
      </c>
      <c r="W6" s="23">
        <f t="shared" si="1"/>
        <v>0.97389394330621426</v>
      </c>
      <c r="X6" s="23">
        <f t="shared" si="1"/>
        <v>1.4327555631828843</v>
      </c>
      <c r="Y6" s="23">
        <f t="shared" si="1"/>
        <v>1.2779931669215332</v>
      </c>
      <c r="Z6" s="23">
        <f t="shared" si="1"/>
        <v>1.3675063633035567</v>
      </c>
    </row>
    <row r="8" spans="1:26" x14ac:dyDescent="0.3">
      <c r="A8" s="11" t="s">
        <v>77</v>
      </c>
      <c r="B8" s="11" t="s">
        <v>58</v>
      </c>
      <c r="C8" s="12" t="s">
        <v>59</v>
      </c>
      <c r="D8" s="16">
        <f>SUMIFS(Wheat_Yr!D:D,Wheat_Yr!$B:$B,"Beginning Stocks")+SUMIFS(Durum_Yr!D:D,Durum_Yr!$B:$B,"Beginning Stocks")+SUMIFS(Barley_Yr!D:D,Barley_Yr!$B:$B,"Beginning Stocks")+SUMIFS(Oats_Yr!D:D,Oats_Yr!$B:$B,"Beginning Stocks")</f>
        <v>9139.7000000000044</v>
      </c>
      <c r="E8" s="16">
        <f>SUMIFS(Wheat_Yr!E:E,Wheat_Yr!$B:$B,"Beginning Stocks")+SUMIFS(Durum_Yr!E:E,Durum_Yr!$B:$B,"Beginning Stocks")+SUMIFS(Barley_Yr!E:E,Barley_Yr!$B:$B,"Beginning Stocks")+SUMIFS(Oats_Yr!E:E,Oats_Yr!$B:$B,"Beginning Stocks")</f>
        <v>7713.8000000000075</v>
      </c>
      <c r="F8" s="16">
        <f>SUMIFS(Wheat_Yr!F:F,Wheat_Yr!$B:$B,"Beginning Stocks")+SUMIFS(Durum_Yr!F:F,Durum_Yr!$B:$B,"Beginning Stocks")+SUMIFS(Barley_Yr!F:F,Barley_Yr!$B:$B,"Beginning Stocks")+SUMIFS(Oats_Yr!F:F,Oats_Yr!$B:$B,"Beginning Stocks")</f>
        <v>8875.3000000000102</v>
      </c>
      <c r="G8" s="16">
        <f>SUMIFS(Wheat_Yr!G:G,Wheat_Yr!$B:$B,"Beginning Stocks")+SUMIFS(Durum_Yr!G:G,Durum_Yr!$B:$B,"Beginning Stocks")+SUMIFS(Barley_Yr!G:G,Barley_Yr!$B:$B,"Beginning Stocks")+SUMIFS(Oats_Yr!G:G,Oats_Yr!$B:$B,"Beginning Stocks")</f>
        <v>12331.500000000009</v>
      </c>
      <c r="H8" s="16">
        <f>SUMIFS(Wheat_Yr!H:H,Wheat_Yr!$B:$B,"Beginning Stocks")+SUMIFS(Durum_Yr!H:H,Durum_Yr!$B:$B,"Beginning Stocks")+SUMIFS(Barley_Yr!H:H,Barley_Yr!$B:$B,"Beginning Stocks")+SUMIFS(Oats_Yr!H:H,Oats_Yr!$B:$B,"Beginning Stocks")</f>
        <v>13857.900000000016</v>
      </c>
      <c r="I8" s="16">
        <f>SUMIFS(Wheat_Yr!I:I,Wheat_Yr!$B:$B,"Beginning Stocks")+SUMIFS(Durum_Yr!I:I,Durum_Yr!$B:$B,"Beginning Stocks")+SUMIFS(Barley_Yr!I:I,Barley_Yr!$B:$B,"Beginning Stocks")+SUMIFS(Oats_Yr!I:I,Oats_Yr!$B:$B,"Beginning Stocks")</f>
        <v>8911.9000000000124</v>
      </c>
      <c r="J8" s="16">
        <f>SUMIFS(Wheat_Yr!J:J,Wheat_Yr!$B:$B,"Beginning Stocks")+SUMIFS(Durum_Yr!J:J,Durum_Yr!$B:$B,"Beginning Stocks")+SUMIFS(Barley_Yr!J:J,Barley_Yr!$B:$B,"Beginning Stocks")+SUMIFS(Oats_Yr!J:J,Oats_Yr!$B:$B,"Beginning Stocks")</f>
        <v>6884.00000000001</v>
      </c>
      <c r="K8" s="16">
        <f>SUMIFS(Wheat_Yr!K:K,Wheat_Yr!$B:$B,"Beginning Stocks")+SUMIFS(Durum_Yr!K:K,Durum_Yr!$B:$B,"Beginning Stocks")+SUMIFS(Barley_Yr!K:K,Barley_Yr!$B:$B,"Beginning Stocks")+SUMIFS(Oats_Yr!K:K,Oats_Yr!$B:$B,"Beginning Stocks")</f>
        <v>11135.600000000008</v>
      </c>
      <c r="L8" s="16">
        <f>SUMIFS(Wheat_Yr!L:L,Wheat_Yr!$B:$B,"Beginning Stocks")+SUMIFS(Durum_Yr!L:L,Durum_Yr!$B:$B,"Beginning Stocks")+SUMIFS(Barley_Yr!L:L,Barley_Yr!$B:$B,"Beginning Stocks")+SUMIFS(Oats_Yr!L:L,Oats_Yr!$B:$B,"Beginning Stocks")</f>
        <v>11406.30000000001</v>
      </c>
      <c r="M8" s="16">
        <f>SUMIFS(Wheat_Yr!M:M,Wheat_Yr!$B:$B,"Beginning Stocks")+SUMIFS(Durum_Yr!M:M,Durum_Yr!$B:$B,"Beginning Stocks")+SUMIFS(Barley_Yr!M:M,Barley_Yr!$B:$B,"Beginning Stocks")+SUMIFS(Oats_Yr!M:M,Oats_Yr!$B:$B,"Beginning Stocks")</f>
        <v>9594.2000000000116</v>
      </c>
      <c r="N8" s="16">
        <f>SUMIFS(Wheat_Yr!N:N,Wheat_Yr!$B:$B,"Beginning Stocks")+SUMIFS(Durum_Yr!N:N,Durum_Yr!$B:$B,"Beginning Stocks")+SUMIFS(Barley_Yr!N:N,Barley_Yr!$B:$B,"Beginning Stocks")+SUMIFS(Oats_Yr!N:N,Oats_Yr!$B:$B,"Beginning Stocks")</f>
        <v>7931.9000000000069</v>
      </c>
      <c r="O8" s="16">
        <f>SUMIFS(Wheat_Yr!O:O,Wheat_Yr!$B:$B,"Beginning Stocks")+SUMIFS(Durum_Yr!O:O,Durum_Yr!$B:$B,"Beginning Stocks")+SUMIFS(Barley_Yr!O:O,Barley_Yr!$B:$B,"Beginning Stocks")+SUMIFS(Oats_Yr!O:O,Oats_Yr!$B:$B,"Beginning Stocks")</f>
        <v>6541.4000000000005</v>
      </c>
      <c r="P8" s="16">
        <f>SUMIFS(Wheat_Yr!P:P,Wheat_Yr!$B:$B,"Beginning Stocks")+SUMIFS(Durum_Yr!P:P,Durum_Yr!$B:$B,"Beginning Stocks")+SUMIFS(Barley_Yr!P:P,Barley_Yr!$B:$B,"Beginning Stocks")+SUMIFS(Oats_Yr!P:P,Oats_Yr!$B:$B,"Beginning Stocks")</f>
        <v>13408.500000000005</v>
      </c>
      <c r="Q8" s="16">
        <f>SUMIFS(Wheat_Yr!Q:Q,Wheat_Yr!$B:$B,"Beginning Stocks")+SUMIFS(Durum_Yr!Q:Q,Durum_Yr!$B:$B,"Beginning Stocks")+SUMIFS(Barley_Yr!Q:Q,Barley_Yr!$B:$B,"Beginning Stocks")+SUMIFS(Oats_Yr!Q:Q,Oats_Yr!$B:$B,"Beginning Stocks")</f>
        <v>9018.8000000000029</v>
      </c>
      <c r="R8" s="16">
        <f>SUMIFS(Wheat_Yr!R:R,Wheat_Yr!$B:$B,"Beginning Stocks")+SUMIFS(Durum_Yr!R:R,Durum_Yr!$B:$B,"Beginning Stocks")+SUMIFS(Barley_Yr!R:R,Barley_Yr!$B:$B,"Beginning Stocks")+SUMIFS(Oats_Yr!R:R,Oats_Yr!$B:$B,"Beginning Stocks")</f>
        <v>7588.0000000000045</v>
      </c>
      <c r="S8" s="16">
        <f>SUMIFS(Wheat_Yr!S:S,Wheat_Yr!$B:$B,"Beginning Stocks")+SUMIFS(Durum_Yr!S:S,Durum_Yr!$B:$B,"Beginning Stocks")+SUMIFS(Barley_Yr!S:S,Barley_Yr!$B:$B,"Beginning Stocks")+SUMIFS(Oats_Yr!S:S,Oats_Yr!$B:$B,"Beginning Stocks")</f>
        <v>9756.5000000000055</v>
      </c>
      <c r="T8" s="16">
        <f>SUMIFS(Wheat_Yr!T:T,Wheat_Yr!$B:$B,"Beginning Stocks")+SUMIFS(Durum_Yr!T:T,Durum_Yr!$B:$B,"Beginning Stocks")+SUMIFS(Barley_Yr!T:T,Barley_Yr!$B:$B,"Beginning Stocks")+SUMIFS(Oats_Yr!T:T,Oats_Yr!$B:$B,"Beginning Stocks")</f>
        <v>8754.7000000000007</v>
      </c>
      <c r="U8" s="16">
        <f>SUMIFS(Wheat_Yr!U:U,Wheat_Yr!$B:$B,"Beginning Stocks")+SUMIFS(Durum_Yr!U:U,Durum_Yr!$B:$B,"Beginning Stocks")+SUMIFS(Barley_Yr!U:U,Barley_Yr!$B:$B,"Beginning Stocks")+SUMIFS(Oats_Yr!U:U,Oats_Yr!$B:$B,"Beginning Stocks")</f>
        <v>7300.5000000000045</v>
      </c>
      <c r="V8" s="16">
        <f>SUMIFS(Wheat_Yr!V:V,Wheat_Yr!$B:$B,"Beginning Stocks")+SUMIFS(Durum_Yr!V:V,Durum_Yr!$B:$B,"Beginning Stocks")+SUMIFS(Barley_Yr!V:V,Barley_Yr!$B:$B,"Beginning Stocks")+SUMIFS(Oats_Yr!V:V,Oats_Yr!$B:$B,"Beginning Stocks")</f>
        <v>6881.299999999992</v>
      </c>
      <c r="W8" s="16">
        <f>SUMIFS(Wheat_Yr!W:W,Wheat_Yr!$B:$B,"Beginning Stocks")+SUMIFS(Durum_Yr!W:W,Durum_Yr!$B:$B,"Beginning Stocks")+SUMIFS(Barley_Yr!W:W,Barley_Yr!$B:$B,"Beginning Stocks")+SUMIFS(Oats_Yr!W:W,Oats_Yr!$B:$B,"Beginning Stocks")</f>
        <v>7320.6999999999862</v>
      </c>
      <c r="X8" s="16">
        <f>SUMIFS(Wheat_Yr!X:X,Wheat_Yr!$B:$B,"Beginning Stocks")+SUMIFS(Durum_Yr!X:X,Durum_Yr!$B:$B,"Beginning Stocks")+SUMIFS(Barley_Yr!X:X,Barley_Yr!$B:$B,"Beginning Stocks")+SUMIFS(Oats_Yr!X:X,Oats_Yr!$B:$B,"Beginning Stocks")</f>
        <v>5044.1999999999916</v>
      </c>
      <c r="Y8" s="16">
        <f>SUMIFS(Wheat_Yr!Y:Y,Wheat_Yr!$B:$B,"Beginning Stocks")+SUMIFS(Durum_Yr!Y:Y,Durum_Yr!$B:$B,"Beginning Stocks")+SUMIFS(Barley_Yr!Y:Y,Barley_Yr!$B:$B,"Beginning Stocks")+SUMIFS(Oats_Yr!Y:Y,Oats_Yr!$B:$B,"Beginning Stocks")</f>
        <v>7911.699999999998</v>
      </c>
      <c r="Z8" s="16">
        <f>SUMIFS(Wheat_Yr!Z:Z,Wheat_Yr!$B:$B,"Beginning Stocks")+SUMIFS(Durum_Yr!Z:Z,Durum_Yr!$B:$B,"Beginning Stocks")+SUMIFS(Barley_Yr!Z:Z,Barley_Yr!$B:$B,"Beginning Stocks")+SUMIFS(Oats_Yr!Z:Z,Oats_Yr!$B:$B,"Beginning Stocks")</f>
        <v>7131.399999999996</v>
      </c>
    </row>
    <row r="9" spans="1:26" x14ac:dyDescent="0.3">
      <c r="A9" s="11" t="s">
        <v>77</v>
      </c>
      <c r="B9" s="11" t="s">
        <v>45</v>
      </c>
      <c r="C9" s="12" t="s">
        <v>59</v>
      </c>
      <c r="D9" s="16">
        <f>SUMIFS(Wheat_Yr!D:D,Wheat_Yr!$B:$B,"Imports")+SUMIFS(Durum_Yr!D:D,Durum_Yr!$B:$B,"Imports")+SUMIFS(Barley_Yr!D:D,Barley_Yr!$B:$B,"Imports")+SUMIFS(Oats_Yr!D:D,Oats_Yr!$B:$B,"Imports")</f>
        <v>473.92200000000003</v>
      </c>
      <c r="E9" s="16">
        <f>SUMIFS(Wheat_Yr!E:E,Wheat_Yr!$B:$B,"Imports")+SUMIFS(Durum_Yr!E:E,Durum_Yr!$B:$B,"Imports")+SUMIFS(Barley_Yr!E:E,Barley_Yr!$B:$B,"Imports")+SUMIFS(Oats_Yr!E:E,Oats_Yr!$B:$B,"Imports")</f>
        <v>87.561999999999998</v>
      </c>
      <c r="F9" s="16">
        <f>SUMIFS(Wheat_Yr!F:F,Wheat_Yr!$B:$B,"Imports")+SUMIFS(Durum_Yr!F:F,Durum_Yr!$B:$B,"Imports")+SUMIFS(Barley_Yr!F:F,Barley_Yr!$B:$B,"Imports")+SUMIFS(Oats_Yr!F:F,Oats_Yr!$B:$B,"Imports")</f>
        <v>130.4</v>
      </c>
      <c r="G9" s="16">
        <f>SUMIFS(Wheat_Yr!G:G,Wheat_Yr!$B:$B,"Imports")+SUMIFS(Durum_Yr!G:G,Durum_Yr!$B:$B,"Imports")+SUMIFS(Barley_Yr!G:G,Barley_Yr!$B:$B,"Imports")+SUMIFS(Oats_Yr!G:G,Oats_Yr!$B:$B,"Imports")</f>
        <v>103.285</v>
      </c>
      <c r="H9" s="16">
        <f>SUMIFS(Wheat_Yr!H:H,Wheat_Yr!$B:$B,"Imports")+SUMIFS(Durum_Yr!H:H,Durum_Yr!$B:$B,"Imports")+SUMIFS(Barley_Yr!H:H,Barley_Yr!$B:$B,"Imports")+SUMIFS(Oats_Yr!H:H,Oats_Yr!$B:$B,"Imports")</f>
        <v>96.955999999999989</v>
      </c>
      <c r="I9" s="16">
        <f>SUMIFS(Wheat_Yr!I:I,Wheat_Yr!$B:$B,"Imports")+SUMIFS(Durum_Yr!I:I,Durum_Yr!$B:$B,"Imports")+SUMIFS(Barley_Yr!I:I,Barley_Yr!$B:$B,"Imports")+SUMIFS(Oats_Yr!I:I,Oats_Yr!$B:$B,"Imports")</f>
        <v>106.77500000000001</v>
      </c>
      <c r="J9" s="16">
        <f>SUMIFS(Wheat_Yr!J:J,Wheat_Yr!$B:$B,"Imports")+SUMIFS(Durum_Yr!J:J,Durum_Yr!$B:$B,"Imports")+SUMIFS(Barley_Yr!J:J,Barley_Yr!$B:$B,"Imports")+SUMIFS(Oats_Yr!J:J,Oats_Yr!$B:$B,"Imports")</f>
        <v>94.494</v>
      </c>
      <c r="K9" s="16">
        <f>SUMIFS(Wheat_Yr!K:K,Wheat_Yr!$B:$B,"Imports")+SUMIFS(Durum_Yr!K:K,Durum_Yr!$B:$B,"Imports")+SUMIFS(Barley_Yr!K:K,Barley_Yr!$B:$B,"Imports")+SUMIFS(Oats_Yr!K:K,Oats_Yr!$B:$B,"Imports")</f>
        <v>187.4</v>
      </c>
      <c r="L9" s="16">
        <f>SUMIFS(Wheat_Yr!L:L,Wheat_Yr!$B:$B,"Imports")+SUMIFS(Durum_Yr!L:L,Durum_Yr!$B:$B,"Imports")+SUMIFS(Barley_Yr!L:L,Barley_Yr!$B:$B,"Imports")+SUMIFS(Oats_Yr!L:L,Oats_Yr!$B:$B,"Imports")</f>
        <v>156.77699999999999</v>
      </c>
      <c r="M9" s="16">
        <f>SUMIFS(Wheat_Yr!M:M,Wheat_Yr!$B:$B,"Imports")+SUMIFS(Durum_Yr!M:M,Durum_Yr!$B:$B,"Imports")+SUMIFS(Barley_Yr!M:M,Barley_Yr!$B:$B,"Imports")+SUMIFS(Oats_Yr!M:M,Oats_Yr!$B:$B,"Imports")</f>
        <v>135.34299999999999</v>
      </c>
      <c r="N9" s="16">
        <f>SUMIFS(Wheat_Yr!N:N,Wheat_Yr!$B:$B,"Imports")+SUMIFS(Durum_Yr!N:N,Durum_Yr!$B:$B,"Imports")+SUMIFS(Barley_Yr!N:N,Barley_Yr!$B:$B,"Imports")+SUMIFS(Oats_Yr!N:N,Oats_Yr!$B:$B,"Imports")</f>
        <v>132.589</v>
      </c>
      <c r="O9" s="16">
        <f>SUMIFS(Wheat_Yr!O:O,Wheat_Yr!$B:$B,"Imports")+SUMIFS(Durum_Yr!O:O,Durum_Yr!$B:$B,"Imports")+SUMIFS(Barley_Yr!O:O,Barley_Yr!$B:$B,"Imports")+SUMIFS(Oats_Yr!O:O,Oats_Yr!$B:$B,"Imports")</f>
        <v>111.83499999999998</v>
      </c>
      <c r="P9" s="16">
        <f>SUMIFS(Wheat_Yr!P:P,Wheat_Yr!$B:$B,"Imports")+SUMIFS(Durum_Yr!P:P,Durum_Yr!$B:$B,"Imports")+SUMIFS(Barley_Yr!P:P,Barley_Yr!$B:$B,"Imports")+SUMIFS(Oats_Yr!P:P,Oats_Yr!$B:$B,"Imports")</f>
        <v>326.63799999999998</v>
      </c>
      <c r="Q9" s="16">
        <f>SUMIFS(Wheat_Yr!Q:Q,Wheat_Yr!$B:$B,"Imports")+SUMIFS(Durum_Yr!Q:Q,Durum_Yr!$B:$B,"Imports")+SUMIFS(Barley_Yr!Q:Q,Barley_Yr!$B:$B,"Imports")+SUMIFS(Oats_Yr!Q:Q,Oats_Yr!$B:$B,"Imports")</f>
        <v>281.22799999999995</v>
      </c>
      <c r="R9" s="16">
        <f>SUMIFS(Wheat_Yr!R:R,Wheat_Yr!$B:$B,"Imports")+SUMIFS(Durum_Yr!R:R,Durum_Yr!$B:$B,"Imports")+SUMIFS(Barley_Yr!R:R,Barley_Yr!$B:$B,"Imports")+SUMIFS(Oats_Yr!R:R,Oats_Yr!$B:$B,"Imports")</f>
        <v>209.63600000000002</v>
      </c>
      <c r="S9" s="16">
        <f>SUMIFS(Wheat_Yr!S:S,Wheat_Yr!$B:$B,"Imports")+SUMIFS(Durum_Yr!S:S,Durum_Yr!$B:$B,"Imports")+SUMIFS(Barley_Yr!S:S,Barley_Yr!$B:$B,"Imports")+SUMIFS(Oats_Yr!S:S,Oats_Yr!$B:$B,"Imports")</f>
        <v>170.30599999999995</v>
      </c>
      <c r="T9" s="16">
        <f>SUMIFS(Wheat_Yr!T:T,Wheat_Yr!$B:$B,"Imports")+SUMIFS(Durum_Yr!T:T,Durum_Yr!$B:$B,"Imports")+SUMIFS(Barley_Yr!T:T,Barley_Yr!$B:$B,"Imports")+SUMIFS(Oats_Yr!T:T,Oats_Yr!$B:$B,"Imports")</f>
        <v>182.45999999999998</v>
      </c>
      <c r="U9" s="16">
        <f>SUMIFS(Wheat_Yr!U:U,Wheat_Yr!$B:$B,"Imports")+SUMIFS(Durum_Yr!U:U,Durum_Yr!$B:$B,"Imports")+SUMIFS(Barley_Yr!U:U,Barley_Yr!$B:$B,"Imports")+SUMIFS(Oats_Yr!U:U,Oats_Yr!$B:$B,"Imports")</f>
        <v>363.822</v>
      </c>
      <c r="V9" s="16">
        <f>SUMIFS(Wheat_Yr!V:V,Wheat_Yr!$B:$B,"Imports")+SUMIFS(Durum_Yr!V:V,Durum_Yr!$B:$B,"Imports")+SUMIFS(Barley_Yr!V:V,Barley_Yr!$B:$B,"Imports")+SUMIFS(Oats_Yr!V:V,Oats_Yr!$B:$B,"Imports")</f>
        <v>465.68399999999997</v>
      </c>
      <c r="W9" s="16">
        <f>SUMIFS(Wheat_Yr!W:W,Wheat_Yr!$B:$B,"Imports")+SUMIFS(Durum_Yr!W:W,Durum_Yr!$B:$B,"Imports")+SUMIFS(Barley_Yr!W:W,Barley_Yr!$B:$B,"Imports")+SUMIFS(Oats_Yr!W:W,Oats_Yr!$B:$B,"Imports")</f>
        <v>428.85399999999998</v>
      </c>
      <c r="X9" s="16">
        <f>SUMIFS(Wheat_Yr!X:X,Wheat_Yr!$B:$B,"Imports")+SUMIFS(Durum_Yr!X:X,Durum_Yr!$B:$B,"Imports")+SUMIFS(Barley_Yr!X:X,Barley_Yr!$B:$B,"Imports")+SUMIFS(Oats_Yr!X:X,Oats_Yr!$B:$B,"Imports")</f>
        <v>138.27699999999999</v>
      </c>
      <c r="Y9" s="16">
        <f>SUMIFS(Wheat_Yr!Y:Y,Wheat_Yr!$B:$B,"Imports")+SUMIFS(Durum_Yr!Y:Y,Durum_Yr!$B:$B,"Imports")+SUMIFS(Barley_Yr!Y:Y,Barley_Yr!$B:$B,"Imports")+SUMIFS(Oats_Yr!Y:Y,Oats_Yr!$B:$B,"Imports")</f>
        <v>247.49099999999999</v>
      </c>
      <c r="Z9" s="16">
        <f>SUMIFS(Wheat_Yr!Z:Z,Wheat_Yr!$B:$B,"Imports")+SUMIFS(Durum_Yr!Z:Z,Durum_Yr!$B:$B,"Imports")+SUMIFS(Barley_Yr!Z:Z,Barley_Yr!$B:$B,"Imports")+SUMIFS(Oats_Yr!Z:Z,Oats_Yr!$B:$B,"Imports")</f>
        <v>299.65600000000001</v>
      </c>
    </row>
    <row r="10" spans="1:26" x14ac:dyDescent="0.3">
      <c r="A10" s="11" t="s">
        <v>77</v>
      </c>
      <c r="B10" s="11" t="s">
        <v>43</v>
      </c>
      <c r="C10" s="12" t="s">
        <v>59</v>
      </c>
      <c r="D10" s="16">
        <f>SUMIFS(Wheat_Yr!D:D,Wheat_Yr!$B:$B,"Production")+SUMIFS(Durum_Yr!D:D,Durum_Yr!$B:$B,"Production")+SUMIFS(Barley_Yr!D:D,Barley_Yr!$B:$B,"Production")+SUMIFS(Oats_Yr!D:D,Oats_Yr!$B:$B,"Production")</f>
        <v>26339.7</v>
      </c>
      <c r="E10" s="16">
        <f>SUMIFS(Wheat_Yr!E:E,Wheat_Yr!$B:$B,"Production")+SUMIFS(Durum_Yr!E:E,Durum_Yr!$B:$B,"Production")+SUMIFS(Barley_Yr!E:E,Barley_Yr!$B:$B,"Production")+SUMIFS(Oats_Yr!E:E,Oats_Yr!$B:$B,"Production")</f>
        <v>38589.5</v>
      </c>
      <c r="F10" s="16">
        <f>SUMIFS(Wheat_Yr!F:F,Wheat_Yr!$B:$B,"Production")+SUMIFS(Durum_Yr!F:F,Durum_Yr!$B:$B,"Production")+SUMIFS(Barley_Yr!F:F,Barley_Yr!$B:$B,"Production")+SUMIFS(Oats_Yr!F:F,Oats_Yr!$B:$B,"Production")</f>
        <v>40819.399999999994</v>
      </c>
      <c r="G10" s="16">
        <f>SUMIFS(Wheat_Yr!G:G,Wheat_Yr!$B:$B,"Production")+SUMIFS(Durum_Yr!G:G,Durum_Yr!$B:$B,"Production")+SUMIFS(Barley_Yr!G:G,Barley_Yr!$B:$B,"Production")+SUMIFS(Oats_Yr!G:G,Oats_Yr!$B:$B,"Production")</f>
        <v>40708.399999999994</v>
      </c>
      <c r="H10" s="16">
        <f>SUMIFS(Wheat_Yr!H:H,Wheat_Yr!$B:$B,"Production")+SUMIFS(Durum_Yr!H:H,Durum_Yr!$B:$B,"Production")+SUMIFS(Barley_Yr!H:H,Barley_Yr!$B:$B,"Production")+SUMIFS(Oats_Yr!H:H,Oats_Yr!$B:$B,"Production")</f>
        <v>38690.699999999997</v>
      </c>
      <c r="I10" s="16">
        <f>SUMIFS(Wheat_Yr!I:I,Wheat_Yr!$B:$B,"Production")+SUMIFS(Durum_Yr!I:I,Durum_Yr!$B:$B,"Production")+SUMIFS(Barley_Yr!I:I,Barley_Yr!$B:$B,"Production")+SUMIFS(Oats_Yr!I:I,Oats_Yr!$B:$B,"Production")</f>
        <v>35618.6</v>
      </c>
      <c r="J10" s="16">
        <f>SUMIFS(Wheat_Yr!J:J,Wheat_Yr!$B:$B,"Production")+SUMIFS(Durum_Yr!J:J,Durum_Yr!$B:$B,"Production")+SUMIFS(Barley_Yr!J:J,Barley_Yr!$B:$B,"Production")+SUMIFS(Oats_Yr!J:J,Oats_Yr!$B:$B,"Production")</f>
        <v>44677.599999999999</v>
      </c>
      <c r="K10" s="16">
        <f>SUMIFS(Wheat_Yr!K:K,Wheat_Yr!$B:$B,"Production")+SUMIFS(Durum_Yr!K:K,Durum_Yr!$B:$B,"Production")+SUMIFS(Barley_Yr!K:K,Barley_Yr!$B:$B,"Production")+SUMIFS(Oats_Yr!K:K,Oats_Yr!$B:$B,"Production")</f>
        <v>39389.600000000006</v>
      </c>
      <c r="L10" s="16">
        <f>SUMIFS(Wheat_Yr!L:L,Wheat_Yr!$B:$B,"Production")+SUMIFS(Durum_Yr!L:L,Durum_Yr!$B:$B,"Production")+SUMIFS(Barley_Yr!L:L,Barley_Yr!$B:$B,"Production")+SUMIFS(Oats_Yr!L:L,Oats_Yr!$B:$B,"Production")</f>
        <v>33378.200000000004</v>
      </c>
      <c r="M10" s="16">
        <f>SUMIFS(Wheat_Yr!M:M,Wheat_Yr!$B:$B,"Production")+SUMIFS(Durum_Yr!M:M,Durum_Yr!$B:$B,"Production")+SUMIFS(Barley_Yr!M:M,Barley_Yr!$B:$B,"Production")+SUMIFS(Oats_Yr!M:M,Oats_Yr!$B:$B,"Production")</f>
        <v>36337.1</v>
      </c>
      <c r="N10" s="16">
        <f>SUMIFS(Wheat_Yr!N:N,Wheat_Yr!$B:$B,"Production")+SUMIFS(Durum_Yr!N:N,Durum_Yr!$B:$B,"Production")+SUMIFS(Barley_Yr!N:N,Barley_Yr!$B:$B,"Production")+SUMIFS(Oats_Yr!N:N,Oats_Yr!$B:$B,"Production")</f>
        <v>38087.9</v>
      </c>
      <c r="O10" s="16">
        <f>SUMIFS(Wheat_Yr!O:O,Wheat_Yr!$B:$B,"Production")+SUMIFS(Durum_Yr!O:O,Durum_Yr!$B:$B,"Production")+SUMIFS(Barley_Yr!O:O,Barley_Yr!$B:$B,"Production")+SUMIFS(Oats_Yr!O:O,Oats_Yr!$B:$B,"Production")</f>
        <v>51798.299999999996</v>
      </c>
      <c r="P10" s="16">
        <f>SUMIFS(Wheat_Yr!P:P,Wheat_Yr!$B:$B,"Production")+SUMIFS(Durum_Yr!P:P,Durum_Yr!$B:$B,"Production")+SUMIFS(Barley_Yr!P:P,Barley_Yr!$B:$B,"Production")+SUMIFS(Oats_Yr!P:P,Oats_Yr!$B:$B,"Production")</f>
        <v>39535.700000000004</v>
      </c>
      <c r="Q10" s="16">
        <f>SUMIFS(Wheat_Yr!Q:Q,Wheat_Yr!$B:$B,"Production")+SUMIFS(Durum_Yr!Q:Q,Durum_Yr!$B:$B,"Production")+SUMIFS(Barley_Yr!Q:Q,Barley_Yr!$B:$B,"Production")+SUMIFS(Oats_Yr!Q:Q,Oats_Yr!$B:$B,"Production")</f>
        <v>39329</v>
      </c>
      <c r="R10" s="16">
        <f>SUMIFS(Wheat_Yr!R:R,Wheat_Yr!$B:$B,"Production")+SUMIFS(Durum_Yr!R:R,Durum_Yr!$B:$B,"Production")+SUMIFS(Barley_Yr!R:R,Barley_Yr!$B:$B,"Production")+SUMIFS(Oats_Yr!R:R,Oats_Yr!$B:$B,"Production")</f>
        <v>44210.499999999993</v>
      </c>
      <c r="S10" s="16">
        <f>SUMIFS(Wheat_Yr!S:S,Wheat_Yr!$B:$B,"Production")+SUMIFS(Durum_Yr!S:S,Durum_Yr!$B:$B,"Production")+SUMIFS(Barley_Yr!S:S,Barley_Yr!$B:$B,"Production")+SUMIFS(Oats_Yr!S:S,Oats_Yr!$B:$B,"Production")</f>
        <v>42001.599999999999</v>
      </c>
      <c r="T10" s="16">
        <f>SUMIFS(Wheat_Yr!T:T,Wheat_Yr!$B:$B,"Production")+SUMIFS(Durum_Yr!T:T,Durum_Yr!$B:$B,"Production")+SUMIFS(Barley_Yr!T:T,Barley_Yr!$B:$B,"Production")+SUMIFS(Oats_Yr!T:T,Oats_Yr!$B:$B,"Production")</f>
        <v>44167.6</v>
      </c>
      <c r="U10" s="16">
        <f>SUMIFS(Wheat_Yr!U:U,Wheat_Yr!$B:$B,"Production")+SUMIFS(Durum_Yr!U:U,Durum_Yr!$B:$B,"Production")+SUMIFS(Barley_Yr!U:U,Barley_Yr!$B:$B,"Production")+SUMIFS(Oats_Yr!U:U,Oats_Yr!$B:$B,"Production")</f>
        <v>47279.700000000004</v>
      </c>
      <c r="V10" s="16">
        <f>SUMIFS(Wheat_Yr!V:V,Wheat_Yr!$B:$B,"Production")+SUMIFS(Durum_Yr!V:V,Durum_Yr!$B:$B,"Production")+SUMIFS(Barley_Yr!V:V,Barley_Yr!$B:$B,"Production")+SUMIFS(Oats_Yr!V:V,Oats_Yr!$B:$B,"Production")</f>
        <v>50753.599999999999</v>
      </c>
      <c r="W10" s="16">
        <f>SUMIFS(Wheat_Yr!W:W,Wheat_Yr!$B:$B,"Production")+SUMIFS(Durum_Yr!W:W,Durum_Yr!$B:$B,"Production")+SUMIFS(Barley_Yr!W:W,Barley_Yr!$B:$B,"Production")+SUMIFS(Oats_Yr!W:W,Oats_Yr!$B:$B,"Production")</f>
        <v>32304.699999999997</v>
      </c>
      <c r="X10" s="16">
        <f>SUMIFS(Wheat_Yr!X:X,Wheat_Yr!$B:$B,"Production")+SUMIFS(Durum_Yr!X:X,Durum_Yr!$B:$B,"Production")+SUMIFS(Barley_Yr!X:X,Barley_Yr!$B:$B,"Production")+SUMIFS(Oats_Yr!X:X,Oats_Yr!$B:$B,"Production")</f>
        <v>50092</v>
      </c>
      <c r="Y10" s="16">
        <f>SUMIFS(Wheat_Yr!Y:Y,Wheat_Yr!$B:$B,"Production")+SUMIFS(Durum_Yr!Y:Y,Durum_Yr!$B:$B,"Production")+SUMIFS(Barley_Yr!Y:Y,Barley_Yr!$B:$B,"Production")+SUMIFS(Oats_Yr!Y:Y,Oats_Yr!$B:$B,"Production")</f>
        <v>44962.1</v>
      </c>
      <c r="Z10" s="16">
        <f>SUMIFS(Wheat_Yr!Z:Z,Wheat_Yr!$B:$B,"Production")+SUMIFS(Durum_Yr!Z:Z,Durum_Yr!$B:$B,"Production")+SUMIFS(Barley_Yr!Z:Z,Barley_Yr!$B:$B,"Production")+SUMIFS(Oats_Yr!Z:Z,Oats_Yr!$B:$B,"Production")</f>
        <v>47440.3</v>
      </c>
    </row>
    <row r="11" spans="1:26" x14ac:dyDescent="0.3">
      <c r="A11" s="17" t="s">
        <v>77</v>
      </c>
      <c r="B11" s="17" t="s">
        <v>60</v>
      </c>
      <c r="C11" s="18" t="s">
        <v>59</v>
      </c>
      <c r="D11" s="19">
        <f>SUMIFS(Wheat_Yr!D:D,Wheat_Yr!$B:$B,"Total Supply")+SUMIFS(Durum_Yr!D:D,Durum_Yr!$B:$B,"Total Supply")+SUMIFS(Barley_Yr!D:D,Barley_Yr!$B:$B,"Total Supply")+SUMIFS(Oats_Yr!D:D,Oats_Yr!$B:$B,"Total Supply")</f>
        <v>35953.322000000007</v>
      </c>
      <c r="E11" s="19">
        <f>SUMIFS(Wheat_Yr!E:E,Wheat_Yr!$B:$B,"Total Supply")+SUMIFS(Durum_Yr!E:E,Durum_Yr!$B:$B,"Total Supply")+SUMIFS(Barley_Yr!E:E,Barley_Yr!$B:$B,"Total Supply")+SUMIFS(Oats_Yr!E:E,Oats_Yr!$B:$B,"Total Supply")</f>
        <v>46390.862000000001</v>
      </c>
      <c r="F11" s="19">
        <f>SUMIFS(Wheat_Yr!F:F,Wheat_Yr!$B:$B,"Total Supply")+SUMIFS(Durum_Yr!F:F,Durum_Yr!$B:$B,"Total Supply")+SUMIFS(Barley_Yr!F:F,Barley_Yr!$B:$B,"Total Supply")+SUMIFS(Oats_Yr!F:F,Oats_Yr!$B:$B,"Total Supply")</f>
        <v>49825.100000000006</v>
      </c>
      <c r="G11" s="19">
        <f>SUMIFS(Wheat_Yr!G:G,Wheat_Yr!$B:$B,"Total Supply")+SUMIFS(Durum_Yr!G:G,Durum_Yr!$B:$B,"Total Supply")+SUMIFS(Barley_Yr!G:G,Barley_Yr!$B:$B,"Total Supply")+SUMIFS(Oats_Yr!G:G,Oats_Yr!$B:$B,"Total Supply")</f>
        <v>53143.185000000012</v>
      </c>
      <c r="H11" s="19">
        <f>SUMIFS(Wheat_Yr!H:H,Wheat_Yr!$B:$B,"Total Supply")+SUMIFS(Durum_Yr!H:H,Durum_Yr!$B:$B,"Total Supply")+SUMIFS(Barley_Yr!H:H,Barley_Yr!$B:$B,"Total Supply")+SUMIFS(Oats_Yr!H:H,Oats_Yr!$B:$B,"Total Supply")</f>
        <v>52645.556000000026</v>
      </c>
      <c r="I11" s="19">
        <f>SUMIFS(Wheat_Yr!I:I,Wheat_Yr!$B:$B,"Total Supply")+SUMIFS(Durum_Yr!I:I,Durum_Yr!$B:$B,"Total Supply")+SUMIFS(Barley_Yr!I:I,Barley_Yr!$B:$B,"Total Supply")+SUMIFS(Oats_Yr!I:I,Oats_Yr!$B:$B,"Total Supply")</f>
        <v>44637.275000000009</v>
      </c>
      <c r="J11" s="19">
        <f>SUMIFS(Wheat_Yr!J:J,Wheat_Yr!$B:$B,"Total Supply")+SUMIFS(Durum_Yr!J:J,Durum_Yr!$B:$B,"Total Supply")+SUMIFS(Barley_Yr!J:J,Barley_Yr!$B:$B,"Total Supply")+SUMIFS(Oats_Yr!J:J,Oats_Yr!$B:$B,"Total Supply")</f>
        <v>51656.094000000012</v>
      </c>
      <c r="K11" s="19">
        <f>SUMIFS(Wheat_Yr!K:K,Wheat_Yr!$B:$B,"Total Supply")+SUMIFS(Durum_Yr!K:K,Durum_Yr!$B:$B,"Total Supply")+SUMIFS(Barley_Yr!K:K,Barley_Yr!$B:$B,"Total Supply")+SUMIFS(Oats_Yr!K:K,Oats_Yr!$B:$B,"Total Supply")</f>
        <v>50712.600000000006</v>
      </c>
      <c r="L11" s="19">
        <f>SUMIFS(Wheat_Yr!L:L,Wheat_Yr!$B:$B,"Total Supply")+SUMIFS(Durum_Yr!L:L,Durum_Yr!$B:$B,"Total Supply")+SUMIFS(Barley_Yr!L:L,Barley_Yr!$B:$B,"Total Supply")+SUMIFS(Oats_Yr!L:L,Oats_Yr!$B:$B,"Total Supply")</f>
        <v>44941.277000000009</v>
      </c>
      <c r="M11" s="19">
        <f>SUMIFS(Wheat_Yr!M:M,Wheat_Yr!$B:$B,"Total Supply")+SUMIFS(Durum_Yr!M:M,Durum_Yr!$B:$B,"Total Supply")+SUMIFS(Barley_Yr!M:M,Barley_Yr!$B:$B,"Total Supply")+SUMIFS(Oats_Yr!M:M,Oats_Yr!$B:$B,"Total Supply")</f>
        <v>46066.643000000011</v>
      </c>
      <c r="N11" s="19">
        <f>SUMIFS(Wheat_Yr!N:N,Wheat_Yr!$B:$B,"Total Supply")+SUMIFS(Durum_Yr!N:N,Durum_Yr!$B:$B,"Total Supply")+SUMIFS(Barley_Yr!N:N,Barley_Yr!$B:$B,"Total Supply")+SUMIFS(Oats_Yr!N:N,Oats_Yr!$B:$B,"Total Supply")</f>
        <v>46152.38900000001</v>
      </c>
      <c r="O11" s="19">
        <f>SUMIFS(Wheat_Yr!O:O,Wheat_Yr!$B:$B,"Total Supply")+SUMIFS(Durum_Yr!O:O,Durum_Yr!$B:$B,"Total Supply")+SUMIFS(Barley_Yr!O:O,Barley_Yr!$B:$B,"Total Supply")+SUMIFS(Oats_Yr!O:O,Oats_Yr!$B:$B,"Total Supply")</f>
        <v>58451.534999999996</v>
      </c>
      <c r="P11" s="19">
        <f>SUMIFS(Wheat_Yr!P:P,Wheat_Yr!$B:$B,"Total Supply")+SUMIFS(Durum_Yr!P:P,Durum_Yr!$B:$B,"Total Supply")+SUMIFS(Barley_Yr!P:P,Barley_Yr!$B:$B,"Total Supply")+SUMIFS(Oats_Yr!P:P,Oats_Yr!$B:$B,"Total Supply")</f>
        <v>53270.838000000011</v>
      </c>
      <c r="Q11" s="19">
        <f>SUMIFS(Wheat_Yr!Q:Q,Wheat_Yr!$B:$B,"Total Supply")+SUMIFS(Durum_Yr!Q:Q,Durum_Yr!$B:$B,"Total Supply")+SUMIFS(Barley_Yr!Q:Q,Barley_Yr!$B:$B,"Total Supply")+SUMIFS(Oats_Yr!Q:Q,Oats_Yr!$B:$B,"Total Supply")</f>
        <v>48629.027999999998</v>
      </c>
      <c r="R11" s="19">
        <f>SUMIFS(Wheat_Yr!R:R,Wheat_Yr!$B:$B,"Total Supply")+SUMIFS(Durum_Yr!R:R,Durum_Yr!$B:$B,"Total Supply")+SUMIFS(Barley_Yr!R:R,Barley_Yr!$B:$B,"Total Supply")+SUMIFS(Oats_Yr!R:R,Oats_Yr!$B:$B,"Total Supply")</f>
        <v>52008.136000000013</v>
      </c>
      <c r="S11" s="19">
        <f>SUMIFS(Wheat_Yr!S:S,Wheat_Yr!$B:$B,"Total Supply")+SUMIFS(Durum_Yr!S:S,Durum_Yr!$B:$B,"Total Supply")+SUMIFS(Barley_Yr!S:S,Barley_Yr!$B:$B,"Total Supply")+SUMIFS(Oats_Yr!S:S,Oats_Yr!$B:$B,"Total Supply")</f>
        <v>51928.406000000003</v>
      </c>
      <c r="T11" s="19">
        <f>SUMIFS(Wheat_Yr!T:T,Wheat_Yr!$B:$B,"Total Supply")+SUMIFS(Durum_Yr!T:T,Durum_Yr!$B:$B,"Total Supply")+SUMIFS(Barley_Yr!T:T,Barley_Yr!$B:$B,"Total Supply")+SUMIFS(Oats_Yr!T:T,Oats_Yr!$B:$B,"Total Supply")</f>
        <v>53104.759999999995</v>
      </c>
      <c r="U11" s="19">
        <f>SUMIFS(Wheat_Yr!U:U,Wheat_Yr!$B:$B,"Total Supply")+SUMIFS(Durum_Yr!U:U,Durum_Yr!$B:$B,"Total Supply")+SUMIFS(Barley_Yr!U:U,Barley_Yr!$B:$B,"Total Supply")+SUMIFS(Oats_Yr!U:U,Oats_Yr!$B:$B,"Total Supply")</f>
        <v>54944.022000000004</v>
      </c>
      <c r="V11" s="19">
        <f>SUMIFS(Wheat_Yr!V:V,Wheat_Yr!$B:$B,"Total Supply")+SUMIFS(Durum_Yr!V:V,Durum_Yr!$B:$B,"Total Supply")+SUMIFS(Barley_Yr!V:V,Barley_Yr!$B:$B,"Total Supply")+SUMIFS(Oats_Yr!V:V,Oats_Yr!$B:$B,"Total Supply")</f>
        <v>58100.583999999995</v>
      </c>
      <c r="W11" s="19">
        <f>SUMIFS(Wheat_Yr!W:W,Wheat_Yr!$B:$B,"Total Supply")+SUMIFS(Durum_Yr!W:W,Durum_Yr!$B:$B,"Total Supply")+SUMIFS(Barley_Yr!W:W,Barley_Yr!$B:$B,"Total Supply")+SUMIFS(Oats_Yr!W:W,Oats_Yr!$B:$B,"Total Supply")</f>
        <v>40054.253999999986</v>
      </c>
      <c r="X11" s="19">
        <f>SUMIFS(Wheat_Yr!X:X,Wheat_Yr!$B:$B,"Total Supply")+SUMIFS(Durum_Yr!X:X,Durum_Yr!$B:$B,"Total Supply")+SUMIFS(Barley_Yr!X:X,Barley_Yr!$B:$B,"Total Supply")+SUMIFS(Oats_Yr!X:X,Oats_Yr!$B:$B,"Total Supply")</f>
        <v>55274.476999999992</v>
      </c>
      <c r="Y11" s="19">
        <f>SUMIFS(Wheat_Yr!Y:Y,Wheat_Yr!$B:$B,"Total Supply")+SUMIFS(Durum_Yr!Y:Y,Durum_Yr!$B:$B,"Total Supply")+SUMIFS(Barley_Yr!Y:Y,Barley_Yr!$B:$B,"Total Supply")+SUMIFS(Oats_Yr!Y:Y,Oats_Yr!$B:$B,"Total Supply")</f>
        <v>53121.290999999997</v>
      </c>
      <c r="Z11" s="19">
        <f>SUMIFS(Wheat_Yr!Z:Z,Wheat_Yr!$B:$B,"Total Supply")+SUMIFS(Durum_Yr!Z:Z,Durum_Yr!$B:$B,"Total Supply")+SUMIFS(Barley_Yr!Z:Z,Barley_Yr!$B:$B,"Total Supply")+SUMIFS(Oats_Yr!Z:Z,Oats_Yr!$B:$B,"Total Supply")</f>
        <v>54871.355999999985</v>
      </c>
    </row>
    <row r="13" spans="1:26" x14ac:dyDescent="0.3">
      <c r="A13" s="11" t="s">
        <v>77</v>
      </c>
      <c r="B13" s="11" t="s">
        <v>46</v>
      </c>
      <c r="C13" s="12" t="s">
        <v>59</v>
      </c>
      <c r="D13" s="16">
        <f>SUMIFS(Wheat_Yr!D:D,Wheat_Yr!$B:$B,"Food")+SUMIFS(Durum_Yr!D:D,Durum_Yr!$B:$B,"Food")+SUMIFS(Barley_Yr!D:D,Barley_Yr!$B:$B,"Food")+SUMIFS(Oats_Yr!D:D,Oats_Yr!$B:$B,"Food")</f>
        <v>3101.8999999999996</v>
      </c>
      <c r="E13" s="16">
        <f>SUMIFS(Wheat_Yr!E:E,Wheat_Yr!$B:$B,"Food")+SUMIFS(Durum_Yr!E:E,Durum_Yr!$B:$B,"Food")+SUMIFS(Barley_Yr!E:E,Barley_Yr!$B:$B,"Food")+SUMIFS(Oats_Yr!E:E,Oats_Yr!$B:$B,"Food")</f>
        <v>3056.3</v>
      </c>
      <c r="F13" s="16">
        <f>SUMIFS(Wheat_Yr!F:F,Wheat_Yr!$B:$B,"Food")+SUMIFS(Durum_Yr!F:F,Durum_Yr!$B:$B,"Food")+SUMIFS(Barley_Yr!F:F,Barley_Yr!$B:$B,"Food")+SUMIFS(Oats_Yr!F:F,Oats_Yr!$B:$B,"Food")</f>
        <v>3091.7</v>
      </c>
      <c r="G13" s="16">
        <f>SUMIFS(Wheat_Yr!G:G,Wheat_Yr!$B:$B,"Food")+SUMIFS(Durum_Yr!G:G,Durum_Yr!$B:$B,"Food")+SUMIFS(Barley_Yr!G:G,Barley_Yr!$B:$B,"Food")+SUMIFS(Oats_Yr!G:G,Oats_Yr!$B:$B,"Food")</f>
        <v>3082.2999999999997</v>
      </c>
      <c r="H13" s="16">
        <f>SUMIFS(Wheat_Yr!H:H,Wheat_Yr!$B:$B,"Food")+SUMIFS(Durum_Yr!H:H,Durum_Yr!$B:$B,"Food")+SUMIFS(Barley_Yr!H:H,Barley_Yr!$B:$B,"Food")+SUMIFS(Oats_Yr!H:H,Oats_Yr!$B:$B,"Food")</f>
        <v>3073.1</v>
      </c>
      <c r="I13" s="16">
        <f>SUMIFS(Wheat_Yr!I:I,Wheat_Yr!$B:$B,"Food")+SUMIFS(Durum_Yr!I:I,Durum_Yr!$B:$B,"Food")+SUMIFS(Barley_Yr!I:I,Barley_Yr!$B:$B,"Food")+SUMIFS(Oats_Yr!I:I,Oats_Yr!$B:$B,"Food")</f>
        <v>2942.7000000000003</v>
      </c>
      <c r="J13" s="16">
        <f>SUMIFS(Wheat_Yr!J:J,Wheat_Yr!$B:$B,"Food")+SUMIFS(Durum_Yr!J:J,Durum_Yr!$B:$B,"Food")+SUMIFS(Barley_Yr!J:J,Barley_Yr!$B:$B,"Food")+SUMIFS(Oats_Yr!J:J,Oats_Yr!$B:$B,"Food")</f>
        <v>2830.3999999999992</v>
      </c>
      <c r="K13" s="16">
        <f>SUMIFS(Wheat_Yr!K:K,Wheat_Yr!$B:$B,"Food")+SUMIFS(Durum_Yr!K:K,Durum_Yr!$B:$B,"Food")+SUMIFS(Barley_Yr!K:K,Barley_Yr!$B:$B,"Food")+SUMIFS(Oats_Yr!K:K,Oats_Yr!$B:$B,"Food")</f>
        <v>2900.5000000000005</v>
      </c>
      <c r="L13" s="16">
        <f>SUMIFS(Wheat_Yr!L:L,Wheat_Yr!$B:$B,"Food")+SUMIFS(Durum_Yr!L:L,Durum_Yr!$B:$B,"Food")+SUMIFS(Barley_Yr!L:L,Barley_Yr!$B:$B,"Food")+SUMIFS(Oats_Yr!L:L,Oats_Yr!$B:$B,"Food")</f>
        <v>2907.8</v>
      </c>
      <c r="M13" s="16">
        <f>SUMIFS(Wheat_Yr!M:M,Wheat_Yr!$B:$B,"Food")+SUMIFS(Durum_Yr!M:M,Durum_Yr!$B:$B,"Food")+SUMIFS(Barley_Yr!M:M,Barley_Yr!$B:$B,"Food")+SUMIFS(Oats_Yr!M:M,Oats_Yr!$B:$B,"Food")</f>
        <v>2870.7000000000012</v>
      </c>
      <c r="N13" s="16">
        <f>SUMIFS(Wheat_Yr!N:N,Wheat_Yr!$B:$B,"Food")+SUMIFS(Durum_Yr!N:N,Durum_Yr!$B:$B,"Food")+SUMIFS(Barley_Yr!N:N,Barley_Yr!$B:$B,"Food")+SUMIFS(Oats_Yr!N:N,Oats_Yr!$B:$B,"Food")</f>
        <v>2876.6000000000008</v>
      </c>
      <c r="O13" s="16">
        <f>SUMIFS(Wheat_Yr!O:O,Wheat_Yr!$B:$B,"Food")+SUMIFS(Durum_Yr!O:O,Durum_Yr!$B:$B,"Food")+SUMIFS(Barley_Yr!O:O,Barley_Yr!$B:$B,"Food")+SUMIFS(Oats_Yr!O:O,Oats_Yr!$B:$B,"Food")</f>
        <v>2891.4</v>
      </c>
      <c r="P13" s="16">
        <f>SUMIFS(Wheat_Yr!P:P,Wheat_Yr!$B:$B,"Food")+SUMIFS(Durum_Yr!P:P,Durum_Yr!$B:$B,"Food")+SUMIFS(Barley_Yr!P:P,Barley_Yr!$B:$B,"Food")+SUMIFS(Oats_Yr!P:P,Oats_Yr!$B:$B,"Food")</f>
        <v>2840.900000000001</v>
      </c>
      <c r="Q13" s="16">
        <f>SUMIFS(Wheat_Yr!Q:Q,Wheat_Yr!$B:$B,"Food")+SUMIFS(Durum_Yr!Q:Q,Durum_Yr!$B:$B,"Food")+SUMIFS(Barley_Yr!Q:Q,Barley_Yr!$B:$B,"Food")+SUMIFS(Oats_Yr!Q:Q,Oats_Yr!$B:$B,"Food")</f>
        <v>3048.9999999999991</v>
      </c>
      <c r="R13" s="16">
        <f>SUMIFS(Wheat_Yr!R:R,Wheat_Yr!$B:$B,"Food")+SUMIFS(Durum_Yr!R:R,Durum_Yr!$B:$B,"Food")+SUMIFS(Barley_Yr!R:R,Barley_Yr!$B:$B,"Food")+SUMIFS(Oats_Yr!R:R,Oats_Yr!$B:$B,"Food")</f>
        <v>2848.7999999999984</v>
      </c>
      <c r="S13" s="16">
        <f>SUMIFS(Wheat_Yr!S:S,Wheat_Yr!$B:$B,"Food")+SUMIFS(Durum_Yr!S:S,Durum_Yr!$B:$B,"Food")+SUMIFS(Barley_Yr!S:S,Barley_Yr!$B:$B,"Food")+SUMIFS(Oats_Yr!S:S,Oats_Yr!$B:$B,"Food")</f>
        <v>2983.2999999999993</v>
      </c>
      <c r="T13" s="16">
        <f>SUMIFS(Wheat_Yr!T:T,Wheat_Yr!$B:$B,"Food")+SUMIFS(Durum_Yr!T:T,Durum_Yr!$B:$B,"Food")+SUMIFS(Barley_Yr!T:T,Barley_Yr!$B:$B,"Food")+SUMIFS(Oats_Yr!T:T,Oats_Yr!$B:$B,"Food")</f>
        <v>3136.9000000000005</v>
      </c>
      <c r="U13" s="16">
        <f>SUMIFS(Wheat_Yr!U:U,Wheat_Yr!$B:$B,"Food")+SUMIFS(Durum_Yr!U:U,Durum_Yr!$B:$B,"Food")+SUMIFS(Barley_Yr!U:U,Barley_Yr!$B:$B,"Food")+SUMIFS(Oats_Yr!U:U,Oats_Yr!$B:$B,"Food")</f>
        <v>3180.9</v>
      </c>
      <c r="V13" s="16">
        <f>SUMIFS(Wheat_Yr!V:V,Wheat_Yr!$B:$B,"Food")+SUMIFS(Durum_Yr!V:V,Durum_Yr!$B:$B,"Food")+SUMIFS(Barley_Yr!V:V,Barley_Yr!$B:$B,"Food")+SUMIFS(Oats_Yr!V:V,Oats_Yr!$B:$B,"Food")</f>
        <v>3102.7999999999997</v>
      </c>
      <c r="W13" s="16">
        <f>SUMIFS(Wheat_Yr!W:W,Wheat_Yr!$B:$B,"Food")+SUMIFS(Durum_Yr!W:W,Durum_Yr!$B:$B,"Food")+SUMIFS(Barley_Yr!W:W,Barley_Yr!$B:$B,"Food")+SUMIFS(Oats_Yr!W:W,Oats_Yr!$B:$B,"Food")</f>
        <v>3196</v>
      </c>
      <c r="X13" s="16">
        <f>SUMIFS(Wheat_Yr!X:X,Wheat_Yr!$B:$B,"Food")+SUMIFS(Durum_Yr!X:X,Durum_Yr!$B:$B,"Food")+SUMIFS(Barley_Yr!X:X,Barley_Yr!$B:$B,"Food")+SUMIFS(Oats_Yr!X:X,Oats_Yr!$B:$B,"Food")</f>
        <v>3169.2999999999993</v>
      </c>
      <c r="Y13" s="16">
        <f>SUMIFS(Wheat_Yr!Y:Y,Wheat_Yr!$B:$B,"Food")+SUMIFS(Durum_Yr!Y:Y,Durum_Yr!$B:$B,"Food")+SUMIFS(Barley_Yr!Y:Y,Barley_Yr!$B:$B,"Food")+SUMIFS(Oats_Yr!Y:Y,Oats_Yr!$B:$B,"Food")</f>
        <v>3205.900000000001</v>
      </c>
      <c r="Z13" s="16">
        <f>SUMIFS(Wheat_Yr!Z:Z,Wheat_Yr!$B:$B,"Food")+SUMIFS(Durum_Yr!Z:Z,Durum_Yr!$B:$B,"Food")+SUMIFS(Barley_Yr!Z:Z,Barley_Yr!$B:$B,"Food")+SUMIFS(Oats_Yr!Z:Z,Oats_Yr!$B:$B,"Food")</f>
        <v>3231.2</v>
      </c>
    </row>
    <row r="14" spans="1:26" x14ac:dyDescent="0.3">
      <c r="A14" s="11" t="s">
        <v>77</v>
      </c>
      <c r="B14" s="11" t="s">
        <v>47</v>
      </c>
      <c r="C14" s="12" t="s">
        <v>59</v>
      </c>
      <c r="D14" s="16">
        <f>SUMIFS(Wheat_Yr!D:D,Wheat_Yr!$B:$B,"Industrial")+SUMIFS(Durum_Yr!D:D,Durum_Yr!$B:$B,"Industrial")+SUMIFS(Barley_Yr!D:D,Barley_Yr!$B:$B,"Industrial")+SUMIFS(Oats_Yr!D:D,Oats_Yr!$B:$B,"Industrial")</f>
        <v>420.49999999999983</v>
      </c>
      <c r="E14" s="16">
        <f>SUMIFS(Wheat_Yr!E:E,Wheat_Yr!$B:$B,"Industrial")+SUMIFS(Durum_Yr!E:E,Durum_Yr!$B:$B,"Industrial")+SUMIFS(Barley_Yr!E:E,Barley_Yr!$B:$B,"Industrial")+SUMIFS(Oats_Yr!E:E,Oats_Yr!$B:$B,"Industrial")</f>
        <v>396.9</v>
      </c>
      <c r="F14" s="16">
        <f>SUMIFS(Wheat_Yr!F:F,Wheat_Yr!$B:$B,"Industrial")+SUMIFS(Durum_Yr!F:F,Durum_Yr!$B:$B,"Industrial")+SUMIFS(Barley_Yr!F:F,Barley_Yr!$B:$B,"Industrial")+SUMIFS(Oats_Yr!F:F,Oats_Yr!$B:$B,"Industrial")</f>
        <v>391.6</v>
      </c>
      <c r="G14" s="16">
        <f>SUMIFS(Wheat_Yr!G:G,Wheat_Yr!$B:$B,"Industrial")+SUMIFS(Durum_Yr!G:G,Durum_Yr!$B:$B,"Industrial")+SUMIFS(Barley_Yr!G:G,Barley_Yr!$B:$B,"Industrial")+SUMIFS(Oats_Yr!G:G,Oats_Yr!$B:$B,"Industrial")</f>
        <v>331.30000000000007</v>
      </c>
      <c r="H14" s="16">
        <f>SUMIFS(Wheat_Yr!H:H,Wheat_Yr!$B:$B,"Industrial")+SUMIFS(Durum_Yr!H:H,Durum_Yr!$B:$B,"Industrial")+SUMIFS(Barley_Yr!H:H,Barley_Yr!$B:$B,"Industrial")+SUMIFS(Oats_Yr!H:H,Oats_Yr!$B:$B,"Industrial")</f>
        <v>580.80000000000007</v>
      </c>
      <c r="I14" s="16">
        <f>SUMIFS(Wheat_Yr!I:I,Wheat_Yr!$B:$B,"Industrial")+SUMIFS(Durum_Yr!I:I,Durum_Yr!$B:$B,"Industrial")+SUMIFS(Barley_Yr!I:I,Barley_Yr!$B:$B,"Industrial")+SUMIFS(Oats_Yr!I:I,Oats_Yr!$B:$B,"Industrial")</f>
        <v>534.30000000000018</v>
      </c>
      <c r="J14" s="16">
        <f>SUMIFS(Wheat_Yr!J:J,Wheat_Yr!$B:$B,"Industrial")+SUMIFS(Durum_Yr!J:J,Durum_Yr!$B:$B,"Industrial")+SUMIFS(Barley_Yr!J:J,Barley_Yr!$B:$B,"Industrial")+SUMIFS(Oats_Yr!J:J,Oats_Yr!$B:$B,"Industrial")</f>
        <v>789.8000000000003</v>
      </c>
      <c r="K14" s="16">
        <f>SUMIFS(Wheat_Yr!K:K,Wheat_Yr!$B:$B,"Industrial")+SUMIFS(Durum_Yr!K:K,Durum_Yr!$B:$B,"Industrial")+SUMIFS(Barley_Yr!K:K,Barley_Yr!$B:$B,"Industrial")+SUMIFS(Oats_Yr!K:K,Oats_Yr!$B:$B,"Industrial")</f>
        <v>854</v>
      </c>
      <c r="L14" s="16">
        <f>SUMIFS(Wheat_Yr!L:L,Wheat_Yr!$B:$B,"Industrial")+SUMIFS(Durum_Yr!L:L,Durum_Yr!$B:$B,"Industrial")+SUMIFS(Barley_Yr!L:L,Barley_Yr!$B:$B,"Industrial")+SUMIFS(Oats_Yr!L:L,Oats_Yr!$B:$B,"Industrial")</f>
        <v>947.10000000000014</v>
      </c>
      <c r="M14" s="16">
        <f>SUMIFS(Wheat_Yr!M:M,Wheat_Yr!$B:$B,"Industrial")+SUMIFS(Durum_Yr!M:M,Durum_Yr!$B:$B,"Industrial")+SUMIFS(Barley_Yr!M:M,Barley_Yr!$B:$B,"Industrial")+SUMIFS(Oats_Yr!M:M,Oats_Yr!$B:$B,"Industrial")</f>
        <v>1144.3000000000002</v>
      </c>
      <c r="N14" s="16">
        <f>SUMIFS(Wheat_Yr!N:N,Wheat_Yr!$B:$B,"Industrial")+SUMIFS(Durum_Yr!N:N,Durum_Yr!$B:$B,"Industrial")+SUMIFS(Barley_Yr!N:N,Barley_Yr!$B:$B,"Industrial")+SUMIFS(Oats_Yr!N:N,Oats_Yr!$B:$B,"Industrial")</f>
        <v>892.1</v>
      </c>
      <c r="O14" s="16">
        <f>SUMIFS(Wheat_Yr!O:O,Wheat_Yr!$B:$B,"Industrial")+SUMIFS(Durum_Yr!O:O,Durum_Yr!$B:$B,"Industrial")+SUMIFS(Barley_Yr!O:O,Barley_Yr!$B:$B,"Industrial")+SUMIFS(Oats_Yr!O:O,Oats_Yr!$B:$B,"Industrial")</f>
        <v>969.2</v>
      </c>
      <c r="P14" s="16">
        <f>SUMIFS(Wheat_Yr!P:P,Wheat_Yr!$B:$B,"Industrial")+SUMIFS(Durum_Yr!P:P,Durum_Yr!$B:$B,"Industrial")+SUMIFS(Barley_Yr!P:P,Barley_Yr!$B:$B,"Industrial")+SUMIFS(Oats_Yr!P:P,Oats_Yr!$B:$B,"Industrial")</f>
        <v>961.7</v>
      </c>
      <c r="Q14" s="16">
        <f>SUMIFS(Wheat_Yr!Q:Q,Wheat_Yr!$B:$B,"Industrial")+SUMIFS(Durum_Yr!Q:Q,Durum_Yr!$B:$B,"Industrial")+SUMIFS(Barley_Yr!Q:Q,Barley_Yr!$B:$B,"Industrial")+SUMIFS(Oats_Yr!Q:Q,Oats_Yr!$B:$B,"Industrial")</f>
        <v>790.10000000000025</v>
      </c>
      <c r="R14" s="16">
        <f>SUMIFS(Wheat_Yr!R:R,Wheat_Yr!$B:$B,"Industrial")+SUMIFS(Durum_Yr!R:R,Durum_Yr!$B:$B,"Industrial")+SUMIFS(Barley_Yr!R:R,Barley_Yr!$B:$B,"Industrial")+SUMIFS(Oats_Yr!R:R,Oats_Yr!$B:$B,"Industrial")</f>
        <v>804.20000000000039</v>
      </c>
      <c r="S14" s="16">
        <f>SUMIFS(Wheat_Yr!S:S,Wheat_Yr!$B:$B,"Industrial")+SUMIFS(Durum_Yr!S:S,Durum_Yr!$B:$B,"Industrial")+SUMIFS(Barley_Yr!S:S,Barley_Yr!$B:$B,"Industrial")+SUMIFS(Oats_Yr!S:S,Oats_Yr!$B:$B,"Industrial")</f>
        <v>603.49999999999977</v>
      </c>
      <c r="T14" s="16">
        <f>SUMIFS(Wheat_Yr!T:T,Wheat_Yr!$B:$B,"Industrial")+SUMIFS(Durum_Yr!T:T,Durum_Yr!$B:$B,"Industrial")+SUMIFS(Barley_Yr!T:T,Barley_Yr!$B:$B,"Industrial")+SUMIFS(Oats_Yr!T:T,Oats_Yr!$B:$B,"Industrial")</f>
        <v>800.39999999999986</v>
      </c>
      <c r="U14" s="16">
        <f>SUMIFS(Wheat_Yr!U:U,Wheat_Yr!$B:$B,"Industrial")+SUMIFS(Durum_Yr!U:U,Durum_Yr!$B:$B,"Industrial")+SUMIFS(Barley_Yr!U:U,Barley_Yr!$B:$B,"Industrial")+SUMIFS(Oats_Yr!U:U,Oats_Yr!$B:$B,"Industrial")</f>
        <v>825.00000000000023</v>
      </c>
      <c r="V14" s="16">
        <f>SUMIFS(Wheat_Yr!V:V,Wheat_Yr!$B:$B,"Industrial")+SUMIFS(Durum_Yr!V:V,Durum_Yr!$B:$B,"Industrial")+SUMIFS(Barley_Yr!V:V,Barley_Yr!$B:$B,"Industrial")+SUMIFS(Oats_Yr!V:V,Oats_Yr!$B:$B,"Industrial")</f>
        <v>763.19999999999982</v>
      </c>
      <c r="W14" s="16">
        <f>SUMIFS(Wheat_Yr!W:W,Wheat_Yr!$B:$B,"Industrial")+SUMIFS(Durum_Yr!W:W,Durum_Yr!$B:$B,"Industrial")+SUMIFS(Barley_Yr!W:W,Barley_Yr!$B:$B,"Industrial")+SUMIFS(Oats_Yr!W:W,Oats_Yr!$B:$B,"Industrial")</f>
        <v>646.29999999999995</v>
      </c>
      <c r="X14" s="16">
        <f>SUMIFS(Wheat_Yr!X:X,Wheat_Yr!$B:$B,"Industrial")+SUMIFS(Durum_Yr!X:X,Durum_Yr!$B:$B,"Industrial")+SUMIFS(Barley_Yr!X:X,Barley_Yr!$B:$B,"Industrial")+SUMIFS(Oats_Yr!X:X,Oats_Yr!$B:$B,"Industrial")</f>
        <v>475.80000000000007</v>
      </c>
      <c r="Y14" s="16">
        <f>SUMIFS(Wheat_Yr!Y:Y,Wheat_Yr!$B:$B,"Industrial")+SUMIFS(Durum_Yr!Y:Y,Durum_Yr!$B:$B,"Industrial")+SUMIFS(Barley_Yr!Y:Y,Barley_Yr!$B:$B,"Industrial")+SUMIFS(Oats_Yr!Y:Y,Oats_Yr!$B:$B,"Industrial")</f>
        <v>427.8</v>
      </c>
      <c r="Z14" s="16">
        <f>SUMIFS(Wheat_Yr!Z:Z,Wheat_Yr!$B:$B,"Industrial")+SUMIFS(Durum_Yr!Z:Z,Durum_Yr!$B:$B,"Industrial")+SUMIFS(Barley_Yr!Z:Z,Barley_Yr!$B:$B,"Industrial")+SUMIFS(Oats_Yr!Z:Z,Oats_Yr!$B:$B,"Industrial")</f>
        <v>430.30000000000018</v>
      </c>
    </row>
    <row r="15" spans="1:26" x14ac:dyDescent="0.3">
      <c r="A15" s="11" t="s">
        <v>77</v>
      </c>
      <c r="B15" s="11" t="s">
        <v>50</v>
      </c>
      <c r="C15" s="12" t="s">
        <v>59</v>
      </c>
      <c r="D15" s="16">
        <f>SUMIFS(Wheat_Yr!D:D,Wheat_Yr!$B:$B,"FSR")+SUMIFS(Durum_Yr!D:D,Durum_Yr!$B:$B,"FSR")+SUMIFS(Barley_Yr!D:D,Barley_Yr!$B:$B,"FSR")+SUMIFS(Oats_Yr!D:D,Oats_Yr!$B:$B,"FSR")</f>
        <v>14130.087999999996</v>
      </c>
      <c r="E15" s="16">
        <f>SUMIFS(Wheat_Yr!E:E,Wheat_Yr!$B:$B,"FSR")+SUMIFS(Durum_Yr!E:E,Durum_Yr!$B:$B,"FSR")+SUMIFS(Barley_Yr!E:E,Barley_Yr!$B:$B,"FSR")+SUMIFS(Oats_Yr!E:E,Oats_Yr!$B:$B,"FSR")</f>
        <v>15273.062</v>
      </c>
      <c r="F15" s="16">
        <f>SUMIFS(Wheat_Yr!F:F,Wheat_Yr!$B:$B,"FSR")+SUMIFS(Durum_Yr!F:F,Durum_Yr!$B:$B,"FSR")+SUMIFS(Barley_Yr!F:F,Barley_Yr!$B:$B,"FSR")+SUMIFS(Oats_Yr!F:F,Oats_Yr!$B:$B,"FSR")</f>
        <v>16781.356000000003</v>
      </c>
      <c r="G15" s="16">
        <f>SUMIFS(Wheat_Yr!G:G,Wheat_Yr!$B:$B,"FSR")+SUMIFS(Durum_Yr!G:G,Durum_Yr!$B:$B,"FSR")+SUMIFS(Barley_Yr!G:G,Barley_Yr!$B:$B,"FSR")+SUMIFS(Oats_Yr!G:G,Oats_Yr!$B:$B,"FSR")</f>
        <v>16272.285999999996</v>
      </c>
      <c r="H15" s="16">
        <f>SUMIFS(Wheat_Yr!H:H,Wheat_Yr!$B:$B,"FSR")+SUMIFS(Durum_Yr!H:H,Durum_Yr!$B:$B,"FSR")+SUMIFS(Barley_Yr!H:H,Barley_Yr!$B:$B,"FSR")+SUMIFS(Oats_Yr!H:H,Oats_Yr!$B:$B,"FSR")</f>
        <v>17604.927000000003</v>
      </c>
      <c r="I15" s="16">
        <f>SUMIFS(Wheat_Yr!I:I,Wheat_Yr!$B:$B,"FSR")+SUMIFS(Durum_Yr!I:I,Durum_Yr!$B:$B,"FSR")+SUMIFS(Barley_Yr!I:I,Barley_Yr!$B:$B,"FSR")+SUMIFS(Oats_Yr!I:I,Oats_Yr!$B:$B,"FSR")</f>
        <v>12780.889000000001</v>
      </c>
      <c r="J15" s="16">
        <f>SUMIFS(Wheat_Yr!J:J,Wheat_Yr!$B:$B,"FSR")+SUMIFS(Durum_Yr!J:J,Durum_Yr!$B:$B,"FSR")+SUMIFS(Barley_Yr!J:J,Barley_Yr!$B:$B,"FSR")+SUMIFS(Oats_Yr!J:J,Oats_Yr!$B:$B,"FSR")</f>
        <v>14581.522000000003</v>
      </c>
      <c r="K15" s="16">
        <f>SUMIFS(Wheat_Yr!K:K,Wheat_Yr!$B:$B,"FSR")+SUMIFS(Durum_Yr!K:K,Durum_Yr!$B:$B,"FSR")+SUMIFS(Barley_Yr!K:K,Barley_Yr!$B:$B,"FSR")+SUMIFS(Oats_Yr!K:K,Oats_Yr!$B:$B,"FSR")</f>
        <v>13690.462</v>
      </c>
      <c r="L15" s="16">
        <f>SUMIFS(Wheat_Yr!L:L,Wheat_Yr!$B:$B,"FSR")+SUMIFS(Durum_Yr!L:L,Durum_Yr!$B:$B,"FSR")+SUMIFS(Barley_Yr!L:L,Barley_Yr!$B:$B,"FSR")+SUMIFS(Oats_Yr!L:L,Oats_Yr!$B:$B,"FSR")</f>
        <v>12357.649000000001</v>
      </c>
      <c r="M15" s="16">
        <f>SUMIFS(Wheat_Yr!M:M,Wheat_Yr!$B:$B,"FSR")+SUMIFS(Durum_Yr!M:M,Durum_Yr!$B:$B,"FSR")+SUMIFS(Barley_Yr!M:M,Barley_Yr!$B:$B,"FSR")+SUMIFS(Oats_Yr!M:M,Oats_Yr!$B:$B,"FSR")</f>
        <v>13728.832000000004</v>
      </c>
      <c r="N15" s="16">
        <f>SUMIFS(Wheat_Yr!N:N,Wheat_Yr!$B:$B,"FSR")+SUMIFS(Durum_Yr!N:N,Durum_Yr!$B:$B,"FSR")+SUMIFS(Barley_Yr!N:N,Barley_Yr!$B:$B,"FSR")+SUMIFS(Oats_Yr!N:N,Oats_Yr!$B:$B,"FSR")</f>
        <v>13799.097000000007</v>
      </c>
      <c r="O15" s="16">
        <f>SUMIFS(Wheat_Yr!O:O,Wheat_Yr!$B:$B,"FSR")+SUMIFS(Durum_Yr!O:O,Durum_Yr!$B:$B,"FSR")+SUMIFS(Barley_Yr!O:O,Barley_Yr!$B:$B,"FSR")+SUMIFS(Oats_Yr!O:O,Oats_Yr!$B:$B,"FSR")</f>
        <v>14679.070999999993</v>
      </c>
      <c r="P15" s="16">
        <f>SUMIFS(Wheat_Yr!P:P,Wheat_Yr!$B:$B,"FSR")+SUMIFS(Durum_Yr!P:P,Durum_Yr!$B:$B,"FSR")+SUMIFS(Barley_Yr!P:P,Barley_Yr!$B:$B,"FSR")+SUMIFS(Oats_Yr!P:P,Oats_Yr!$B:$B,"FSR")</f>
        <v>13173.829000000002</v>
      </c>
      <c r="Q15" s="16">
        <f>SUMIFS(Wheat_Yr!Q:Q,Wheat_Yr!$B:$B,"FSR")+SUMIFS(Durum_Yr!Q:Q,Durum_Yr!$B:$B,"FSR")+SUMIFS(Barley_Yr!Q:Q,Barley_Yr!$B:$B,"FSR")+SUMIFS(Oats_Yr!Q:Q,Oats_Yr!$B:$B,"FSR")</f>
        <v>12380.517999999998</v>
      </c>
      <c r="R15" s="16">
        <f>SUMIFS(Wheat_Yr!R:R,Wheat_Yr!$B:$B,"FSR")+SUMIFS(Durum_Yr!R:R,Durum_Yr!$B:$B,"FSR")+SUMIFS(Barley_Yr!R:R,Barley_Yr!$B:$B,"FSR")+SUMIFS(Oats_Yr!R:R,Oats_Yr!$B:$B,"FSR")</f>
        <v>15301.038999999995</v>
      </c>
      <c r="S15" s="16">
        <f>SUMIFS(Wheat_Yr!S:S,Wheat_Yr!$B:$B,"FSR")+SUMIFS(Durum_Yr!S:S,Durum_Yr!$B:$B,"FSR")+SUMIFS(Barley_Yr!S:S,Barley_Yr!$B:$B,"FSR")+SUMIFS(Oats_Yr!S:S,Oats_Yr!$B:$B,"FSR")</f>
        <v>13973.907000000001</v>
      </c>
      <c r="T15" s="16">
        <f>SUMIFS(Wheat_Yr!T:T,Wheat_Yr!$B:$B,"FSR")+SUMIFS(Durum_Yr!T:T,Durum_Yr!$B:$B,"FSR")+SUMIFS(Barley_Yr!T:T,Barley_Yr!$B:$B,"FSR")+SUMIFS(Oats_Yr!T:T,Oats_Yr!$B:$B,"FSR")</f>
        <v>13265.854999999996</v>
      </c>
      <c r="U15" s="16">
        <f>SUMIFS(Wheat_Yr!U:U,Wheat_Yr!$B:$B,"FSR")+SUMIFS(Durum_Yr!U:U,Durum_Yr!$B:$B,"FSR")+SUMIFS(Barley_Yr!U:U,Barley_Yr!$B:$B,"FSR")+SUMIFS(Oats_Yr!U:U,Oats_Yr!$B:$B,"FSR")</f>
        <v>15664.30600000001</v>
      </c>
      <c r="V15" s="16">
        <f>SUMIFS(Wheat_Yr!V:V,Wheat_Yr!$B:$B,"FSR")+SUMIFS(Durum_Yr!V:V,Durum_Yr!$B:$B,"FSR")+SUMIFS(Barley_Yr!V:V,Barley_Yr!$B:$B,"FSR")+SUMIFS(Oats_Yr!V:V,Oats_Yr!$B:$B,"FSR")</f>
        <v>14601.061000000002</v>
      </c>
      <c r="W15" s="16">
        <f>SUMIFS(Wheat_Yr!W:W,Wheat_Yr!$B:$B,"FSR")+SUMIFS(Durum_Yr!W:W,Durum_Yr!$B:$B,"FSR")+SUMIFS(Barley_Yr!W:W,Barley_Yr!$B:$B,"FSR")+SUMIFS(Oats_Yr!W:W,Oats_Yr!$B:$B,"FSR")</f>
        <v>12329.205999999996</v>
      </c>
      <c r="X15" s="16">
        <f>SUMIFS(Wheat_Yr!X:X,Wheat_Yr!$B:$B,"FSR")+SUMIFS(Durum_Yr!X:X,Durum_Yr!$B:$B,"FSR")+SUMIFS(Barley_Yr!X:X,Barley_Yr!$B:$B,"FSR")+SUMIFS(Oats_Yr!X:X,Oats_Yr!$B:$B,"FSR")</f>
        <v>12901.470000000001</v>
      </c>
      <c r="Y15" s="16">
        <f>SUMIFS(Wheat_Yr!Y:Y,Wheat_Yr!$B:$B,"FSR")+SUMIFS(Durum_Yr!Y:Y,Durum_Yr!$B:$B,"FSR")+SUMIFS(Barley_Yr!Y:Y,Barley_Yr!$B:$B,"FSR")+SUMIFS(Oats_Yr!Y:Y,Oats_Yr!$B:$B,"FSR")</f>
        <v>12913.262999999999</v>
      </c>
      <c r="Z15" s="16">
        <f>SUMIFS(Wheat_Yr!Z:Z,Wheat_Yr!$B:$B,"FSR")+SUMIFS(Durum_Yr!Z:Z,Durum_Yr!$B:$B,"FSR")+SUMIFS(Barley_Yr!Z:Z,Barley_Yr!$B:$B,"FSR")+SUMIFS(Oats_Yr!Z:Z,Oats_Yr!$B:$B,"FSR")</f>
        <v>11887.587000000003</v>
      </c>
    </row>
    <row r="16" spans="1:26" x14ac:dyDescent="0.3">
      <c r="A16" s="11" t="s">
        <v>77</v>
      </c>
      <c r="B16" s="11" t="s">
        <v>44</v>
      </c>
      <c r="C16" s="12" t="s">
        <v>59</v>
      </c>
      <c r="D16" s="16">
        <f>SUMIFS(Wheat_Yr!D:D,Wheat_Yr!$B:$B,"Exports")+SUMIFS(Durum_Yr!D:D,Durum_Yr!$B:$B,"Exports")+SUMIFS(Barley_Yr!D:D,Barley_Yr!$B:$B,"Exports")+SUMIFS(Oats_Yr!D:D,Oats_Yr!$B:$B,"Exports")</f>
        <v>10587.034</v>
      </c>
      <c r="E16" s="16">
        <f>SUMIFS(Wheat_Yr!E:E,Wheat_Yr!$B:$B,"Exports")+SUMIFS(Durum_Yr!E:E,Durum_Yr!$B:$B,"Exports")+SUMIFS(Barley_Yr!E:E,Barley_Yr!$B:$B,"Exports")+SUMIFS(Oats_Yr!E:E,Oats_Yr!$B:$B,"Exports")</f>
        <v>18789.3</v>
      </c>
      <c r="F16" s="16">
        <f>SUMIFS(Wheat_Yr!F:F,Wheat_Yr!$B:$B,"Exports")+SUMIFS(Durum_Yr!F:F,Durum_Yr!$B:$B,"Exports")+SUMIFS(Barley_Yr!F:F,Barley_Yr!$B:$B,"Exports")+SUMIFS(Oats_Yr!F:F,Oats_Yr!$B:$B,"Exports")</f>
        <v>17228.944</v>
      </c>
      <c r="G16" s="16">
        <f>SUMIFS(Wheat_Yr!G:G,Wheat_Yr!$B:$B,"Exports")+SUMIFS(Durum_Yr!G:G,Durum_Yr!$B:$B,"Exports")+SUMIFS(Barley_Yr!G:G,Barley_Yr!$B:$B,"Exports")+SUMIFS(Oats_Yr!G:G,Oats_Yr!$B:$B,"Exports")</f>
        <v>19599.398999999998</v>
      </c>
      <c r="H16" s="16">
        <f>SUMIFS(Wheat_Yr!H:H,Wheat_Yr!$B:$B,"Exports")+SUMIFS(Durum_Yr!H:H,Durum_Yr!$B:$B,"Exports")+SUMIFS(Barley_Yr!H:H,Barley_Yr!$B:$B,"Exports")+SUMIFS(Oats_Yr!H:H,Oats_Yr!$B:$B,"Exports")</f>
        <v>22474.828999999998</v>
      </c>
      <c r="I16" s="16">
        <f>SUMIFS(Wheat_Yr!I:I,Wheat_Yr!$B:$B,"Exports")+SUMIFS(Durum_Yr!I:I,Durum_Yr!$B:$B,"Exports")+SUMIFS(Barley_Yr!I:I,Barley_Yr!$B:$B,"Exports")+SUMIFS(Oats_Yr!I:I,Oats_Yr!$B:$B,"Exports")</f>
        <v>21495.385999999999</v>
      </c>
      <c r="J16" s="16">
        <f>SUMIFS(Wheat_Yr!J:J,Wheat_Yr!$B:$B,"Exports")+SUMIFS(Durum_Yr!J:J,Durum_Yr!$B:$B,"Exports")+SUMIFS(Barley_Yr!J:J,Barley_Yr!$B:$B,"Exports")+SUMIFS(Oats_Yr!J:J,Oats_Yr!$B:$B,"Exports")</f>
        <v>22318.771999999997</v>
      </c>
      <c r="K16" s="16">
        <f>SUMIFS(Wheat_Yr!K:K,Wheat_Yr!$B:$B,"Exports")+SUMIFS(Durum_Yr!K:K,Durum_Yr!$B:$B,"Exports")+SUMIFS(Barley_Yr!K:K,Barley_Yr!$B:$B,"Exports")+SUMIFS(Oats_Yr!K:K,Oats_Yr!$B:$B,"Exports")</f>
        <v>21861.338</v>
      </c>
      <c r="L16" s="16">
        <f>SUMIFS(Wheat_Yr!L:L,Wheat_Yr!$B:$B,"Exports")+SUMIFS(Durum_Yr!L:L,Durum_Yr!$B:$B,"Exports")+SUMIFS(Barley_Yr!L:L,Barley_Yr!$B:$B,"Exports")+SUMIFS(Oats_Yr!L:L,Oats_Yr!$B:$B,"Exports")</f>
        <v>19134.527999999998</v>
      </c>
      <c r="M16" s="16">
        <f>SUMIFS(Wheat_Yr!M:M,Wheat_Yr!$B:$B,"Exports")+SUMIFS(Durum_Yr!M:M,Durum_Yr!$B:$B,"Exports")+SUMIFS(Barley_Yr!M:M,Barley_Yr!$B:$B,"Exports")+SUMIFS(Oats_Yr!M:M,Oats_Yr!$B:$B,"Exports")</f>
        <v>20390.911</v>
      </c>
      <c r="N16" s="16">
        <f>SUMIFS(Wheat_Yr!N:N,Wheat_Yr!$B:$B,"Exports")+SUMIFS(Durum_Yr!N:N,Durum_Yr!$B:$B,"Exports")+SUMIFS(Barley_Yr!N:N,Barley_Yr!$B:$B,"Exports")+SUMIFS(Oats_Yr!N:N,Oats_Yr!$B:$B,"Exports")</f>
        <v>22043.191999999999</v>
      </c>
      <c r="O16" s="16">
        <f>SUMIFS(Wheat_Yr!O:O,Wheat_Yr!$B:$B,"Exports")+SUMIFS(Durum_Yr!O:O,Durum_Yr!$B:$B,"Exports")+SUMIFS(Barley_Yr!O:O,Barley_Yr!$B:$B,"Exports")+SUMIFS(Oats_Yr!O:O,Oats_Yr!$B:$B,"Exports")</f>
        <v>26503.364000000001</v>
      </c>
      <c r="P16" s="16">
        <f>SUMIFS(Wheat_Yr!P:P,Wheat_Yr!$B:$B,"Exports")+SUMIFS(Durum_Yr!P:P,Durum_Yr!$B:$B,"Exports")+SUMIFS(Barley_Yr!P:P,Barley_Yr!$B:$B,"Exports")+SUMIFS(Oats_Yr!P:P,Oats_Yr!$B:$B,"Exports")</f>
        <v>27275.609000000004</v>
      </c>
      <c r="Q16" s="16">
        <f>SUMIFS(Wheat_Yr!Q:Q,Wheat_Yr!$B:$B,"Exports")+SUMIFS(Durum_Yr!Q:Q,Durum_Yr!$B:$B,"Exports")+SUMIFS(Barley_Yr!Q:Q,Barley_Yr!$B:$B,"Exports")+SUMIFS(Oats_Yr!Q:Q,Oats_Yr!$B:$B,"Exports")</f>
        <v>24821.41</v>
      </c>
      <c r="R16" s="16">
        <f>SUMIFS(Wheat_Yr!R:R,Wheat_Yr!$B:$B,"Exports")+SUMIFS(Durum_Yr!R:R,Durum_Yr!$B:$B,"Exports")+SUMIFS(Barley_Yr!R:R,Barley_Yr!$B:$B,"Exports")+SUMIFS(Oats_Yr!R:R,Oats_Yr!$B:$B,"Exports")</f>
        <v>23297.597000000005</v>
      </c>
      <c r="S16" s="16">
        <f>SUMIFS(Wheat_Yr!S:S,Wheat_Yr!$B:$B,"Exports")+SUMIFS(Durum_Yr!S:S,Durum_Yr!$B:$B,"Exports")+SUMIFS(Barley_Yr!S:S,Barley_Yr!$B:$B,"Exports")+SUMIFS(Oats_Yr!S:S,Oats_Yr!$B:$B,"Exports")</f>
        <v>25612.998999999996</v>
      </c>
      <c r="T16" s="16">
        <f>SUMIFS(Wheat_Yr!T:T,Wheat_Yr!$B:$B,"Exports")+SUMIFS(Durum_Yr!T:T,Durum_Yr!$B:$B,"Exports")+SUMIFS(Barley_Yr!T:T,Barley_Yr!$B:$B,"Exports")+SUMIFS(Oats_Yr!T:T,Oats_Yr!$B:$B,"Exports")</f>
        <v>28601.105000000003</v>
      </c>
      <c r="U16" s="16">
        <f>SUMIFS(Wheat_Yr!U:U,Wheat_Yr!$B:$B,"Exports")+SUMIFS(Durum_Yr!U:U,Durum_Yr!$B:$B,"Exports")+SUMIFS(Barley_Yr!U:U,Barley_Yr!$B:$B,"Exports")+SUMIFS(Oats_Yr!U:U,Oats_Yr!$B:$B,"Exports")</f>
        <v>28392.516000000003</v>
      </c>
      <c r="V16" s="16">
        <f>SUMIFS(Wheat_Yr!V:V,Wheat_Yr!$B:$B,"Exports")+SUMIFS(Durum_Yr!V:V,Durum_Yr!$B:$B,"Exports")+SUMIFS(Barley_Yr!V:V,Barley_Yr!$B:$B,"Exports")+SUMIFS(Oats_Yr!V:V,Oats_Yr!$B:$B,"Exports")</f>
        <v>32312.823000000004</v>
      </c>
      <c r="W16" s="16">
        <f>SUMIFS(Wheat_Yr!W:W,Wheat_Yr!$B:$B,"Exports")+SUMIFS(Durum_Yr!W:W,Durum_Yr!$B:$B,"Exports")+SUMIFS(Barley_Yr!W:W,Barley_Yr!$B:$B,"Exports")+SUMIFS(Oats_Yr!W:W,Oats_Yr!$B:$B,"Exports")</f>
        <v>18838.547999999999</v>
      </c>
      <c r="X16" s="16">
        <f>SUMIFS(Wheat_Yr!X:X,Wheat_Yr!$B:$B,"Exports")+SUMIFS(Durum_Yr!X:X,Durum_Yr!$B:$B,"Exports")+SUMIFS(Barley_Yr!X:X,Barley_Yr!$B:$B,"Exports")+SUMIFS(Oats_Yr!X:X,Oats_Yr!$B:$B,"Exports")</f>
        <v>30816.206999999999</v>
      </c>
      <c r="Y16" s="16">
        <f>SUMIFS(Wheat_Yr!Y:Y,Wheat_Yr!$B:$B,"Exports")+SUMIFS(Durum_Yr!Y:Y,Durum_Yr!$B:$B,"Exports")+SUMIFS(Barley_Yr!Y:Y,Barley_Yr!$B:$B,"Exports")+SUMIFS(Oats_Yr!Y:Y,Oats_Yr!$B:$B,"Exports")</f>
        <v>29442.928</v>
      </c>
      <c r="Z16" s="16">
        <f>SUMIFS(Wheat_Yr!Z:Z,Wheat_Yr!$B:$B,"Exports")+SUMIFS(Durum_Yr!Z:Z,Durum_Yr!$B:$B,"Exports")+SUMIFS(Barley_Yr!Z:Z,Barley_Yr!$B:$B,"Exports")+SUMIFS(Oats_Yr!Z:Z,Oats_Yr!$B:$B,"Exports")</f>
        <v>33326.968999999997</v>
      </c>
    </row>
    <row r="17" spans="1:26" x14ac:dyDescent="0.3">
      <c r="A17" s="17" t="s">
        <v>77</v>
      </c>
      <c r="B17" s="17" t="s">
        <v>61</v>
      </c>
      <c r="C17" s="18" t="s">
        <v>59</v>
      </c>
      <c r="D17" s="19">
        <f>SUMIFS(Wheat_Yr!D:D,Wheat_Yr!$B:$B,"Total Disposition")+SUMIFS(Durum_Yr!D:D,Durum_Yr!$B:$B,"Total Disposition")+SUMIFS(Barley_Yr!D:D,Barley_Yr!$B:$B,"Total Disposition")+SUMIFS(Oats_Yr!D:D,Oats_Yr!$B:$B,"Total Disposition")</f>
        <v>28239.521999999997</v>
      </c>
      <c r="E17" s="19">
        <f>SUMIFS(Wheat_Yr!E:E,Wheat_Yr!$B:$B,"Total Disposition")+SUMIFS(Durum_Yr!E:E,Durum_Yr!$B:$B,"Total Disposition")+SUMIFS(Barley_Yr!E:E,Barley_Yr!$B:$B,"Total Disposition")+SUMIFS(Oats_Yr!E:E,Oats_Yr!$B:$B,"Total Disposition")</f>
        <v>37515.561999999998</v>
      </c>
      <c r="F17" s="19">
        <f>SUMIFS(Wheat_Yr!F:F,Wheat_Yr!$B:$B,"Total Disposition")+SUMIFS(Durum_Yr!F:F,Durum_Yr!$B:$B,"Total Disposition")+SUMIFS(Barley_Yr!F:F,Barley_Yr!$B:$B,"Total Disposition")+SUMIFS(Oats_Yr!F:F,Oats_Yr!$B:$B,"Total Disposition")</f>
        <v>37493.599999999999</v>
      </c>
      <c r="G17" s="19">
        <f>SUMIFS(Wheat_Yr!G:G,Wheat_Yr!$B:$B,"Total Disposition")+SUMIFS(Durum_Yr!G:G,Durum_Yr!$B:$B,"Total Disposition")+SUMIFS(Barley_Yr!G:G,Barley_Yr!$B:$B,"Total Disposition")+SUMIFS(Oats_Yr!G:G,Oats_Yr!$B:$B,"Total Disposition")</f>
        <v>39285.284999999996</v>
      </c>
      <c r="H17" s="19">
        <f>SUMIFS(Wheat_Yr!H:H,Wheat_Yr!$B:$B,"Total Disposition")+SUMIFS(Durum_Yr!H:H,Durum_Yr!$B:$B,"Total Disposition")+SUMIFS(Barley_Yr!H:H,Barley_Yr!$B:$B,"Total Disposition")+SUMIFS(Oats_Yr!H:H,Oats_Yr!$B:$B,"Total Disposition")</f>
        <v>43733.656000000003</v>
      </c>
      <c r="I17" s="19">
        <f>SUMIFS(Wheat_Yr!I:I,Wheat_Yr!$B:$B,"Total Disposition")+SUMIFS(Durum_Yr!I:I,Durum_Yr!$B:$B,"Total Disposition")+SUMIFS(Barley_Yr!I:I,Barley_Yr!$B:$B,"Total Disposition")+SUMIFS(Oats_Yr!I:I,Oats_Yr!$B:$B,"Total Disposition")</f>
        <v>37753.275000000001</v>
      </c>
      <c r="J17" s="19">
        <f>SUMIFS(Wheat_Yr!J:J,Wheat_Yr!$B:$B,"Total Disposition")+SUMIFS(Durum_Yr!J:J,Durum_Yr!$B:$B,"Total Disposition")+SUMIFS(Barley_Yr!J:J,Barley_Yr!$B:$B,"Total Disposition")+SUMIFS(Oats_Yr!J:J,Oats_Yr!$B:$B,"Total Disposition")</f>
        <v>40520.493999999999</v>
      </c>
      <c r="K17" s="19">
        <f>SUMIFS(Wheat_Yr!K:K,Wheat_Yr!$B:$B,"Total Disposition")+SUMIFS(Durum_Yr!K:K,Durum_Yr!$B:$B,"Total Disposition")+SUMIFS(Barley_Yr!K:K,Barley_Yr!$B:$B,"Total Disposition")+SUMIFS(Oats_Yr!K:K,Oats_Yr!$B:$B,"Total Disposition")</f>
        <v>39306.300000000003</v>
      </c>
      <c r="L17" s="19">
        <f>SUMIFS(Wheat_Yr!L:L,Wheat_Yr!$B:$B,"Total Disposition")+SUMIFS(Durum_Yr!L:L,Durum_Yr!$B:$B,"Total Disposition")+SUMIFS(Barley_Yr!L:L,Barley_Yr!$B:$B,"Total Disposition")+SUMIFS(Oats_Yr!L:L,Oats_Yr!$B:$B,"Total Disposition")</f>
        <v>35347.076999999997</v>
      </c>
      <c r="M17" s="19">
        <f>SUMIFS(Wheat_Yr!M:M,Wheat_Yr!$B:$B,"Total Disposition")+SUMIFS(Durum_Yr!M:M,Durum_Yr!$B:$B,"Total Disposition")+SUMIFS(Barley_Yr!M:M,Barley_Yr!$B:$B,"Total Disposition")+SUMIFS(Oats_Yr!M:M,Oats_Yr!$B:$B,"Total Disposition")</f>
        <v>38134.743000000002</v>
      </c>
      <c r="N17" s="19">
        <f>SUMIFS(Wheat_Yr!N:N,Wheat_Yr!$B:$B,"Total Disposition")+SUMIFS(Durum_Yr!N:N,Durum_Yr!$B:$B,"Total Disposition")+SUMIFS(Barley_Yr!N:N,Barley_Yr!$B:$B,"Total Disposition")+SUMIFS(Oats_Yr!N:N,Oats_Yr!$B:$B,"Total Disposition")</f>
        <v>39610.989000000009</v>
      </c>
      <c r="O17" s="19">
        <f>SUMIFS(Wheat_Yr!O:O,Wheat_Yr!$B:$B,"Total Disposition")+SUMIFS(Durum_Yr!O:O,Durum_Yr!$B:$B,"Total Disposition")+SUMIFS(Barley_Yr!O:O,Barley_Yr!$B:$B,"Total Disposition")+SUMIFS(Oats_Yr!O:O,Oats_Yr!$B:$B,"Total Disposition")</f>
        <v>45043.034999999996</v>
      </c>
      <c r="P17" s="19">
        <f>SUMIFS(Wheat_Yr!P:P,Wheat_Yr!$B:$B,"Total Disposition")+SUMIFS(Durum_Yr!P:P,Durum_Yr!$B:$B,"Total Disposition")+SUMIFS(Barley_Yr!P:P,Barley_Yr!$B:$B,"Total Disposition")+SUMIFS(Oats_Yr!P:P,Oats_Yr!$B:$B,"Total Disposition")</f>
        <v>44252.038000000008</v>
      </c>
      <c r="Q17" s="19">
        <f>SUMIFS(Wheat_Yr!Q:Q,Wheat_Yr!$B:$B,"Total Disposition")+SUMIFS(Durum_Yr!Q:Q,Durum_Yr!$B:$B,"Total Disposition")+SUMIFS(Barley_Yr!Q:Q,Barley_Yr!$B:$B,"Total Disposition")+SUMIFS(Oats_Yr!Q:Q,Oats_Yr!$B:$B,"Total Disposition")</f>
        <v>41041.027999999998</v>
      </c>
      <c r="R17" s="19">
        <f>SUMIFS(Wheat_Yr!R:R,Wheat_Yr!$B:$B,"Total Disposition")+SUMIFS(Durum_Yr!R:R,Durum_Yr!$B:$B,"Total Disposition")+SUMIFS(Barley_Yr!R:R,Barley_Yr!$B:$B,"Total Disposition")+SUMIFS(Oats_Yr!R:R,Oats_Yr!$B:$B,"Total Disposition")</f>
        <v>42251.635999999991</v>
      </c>
      <c r="S17" s="19">
        <f>SUMIFS(Wheat_Yr!S:S,Wheat_Yr!$B:$B,"Total Disposition")+SUMIFS(Durum_Yr!S:S,Durum_Yr!$B:$B,"Total Disposition")+SUMIFS(Barley_Yr!S:S,Barley_Yr!$B:$B,"Total Disposition")+SUMIFS(Oats_Yr!S:S,Oats_Yr!$B:$B,"Total Disposition")</f>
        <v>43173.705999999998</v>
      </c>
      <c r="T17" s="19">
        <f>SUMIFS(Wheat_Yr!T:T,Wheat_Yr!$B:$B,"Total Disposition")+SUMIFS(Durum_Yr!T:T,Durum_Yr!$B:$B,"Total Disposition")+SUMIFS(Barley_Yr!T:T,Barley_Yr!$B:$B,"Total Disposition")+SUMIFS(Oats_Yr!T:T,Oats_Yr!$B:$B,"Total Disposition")</f>
        <v>45804.259999999995</v>
      </c>
      <c r="U17" s="19">
        <f>SUMIFS(Wheat_Yr!U:U,Wheat_Yr!$B:$B,"Total Disposition")+SUMIFS(Durum_Yr!U:U,Durum_Yr!$B:$B,"Total Disposition")+SUMIFS(Barley_Yr!U:U,Barley_Yr!$B:$B,"Total Disposition")+SUMIFS(Oats_Yr!U:U,Oats_Yr!$B:$B,"Total Disposition")</f>
        <v>48062.722000000009</v>
      </c>
      <c r="V17" s="19">
        <f>SUMIFS(Wheat_Yr!V:V,Wheat_Yr!$B:$B,"Total Disposition")+SUMIFS(Durum_Yr!V:V,Durum_Yr!$B:$B,"Total Disposition")+SUMIFS(Barley_Yr!V:V,Barley_Yr!$B:$B,"Total Disposition")+SUMIFS(Oats_Yr!V:V,Oats_Yr!$B:$B,"Total Disposition")</f>
        <v>50779.884000000005</v>
      </c>
      <c r="W17" s="19">
        <f>SUMIFS(Wheat_Yr!W:W,Wheat_Yr!$B:$B,"Total Disposition")+SUMIFS(Durum_Yr!W:W,Durum_Yr!$B:$B,"Total Disposition")+SUMIFS(Barley_Yr!W:W,Barley_Yr!$B:$B,"Total Disposition")+SUMIFS(Oats_Yr!W:W,Oats_Yr!$B:$B,"Total Disposition")</f>
        <v>35010.053999999996</v>
      </c>
      <c r="X17" s="19">
        <f>SUMIFS(Wheat_Yr!X:X,Wheat_Yr!$B:$B,"Total Disposition")+SUMIFS(Durum_Yr!X:X,Durum_Yr!$B:$B,"Total Disposition")+SUMIFS(Barley_Yr!X:X,Barley_Yr!$B:$B,"Total Disposition")+SUMIFS(Oats_Yr!X:X,Oats_Yr!$B:$B,"Total Disposition")</f>
        <v>47362.776999999987</v>
      </c>
      <c r="Y17" s="19">
        <f>SUMIFS(Wheat_Yr!Y:Y,Wheat_Yr!$B:$B,"Total Disposition")+SUMIFS(Durum_Yr!Y:Y,Durum_Yr!$B:$B,"Total Disposition")+SUMIFS(Barley_Yr!Y:Y,Barley_Yr!$B:$B,"Total Disposition")+SUMIFS(Oats_Yr!Y:Y,Oats_Yr!$B:$B,"Total Disposition")</f>
        <v>45989.891000000011</v>
      </c>
      <c r="Z17" s="19">
        <f>SUMIFS(Wheat_Yr!Z:Z,Wheat_Yr!$B:$B,"Total Disposition")+SUMIFS(Durum_Yr!Z:Z,Durum_Yr!$B:$B,"Total Disposition")+SUMIFS(Barley_Yr!Z:Z,Barley_Yr!$B:$B,"Total Disposition")+SUMIFS(Oats_Yr!Z:Z,Oats_Yr!$B:$B,"Total Disposition")</f>
        <v>48876.055999999997</v>
      </c>
    </row>
    <row r="19" spans="1:26" x14ac:dyDescent="0.3">
      <c r="A19" s="20" t="s">
        <v>77</v>
      </c>
      <c r="B19" s="20" t="s">
        <v>62</v>
      </c>
      <c r="C19" s="21" t="s">
        <v>59</v>
      </c>
      <c r="D19" s="22">
        <f>SUMIFS(Wheat_Yr!D:D,Wheat_Yr!$B:$B,"Ending Stocks")+SUMIFS(Durum_Yr!D:D,Durum_Yr!$B:$B,"Ending Stocks")+SUMIFS(Barley_Yr!D:D,Barley_Yr!$B:$B,"Ending Stocks")+SUMIFS(Oats_Yr!D:D,Oats_Yr!$B:$B,"Ending Stocks")</f>
        <v>7713.8000000000075</v>
      </c>
      <c r="E19" s="22">
        <f>SUMIFS(Wheat_Yr!E:E,Wheat_Yr!$B:$B,"Ending Stocks")+SUMIFS(Durum_Yr!E:E,Durum_Yr!$B:$B,"Ending Stocks")+SUMIFS(Barley_Yr!E:E,Barley_Yr!$B:$B,"Ending Stocks")+SUMIFS(Oats_Yr!E:E,Oats_Yr!$B:$B,"Ending Stocks")</f>
        <v>8875.3000000000102</v>
      </c>
      <c r="F19" s="22">
        <f>SUMIFS(Wheat_Yr!F:F,Wheat_Yr!$B:$B,"Ending Stocks")+SUMIFS(Durum_Yr!F:F,Durum_Yr!$B:$B,"Ending Stocks")+SUMIFS(Barley_Yr!F:F,Barley_Yr!$B:$B,"Ending Stocks")+SUMIFS(Oats_Yr!F:F,Oats_Yr!$B:$B,"Ending Stocks")</f>
        <v>12331.500000000009</v>
      </c>
      <c r="G19" s="22">
        <f>SUMIFS(Wheat_Yr!G:G,Wheat_Yr!$B:$B,"Ending Stocks")+SUMIFS(Durum_Yr!G:G,Durum_Yr!$B:$B,"Ending Stocks")+SUMIFS(Barley_Yr!G:G,Barley_Yr!$B:$B,"Ending Stocks")+SUMIFS(Oats_Yr!G:G,Oats_Yr!$B:$B,"Ending Stocks")</f>
        <v>13857.900000000016</v>
      </c>
      <c r="H19" s="22">
        <f>SUMIFS(Wheat_Yr!H:H,Wheat_Yr!$B:$B,"Ending Stocks")+SUMIFS(Durum_Yr!H:H,Durum_Yr!$B:$B,"Ending Stocks")+SUMIFS(Barley_Yr!H:H,Barley_Yr!$B:$B,"Ending Stocks")+SUMIFS(Oats_Yr!H:H,Oats_Yr!$B:$B,"Ending Stocks")</f>
        <v>8911.9000000000124</v>
      </c>
      <c r="I19" s="22">
        <f>SUMIFS(Wheat_Yr!I:I,Wheat_Yr!$B:$B,"Ending Stocks")+SUMIFS(Durum_Yr!I:I,Durum_Yr!$B:$B,"Ending Stocks")+SUMIFS(Barley_Yr!I:I,Barley_Yr!$B:$B,"Ending Stocks")+SUMIFS(Oats_Yr!I:I,Oats_Yr!$B:$B,"Ending Stocks")</f>
        <v>6884.00000000001</v>
      </c>
      <c r="J19" s="22">
        <f>SUMIFS(Wheat_Yr!J:J,Wheat_Yr!$B:$B,"Ending Stocks")+SUMIFS(Durum_Yr!J:J,Durum_Yr!$B:$B,"Ending Stocks")+SUMIFS(Barley_Yr!J:J,Barley_Yr!$B:$B,"Ending Stocks")+SUMIFS(Oats_Yr!J:J,Oats_Yr!$B:$B,"Ending Stocks")</f>
        <v>11135.600000000008</v>
      </c>
      <c r="K19" s="22">
        <f>SUMIFS(Wheat_Yr!K:K,Wheat_Yr!$B:$B,"Ending Stocks")+SUMIFS(Durum_Yr!K:K,Durum_Yr!$B:$B,"Ending Stocks")+SUMIFS(Barley_Yr!K:K,Barley_Yr!$B:$B,"Ending Stocks")+SUMIFS(Oats_Yr!K:K,Oats_Yr!$B:$B,"Ending Stocks")</f>
        <v>11406.30000000001</v>
      </c>
      <c r="L19" s="22">
        <f>SUMIFS(Wheat_Yr!L:L,Wheat_Yr!$B:$B,"Ending Stocks")+SUMIFS(Durum_Yr!L:L,Durum_Yr!$B:$B,"Ending Stocks")+SUMIFS(Barley_Yr!L:L,Barley_Yr!$B:$B,"Ending Stocks")+SUMIFS(Oats_Yr!L:L,Oats_Yr!$B:$B,"Ending Stocks")</f>
        <v>9594.2000000000116</v>
      </c>
      <c r="M19" s="22">
        <f>SUMIFS(Wheat_Yr!M:M,Wheat_Yr!$B:$B,"Ending Stocks")+SUMIFS(Durum_Yr!M:M,Durum_Yr!$B:$B,"Ending Stocks")+SUMIFS(Barley_Yr!M:M,Barley_Yr!$B:$B,"Ending Stocks")+SUMIFS(Oats_Yr!M:M,Oats_Yr!$B:$B,"Ending Stocks")</f>
        <v>7931.9000000000069</v>
      </c>
      <c r="N19" s="22">
        <f>SUMIFS(Wheat_Yr!N:N,Wheat_Yr!$B:$B,"Ending Stocks")+SUMIFS(Durum_Yr!N:N,Durum_Yr!$B:$B,"Ending Stocks")+SUMIFS(Barley_Yr!N:N,Barley_Yr!$B:$B,"Ending Stocks")+SUMIFS(Oats_Yr!N:N,Oats_Yr!$B:$B,"Ending Stocks")</f>
        <v>6541.4000000000005</v>
      </c>
      <c r="O19" s="22">
        <f>SUMIFS(Wheat_Yr!O:O,Wheat_Yr!$B:$B,"Ending Stocks")+SUMIFS(Durum_Yr!O:O,Durum_Yr!$B:$B,"Ending Stocks")+SUMIFS(Barley_Yr!O:O,Barley_Yr!$B:$B,"Ending Stocks")+SUMIFS(Oats_Yr!O:O,Oats_Yr!$B:$B,"Ending Stocks")</f>
        <v>13408.500000000005</v>
      </c>
      <c r="P19" s="22">
        <f>SUMIFS(Wheat_Yr!P:P,Wheat_Yr!$B:$B,"Ending Stocks")+SUMIFS(Durum_Yr!P:P,Durum_Yr!$B:$B,"Ending Stocks")+SUMIFS(Barley_Yr!P:P,Barley_Yr!$B:$B,"Ending Stocks")+SUMIFS(Oats_Yr!P:P,Oats_Yr!$B:$B,"Ending Stocks")</f>
        <v>9018.8000000000029</v>
      </c>
      <c r="Q19" s="22">
        <f>SUMIFS(Wheat_Yr!Q:Q,Wheat_Yr!$B:$B,"Ending Stocks")+SUMIFS(Durum_Yr!Q:Q,Durum_Yr!$B:$B,"Ending Stocks")+SUMIFS(Barley_Yr!Q:Q,Barley_Yr!$B:$B,"Ending Stocks")+SUMIFS(Oats_Yr!Q:Q,Oats_Yr!$B:$B,"Ending Stocks")</f>
        <v>7588.0000000000045</v>
      </c>
      <c r="R19" s="22">
        <f>SUMIFS(Wheat_Yr!R:R,Wheat_Yr!$B:$B,"Ending Stocks")+SUMIFS(Durum_Yr!R:R,Durum_Yr!$B:$B,"Ending Stocks")+SUMIFS(Barley_Yr!R:R,Barley_Yr!$B:$B,"Ending Stocks")+SUMIFS(Oats_Yr!R:R,Oats_Yr!$B:$B,"Ending Stocks")</f>
        <v>9756.5000000000055</v>
      </c>
      <c r="S19" s="22">
        <f>SUMIFS(Wheat_Yr!S:S,Wheat_Yr!$B:$B,"Ending Stocks")+SUMIFS(Durum_Yr!S:S,Durum_Yr!$B:$B,"Ending Stocks")+SUMIFS(Barley_Yr!S:S,Barley_Yr!$B:$B,"Ending Stocks")+SUMIFS(Oats_Yr!S:S,Oats_Yr!$B:$B,"Ending Stocks")</f>
        <v>8754.7000000000007</v>
      </c>
      <c r="T19" s="22">
        <f>SUMIFS(Wheat_Yr!T:T,Wheat_Yr!$B:$B,"Ending Stocks")+SUMIFS(Durum_Yr!T:T,Durum_Yr!$B:$B,"Ending Stocks")+SUMIFS(Barley_Yr!T:T,Barley_Yr!$B:$B,"Ending Stocks")+SUMIFS(Oats_Yr!T:T,Oats_Yr!$B:$B,"Ending Stocks")</f>
        <v>7300.5000000000045</v>
      </c>
      <c r="U19" s="22">
        <f>SUMIFS(Wheat_Yr!U:U,Wheat_Yr!$B:$B,"Ending Stocks")+SUMIFS(Durum_Yr!U:U,Durum_Yr!$B:$B,"Ending Stocks")+SUMIFS(Barley_Yr!U:U,Barley_Yr!$B:$B,"Ending Stocks")+SUMIFS(Oats_Yr!U:U,Oats_Yr!$B:$B,"Ending Stocks")</f>
        <v>6881.299999999992</v>
      </c>
      <c r="V19" s="22">
        <f>SUMIFS(Wheat_Yr!V:V,Wheat_Yr!$B:$B,"Ending Stocks")+SUMIFS(Durum_Yr!V:V,Durum_Yr!$B:$B,"Ending Stocks")+SUMIFS(Barley_Yr!V:V,Barley_Yr!$B:$B,"Ending Stocks")+SUMIFS(Oats_Yr!V:V,Oats_Yr!$B:$B,"Ending Stocks")</f>
        <v>7320.6999999999862</v>
      </c>
      <c r="W19" s="22">
        <f>SUMIFS(Wheat_Yr!W:W,Wheat_Yr!$B:$B,"Ending Stocks")+SUMIFS(Durum_Yr!W:W,Durum_Yr!$B:$B,"Ending Stocks")+SUMIFS(Barley_Yr!W:W,Barley_Yr!$B:$B,"Ending Stocks")+SUMIFS(Oats_Yr!W:W,Oats_Yr!$B:$B,"Ending Stocks")</f>
        <v>5044.1999999999916</v>
      </c>
      <c r="X19" s="22">
        <f>SUMIFS(Wheat_Yr!X:X,Wheat_Yr!$B:$B,"Ending Stocks")+SUMIFS(Durum_Yr!X:X,Durum_Yr!$B:$B,"Ending Stocks")+SUMIFS(Barley_Yr!X:X,Barley_Yr!$B:$B,"Ending Stocks")+SUMIFS(Oats_Yr!X:X,Oats_Yr!$B:$B,"Ending Stocks")</f>
        <v>7911.699999999998</v>
      </c>
      <c r="Y19" s="22">
        <f>SUMIFS(Wheat_Yr!Y:Y,Wheat_Yr!$B:$B,"Ending Stocks")+SUMIFS(Durum_Yr!Y:Y,Durum_Yr!$B:$B,"Ending Stocks")+SUMIFS(Barley_Yr!Y:Y,Barley_Yr!$B:$B,"Ending Stocks")+SUMIFS(Oats_Yr!Y:Y,Oats_Yr!$B:$B,"Ending Stocks")</f>
        <v>7131.399999999996</v>
      </c>
      <c r="Z19" s="22">
        <f>SUMIFS(Wheat_Yr!Z:Z,Wheat_Yr!$B:$B,"Ending Stocks")+SUMIFS(Durum_Yr!Z:Z,Durum_Yr!$B:$B,"Ending Stocks")+SUMIFS(Barley_Yr!Z:Z,Barley_Yr!$B:$B,"Ending Stocks")+SUMIFS(Oats_Yr!Z:Z,Oats_Yr!$B:$B,"Ending Stocks")</f>
        <v>5995.2999999999956</v>
      </c>
    </row>
    <row r="20" spans="1:26" x14ac:dyDescent="0.3">
      <c r="A20" s="11" t="s">
        <v>77</v>
      </c>
      <c r="B20" s="11" t="s">
        <v>63</v>
      </c>
      <c r="C20" s="12" t="s">
        <v>56</v>
      </c>
      <c r="D20" s="14">
        <f t="shared" ref="D20:Z20" si="2">IF(D17&lt;&gt;0,D19/D17,"")</f>
        <v>0.27315618160958988</v>
      </c>
      <c r="E20" s="14">
        <f t="shared" si="2"/>
        <v>0.23657649057743052</v>
      </c>
      <c r="F20" s="14">
        <f t="shared" si="2"/>
        <v>0.32889613160646108</v>
      </c>
      <c r="G20" s="14">
        <f t="shared" si="2"/>
        <v>0.35275040005437197</v>
      </c>
      <c r="H20" s="14">
        <f t="shared" si="2"/>
        <v>0.20377669774509619</v>
      </c>
      <c r="I20" s="14">
        <f t="shared" si="2"/>
        <v>0.18234179683749316</v>
      </c>
      <c r="J20" s="14">
        <f t="shared" si="2"/>
        <v>0.27481402373821029</v>
      </c>
      <c r="K20" s="14">
        <f t="shared" si="2"/>
        <v>0.2901901221941523</v>
      </c>
      <c r="L20" s="14">
        <f t="shared" si="2"/>
        <v>0.27142838430459221</v>
      </c>
      <c r="M20" s="14">
        <f t="shared" si="2"/>
        <v>0.20799668166113003</v>
      </c>
      <c r="N20" s="14">
        <f t="shared" si="2"/>
        <v>0.16514104204770041</v>
      </c>
      <c r="O20" s="14">
        <f t="shared" si="2"/>
        <v>0.29768198346314823</v>
      </c>
      <c r="P20" s="14">
        <f t="shared" si="2"/>
        <v>0.20380530270718833</v>
      </c>
      <c r="Q20" s="14">
        <f t="shared" si="2"/>
        <v>0.18488815631031477</v>
      </c>
      <c r="R20" s="14">
        <f t="shared" si="2"/>
        <v>0.23091413549051704</v>
      </c>
      <c r="S20" s="14">
        <f t="shared" si="2"/>
        <v>0.20277851523795529</v>
      </c>
      <c r="T20" s="14">
        <f t="shared" si="2"/>
        <v>0.15938473845009188</v>
      </c>
      <c r="U20" s="14">
        <f t="shared" si="2"/>
        <v>0.14317333088209175</v>
      </c>
      <c r="V20" s="14">
        <f t="shared" si="2"/>
        <v>0.1441653549267656</v>
      </c>
      <c r="W20" s="14">
        <f t="shared" si="2"/>
        <v>0.14407861238945796</v>
      </c>
      <c r="X20" s="14">
        <f t="shared" si="2"/>
        <v>0.16704468152279162</v>
      </c>
      <c r="Y20" s="14">
        <f t="shared" si="2"/>
        <v>0.15506451189458123</v>
      </c>
      <c r="Z20" s="14">
        <f t="shared" si="2"/>
        <v>0.12266333437378818</v>
      </c>
    </row>
    <row r="21" spans="1:26" x14ac:dyDescent="0.3">
      <c r="A21" s="11" t="s">
        <v>77</v>
      </c>
      <c r="B21" s="11" t="s">
        <v>64</v>
      </c>
      <c r="C21" s="12" t="s">
        <v>65</v>
      </c>
      <c r="D21" s="16">
        <f t="shared" ref="D21:Z21" si="3">IF(D17&lt;&gt;0,D19/D17*365,"")</f>
        <v>99.702006287500311</v>
      </c>
      <c r="E21" s="16">
        <f t="shared" si="3"/>
        <v>86.350419060762135</v>
      </c>
      <c r="F21" s="16">
        <f t="shared" si="3"/>
        <v>120.04708803635829</v>
      </c>
      <c r="G21" s="16">
        <f t="shared" si="3"/>
        <v>128.75389601984577</v>
      </c>
      <c r="H21" s="16">
        <f t="shared" si="3"/>
        <v>74.378494676960102</v>
      </c>
      <c r="I21" s="16">
        <f t="shared" si="3"/>
        <v>66.554755845685008</v>
      </c>
      <c r="J21" s="16">
        <f t="shared" si="3"/>
        <v>100.30711866444676</v>
      </c>
      <c r="K21" s="16">
        <f t="shared" si="3"/>
        <v>105.91939460086559</v>
      </c>
      <c r="L21" s="16">
        <f t="shared" si="3"/>
        <v>99.071360271176161</v>
      </c>
      <c r="M21" s="16">
        <f t="shared" si="3"/>
        <v>75.918788806312463</v>
      </c>
      <c r="N21" s="16">
        <f t="shared" si="3"/>
        <v>60.276480347410654</v>
      </c>
      <c r="O21" s="16">
        <f t="shared" si="3"/>
        <v>108.6539239640491</v>
      </c>
      <c r="P21" s="16">
        <f t="shared" si="3"/>
        <v>74.388935488123735</v>
      </c>
      <c r="Q21" s="16">
        <f t="shared" si="3"/>
        <v>67.484177053264887</v>
      </c>
      <c r="R21" s="16">
        <f t="shared" si="3"/>
        <v>84.283659454038713</v>
      </c>
      <c r="S21" s="16">
        <f t="shared" si="3"/>
        <v>74.014158061853678</v>
      </c>
      <c r="T21" s="16">
        <f t="shared" si="3"/>
        <v>58.175429534283538</v>
      </c>
      <c r="U21" s="16">
        <f t="shared" si="3"/>
        <v>52.258265771963487</v>
      </c>
      <c r="V21" s="16">
        <f t="shared" si="3"/>
        <v>52.620354548269447</v>
      </c>
      <c r="W21" s="16">
        <f t="shared" si="3"/>
        <v>52.588693522152155</v>
      </c>
      <c r="X21" s="16">
        <f t="shared" si="3"/>
        <v>60.971308755818939</v>
      </c>
      <c r="Y21" s="16">
        <f t="shared" si="3"/>
        <v>56.59854684152215</v>
      </c>
      <c r="Z21" s="16">
        <f t="shared" si="3"/>
        <v>44.772117046432683</v>
      </c>
    </row>
    <row r="22" spans="1:26" x14ac:dyDescent="0.3">
      <c r="A22" s="20" t="s">
        <v>77</v>
      </c>
      <c r="B22" s="20" t="s">
        <v>66</v>
      </c>
      <c r="C22" s="21" t="s">
        <v>59</v>
      </c>
      <c r="D22" s="22">
        <f t="shared" ref="D22:Z22" si="4">D11-D17-D19</f>
        <v>0</v>
      </c>
      <c r="E22" s="22">
        <f t="shared" si="4"/>
        <v>0</v>
      </c>
      <c r="F22" s="22">
        <f t="shared" si="4"/>
        <v>0</v>
      </c>
      <c r="G22" s="22">
        <f t="shared" si="4"/>
        <v>0</v>
      </c>
      <c r="H22" s="22">
        <f t="shared" si="4"/>
        <v>0</v>
      </c>
      <c r="I22" s="22">
        <f t="shared" si="4"/>
        <v>0</v>
      </c>
      <c r="J22" s="22">
        <f t="shared" si="4"/>
        <v>0</v>
      </c>
      <c r="K22" s="22">
        <f t="shared" si="4"/>
        <v>0</v>
      </c>
      <c r="L22" s="22">
        <f t="shared" si="4"/>
        <v>0</v>
      </c>
      <c r="M22" s="22">
        <f t="shared" si="4"/>
        <v>0</v>
      </c>
      <c r="N22" s="22">
        <f t="shared" si="4"/>
        <v>0</v>
      </c>
      <c r="O22" s="22">
        <f t="shared" si="4"/>
        <v>0</v>
      </c>
      <c r="P22" s="22">
        <f t="shared" si="4"/>
        <v>0</v>
      </c>
      <c r="Q22" s="22">
        <f t="shared" si="4"/>
        <v>0</v>
      </c>
      <c r="R22" s="22">
        <f t="shared" si="4"/>
        <v>1.6370904631912708E-11</v>
      </c>
      <c r="S22" s="22">
        <f t="shared" si="4"/>
        <v>0</v>
      </c>
      <c r="T22" s="22">
        <f t="shared" si="4"/>
        <v>0</v>
      </c>
      <c r="U22" s="22">
        <f t="shared" si="4"/>
        <v>0</v>
      </c>
      <c r="V22" s="22">
        <f t="shared" si="4"/>
        <v>0</v>
      </c>
      <c r="W22" s="22">
        <f t="shared" si="4"/>
        <v>0</v>
      </c>
      <c r="X22" s="22">
        <f t="shared" si="4"/>
        <v>0</v>
      </c>
      <c r="Y22" s="22">
        <f t="shared" si="4"/>
        <v>-9.0949470177292824E-12</v>
      </c>
      <c r="Z22" s="22">
        <f t="shared" si="4"/>
        <v>-7.2759576141834259E-12</v>
      </c>
    </row>
    <row r="25" spans="1:26" s="25" customFormat="1" ht="13.8" x14ac:dyDescent="0.3">
      <c r="A25" s="25" t="str">
        <f>A22</f>
        <v>Canada Cereals</v>
      </c>
      <c r="B25" s="25" t="s">
        <v>81</v>
      </c>
      <c r="D25" s="40" cm="1">
        <f t="array" ref="D25">SUM(D13:D14/D$10)</f>
        <v>0.13372969320075778</v>
      </c>
      <c r="E25" s="40" cm="1">
        <f t="array" ref="E25">SUM(E13:E14/E$10)</f>
        <v>8.9485481802044603E-2</v>
      </c>
      <c r="F25" s="40" cm="1">
        <f t="array" ref="F25">SUM(F13:F14/F$10)</f>
        <v>8.5334424317848878E-2</v>
      </c>
      <c r="G25" s="40" cm="1">
        <f t="array" ref="G25">SUM(G13:G14/G$10)</f>
        <v>8.3854929203800693E-2</v>
      </c>
      <c r="H25" s="40" cm="1">
        <f t="array" ref="H25">SUM(H13:H14/H$10)</f>
        <v>9.4438715246816421E-2</v>
      </c>
      <c r="I25" s="40" cm="1">
        <f t="array" ref="I25">SUM(I13:I14/I$10)</f>
        <v>9.7617536904875568E-2</v>
      </c>
      <c r="J25" s="40" cm="1">
        <f t="array" ref="J25">SUM(J13:J14/J$10)</f>
        <v>8.1029419664440328E-2</v>
      </c>
      <c r="K25" s="40" cm="1">
        <f t="array" ref="K25">SUM(K13:K14/K$10)</f>
        <v>9.5317037999878132E-2</v>
      </c>
      <c r="L25" s="40" cm="1">
        <f t="array" ref="L25">SUM(L13:L14/L$10)</f>
        <v>0.11549154837588604</v>
      </c>
      <c r="M25" s="40" cm="1">
        <f t="array" ref="M25">SUM(M13:M14/M$10)</f>
        <v>0.1104931323633422</v>
      </c>
      <c r="N25" s="40" cm="1">
        <f t="array" ref="N25">SUM(N13:N14/N$10)</f>
        <v>9.894743474961866E-2</v>
      </c>
      <c r="O25" s="40" cm="1">
        <f t="array" ref="O25">SUM(O13:O14/O$10)</f>
        <v>7.453140354027063E-2</v>
      </c>
      <c r="P25" s="40" cm="1">
        <f t="array" ref="P25">SUM(P13:P14/P$10)</f>
        <v>9.6181425901147588E-2</v>
      </c>
      <c r="Q25" s="40" cm="1">
        <f t="array" ref="Q25">SUM(Q13:Q14/Q$10)</f>
        <v>9.7614991482112418E-2</v>
      </c>
      <c r="R25" s="40" cm="1">
        <f t="array" ref="R25">SUM(R13:R14/R$10)</f>
        <v>8.2627430135375074E-2</v>
      </c>
      <c r="S25" s="40" cm="1">
        <f t="array" ref="S25">SUM(S13:S14/S$10)</f>
        <v>8.539674679059843E-2</v>
      </c>
      <c r="T25" s="40" cm="1">
        <f t="array" ref="T25">SUM(T13:T14/T$10)</f>
        <v>8.914453128537661E-2</v>
      </c>
      <c r="U25" s="40" cm="1">
        <f t="array" ref="U25">SUM(U13:U14/U$10)</f>
        <v>8.4727694972683829E-2</v>
      </c>
      <c r="V25" s="40" cm="1">
        <f t="array" ref="V25">SUM(V13:V14/V$10)</f>
        <v>7.6171936571987009E-2</v>
      </c>
      <c r="W25" s="40" cm="1">
        <f t="array" ref="W25">SUM(W13:W14/W$10)</f>
        <v>0.11893934938259759</v>
      </c>
      <c r="X25" s="40" cm="1">
        <f t="array" ref="X25">SUM(X13:X14/X$10)</f>
        <v>7.2768106683701983E-2</v>
      </c>
      <c r="Y25" s="40" cm="1">
        <f t="array" ref="Y25">SUM(Y13:Y14/Y$10)</f>
        <v>8.0816954724089868E-2</v>
      </c>
      <c r="Z25" s="40" cm="1">
        <f t="array" ref="Z25">SUM(Z13:Z14/Z$10)</f>
        <v>7.7181215127223049E-2</v>
      </c>
    </row>
    <row r="26" spans="1:26" s="25" customFormat="1" ht="13.8" x14ac:dyDescent="0.3">
      <c r="A26" s="25" t="str">
        <f>A25</f>
        <v>Canada Cereals</v>
      </c>
      <c r="B26" s="25" t="s">
        <v>82</v>
      </c>
      <c r="D26" s="40">
        <f t="shared" ref="D26:Z27" si="5">D15/D$10</f>
        <v>0.53645592015095067</v>
      </c>
      <c r="E26" s="40">
        <f t="shared" si="5"/>
        <v>0.39578284248305884</v>
      </c>
      <c r="F26" s="40">
        <f t="shared" si="5"/>
        <v>0.41111226524642708</v>
      </c>
      <c r="G26" s="40">
        <f t="shared" si="5"/>
        <v>0.39972796769217162</v>
      </c>
      <c r="H26" s="40">
        <f t="shared" si="5"/>
        <v>0.45501701959385599</v>
      </c>
      <c r="I26" s="40">
        <f t="shared" si="5"/>
        <v>0.35882625931395401</v>
      </c>
      <c r="J26" s="40">
        <f t="shared" si="5"/>
        <v>0.32637209697924696</v>
      </c>
      <c r="K26" s="40">
        <f t="shared" si="5"/>
        <v>0.34756539797306896</v>
      </c>
      <c r="L26" s="40">
        <f t="shared" si="5"/>
        <v>0.370231138887058</v>
      </c>
      <c r="M26" s="40">
        <f t="shared" si="5"/>
        <v>0.37781859311832822</v>
      </c>
      <c r="N26" s="40">
        <f t="shared" si="5"/>
        <v>0.36229608353309073</v>
      </c>
      <c r="O26" s="40">
        <f t="shared" si="5"/>
        <v>0.2833890494475686</v>
      </c>
      <c r="P26" s="40">
        <f t="shared" si="5"/>
        <v>0.33321350070948536</v>
      </c>
      <c r="Q26" s="40">
        <f t="shared" si="5"/>
        <v>0.31479361285565355</v>
      </c>
      <c r="R26" s="40">
        <f t="shared" si="5"/>
        <v>0.34609513577091411</v>
      </c>
      <c r="S26" s="40">
        <f t="shared" si="5"/>
        <v>0.33269939716582231</v>
      </c>
      <c r="T26" s="40">
        <f t="shared" si="5"/>
        <v>0.30035263405754437</v>
      </c>
      <c r="U26" s="40">
        <f t="shared" si="5"/>
        <v>0.3313114507917776</v>
      </c>
      <c r="V26" s="40">
        <f t="shared" si="5"/>
        <v>0.28768522823996723</v>
      </c>
      <c r="W26" s="40">
        <f t="shared" si="5"/>
        <v>0.38165362934805147</v>
      </c>
      <c r="X26" s="40">
        <f t="shared" si="5"/>
        <v>0.25755549788389365</v>
      </c>
      <c r="Y26" s="40">
        <f t="shared" si="5"/>
        <v>0.28720328899228459</v>
      </c>
      <c r="Z26" s="40">
        <f t="shared" si="5"/>
        <v>0.2505799288790333</v>
      </c>
    </row>
    <row r="27" spans="1:26" s="25" customFormat="1" ht="13.8" x14ac:dyDescent="0.3">
      <c r="A27" s="25" t="str">
        <f>A26</f>
        <v>Canada Cereals</v>
      </c>
      <c r="B27" s="25" t="s">
        <v>83</v>
      </c>
      <c r="D27" s="40">
        <f t="shared" si="5"/>
        <v>0.40194208741937071</v>
      </c>
      <c r="E27" s="40">
        <f t="shared" si="5"/>
        <v>0.4869018774537115</v>
      </c>
      <c r="F27" s="40">
        <f t="shared" si="5"/>
        <v>0.42207734557587817</v>
      </c>
      <c r="G27" s="40">
        <f t="shared" si="5"/>
        <v>0.48145834766289025</v>
      </c>
      <c r="H27" s="40">
        <f t="shared" si="5"/>
        <v>0.58088452780642374</v>
      </c>
      <c r="I27" s="40">
        <f t="shared" si="5"/>
        <v>0.6034876721712813</v>
      </c>
      <c r="J27" s="40">
        <f t="shared" si="5"/>
        <v>0.49955172166812895</v>
      </c>
      <c r="K27" s="40">
        <f t="shared" si="5"/>
        <v>0.55500279261530949</v>
      </c>
      <c r="L27" s="40">
        <f t="shared" si="5"/>
        <v>0.57326422635133101</v>
      </c>
      <c r="M27" s="40">
        <f t="shared" si="5"/>
        <v>0.56115955868795253</v>
      </c>
      <c r="N27" s="40">
        <f t="shared" si="5"/>
        <v>0.57874527080778926</v>
      </c>
      <c r="O27" s="40">
        <f t="shared" si="5"/>
        <v>0.5116647457542044</v>
      </c>
      <c r="P27" s="40">
        <f t="shared" si="5"/>
        <v>0.68989821857207534</v>
      </c>
      <c r="Q27" s="40">
        <f t="shared" si="5"/>
        <v>0.63112232703602944</v>
      </c>
      <c r="R27" s="40">
        <f t="shared" si="5"/>
        <v>0.52696976962486308</v>
      </c>
      <c r="S27" s="40">
        <f t="shared" si="5"/>
        <v>0.60981007866366987</v>
      </c>
      <c r="T27" s="40">
        <f t="shared" si="5"/>
        <v>0.6475585044240576</v>
      </c>
      <c r="U27" s="40">
        <f t="shared" si="5"/>
        <v>0.60052233833971025</v>
      </c>
      <c r="V27" s="40">
        <f t="shared" si="5"/>
        <v>0.63666070978216338</v>
      </c>
      <c r="W27" s="40">
        <f t="shared" si="5"/>
        <v>0.58315192526164927</v>
      </c>
      <c r="X27" s="40">
        <f t="shared" si="5"/>
        <v>0.61519218637706619</v>
      </c>
      <c r="Y27" s="40">
        <f t="shared" si="5"/>
        <v>0.65483880868553734</v>
      </c>
      <c r="Z27" s="40">
        <f>Z16/Z$10</f>
        <v>0.70250333577148527</v>
      </c>
    </row>
    <row r="28" spans="1:26" s="25" customFormat="1" ht="13.8" x14ac:dyDescent="0.3"/>
    <row r="29" spans="1:26" s="25" customFormat="1" ht="13.8" x14ac:dyDescent="0.3">
      <c r="D29" s="39" t="e">
        <f t="shared" ref="D29:Y32" si="6">(D13-C13)/C13</f>
        <v>#VALUE!</v>
      </c>
      <c r="E29" s="39">
        <f t="shared" si="6"/>
        <v>-1.4700667332924808E-2</v>
      </c>
      <c r="F29" s="39">
        <f t="shared" si="6"/>
        <v>1.1582632594967652E-2</v>
      </c>
      <c r="G29" s="39">
        <f t="shared" si="6"/>
        <v>-3.0403984862697195E-3</v>
      </c>
      <c r="H29" s="39">
        <f t="shared" si="6"/>
        <v>-2.9847840898030104E-3</v>
      </c>
      <c r="I29" s="39">
        <f t="shared" si="6"/>
        <v>-4.2432722657902329E-2</v>
      </c>
      <c r="J29" s="39">
        <f t="shared" si="6"/>
        <v>-3.8162231963843093E-2</v>
      </c>
      <c r="K29" s="39">
        <f t="shared" si="6"/>
        <v>2.4766817410967104E-2</v>
      </c>
      <c r="L29" s="39">
        <f t="shared" si="6"/>
        <v>2.5168074469918036E-3</v>
      </c>
      <c r="M29" s="39">
        <f t="shared" si="6"/>
        <v>-1.2758786711602929E-2</v>
      </c>
      <c r="N29" s="39">
        <f t="shared" si="6"/>
        <v>2.0552478489565731E-3</v>
      </c>
      <c r="O29" s="39">
        <f t="shared" si="6"/>
        <v>5.1449628033092085E-3</v>
      </c>
      <c r="P29" s="39">
        <f t="shared" si="6"/>
        <v>-1.7465587604620286E-2</v>
      </c>
      <c r="Q29" s="39">
        <f t="shared" si="6"/>
        <v>7.3251434404589394E-2</v>
      </c>
      <c r="R29" s="39">
        <f t="shared" si="6"/>
        <v>-6.5660872417186225E-2</v>
      </c>
      <c r="S29" s="39">
        <f t="shared" si="6"/>
        <v>4.7212861555743113E-2</v>
      </c>
      <c r="T29" s="39">
        <f t="shared" si="6"/>
        <v>5.1486608788925456E-2</v>
      </c>
      <c r="U29" s="39">
        <f t="shared" si="6"/>
        <v>1.4026586757626809E-2</v>
      </c>
      <c r="V29" s="39">
        <f t="shared" si="6"/>
        <v>-2.4552799522147933E-2</v>
      </c>
      <c r="W29" s="39">
        <f t="shared" si="6"/>
        <v>3.003738558721164E-2</v>
      </c>
      <c r="X29" s="39">
        <f t="shared" si="6"/>
        <v>-8.3541927409263861E-3</v>
      </c>
      <c r="Y29" s="39">
        <f t="shared" si="6"/>
        <v>1.1548291420819026E-2</v>
      </c>
      <c r="Z29" s="39">
        <f>(Z13-Y13)/Y13</f>
        <v>7.8916996787169943E-3</v>
      </c>
    </row>
    <row r="30" spans="1:26" s="25" customFormat="1" ht="13.8" x14ac:dyDescent="0.3">
      <c r="D30" s="39" t="e">
        <f t="shared" si="6"/>
        <v>#VALUE!</v>
      </c>
      <c r="E30" s="39">
        <f t="shared" si="6"/>
        <v>-5.6123662306777317E-2</v>
      </c>
      <c r="F30" s="39">
        <f t="shared" si="6"/>
        <v>-1.335348954396562E-2</v>
      </c>
      <c r="G30" s="39">
        <f t="shared" si="6"/>
        <v>-0.15398365679264542</v>
      </c>
      <c r="H30" s="39">
        <f t="shared" si="6"/>
        <v>0.75309387262300009</v>
      </c>
      <c r="I30" s="39">
        <f t="shared" si="6"/>
        <v>-8.0061983471074169E-2</v>
      </c>
      <c r="J30" s="39">
        <f t="shared" si="6"/>
        <v>0.47819577016657311</v>
      </c>
      <c r="K30" s="39">
        <f t="shared" si="6"/>
        <v>8.1286401620663057E-2</v>
      </c>
      <c r="L30" s="39">
        <f t="shared" si="6"/>
        <v>0.10901639344262311</v>
      </c>
      <c r="M30" s="39">
        <f t="shared" si="6"/>
        <v>0.20821454967796432</v>
      </c>
      <c r="N30" s="39">
        <f t="shared" si="6"/>
        <v>-0.22039674910425597</v>
      </c>
      <c r="O30" s="39">
        <f t="shared" si="6"/>
        <v>8.6425288644770795E-2</v>
      </c>
      <c r="P30" s="39">
        <f t="shared" si="6"/>
        <v>-7.7383408997111014E-3</v>
      </c>
      <c r="Q30" s="39">
        <f t="shared" si="6"/>
        <v>-0.17843402308412165</v>
      </c>
      <c r="R30" s="39">
        <f t="shared" si="6"/>
        <v>1.7845842298443403E-2</v>
      </c>
      <c r="S30" s="39">
        <f t="shared" si="6"/>
        <v>-0.24956478487938388</v>
      </c>
      <c r="T30" s="39">
        <f t="shared" si="6"/>
        <v>0.32626346313173182</v>
      </c>
      <c r="U30" s="39">
        <f t="shared" si="6"/>
        <v>3.0734632683658631E-2</v>
      </c>
      <c r="V30" s="39">
        <f t="shared" si="6"/>
        <v>-7.4909090909091383E-2</v>
      </c>
      <c r="W30" s="39">
        <f t="shared" si="6"/>
        <v>-0.15317085953878393</v>
      </c>
      <c r="X30" s="39">
        <f t="shared" si="6"/>
        <v>-0.26380937645056457</v>
      </c>
      <c r="Y30" s="39">
        <f t="shared" si="6"/>
        <v>-0.10088272383354362</v>
      </c>
      <c r="Z30" s="39">
        <f t="shared" ref="Z30:Z32" si="7">(Z14-Y14)/Y14</f>
        <v>5.843852267415078E-3</v>
      </c>
    </row>
    <row r="31" spans="1:26" s="25" customFormat="1" ht="13.8" x14ac:dyDescent="0.3">
      <c r="D31" s="39" t="e">
        <f t="shared" si="6"/>
        <v>#VALUE!</v>
      </c>
      <c r="E31" s="39">
        <f t="shared" si="6"/>
        <v>8.0889375918961309E-2</v>
      </c>
      <c r="F31" s="39">
        <f t="shared" si="6"/>
        <v>9.8755180853715097E-2</v>
      </c>
      <c r="G31" s="39">
        <f t="shared" si="6"/>
        <v>-3.0335450841994346E-2</v>
      </c>
      <c r="H31" s="39">
        <f t="shared" si="6"/>
        <v>8.1896360474490629E-2</v>
      </c>
      <c r="I31" s="39">
        <f t="shared" si="6"/>
        <v>-0.27401635917036188</v>
      </c>
      <c r="J31" s="39">
        <f t="shared" si="6"/>
        <v>0.14088480073647472</v>
      </c>
      <c r="K31" s="39">
        <f t="shared" si="6"/>
        <v>-6.1108847210874347E-2</v>
      </c>
      <c r="L31" s="39">
        <f t="shared" si="6"/>
        <v>-9.7353398300217941E-2</v>
      </c>
      <c r="M31" s="39">
        <f t="shared" si="6"/>
        <v>0.11095824132891317</v>
      </c>
      <c r="N31" s="39">
        <f t="shared" si="6"/>
        <v>5.1180610266046691E-3</v>
      </c>
      <c r="O31" s="39">
        <f t="shared" si="6"/>
        <v>6.3770404686624427E-2</v>
      </c>
      <c r="P31" s="39">
        <f t="shared" si="6"/>
        <v>-0.10254341027439624</v>
      </c>
      <c r="Q31" s="39">
        <f t="shared" si="6"/>
        <v>-6.0218710900225229E-2</v>
      </c>
      <c r="R31" s="39">
        <f t="shared" si="6"/>
        <v>0.23589651095374178</v>
      </c>
      <c r="S31" s="39">
        <f t="shared" si="6"/>
        <v>-8.6734763567362622E-2</v>
      </c>
      <c r="T31" s="39">
        <f t="shared" si="6"/>
        <v>-5.0669580096676263E-2</v>
      </c>
      <c r="U31" s="39">
        <f t="shared" si="6"/>
        <v>0.18079882525476226</v>
      </c>
      <c r="V31" s="39">
        <f t="shared" si="6"/>
        <v>-6.7876929881222153E-2</v>
      </c>
      <c r="W31" s="39">
        <f t="shared" si="6"/>
        <v>-0.1555951995543341</v>
      </c>
      <c r="X31" s="39">
        <f t="shared" si="6"/>
        <v>4.6415316606763228E-2</v>
      </c>
      <c r="Y31" s="39">
        <f t="shared" si="6"/>
        <v>9.1408188369215642E-4</v>
      </c>
      <c r="Z31" s="39">
        <f t="shared" si="7"/>
        <v>-7.9428104267681682E-2</v>
      </c>
    </row>
    <row r="32" spans="1:26" s="25" customFormat="1" ht="13.8" x14ac:dyDescent="0.3">
      <c r="D32" s="39" t="e">
        <f t="shared" si="6"/>
        <v>#VALUE!</v>
      </c>
      <c r="E32" s="39">
        <f t="shared" si="6"/>
        <v>0.77474635483365784</v>
      </c>
      <c r="F32" s="39">
        <f t="shared" si="6"/>
        <v>-8.3044924504904374E-2</v>
      </c>
      <c r="G32" s="39">
        <f t="shared" si="6"/>
        <v>0.13758562335567392</v>
      </c>
      <c r="H32" s="39">
        <f t="shared" si="6"/>
        <v>0.14671011085595026</v>
      </c>
      <c r="I32" s="39">
        <f t="shared" si="6"/>
        <v>-4.3579552930080111E-2</v>
      </c>
      <c r="J32" s="39">
        <f t="shared" si="6"/>
        <v>3.8305243739284268E-2</v>
      </c>
      <c r="K32" s="39">
        <f t="shared" si="6"/>
        <v>-2.0495482457547284E-2</v>
      </c>
      <c r="L32" s="39">
        <f t="shared" si="6"/>
        <v>-0.1247320726663666</v>
      </c>
      <c r="M32" s="39">
        <f t="shared" si="6"/>
        <v>6.5660516946119699E-2</v>
      </c>
      <c r="N32" s="39">
        <f t="shared" si="6"/>
        <v>8.1030268829087579E-2</v>
      </c>
      <c r="O32" s="39">
        <f t="shared" si="6"/>
        <v>0.20233784653329712</v>
      </c>
      <c r="P32" s="39">
        <f t="shared" si="6"/>
        <v>2.9137621926031827E-2</v>
      </c>
      <c r="Q32" s="39">
        <f t="shared" si="6"/>
        <v>-8.9977789313521975E-2</v>
      </c>
      <c r="R32" s="39">
        <f t="shared" si="6"/>
        <v>-6.1391073271018635E-2</v>
      </c>
      <c r="S32" s="39">
        <f t="shared" si="6"/>
        <v>9.9383726141369449E-2</v>
      </c>
      <c r="T32" s="39">
        <f t="shared" si="6"/>
        <v>0.11666365192143284</v>
      </c>
      <c r="U32" s="39">
        <f t="shared" si="6"/>
        <v>-7.2930399017800155E-3</v>
      </c>
      <c r="V32" s="39">
        <f t="shared" si="6"/>
        <v>0.1380753646489096</v>
      </c>
      <c r="W32" s="39">
        <f t="shared" si="6"/>
        <v>-0.41699467112483496</v>
      </c>
      <c r="X32" s="39">
        <f t="shared" si="6"/>
        <v>0.63580584873101686</v>
      </c>
      <c r="Y32" s="39">
        <f t="shared" si="6"/>
        <v>-4.456353113152435E-2</v>
      </c>
      <c r="Z32" s="39">
        <f t="shared" si="7"/>
        <v>0.13191762042144714</v>
      </c>
    </row>
  </sheetData>
  <conditionalFormatting sqref="D22:Z22">
    <cfRule type="cellIs" dxfId="7" priority="3" operator="between">
      <formula>-0.0009</formula>
      <formula>0.0009</formula>
    </cfRule>
  </conditionalFormatting>
  <conditionalFormatting sqref="D25:Z25">
    <cfRule type="colorScale" priority="2">
      <colorScale>
        <cfvo type="min"/>
        <cfvo type="max"/>
        <color rgb="FFFCFCFF"/>
        <color rgb="FF63BE7B"/>
      </colorScale>
    </cfRule>
  </conditionalFormatting>
  <conditionalFormatting sqref="D27:Z27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32"/>
  <sheetViews>
    <sheetView workbookViewId="0">
      <pane xSplit="3" ySplit="2" topLeftCell="D3" activePane="bottomRight" state="frozen"/>
      <selection pane="topRight"/>
      <selection pane="bottomLeft"/>
      <selection pane="bottomRight" activeCell="A25" sqref="A25:XFD32"/>
    </sheetView>
  </sheetViews>
  <sheetFormatPr defaultRowHeight="14.4" x14ac:dyDescent="0.3"/>
  <cols>
    <col min="1" max="1" width="18" customWidth="1"/>
    <col min="2" max="2" width="22" customWidth="1"/>
    <col min="3" max="3" width="9" customWidth="1"/>
    <col min="4" max="26" width="10" customWidth="1"/>
  </cols>
  <sheetData>
    <row r="1" spans="1:26" ht="25.8" x14ac:dyDescent="0.5">
      <c r="A1" s="9" t="s">
        <v>79</v>
      </c>
    </row>
    <row r="2" spans="1:26" x14ac:dyDescent="0.3">
      <c r="A2" s="10" t="s">
        <v>0</v>
      </c>
      <c r="B2" s="10" t="s">
        <v>1</v>
      </c>
      <c r="C2" s="10" t="s">
        <v>53</v>
      </c>
      <c r="D2" s="10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10" t="s">
        <v>23</v>
      </c>
      <c r="J2" s="10" t="s">
        <v>24</v>
      </c>
      <c r="K2" s="10" t="s">
        <v>25</v>
      </c>
      <c r="L2" s="10" t="s">
        <v>26</v>
      </c>
      <c r="M2" s="10" t="s">
        <v>27</v>
      </c>
      <c r="N2" s="10" t="s">
        <v>28</v>
      </c>
      <c r="O2" s="10" t="s">
        <v>29</v>
      </c>
      <c r="P2" s="10" t="s">
        <v>30</v>
      </c>
      <c r="Q2" s="10" t="s">
        <v>31</v>
      </c>
      <c r="R2" s="10" t="s">
        <v>32</v>
      </c>
      <c r="S2" s="10" t="s">
        <v>33</v>
      </c>
      <c r="T2" s="10" t="s">
        <v>34</v>
      </c>
      <c r="U2" s="10" t="s">
        <v>35</v>
      </c>
      <c r="V2" s="10" t="s">
        <v>36</v>
      </c>
      <c r="W2" s="10" t="s">
        <v>37</v>
      </c>
      <c r="X2" s="10" t="s">
        <v>38</v>
      </c>
      <c r="Y2" s="10" t="s">
        <v>39</v>
      </c>
      <c r="Z2" s="10" t="s">
        <v>40</v>
      </c>
    </row>
    <row r="3" spans="1:26" x14ac:dyDescent="0.3">
      <c r="A3" s="11" t="s">
        <v>79</v>
      </c>
      <c r="B3" s="11" t="s">
        <v>17</v>
      </c>
      <c r="C3" s="12" t="s">
        <v>54</v>
      </c>
      <c r="D3" s="13">
        <f>SUMIFS(Canola_Yr!D:D,Canola_Yr!$B:$B,"Planted Area")+SUMIFS(Soybeans_Yr!D:D,Soybeans_Yr!$B:$B,"Planted Area")</f>
        <v>12.125900000000001</v>
      </c>
      <c r="E3" s="13">
        <f>SUMIFS(Canola_Yr!E:E,Canola_Yr!$B:$B,"Planted Area")+SUMIFS(Soybeans_Yr!E:E,Soybeans_Yr!$B:$B,"Planted Area")</f>
        <v>14.303799999999999</v>
      </c>
      <c r="F3" s="13">
        <f>SUMIFS(Canola_Yr!F:F,Canola_Yr!$B:$B,"Planted Area")+SUMIFS(Soybeans_Yr!F:F,Soybeans_Yr!$B:$B,"Planted Area")</f>
        <v>15.9168</v>
      </c>
      <c r="G3" s="13">
        <f>SUMIFS(Canola_Yr!G:G,Canola_Yr!$B:$B,"Planted Area")+SUMIFS(Soybeans_Yr!G:G,Soybeans_Yr!$B:$B,"Planted Area")</f>
        <v>16.166699999999999</v>
      </c>
      <c r="H3" s="13">
        <f>SUMIFS(Canola_Yr!H:H,Canola_Yr!$B:$B,"Planted Area")+SUMIFS(Soybeans_Yr!H:H,Soybeans_Yr!$B:$B,"Planted Area")</f>
        <v>16.053708</v>
      </c>
      <c r="I3" s="13">
        <f>SUMIFS(Canola_Yr!I:I,Canola_Yr!$B:$B,"Planted Area")+SUMIFS(Soybeans_Yr!I:I,Soybeans_Yr!$B:$B,"Planted Area")</f>
        <v>18.671900000000001</v>
      </c>
      <c r="J3" s="13">
        <f>SUMIFS(Canola_Yr!J:J,Canola_Yr!$B:$B,"Planted Area")+SUMIFS(Soybeans_Yr!J:J,Soybeans_Yr!$B:$B,"Planted Area")</f>
        <v>19.134499999999999</v>
      </c>
      <c r="K3" s="13">
        <f>SUMIFS(Canola_Yr!K:K,Canola_Yr!$B:$B,"Planted Area")+SUMIFS(Soybeans_Yr!K:K,Soybeans_Yr!$B:$B,"Planted Area")</f>
        <v>20.047699999999999</v>
      </c>
      <c r="L3" s="13">
        <f>SUMIFS(Canola_Yr!L:L,Canola_Yr!$B:$B,"Planted Area")+SUMIFS(Soybeans_Yr!L:L,Soybeans_Yr!$B:$B,"Planted Area")</f>
        <v>21.3247</v>
      </c>
      <c r="M3" s="13">
        <f>SUMIFS(Canola_Yr!M:M,Canola_Yr!$B:$B,"Planted Area")+SUMIFS(Soybeans_Yr!M:M,Soybeans_Yr!$B:$B,"Planted Area")</f>
        <v>22.841342000000001</v>
      </c>
      <c r="N3" s="13">
        <f>SUMIFS(Canola_Yr!N:N,Canola_Yr!$B:$B,"Planted Area")+SUMIFS(Soybeans_Yr!N:N,Soybeans_Yr!$B:$B,"Planted Area")</f>
        <v>26.367999999999999</v>
      </c>
      <c r="O3" s="13">
        <f>SUMIFS(Canola_Yr!O:O,Canola_Yr!$B:$B,"Planted Area")+SUMIFS(Soybeans_Yr!O:O,Soybeans_Yr!$B:$B,"Planted Area")</f>
        <v>25.079000000000001</v>
      </c>
      <c r="P3" s="13">
        <f>SUMIFS(Canola_Yr!P:P,Canola_Yr!$B:$B,"Planted Area")+SUMIFS(Soybeans_Yr!P:P,Soybeans_Yr!$B:$B,"Planted Area")</f>
        <v>26.512599999999999</v>
      </c>
      <c r="Q3" s="13">
        <f>SUMIFS(Canola_Yr!Q:Q,Canola_Yr!$B:$B,"Planted Area")+SUMIFS(Soybeans_Yr!Q:Q,Soybeans_Yr!$B:$B,"Planted Area")</f>
        <v>26.316700000000001</v>
      </c>
      <c r="R3" s="13">
        <f>SUMIFS(Canola_Yr!R:R,Canola_Yr!$B:$B,"Planted Area")+SUMIFS(Soybeans_Yr!R:R,Soybeans_Yr!$B:$B,"Planted Area")</f>
        <v>26.391441</v>
      </c>
      <c r="S3" s="13">
        <f>SUMIFS(Canola_Yr!S:S,Canola_Yr!$B:$B,"Planted Area")+SUMIFS(Soybeans_Yr!S:S,Soybeans_Yr!$B:$B,"Planted Area")</f>
        <v>30.296099999999999</v>
      </c>
      <c r="T3" s="13">
        <f>SUMIFS(Canola_Yr!T:T,Canola_Yr!$B:$B,"Planted Area")+SUMIFS(Soybeans_Yr!T:T,Soybeans_Yr!$B:$B,"Planted Area")</f>
        <v>29.133299999999998</v>
      </c>
      <c r="U3" s="13">
        <f>SUMIFS(Canola_Yr!U:U,Canola_Yr!$B:$B,"Planted Area")+SUMIFS(Soybeans_Yr!U:U,Soybeans_Yr!$B:$B,"Planted Area")</f>
        <v>26.895200000000003</v>
      </c>
      <c r="V3" s="13">
        <f>SUMIFS(Canola_Yr!V:V,Canola_Yr!$B:$B,"Planted Area")+SUMIFS(Soybeans_Yr!V:V,Soybeans_Yr!$B:$B,"Planted Area")</f>
        <v>25.852899999999998</v>
      </c>
      <c r="W3" s="13">
        <f>SUMIFS(Canola_Yr!W:W,Canola_Yr!$B:$B,"Planted Area")+SUMIFS(Soybeans_Yr!W:W,Soybeans_Yr!$B:$B,"Planted Area")</f>
        <v>27.428235000000001</v>
      </c>
      <c r="X3" s="13">
        <f>SUMIFS(Canola_Yr!X:X,Canola_Yr!$B:$B,"Planted Area")+SUMIFS(Soybeans_Yr!X:X,Soybeans_Yr!$B:$B,"Planted Area")</f>
        <v>26.669900000000002</v>
      </c>
      <c r="Y3" s="13">
        <f>SUMIFS(Canola_Yr!Y:Y,Canola_Yr!$B:$B,"Planted Area")+SUMIFS(Soybeans_Yr!Y:Y,Soybeans_Yr!$B:$B,"Planted Area")</f>
        <v>27.717400000000001</v>
      </c>
      <c r="Z3" s="13">
        <f>SUMIFS(Canola_Yr!Z:Z,Canola_Yr!$B:$B,"Planted Area")+SUMIFS(Soybeans_Yr!Z:Z,Soybeans_Yr!$B:$B,"Planted Area")</f>
        <v>27.720500000000001</v>
      </c>
    </row>
    <row r="4" spans="1:26" x14ac:dyDescent="0.3">
      <c r="A4" s="11" t="s">
        <v>79</v>
      </c>
      <c r="B4" s="11" t="s">
        <v>41</v>
      </c>
      <c r="C4" s="12" t="s">
        <v>54</v>
      </c>
      <c r="D4" s="13">
        <f>SUMIFS(Canola_Yr!D:D,Canola_Yr!$B:$B,"Harvested Area")+SUMIFS(Soybeans_Yr!D:D,Soybeans_Yr!$B:$B,"Harvested Area")</f>
        <v>11.4947</v>
      </c>
      <c r="E4" s="13">
        <f>SUMIFS(Canola_Yr!E:E,Canola_Yr!$B:$B,"Harvested Area")+SUMIFS(Soybeans_Yr!E:E,Soybeans_Yr!$B:$B,"Harvested Area")</f>
        <v>14.178599999999999</v>
      </c>
      <c r="F4" s="13">
        <f>SUMIFS(Canola_Yr!F:F,Canola_Yr!$B:$B,"Harvested Area")+SUMIFS(Soybeans_Yr!F:F,Soybeans_Yr!$B:$B,"Harvested Area")</f>
        <v>14.926300000000001</v>
      </c>
      <c r="G4" s="13">
        <f>SUMIFS(Canola_Yr!G:G,Canola_Yr!$B:$B,"Harvested Area")+SUMIFS(Soybeans_Yr!G:G,Soybeans_Yr!$B:$B,"Harvested Area")</f>
        <v>15.668200000000001</v>
      </c>
      <c r="H4" s="13">
        <f>SUMIFS(Canola_Yr!H:H,Canola_Yr!$B:$B,"Harvested Area")+SUMIFS(Soybeans_Yr!H:H,Soybeans_Yr!$B:$B,"Harvested Area")</f>
        <v>15.911999999999999</v>
      </c>
      <c r="I4" s="13">
        <f>SUMIFS(Canola_Yr!I:I,Canola_Yr!$B:$B,"Harvested Area")+SUMIFS(Soybeans_Yr!I:I,Soybeans_Yr!$B:$B,"Harvested Area")</f>
        <v>18.5337</v>
      </c>
      <c r="J4" s="13">
        <f>SUMIFS(Canola_Yr!J:J,Canola_Yr!$B:$B,"Harvested Area")+SUMIFS(Soybeans_Yr!J:J,Soybeans_Yr!$B:$B,"Harvested Area")</f>
        <v>19.0059</v>
      </c>
      <c r="K4" s="13">
        <f>SUMIFS(Canola_Yr!K:K,Canola_Yr!$B:$B,"Harvested Area")+SUMIFS(Soybeans_Yr!K:K,Soybeans_Yr!$B:$B,"Harvested Area")</f>
        <v>19.5898</v>
      </c>
      <c r="L4" s="13">
        <f>SUMIFS(Canola_Yr!L:L,Canola_Yr!$B:$B,"Harvested Area")+SUMIFS(Soybeans_Yr!L:L,Soybeans_Yr!$B:$B,"Harvested Area")</f>
        <v>20.667200000000001</v>
      </c>
      <c r="M4" s="13">
        <f>SUMIFS(Canola_Yr!M:M,Canola_Yr!$B:$B,"Harvested Area")+SUMIFS(Soybeans_Yr!M:M,Soybeans_Yr!$B:$B,"Harvested Area")</f>
        <v>22.5946</v>
      </c>
      <c r="N4" s="13">
        <f>SUMIFS(Canola_Yr!N:N,Canola_Yr!$B:$B,"Harvested Area")+SUMIFS(Soybeans_Yr!N:N,Soybeans_Yr!$B:$B,"Harvested Area")</f>
        <v>26.0823</v>
      </c>
      <c r="O4" s="13">
        <f>SUMIFS(Canola_Yr!O:O,Canola_Yr!$B:$B,"Harvested Area")+SUMIFS(Soybeans_Yr!O:O,Soybeans_Yr!$B:$B,"Harvested Area")</f>
        <v>24.953799999999998</v>
      </c>
      <c r="P4" s="13">
        <f>SUMIFS(Canola_Yr!P:P,Canola_Yr!$B:$B,"Harvested Area")+SUMIFS(Soybeans_Yr!P:P,Soybeans_Yr!$B:$B,"Harvested Area")</f>
        <v>26.314599999999999</v>
      </c>
      <c r="Q4" s="13">
        <f>SUMIFS(Canola_Yr!Q:Q,Canola_Yr!$B:$B,"Harvested Area")+SUMIFS(Soybeans_Yr!Q:Q,Soybeans_Yr!$B:$B,"Harvested Area")</f>
        <v>26.185400000000001</v>
      </c>
      <c r="R4" s="13">
        <f>SUMIFS(Canola_Yr!R:R,Canola_Yr!$B:$B,"Harvested Area")+SUMIFS(Soybeans_Yr!R:R,Soybeans_Yr!$B:$B,"Harvested Area")</f>
        <v>25.933900000000001</v>
      </c>
      <c r="S4" s="13">
        <f>SUMIFS(Canola_Yr!S:S,Canola_Yr!$B:$B,"Harvested Area")+SUMIFS(Soybeans_Yr!S:S,Soybeans_Yr!$B:$B,"Harvested Area")</f>
        <v>30.1663</v>
      </c>
      <c r="T4" s="13">
        <f>SUMIFS(Canola_Yr!T:T,Canola_Yr!$B:$B,"Harvested Area")+SUMIFS(Soybeans_Yr!T:T,Soybeans_Yr!$B:$B,"Harvested Area")</f>
        <v>28.810700000000001</v>
      </c>
      <c r="U4" s="13">
        <f>SUMIFS(Canola_Yr!U:U,Canola_Yr!$B:$B,"Harvested Area")+SUMIFS(Soybeans_Yr!U:U,Soybeans_Yr!$B:$B,"Harvested Area")</f>
        <v>26.543199999999999</v>
      </c>
      <c r="V4" s="13">
        <f>SUMIFS(Canola_Yr!V:V,Canola_Yr!$B:$B,"Harvested Area")+SUMIFS(Soybeans_Yr!V:V,Soybeans_Yr!$B:$B,"Harvested Area")</f>
        <v>25.616399999999999</v>
      </c>
      <c r="W4" s="13">
        <f>SUMIFS(Canola_Yr!W:W,Canola_Yr!$B:$B,"Harvested Area")+SUMIFS(Soybeans_Yr!W:W,Soybeans_Yr!$B:$B,"Harvested Area")</f>
        <v>27.246223000000001</v>
      </c>
      <c r="X4" s="13">
        <f>SUMIFS(Canola_Yr!X:X,Canola_Yr!$B:$B,"Harvested Area")+SUMIFS(Soybeans_Yr!X:X,Soybeans_Yr!$B:$B,"Harvested Area")</f>
        <v>26.475300000000001</v>
      </c>
      <c r="Y4" s="13">
        <f>SUMIFS(Canola_Yr!Y:Y,Canola_Yr!$B:$B,"Harvested Area")+SUMIFS(Soybeans_Yr!Y:Y,Soybeans_Yr!$B:$B,"Harvested Area")</f>
        <v>27.472799999999999</v>
      </c>
      <c r="Z4" s="13">
        <f>SUMIFS(Canola_Yr!Z:Z,Canola_Yr!$B:$B,"Harvested Area")+SUMIFS(Soybeans_Yr!Z:Z,Soybeans_Yr!$B:$B,"Harvested Area")</f>
        <v>27.516399999999997</v>
      </c>
    </row>
    <row r="5" spans="1:26" x14ac:dyDescent="0.3">
      <c r="A5" s="11" t="s">
        <v>79</v>
      </c>
      <c r="B5" s="11" t="s">
        <v>55</v>
      </c>
      <c r="C5" s="12" t="s">
        <v>56</v>
      </c>
      <c r="D5" s="14">
        <f t="shared" ref="D5:Z5" si="0">IF(D3&lt;&gt;0,D4/D3,"")</f>
        <v>0.94794613183351328</v>
      </c>
      <c r="E5" s="14">
        <f t="shared" si="0"/>
        <v>0.99124708119520688</v>
      </c>
      <c r="F5" s="14">
        <f t="shared" si="0"/>
        <v>0.93777015480498593</v>
      </c>
      <c r="G5" s="14">
        <f t="shared" si="0"/>
        <v>0.96916501203090311</v>
      </c>
      <c r="H5" s="14">
        <f t="shared" si="0"/>
        <v>0.99117288043360441</v>
      </c>
      <c r="I5" s="14">
        <f t="shared" si="0"/>
        <v>0.99259850363380264</v>
      </c>
      <c r="J5" s="14">
        <f t="shared" si="0"/>
        <v>0.9932791554521937</v>
      </c>
      <c r="K5" s="14">
        <f t="shared" si="0"/>
        <v>0.97715947465295272</v>
      </c>
      <c r="L5" s="14">
        <f t="shared" si="0"/>
        <v>0.9691672098552383</v>
      </c>
      <c r="M5" s="14">
        <f t="shared" si="0"/>
        <v>0.98919756991511265</v>
      </c>
      <c r="N5" s="14">
        <f t="shared" si="0"/>
        <v>0.98916489684466025</v>
      </c>
      <c r="O5" s="14">
        <f t="shared" si="0"/>
        <v>0.99500777542964225</v>
      </c>
      <c r="P5" s="14">
        <f t="shared" si="0"/>
        <v>0.99253185277943312</v>
      </c>
      <c r="Q5" s="14">
        <f t="shared" si="0"/>
        <v>0.99501077262726711</v>
      </c>
      <c r="R5" s="14">
        <f t="shared" si="0"/>
        <v>0.98266328087200694</v>
      </c>
      <c r="S5" s="14">
        <f t="shared" si="0"/>
        <v>0.99571562016233117</v>
      </c>
      <c r="T5" s="14">
        <f t="shared" si="0"/>
        <v>0.98892676078576758</v>
      </c>
      <c r="U5" s="14">
        <f t="shared" si="0"/>
        <v>0.98691216276510296</v>
      </c>
      <c r="V5" s="14">
        <f t="shared" si="0"/>
        <v>0.9908520900943415</v>
      </c>
      <c r="W5" s="14">
        <f t="shared" si="0"/>
        <v>0.99336406443943626</v>
      </c>
      <c r="X5" s="14">
        <f t="shared" si="0"/>
        <v>0.99270338471460329</v>
      </c>
      <c r="Y5" s="14">
        <f t="shared" si="0"/>
        <v>0.99117521845483336</v>
      </c>
      <c r="Z5" s="14">
        <f t="shared" si="0"/>
        <v>0.9926372179433991</v>
      </c>
    </row>
    <row r="6" spans="1:26" x14ac:dyDescent="0.3">
      <c r="A6" s="11" t="s">
        <v>79</v>
      </c>
      <c r="B6" s="11" t="s">
        <v>42</v>
      </c>
      <c r="C6" s="12" t="s">
        <v>78</v>
      </c>
      <c r="D6" s="23">
        <f t="shared" ref="D6:Z6" si="1">IF(D4&lt;&gt;0,D10/(D4*1000),"")</f>
        <v>0.59646619746491858</v>
      </c>
      <c r="E6" s="23">
        <f t="shared" si="1"/>
        <v>0.63789795889580081</v>
      </c>
      <c r="F6" s="23">
        <f t="shared" si="1"/>
        <v>0.71802791046675996</v>
      </c>
      <c r="G6" s="23">
        <f t="shared" si="1"/>
        <v>0.80665934823400254</v>
      </c>
      <c r="H6" s="23">
        <f t="shared" si="1"/>
        <v>0.78342131724484665</v>
      </c>
      <c r="I6" s="23">
        <f t="shared" si="1"/>
        <v>0.66351025429353006</v>
      </c>
      <c r="J6" s="23">
        <f t="shared" si="1"/>
        <v>0.84083363587096627</v>
      </c>
      <c r="K6" s="23">
        <f t="shared" si="1"/>
        <v>0.84123880795107664</v>
      </c>
      <c r="L6" s="23">
        <f t="shared" si="1"/>
        <v>0.83384299760006197</v>
      </c>
      <c r="M6" s="23">
        <f t="shared" si="1"/>
        <v>0.84421056358598956</v>
      </c>
      <c r="N6" s="23">
        <f t="shared" si="1"/>
        <v>0.72673422205863758</v>
      </c>
      <c r="O6" s="23">
        <f t="shared" si="1"/>
        <v>0.95804646987633157</v>
      </c>
      <c r="P6" s="23">
        <f t="shared" si="1"/>
        <v>0.85332477027961662</v>
      </c>
      <c r="Q6" s="23">
        <f t="shared" si="1"/>
        <v>0.94834526109969675</v>
      </c>
      <c r="R6" s="23">
        <f t="shared" si="1"/>
        <v>1.0100948950986932</v>
      </c>
      <c r="S6" s="23">
        <f t="shared" si="1"/>
        <v>0.96712888222950766</v>
      </c>
      <c r="T6" s="23">
        <f t="shared" si="1"/>
        <v>0.97672392548601727</v>
      </c>
      <c r="U6" s="23">
        <f t="shared" si="1"/>
        <v>0.98169776063172509</v>
      </c>
      <c r="V6" s="23">
        <f t="shared" si="1"/>
        <v>1.0088576068456148</v>
      </c>
      <c r="W6" s="23">
        <f t="shared" si="1"/>
        <v>0.75138120979190393</v>
      </c>
      <c r="X6" s="23">
        <f t="shared" si="1"/>
        <v>0.95912038768210373</v>
      </c>
      <c r="Y6" s="23">
        <f t="shared" si="1"/>
        <v>0.96455403162400632</v>
      </c>
      <c r="Z6" s="23">
        <f t="shared" si="1"/>
        <v>0.98006279891264847</v>
      </c>
    </row>
    <row r="8" spans="1:26" x14ac:dyDescent="0.3">
      <c r="A8" s="11" t="s">
        <v>79</v>
      </c>
      <c r="B8" s="11" t="s">
        <v>58</v>
      </c>
      <c r="C8" s="12" t="s">
        <v>59</v>
      </c>
      <c r="D8" s="16">
        <f>SUMIFS(Canola_Yr!D:D,Canola_Yr!$B:$B,"Beginning Stocks")+SUMIFS(Soybeans_Yr!D:D,Soybeans_Yr!$B:$B,"Beginning Stocks")</f>
        <v>1421.4000000000008</v>
      </c>
      <c r="E8" s="16">
        <f>SUMIFS(Canola_Yr!E:E,Canola_Yr!$B:$B,"Beginning Stocks")+SUMIFS(Soybeans_Yr!E:E,Soybeans_Yr!$B:$B,"Beginning Stocks")</f>
        <v>1039.2000000000007</v>
      </c>
      <c r="F8" s="16">
        <f>SUMIFS(Canola_Yr!F:F,Canola_Yr!$B:$B,"Beginning Stocks")+SUMIFS(Soybeans_Yr!F:F,Soybeans_Yr!$B:$B,"Beginning Stocks")</f>
        <v>748.60000000000218</v>
      </c>
      <c r="G8" s="16">
        <f>SUMIFS(Canola_Yr!G:G,Canola_Yr!$B:$B,"Beginning Stocks")+SUMIFS(Soybeans_Yr!G:G,Soybeans_Yr!$B:$B,"Beginning Stocks")</f>
        <v>1856.6000000000013</v>
      </c>
      <c r="H8" s="16">
        <f>SUMIFS(Canola_Yr!H:H,Canola_Yr!$B:$B,"Beginning Stocks")+SUMIFS(Soybeans_Yr!H:H,Soybeans_Yr!$B:$B,"Beginning Stocks")</f>
        <v>2502.0000000000036</v>
      </c>
      <c r="I8" s="16">
        <f>SUMIFS(Canola_Yr!I:I,Canola_Yr!$B:$B,"Beginning Stocks")+SUMIFS(Soybeans_Yr!I:I,Soybeans_Yr!$B:$B,"Beginning Stocks")</f>
        <v>2252.6000000000031</v>
      </c>
      <c r="J8" s="16">
        <f>SUMIFS(Canola_Yr!J:J,Canola_Yr!$B:$B,"Beginning Stocks")+SUMIFS(Soybeans_Yr!J:J,Soybeans_Yr!$B:$B,"Beginning Stocks")</f>
        <v>1577.5000000000014</v>
      </c>
      <c r="K8" s="16">
        <f>SUMIFS(Canola_Yr!K:K,Canola_Yr!$B:$B,"Beginning Stocks")+SUMIFS(Soybeans_Yr!K:K,Soybeans_Yr!$B:$B,"Beginning Stocks")</f>
        <v>2163.5000000000018</v>
      </c>
      <c r="L8" s="16">
        <f>SUMIFS(Canola_Yr!L:L,Canola_Yr!$B:$B,"Beginning Stocks")+SUMIFS(Soybeans_Yr!L:L,Soybeans_Yr!$B:$B,"Beginning Stocks")</f>
        <v>3053.7000000000012</v>
      </c>
      <c r="M8" s="16">
        <f>SUMIFS(Canola_Yr!M:M,Canola_Yr!$B:$B,"Beginning Stocks")+SUMIFS(Soybeans_Yr!M:M,Soybeans_Yr!$B:$B,"Beginning Stocks")</f>
        <v>2482.3000000000002</v>
      </c>
      <c r="N8" s="16">
        <f>SUMIFS(Canola_Yr!N:N,Canola_Yr!$B:$B,"Beginning Stocks")+SUMIFS(Soybeans_Yr!N:N,Soybeans_Yr!$B:$B,"Beginning Stocks")</f>
        <v>938.69999999999709</v>
      </c>
      <c r="O8" s="16">
        <f>SUMIFS(Canola_Yr!O:O,Canola_Yr!$B:$B,"Beginning Stocks")+SUMIFS(Soybeans_Yr!O:O,Soybeans_Yr!$B:$B,"Beginning Stocks")</f>
        <v>745.59999999999582</v>
      </c>
      <c r="P8" s="16">
        <f>SUMIFS(Canola_Yr!P:P,Canola_Yr!$B:$B,"Beginning Stocks")+SUMIFS(Soybeans_Yr!P:P,Soybeans_Yr!$B:$B,"Beginning Stocks")</f>
        <v>3245.2999999999956</v>
      </c>
      <c r="Q8" s="16">
        <f>SUMIFS(Canola_Yr!Q:Q,Canola_Yr!$B:$B,"Beginning Stocks")+SUMIFS(Soybeans_Yr!Q:Q,Soybeans_Yr!$B:$B,"Beginning Stocks")</f>
        <v>3030.8999999999915</v>
      </c>
      <c r="R8" s="16">
        <f>SUMIFS(Canola_Yr!R:R,Canola_Yr!$B:$B,"Beginning Stocks")+SUMIFS(Soybeans_Yr!R:R,Soybeans_Yr!$B:$B,"Beginning Stocks")</f>
        <v>2470.3999999999824</v>
      </c>
      <c r="S8" s="16">
        <f>SUMIFS(Canola_Yr!S:S,Canola_Yr!$B:$B,"Beginning Stocks")+SUMIFS(Soybeans_Yr!S:S,Soybeans_Yr!$B:$B,"Beginning Stocks")</f>
        <v>1696.699999999988</v>
      </c>
      <c r="T8" s="16">
        <f>SUMIFS(Canola_Yr!T:T,Canola_Yr!$B:$B,"Beginning Stocks")+SUMIFS(Soybeans_Yr!T:T,Soybeans_Yr!$B:$B,"Beginning Stocks")</f>
        <v>3286.9999999999927</v>
      </c>
      <c r="U8" s="16">
        <f>SUMIFS(Canola_Yr!U:U,Canola_Yr!$B:$B,"Beginning Stocks")+SUMIFS(Soybeans_Yr!U:U,Soybeans_Yr!$B:$B,"Beginning Stocks")</f>
        <v>5134.5999999999894</v>
      </c>
      <c r="V8" s="16">
        <f>SUMIFS(Canola_Yr!V:V,Canola_Yr!$B:$B,"Beginning Stocks")+SUMIFS(Soybeans_Yr!V:V,Soybeans_Yr!$B:$B,"Beginning Stocks")</f>
        <v>4055.699999999988</v>
      </c>
      <c r="W8" s="16">
        <f>SUMIFS(Canola_Yr!W:W,Canola_Yr!$B:$B,"Beginning Stocks")+SUMIFS(Soybeans_Yr!W:W,Soybeans_Yr!$B:$B,"Beginning Stocks")</f>
        <v>2071.7999999999893</v>
      </c>
      <c r="X8" s="16">
        <f>SUMIFS(Canola_Yr!X:X,Canola_Yr!$B:$B,"Beginning Stocks")+SUMIFS(Soybeans_Yr!X:X,Soybeans_Yr!$B:$B,"Beginning Stocks")</f>
        <v>1771.1999999999916</v>
      </c>
      <c r="Y8" s="16">
        <f>SUMIFS(Canola_Yr!Y:Y,Canola_Yr!$B:$B,"Beginning Stocks")+SUMIFS(Soybeans_Yr!Y:Y,Soybeans_Yr!$B:$B,"Beginning Stocks")</f>
        <v>2234.2999999999902</v>
      </c>
      <c r="Z8" s="16">
        <f>SUMIFS(Canola_Yr!Z:Z,Canola_Yr!$B:$B,"Beginning Stocks")+SUMIFS(Soybeans_Yr!Z:Z,Soybeans_Yr!$B:$B,"Beginning Stocks")</f>
        <v>3830.1999999999898</v>
      </c>
    </row>
    <row r="9" spans="1:26" x14ac:dyDescent="0.3">
      <c r="A9" s="11" t="s">
        <v>79</v>
      </c>
      <c r="B9" s="11" t="s">
        <v>45</v>
      </c>
      <c r="C9" s="12" t="s">
        <v>59</v>
      </c>
      <c r="D9" s="16">
        <f>SUMIFS(Canola_Yr!D:D,Canola_Yr!$B:$B,"Imports")+SUMIFS(Soybeans_Yr!D:D,Soybeans_Yr!$B:$B,"Imports")</f>
        <v>890.53400000000011</v>
      </c>
      <c r="E9" s="16">
        <f>SUMIFS(Canola_Yr!E:E,Canola_Yr!$B:$B,"Imports")+SUMIFS(Soybeans_Yr!E:E,Soybeans_Yr!$B:$B,"Imports")</f>
        <v>829.39599999999996</v>
      </c>
      <c r="F9" s="16">
        <f>SUMIFS(Canola_Yr!F:F,Canola_Yr!$B:$B,"Imports")+SUMIFS(Soybeans_Yr!F:F,Soybeans_Yr!$B:$B,"Imports")</f>
        <v>501.053</v>
      </c>
      <c r="G9" s="16">
        <f>SUMIFS(Canola_Yr!G:G,Canola_Yr!$B:$B,"Imports")+SUMIFS(Soybeans_Yr!G:G,Soybeans_Yr!$B:$B,"Imports")</f>
        <v>478.75400000000002</v>
      </c>
      <c r="H9" s="16">
        <f>SUMIFS(Canola_Yr!H:H,Canola_Yr!$B:$B,"Imports")+SUMIFS(Soybeans_Yr!H:H,Soybeans_Yr!$B:$B,"Imports")</f>
        <v>443.68699999999995</v>
      </c>
      <c r="I9" s="16">
        <f>SUMIFS(Canola_Yr!I:I,Canola_Yr!$B:$B,"Imports")+SUMIFS(Soybeans_Yr!I:I,Soybeans_Yr!$B:$B,"Imports")</f>
        <v>515.60299999999995</v>
      </c>
      <c r="J9" s="16">
        <f>SUMIFS(Canola_Yr!J:J,Canola_Yr!$B:$B,"Imports")+SUMIFS(Soybeans_Yr!J:J,Soybeans_Yr!$B:$B,"Imports")</f>
        <v>471.08100000000007</v>
      </c>
      <c r="K9" s="16">
        <f>SUMIFS(Canola_Yr!K:K,Canola_Yr!$B:$B,"Imports")+SUMIFS(Soybeans_Yr!K:K,Soybeans_Yr!$B:$B,"Imports")</f>
        <v>499.60599999999999</v>
      </c>
      <c r="L9" s="16">
        <f>SUMIFS(Canola_Yr!L:L,Canola_Yr!$B:$B,"Imports")+SUMIFS(Soybeans_Yr!L:L,Soybeans_Yr!$B:$B,"Imports")</f>
        <v>489.92399999999998</v>
      </c>
      <c r="M9" s="16">
        <f>SUMIFS(Canola_Yr!M:M,Canola_Yr!$B:$B,"Imports")+SUMIFS(Soybeans_Yr!M:M,Soybeans_Yr!$B:$B,"Imports")</f>
        <v>329.03500000000003</v>
      </c>
      <c r="N9" s="16">
        <f>SUMIFS(Canola_Yr!N:N,Canola_Yr!$B:$B,"Imports")+SUMIFS(Soybeans_Yr!N:N,Soybeans_Yr!$B:$B,"Imports")</f>
        <v>385.20500000000004</v>
      </c>
      <c r="O9" s="16">
        <f>SUMIFS(Canola_Yr!O:O,Canola_Yr!$B:$B,"Imports")+SUMIFS(Soybeans_Yr!O:O,Soybeans_Yr!$B:$B,"Imports")</f>
        <v>409.16800000000001</v>
      </c>
      <c r="P9" s="16">
        <f>SUMIFS(Canola_Yr!P:P,Canola_Yr!$B:$B,"Imports")+SUMIFS(Soybeans_Yr!P:P,Soybeans_Yr!$B:$B,"Imports")</f>
        <v>405.98400000000004</v>
      </c>
      <c r="Q9" s="16">
        <f>SUMIFS(Canola_Yr!Q:Q,Canola_Yr!$B:$B,"Imports")+SUMIFS(Soybeans_Yr!Q:Q,Soybeans_Yr!$B:$B,"Imports")</f>
        <v>424.06500000000005</v>
      </c>
      <c r="R9" s="16">
        <f>SUMIFS(Canola_Yr!R:R,Canola_Yr!$B:$B,"Imports")+SUMIFS(Soybeans_Yr!R:R,Soybeans_Yr!$B:$B,"Imports")</f>
        <v>577.16600000000005</v>
      </c>
      <c r="S9" s="16">
        <f>SUMIFS(Canola_Yr!S:S,Canola_Yr!$B:$B,"Imports")+SUMIFS(Soybeans_Yr!S:S,Soybeans_Yr!$B:$B,"Imports")</f>
        <v>642.49400000000003</v>
      </c>
      <c r="T9" s="16">
        <f>SUMIFS(Canola_Yr!T:T,Canola_Yr!$B:$B,"Imports")+SUMIFS(Soybeans_Yr!T:T,Soybeans_Yr!$B:$B,"Imports")</f>
        <v>1277.4069999999999</v>
      </c>
      <c r="U9" s="16">
        <f>SUMIFS(Canola_Yr!U:U,Canola_Yr!$B:$B,"Imports")+SUMIFS(Soybeans_Yr!U:U,Soybeans_Yr!$B:$B,"Imports")</f>
        <v>397.34</v>
      </c>
      <c r="V9" s="16">
        <f>SUMIFS(Canola_Yr!V:V,Canola_Yr!$B:$B,"Imports")+SUMIFS(Soybeans_Yr!V:V,Soybeans_Yr!$B:$B,"Imports")</f>
        <v>644.54299999999989</v>
      </c>
      <c r="W9" s="16">
        <f>SUMIFS(Canola_Yr!W:W,Canola_Yr!$B:$B,"Imports")+SUMIFS(Soybeans_Yr!W:W,Soybeans_Yr!$B:$B,"Imports")</f>
        <v>656.57899999999995</v>
      </c>
      <c r="X9" s="16">
        <f>SUMIFS(Canola_Yr!X:X,Canola_Yr!$B:$B,"Imports")+SUMIFS(Soybeans_Yr!X:X,Soybeans_Yr!$B:$B,"Imports")</f>
        <v>634.10899999999992</v>
      </c>
      <c r="Y9" s="16">
        <f>SUMIFS(Canola_Yr!Y:Y,Canola_Yr!$B:$B,"Imports")+SUMIFS(Soybeans_Yr!Y:Y,Soybeans_Yr!$B:$B,"Imports")</f>
        <v>598.12400000000002</v>
      </c>
      <c r="Z9" s="16">
        <f>SUMIFS(Canola_Yr!Z:Z,Canola_Yr!$B:$B,"Imports")+SUMIFS(Soybeans_Yr!Z:Z,Soybeans_Yr!$B:$B,"Imports")</f>
        <v>398.274</v>
      </c>
    </row>
    <row r="10" spans="1:26" x14ac:dyDescent="0.3">
      <c r="A10" s="11" t="s">
        <v>79</v>
      </c>
      <c r="B10" s="11" t="s">
        <v>43</v>
      </c>
      <c r="C10" s="12" t="s">
        <v>59</v>
      </c>
      <c r="D10" s="16">
        <f>SUMIFS(Canola_Yr!D:D,Canola_Yr!$B:$B,"Production")+SUMIFS(Soybeans_Yr!D:D,Soybeans_Yr!$B:$B,"Production")</f>
        <v>6856.2</v>
      </c>
      <c r="E10" s="16">
        <f>SUMIFS(Canola_Yr!E:E,Canola_Yr!$B:$B,"Production")+SUMIFS(Soybeans_Yr!E:E,Soybeans_Yr!$B:$B,"Production")</f>
        <v>9044.5</v>
      </c>
      <c r="F10" s="16">
        <f>SUMIFS(Canola_Yr!F:F,Canola_Yr!$B:$B,"Production")+SUMIFS(Soybeans_Yr!F:F,Soybeans_Yr!$B:$B,"Production")</f>
        <v>10717.5</v>
      </c>
      <c r="G10" s="16">
        <f>SUMIFS(Canola_Yr!G:G,Canola_Yr!$B:$B,"Production")+SUMIFS(Soybeans_Yr!G:G,Soybeans_Yr!$B:$B,"Production")</f>
        <v>12638.9</v>
      </c>
      <c r="H10" s="16">
        <f>SUMIFS(Canola_Yr!H:H,Canola_Yr!$B:$B,"Production")+SUMIFS(Soybeans_Yr!H:H,Soybeans_Yr!$B:$B,"Production")</f>
        <v>12465.8</v>
      </c>
      <c r="I10" s="16">
        <f>SUMIFS(Canola_Yr!I:I,Canola_Yr!$B:$B,"Production")+SUMIFS(Soybeans_Yr!I:I,Soybeans_Yr!$B:$B,"Production")</f>
        <v>12297.3</v>
      </c>
      <c r="J10" s="16">
        <f>SUMIFS(Canola_Yr!J:J,Canola_Yr!$B:$B,"Production")+SUMIFS(Soybeans_Yr!J:J,Soybeans_Yr!$B:$B,"Production")</f>
        <v>15980.8</v>
      </c>
      <c r="K10" s="16">
        <f>SUMIFS(Canola_Yr!K:K,Canola_Yr!$B:$B,"Production")+SUMIFS(Soybeans_Yr!K:K,Soybeans_Yr!$B:$B,"Production")</f>
        <v>16479.7</v>
      </c>
      <c r="L10" s="16">
        <f>SUMIFS(Canola_Yr!L:L,Canola_Yr!$B:$B,"Production")+SUMIFS(Soybeans_Yr!L:L,Soybeans_Yr!$B:$B,"Production")</f>
        <v>17233.2</v>
      </c>
      <c r="M10" s="16">
        <f>SUMIFS(Canola_Yr!M:M,Canola_Yr!$B:$B,"Production")+SUMIFS(Soybeans_Yr!M:M,Soybeans_Yr!$B:$B,"Production")</f>
        <v>19074.599999999999</v>
      </c>
      <c r="N10" s="16">
        <f>SUMIFS(Canola_Yr!N:N,Canola_Yr!$B:$B,"Production")+SUMIFS(Soybeans_Yr!N:N,Soybeans_Yr!$B:$B,"Production")</f>
        <v>18954.900000000001</v>
      </c>
      <c r="O10" s="16">
        <f>SUMIFS(Canola_Yr!O:O,Canola_Yr!$B:$B,"Production")+SUMIFS(Soybeans_Yr!O:O,Soybeans_Yr!$B:$B,"Production")</f>
        <v>23906.9</v>
      </c>
      <c r="P10" s="16">
        <f>SUMIFS(Canola_Yr!P:P,Canola_Yr!$B:$B,"Production")+SUMIFS(Soybeans_Yr!P:P,Soybeans_Yr!$B:$B,"Production")</f>
        <v>22454.899999999998</v>
      </c>
      <c r="Q10" s="16">
        <f>SUMIFS(Canola_Yr!Q:Q,Canola_Yr!$B:$B,"Production")+SUMIFS(Soybeans_Yr!Q:Q,Soybeans_Yr!$B:$B,"Production")</f>
        <v>24832.799999999999</v>
      </c>
      <c r="R10" s="16">
        <f>SUMIFS(Canola_Yr!R:R,Canola_Yr!$B:$B,"Production")+SUMIFS(Soybeans_Yr!R:R,Soybeans_Yr!$B:$B,"Production")</f>
        <v>26195.7</v>
      </c>
      <c r="S10" s="16">
        <f>SUMIFS(Canola_Yr!S:S,Canola_Yr!$B:$B,"Production")+SUMIFS(Soybeans_Yr!S:S,Soybeans_Yr!$B:$B,"Production")</f>
        <v>29174.699999999997</v>
      </c>
      <c r="T10" s="16">
        <f>SUMIFS(Canola_Yr!T:T,Canola_Yr!$B:$B,"Production")+SUMIFS(Soybeans_Yr!T:T,Soybeans_Yr!$B:$B,"Production")</f>
        <v>28140.1</v>
      </c>
      <c r="U10" s="16">
        <f>SUMIFS(Canola_Yr!U:U,Canola_Yr!$B:$B,"Production")+SUMIFS(Soybeans_Yr!U:U,Soybeans_Yr!$B:$B,"Production")</f>
        <v>26057.4</v>
      </c>
      <c r="V10" s="16">
        <f>SUMIFS(Canola_Yr!V:V,Canola_Yr!$B:$B,"Production")+SUMIFS(Soybeans_Yr!V:V,Soybeans_Yr!$B:$B,"Production")</f>
        <v>25843.300000000003</v>
      </c>
      <c r="W10" s="16">
        <f>SUMIFS(Canola_Yr!W:W,Canola_Yr!$B:$B,"Production")+SUMIFS(Soybeans_Yr!W:W,Soybeans_Yr!$B:$B,"Production")</f>
        <v>20472.3</v>
      </c>
      <c r="X10" s="16">
        <f>SUMIFS(Canola_Yr!X:X,Canola_Yr!$B:$B,"Production")+SUMIFS(Soybeans_Yr!X:X,Soybeans_Yr!$B:$B,"Production")</f>
        <v>25393</v>
      </c>
      <c r="Y10" s="16">
        <f>SUMIFS(Canola_Yr!Y:Y,Canola_Yr!$B:$B,"Production")+SUMIFS(Soybeans_Yr!Y:Y,Soybeans_Yr!$B:$B,"Production")</f>
        <v>26499</v>
      </c>
      <c r="Z10" s="16">
        <f>SUMIFS(Canola_Yr!Z:Z,Canola_Yr!$B:$B,"Production")+SUMIFS(Soybeans_Yr!Z:Z,Soybeans_Yr!$B:$B,"Production")</f>
        <v>26967.8</v>
      </c>
    </row>
    <row r="11" spans="1:26" x14ac:dyDescent="0.3">
      <c r="A11" s="17" t="s">
        <v>79</v>
      </c>
      <c r="B11" s="17" t="s">
        <v>60</v>
      </c>
      <c r="C11" s="18" t="s">
        <v>59</v>
      </c>
      <c r="D11" s="19">
        <f>SUMIFS(Canola_Yr!D:D,Canola_Yr!$B:$B,"Total Supply")+SUMIFS(Soybeans_Yr!D:D,Soybeans_Yr!$B:$B,"Total Supply")</f>
        <v>9168.1340000000018</v>
      </c>
      <c r="E11" s="19">
        <f>SUMIFS(Canola_Yr!E:E,Canola_Yr!$B:$B,"Total Supply")+SUMIFS(Soybeans_Yr!E:E,Soybeans_Yr!$B:$B,"Total Supply")</f>
        <v>10913.096000000001</v>
      </c>
      <c r="F11" s="19">
        <f>SUMIFS(Canola_Yr!F:F,Canola_Yr!$B:$B,"Total Supply")+SUMIFS(Soybeans_Yr!F:F,Soybeans_Yr!$B:$B,"Total Supply")</f>
        <v>11967.153000000002</v>
      </c>
      <c r="G11" s="19">
        <f>SUMIFS(Canola_Yr!G:G,Canola_Yr!$B:$B,"Total Supply")+SUMIFS(Soybeans_Yr!G:G,Soybeans_Yr!$B:$B,"Total Supply")</f>
        <v>14974.254000000001</v>
      </c>
      <c r="H11" s="19">
        <f>SUMIFS(Canola_Yr!H:H,Canola_Yr!$B:$B,"Total Supply")+SUMIFS(Soybeans_Yr!H:H,Soybeans_Yr!$B:$B,"Total Supply")</f>
        <v>15411.487000000003</v>
      </c>
      <c r="I11" s="19">
        <f>SUMIFS(Canola_Yr!I:I,Canola_Yr!$B:$B,"Total Supply")+SUMIFS(Soybeans_Yr!I:I,Soybeans_Yr!$B:$B,"Total Supply")</f>
        <v>15065.503000000004</v>
      </c>
      <c r="J11" s="19">
        <f>SUMIFS(Canola_Yr!J:J,Canola_Yr!$B:$B,"Total Supply")+SUMIFS(Soybeans_Yr!J:J,Soybeans_Yr!$B:$B,"Total Supply")</f>
        <v>18029.381000000001</v>
      </c>
      <c r="K11" s="19">
        <f>SUMIFS(Canola_Yr!K:K,Canola_Yr!$B:$B,"Total Supply")+SUMIFS(Soybeans_Yr!K:K,Soybeans_Yr!$B:$B,"Total Supply")</f>
        <v>19142.806</v>
      </c>
      <c r="L11" s="19">
        <f>SUMIFS(Canola_Yr!L:L,Canola_Yr!$B:$B,"Total Supply")+SUMIFS(Soybeans_Yr!L:L,Soybeans_Yr!$B:$B,"Total Supply")</f>
        <v>20776.824000000001</v>
      </c>
      <c r="M11" s="19">
        <f>SUMIFS(Canola_Yr!M:M,Canola_Yr!$B:$B,"Total Supply")+SUMIFS(Soybeans_Yr!M:M,Soybeans_Yr!$B:$B,"Total Supply")</f>
        <v>21885.935000000001</v>
      </c>
      <c r="N11" s="19">
        <f>SUMIFS(Canola_Yr!N:N,Canola_Yr!$B:$B,"Total Supply")+SUMIFS(Soybeans_Yr!N:N,Soybeans_Yr!$B:$B,"Total Supply")</f>
        <v>20278.804999999997</v>
      </c>
      <c r="O11" s="19">
        <f>SUMIFS(Canola_Yr!O:O,Canola_Yr!$B:$B,"Total Supply")+SUMIFS(Soybeans_Yr!O:O,Soybeans_Yr!$B:$B,"Total Supply")</f>
        <v>25061.667999999998</v>
      </c>
      <c r="P11" s="19">
        <f>SUMIFS(Canola_Yr!P:P,Canola_Yr!$B:$B,"Total Supply")+SUMIFS(Soybeans_Yr!P:P,Soybeans_Yr!$B:$B,"Total Supply")</f>
        <v>26106.183999999994</v>
      </c>
      <c r="Q11" s="19">
        <f>SUMIFS(Canola_Yr!Q:Q,Canola_Yr!$B:$B,"Total Supply")+SUMIFS(Soybeans_Yr!Q:Q,Soybeans_Yr!$B:$B,"Total Supply")</f>
        <v>28287.764999999992</v>
      </c>
      <c r="R11" s="19">
        <f>SUMIFS(Canola_Yr!R:R,Canola_Yr!$B:$B,"Total Supply")+SUMIFS(Soybeans_Yr!R:R,Soybeans_Yr!$B:$B,"Total Supply")</f>
        <v>29243.265999999981</v>
      </c>
      <c r="S11" s="19">
        <f>SUMIFS(Canola_Yr!S:S,Canola_Yr!$B:$B,"Total Supply")+SUMIFS(Soybeans_Yr!S:S,Soybeans_Yr!$B:$B,"Total Supply")</f>
        <v>31513.893999999986</v>
      </c>
      <c r="T11" s="19">
        <f>SUMIFS(Canola_Yr!T:T,Canola_Yr!$B:$B,"Total Supply")+SUMIFS(Soybeans_Yr!T:T,Soybeans_Yr!$B:$B,"Total Supply")</f>
        <v>32704.506999999991</v>
      </c>
      <c r="U11" s="19">
        <f>SUMIFS(Canola_Yr!U:U,Canola_Yr!$B:$B,"Total Supply")+SUMIFS(Soybeans_Yr!U:U,Soybeans_Yr!$B:$B,"Total Supply")</f>
        <v>31589.339999999989</v>
      </c>
      <c r="V11" s="19">
        <f>SUMIFS(Canola_Yr!V:V,Canola_Yr!$B:$B,"Total Supply")+SUMIFS(Soybeans_Yr!V:V,Soybeans_Yr!$B:$B,"Total Supply")</f>
        <v>30543.542999999991</v>
      </c>
      <c r="W11" s="19">
        <f>SUMIFS(Canola_Yr!W:W,Canola_Yr!$B:$B,"Total Supply")+SUMIFS(Soybeans_Yr!W:W,Soybeans_Yr!$B:$B,"Total Supply")</f>
        <v>23200.678999999989</v>
      </c>
      <c r="X11" s="19">
        <f>SUMIFS(Canola_Yr!X:X,Canola_Yr!$B:$B,"Total Supply")+SUMIFS(Soybeans_Yr!X:X,Soybeans_Yr!$B:$B,"Total Supply")</f>
        <v>27798.308999999994</v>
      </c>
      <c r="Y11" s="19">
        <f>SUMIFS(Canola_Yr!Y:Y,Canola_Yr!$B:$B,"Total Supply")+SUMIFS(Soybeans_Yr!Y:Y,Soybeans_Yr!$B:$B,"Total Supply")</f>
        <v>29331.423999999992</v>
      </c>
      <c r="Z11" s="19">
        <f>SUMIFS(Canola_Yr!Z:Z,Canola_Yr!$B:$B,"Total Supply")+SUMIFS(Soybeans_Yr!Z:Z,Soybeans_Yr!$B:$B,"Total Supply")</f>
        <v>31196.27399999999</v>
      </c>
    </row>
    <row r="13" spans="1:26" x14ac:dyDescent="0.3">
      <c r="A13" s="11" t="s">
        <v>79</v>
      </c>
      <c r="B13" s="11" t="s">
        <v>46</v>
      </c>
      <c r="C13" s="12" t="s">
        <v>59</v>
      </c>
      <c r="D13" s="16">
        <f>SUMIFS(Canola_Yr!D:D,Canola_Yr!$B:$B,"Food")+SUMIFS(Soybeans_Yr!D:D,Soybeans_Yr!$B:$B,"Food")</f>
        <v>418.7999999999999</v>
      </c>
      <c r="E13" s="16">
        <f>SUMIFS(Canola_Yr!E:E,Canola_Yr!$B:$B,"Food")+SUMIFS(Soybeans_Yr!E:E,Soybeans_Yr!$B:$B,"Food")</f>
        <v>324.09999999999997</v>
      </c>
      <c r="F13" s="16">
        <f>SUMIFS(Canola_Yr!F:F,Canola_Yr!$B:$B,"Food")+SUMIFS(Soybeans_Yr!F:F,Soybeans_Yr!$B:$B,"Food")</f>
        <v>453.2</v>
      </c>
      <c r="G13" s="16">
        <f>SUMIFS(Canola_Yr!G:G,Canola_Yr!$B:$B,"Food")+SUMIFS(Soybeans_Yr!G:G,Soybeans_Yr!$B:$B,"Food")</f>
        <v>334.40000000000003</v>
      </c>
      <c r="H13" s="16">
        <f>SUMIFS(Canola_Yr!H:H,Canola_Yr!$B:$B,"Food")+SUMIFS(Soybeans_Yr!H:H,Soybeans_Yr!$B:$B,"Food")</f>
        <v>355.89999999999986</v>
      </c>
      <c r="I13" s="16">
        <f>SUMIFS(Canola_Yr!I:I,Canola_Yr!$B:$B,"Food")+SUMIFS(Soybeans_Yr!I:I,Soybeans_Yr!$B:$B,"Food")</f>
        <v>208.19999999999996</v>
      </c>
      <c r="J13" s="16">
        <f>SUMIFS(Canola_Yr!J:J,Canola_Yr!$B:$B,"Food")+SUMIFS(Soybeans_Yr!J:J,Soybeans_Yr!$B:$B,"Food")</f>
        <v>266.2</v>
      </c>
      <c r="K13" s="16">
        <f>SUMIFS(Canola_Yr!K:K,Canola_Yr!$B:$B,"Food")+SUMIFS(Soybeans_Yr!K:K,Soybeans_Yr!$B:$B,"Food")</f>
        <v>306.7</v>
      </c>
      <c r="L13" s="16">
        <f>SUMIFS(Canola_Yr!L:L,Canola_Yr!$B:$B,"Food")+SUMIFS(Soybeans_Yr!L:L,Soybeans_Yr!$B:$B,"Food")</f>
        <v>354.7999999999999</v>
      </c>
      <c r="M13" s="16">
        <f>SUMIFS(Canola_Yr!M:M,Canola_Yr!$B:$B,"Food")+SUMIFS(Soybeans_Yr!M:M,Soybeans_Yr!$B:$B,"Food")</f>
        <v>438.2999999999999</v>
      </c>
      <c r="N13" s="16">
        <f>SUMIFS(Canola_Yr!N:N,Canola_Yr!$B:$B,"Food")+SUMIFS(Soybeans_Yr!N:N,Soybeans_Yr!$B:$B,"Food")</f>
        <v>359.10000000000008</v>
      </c>
      <c r="O13" s="16">
        <f>SUMIFS(Canola_Yr!O:O,Canola_Yr!$B:$B,"Food")+SUMIFS(Soybeans_Yr!O:O,Soybeans_Yr!$B:$B,"Food")</f>
        <v>434.8</v>
      </c>
      <c r="P13" s="16">
        <f>SUMIFS(Canola_Yr!P:P,Canola_Yr!$B:$B,"Food")+SUMIFS(Soybeans_Yr!P:P,Soybeans_Yr!$B:$B,"Food")</f>
        <v>333.7999999999999</v>
      </c>
      <c r="Q13" s="16">
        <f>SUMIFS(Canola_Yr!Q:Q,Canola_Yr!$B:$B,"Food")+SUMIFS(Soybeans_Yr!Q:Q,Soybeans_Yr!$B:$B,"Food")</f>
        <v>508.7</v>
      </c>
      <c r="R13" s="16">
        <f>SUMIFS(Canola_Yr!R:R,Canola_Yr!$B:$B,"Food")+SUMIFS(Soybeans_Yr!R:R,Soybeans_Yr!$B:$B,"Food")</f>
        <v>550.5</v>
      </c>
      <c r="S13" s="16">
        <f>SUMIFS(Canola_Yr!S:S,Canola_Yr!$B:$B,"Food")+SUMIFS(Soybeans_Yr!S:S,Soybeans_Yr!$B:$B,"Food")</f>
        <v>795.70000000000027</v>
      </c>
      <c r="T13" s="16">
        <f>SUMIFS(Canola_Yr!T:T,Canola_Yr!$B:$B,"Food")+SUMIFS(Soybeans_Yr!T:T,Soybeans_Yr!$B:$B,"Food")</f>
        <v>401.8</v>
      </c>
      <c r="U13" s="16">
        <f>SUMIFS(Canola_Yr!U:U,Canola_Yr!$B:$B,"Food")+SUMIFS(Soybeans_Yr!U:U,Soybeans_Yr!$B:$B,"Food")</f>
        <v>932.0999999999998</v>
      </c>
      <c r="V13" s="16">
        <f>SUMIFS(Canola_Yr!V:V,Canola_Yr!$B:$B,"Food")+SUMIFS(Soybeans_Yr!V:V,Soybeans_Yr!$B:$B,"Food")</f>
        <v>604.79999999999984</v>
      </c>
      <c r="W13" s="16">
        <f>SUMIFS(Canola_Yr!W:W,Canola_Yr!$B:$B,"Food")+SUMIFS(Soybeans_Yr!W:W,Soybeans_Yr!$B:$B,"Food")</f>
        <v>445.40000000000003</v>
      </c>
      <c r="X13" s="16">
        <f>SUMIFS(Canola_Yr!X:X,Canola_Yr!$B:$B,"Food")+SUMIFS(Soybeans_Yr!X:X,Soybeans_Yr!$B:$B,"Food")</f>
        <v>716.80000000000007</v>
      </c>
      <c r="Y13" s="16">
        <f>SUMIFS(Canola_Yr!Y:Y,Canola_Yr!$B:$B,"Food")+SUMIFS(Soybeans_Yr!Y:Y,Soybeans_Yr!$B:$B,"Food")</f>
        <v>303.89999999999992</v>
      </c>
      <c r="Z13" s="16">
        <f>SUMIFS(Canola_Yr!Z:Z,Canola_Yr!$B:$B,"Food")+SUMIFS(Soybeans_Yr!Z:Z,Soybeans_Yr!$B:$B,"Food")</f>
        <v>637.79999999999984</v>
      </c>
    </row>
    <row r="14" spans="1:26" x14ac:dyDescent="0.3">
      <c r="A14" s="11" t="s">
        <v>79</v>
      </c>
      <c r="B14" s="11" t="s">
        <v>70</v>
      </c>
      <c r="C14" s="12" t="s">
        <v>59</v>
      </c>
      <c r="D14" s="16">
        <f>SUMIFS(Canola_Yr!D:D,Canola_Yr!$B:$B,"Crush")+SUMIFS(Soybeans_Yr!D:D,Soybeans_Yr!$B:$B,"Crush")</f>
        <v>3987.3</v>
      </c>
      <c r="E14" s="16">
        <f>SUMIFS(Canola_Yr!E:E,Canola_Yr!$B:$B,"Crush")+SUMIFS(Soybeans_Yr!E:E,Soybeans_Yr!$B:$B,"Crush")</f>
        <v>4889.6999999999989</v>
      </c>
      <c r="F14" s="16">
        <f>SUMIFS(Canola_Yr!F:F,Canola_Yr!$B:$B,"Crush")+SUMIFS(Soybeans_Yr!F:F,Soybeans_Yr!$B:$B,"Crush")</f>
        <v>4641.2</v>
      </c>
      <c r="G14" s="16">
        <f>SUMIFS(Canola_Yr!G:G,Canola_Yr!$B:$B,"Crush")+SUMIFS(Soybeans_Yr!G:G,Soybeans_Yr!$B:$B,"Crush")</f>
        <v>4915.7999999999993</v>
      </c>
      <c r="H14" s="16">
        <f>SUMIFS(Canola_Yr!H:H,Canola_Yr!$B:$B,"Crush")+SUMIFS(Soybeans_Yr!H:H,Soybeans_Yr!$B:$B,"Crush")</f>
        <v>5091.5</v>
      </c>
      <c r="I14" s="16">
        <f>SUMIFS(Canola_Yr!I:I,Canola_Yr!$B:$B,"Crush")+SUMIFS(Soybeans_Yr!I:I,Soybeans_Yr!$B:$B,"Crush")</f>
        <v>5491.9000000000015</v>
      </c>
      <c r="J14" s="16">
        <f>SUMIFS(Canola_Yr!J:J,Canola_Yr!$B:$B,"Crush")+SUMIFS(Soybeans_Yr!J:J,Soybeans_Yr!$B:$B,"Crush")</f>
        <v>5559.8</v>
      </c>
      <c r="K14" s="16">
        <f>SUMIFS(Canola_Yr!K:K,Canola_Yr!$B:$B,"Crush")+SUMIFS(Soybeans_Yr!K:K,Soybeans_Yr!$B:$B,"Crush")</f>
        <v>6080.5999999999995</v>
      </c>
      <c r="L14" s="16">
        <f>SUMIFS(Canola_Yr!L:L,Canola_Yr!$B:$B,"Crush")+SUMIFS(Soybeans_Yr!L:L,Soybeans_Yr!$B:$B,"Crush")</f>
        <v>7758.8000000000011</v>
      </c>
      <c r="M14" s="16">
        <f>SUMIFS(Canola_Yr!M:M,Canola_Yr!$B:$B,"Crush")+SUMIFS(Soybeans_Yr!M:M,Soybeans_Yr!$B:$B,"Crush")</f>
        <v>8409.4999999999982</v>
      </c>
      <c r="N14" s="16">
        <f>SUMIFS(Canola_Yr!N:N,Canola_Yr!$B:$B,"Crush")+SUMIFS(Soybeans_Yr!N:N,Soybeans_Yr!$B:$B,"Crush")</f>
        <v>8257.5000000000018</v>
      </c>
      <c r="O14" s="16">
        <f>SUMIFS(Canola_Yr!O:O,Canola_Yr!$B:$B,"Crush")+SUMIFS(Soybeans_Yr!O:O,Soybeans_Yr!$B:$B,"Crush")</f>
        <v>8504</v>
      </c>
      <c r="P14" s="16">
        <f>SUMIFS(Canola_Yr!P:P,Canola_Yr!$B:$B,"Crush")+SUMIFS(Soybeans_Yr!P:P,Soybeans_Yr!$B:$B,"Crush")</f>
        <v>9147.8000000000011</v>
      </c>
      <c r="Q14" s="16">
        <f>SUMIFS(Canola_Yr!Q:Q,Canola_Yr!$B:$B,"Crush")+SUMIFS(Soybeans_Yr!Q:Q,Soybeans_Yr!$B:$B,"Crush")</f>
        <v>10238.199999999999</v>
      </c>
      <c r="R14" s="16">
        <f>SUMIFS(Canola_Yr!R:R,Canola_Yr!$B:$B,"Crush")+SUMIFS(Soybeans_Yr!R:R,Soybeans_Yr!$B:$B,"Crush")</f>
        <v>11023.699999999999</v>
      </c>
      <c r="S14" s="16">
        <f>SUMIFS(Canola_Yr!S:S,Canola_Yr!$B:$B,"Crush")+SUMIFS(Soybeans_Yr!S:S,Soybeans_Yr!$B:$B,"Crush")</f>
        <v>11238.300000000001</v>
      </c>
      <c r="T14" s="16">
        <f>SUMIFS(Canola_Yr!T:T,Canola_Yr!$B:$B,"Crush")+SUMIFS(Soybeans_Yr!T:T,Soybeans_Yr!$B:$B,"Crush")</f>
        <v>11353.499999999998</v>
      </c>
      <c r="U14" s="16">
        <f>SUMIFS(Canola_Yr!U:U,Canola_Yr!$B:$B,"Crush")+SUMIFS(Soybeans_Yr!U:U,Soybeans_Yr!$B:$B,"Crush")</f>
        <v>11870.599999999999</v>
      </c>
      <c r="V14" s="16">
        <f>SUMIFS(Canola_Yr!V:V,Canola_Yr!$B:$B,"Crush")+SUMIFS(Soybeans_Yr!V:V,Soybeans_Yr!$B:$B,"Crush")</f>
        <v>12060.500000000002</v>
      </c>
      <c r="W14" s="16">
        <f>SUMIFS(Canola_Yr!W:W,Canola_Yr!$B:$B,"Crush")+SUMIFS(Soybeans_Yr!W:W,Soybeans_Yr!$B:$B,"Crush")</f>
        <v>10413</v>
      </c>
      <c r="X14" s="16">
        <f>SUMIFS(Canola_Yr!X:X,Canola_Yr!$B:$B,"Crush")+SUMIFS(Soybeans_Yr!X:X,Soybeans_Yr!$B:$B,"Crush")</f>
        <v>11729.199999999999</v>
      </c>
      <c r="Y14" s="16">
        <f>SUMIFS(Canola_Yr!Y:Y,Canola_Yr!$B:$B,"Crush")+SUMIFS(Soybeans_Yr!Y:Y,Soybeans_Yr!$B:$B,"Crush")</f>
        <v>12684.999999999996</v>
      </c>
      <c r="Z14" s="16">
        <f>SUMIFS(Canola_Yr!Z:Z,Canola_Yr!$B:$B,"Crush")+SUMIFS(Soybeans_Yr!Z:Z,Soybeans_Yr!$B:$B,"Crush")</f>
        <v>13090.199999999999</v>
      </c>
    </row>
    <row r="15" spans="1:26" x14ac:dyDescent="0.3">
      <c r="A15" s="11" t="s">
        <v>79</v>
      </c>
      <c r="B15" s="11" t="s">
        <v>50</v>
      </c>
      <c r="C15" s="12" t="s">
        <v>59</v>
      </c>
      <c r="D15" s="16">
        <f>SUMIFS(Canola_Yr!D:D,Canola_Yr!$B:$B,"FSR")+SUMIFS(Soybeans_Yr!D:D,Soybeans_Yr!$B:$B,"FSR")</f>
        <v>574.92100000000005</v>
      </c>
      <c r="E15" s="16">
        <f>SUMIFS(Canola_Yr!E:E,Canola_Yr!$B:$B,"FSR")+SUMIFS(Soybeans_Yr!E:E,Soybeans_Yr!$B:$B,"FSR")</f>
        <v>274.31100000000009</v>
      </c>
      <c r="F15" s="16">
        <f>SUMIFS(Canola_Yr!F:F,Canola_Yr!$B:$B,"FSR")+SUMIFS(Soybeans_Yr!F:F,Soybeans_Yr!$B:$B,"FSR")</f>
        <v>399.65500000000202</v>
      </c>
      <c r="G15" s="16">
        <f>SUMIFS(Canola_Yr!G:G,Canola_Yr!$B:$B,"FSR")+SUMIFS(Soybeans_Yr!G:G,Soybeans_Yr!$B:$B,"FSR")</f>
        <v>493.18299999999817</v>
      </c>
      <c r="H15" s="16">
        <f>SUMIFS(Canola_Yr!H:H,Canola_Yr!$B:$B,"FSR")+SUMIFS(Soybeans_Yr!H:H,Soybeans_Yr!$B:$B,"FSR")</f>
        <v>505.21500000000071</v>
      </c>
      <c r="I15" s="16">
        <f>SUMIFS(Canola_Yr!I:I,Canola_Yr!$B:$B,"FSR")+SUMIFS(Soybeans_Yr!I:I,Soybeans_Yr!$B:$B,"FSR")</f>
        <v>268.10999999999979</v>
      </c>
      <c r="J15" s="16">
        <f>SUMIFS(Canola_Yr!J:J,Canola_Yr!$B:$B,"FSR")+SUMIFS(Soybeans_Yr!J:J,Soybeans_Yr!$B:$B,"FSR")</f>
        <v>147.19499999999971</v>
      </c>
      <c r="K15" s="16">
        <f>SUMIFS(Canola_Yr!K:K,Canola_Yr!$B:$B,"FSR")+SUMIFS(Soybeans_Yr!K:K,Soybeans_Yr!$B:$B,"FSR")</f>
        <v>209.55400000000151</v>
      </c>
      <c r="L15" s="16">
        <f>SUMIFS(Canola_Yr!L:L,Canola_Yr!$B:$B,"FSR")+SUMIFS(Soybeans_Yr!L:L,Soybeans_Yr!$B:$B,"FSR")</f>
        <v>72.105000000000473</v>
      </c>
      <c r="M15" s="16">
        <f>SUMIFS(Canola_Yr!M:M,Canola_Yr!$B:$B,"FSR")+SUMIFS(Soybeans_Yr!M:M,Soybeans_Yr!$B:$B,"FSR")</f>
        <v>470.03500000000611</v>
      </c>
      <c r="N15" s="16">
        <f>SUMIFS(Canola_Yr!N:N,Canola_Yr!$B:$B,"FSR")+SUMIFS(Soybeans_Yr!N:N,Soybeans_Yr!$B:$B,"FSR")</f>
        <v>340.97599999999909</v>
      </c>
      <c r="O15" s="16">
        <f>SUMIFS(Canola_Yr!O:O,Canola_Yr!$B:$B,"FSR")+SUMIFS(Soybeans_Yr!O:O,Soybeans_Yr!$B:$B,"FSR")</f>
        <v>255.42799999999914</v>
      </c>
      <c r="P15" s="16">
        <f>SUMIFS(Canola_Yr!P:P,Canola_Yr!$B:$B,"FSR")+SUMIFS(Soybeans_Yr!P:P,Soybeans_Yr!$B:$B,"FSR")</f>
        <v>462.37299999999993</v>
      </c>
      <c r="Q15" s="16">
        <f>SUMIFS(Canola_Yr!Q:Q,Canola_Yr!$B:$B,"FSR")+SUMIFS(Soybeans_Yr!Q:Q,Soybeans_Yr!$B:$B,"FSR")</f>
        <v>488.99700000000888</v>
      </c>
      <c r="R15" s="16">
        <f>SUMIFS(Canola_Yr!R:R,Canola_Yr!$B:$B,"FSR")+SUMIFS(Soybeans_Yr!R:R,Soybeans_Yr!$B:$B,"FSR")</f>
        <v>482.28999999999712</v>
      </c>
      <c r="S15" s="16">
        <f>SUMIFS(Canola_Yr!S:S,Canola_Yr!$B:$B,"FSR")+SUMIFS(Soybeans_Yr!S:S,Soybeans_Yr!$B:$B,"FSR")</f>
        <v>397.90899999999442</v>
      </c>
      <c r="T15" s="16">
        <f>SUMIFS(Canola_Yr!T:T,Canola_Yr!$B:$B,"FSR")+SUMIFS(Soybeans_Yr!T:T,Soybeans_Yr!$B:$B,"FSR")</f>
        <v>976.54300000000535</v>
      </c>
      <c r="U15" s="16">
        <f>SUMIFS(Canola_Yr!U:U,Canola_Yr!$B:$B,"FSR")+SUMIFS(Soybeans_Yr!U:U,Soybeans_Yr!$B:$B,"FSR")</f>
        <v>1102.7770000000016</v>
      </c>
      <c r="V15" s="16">
        <f>SUMIFS(Canola_Yr!V:V,Canola_Yr!$B:$B,"FSR")+SUMIFS(Soybeans_Yr!V:V,Soybeans_Yr!$B:$B,"FSR")</f>
        <v>804.97899999999868</v>
      </c>
      <c r="W15" s="16">
        <f>SUMIFS(Canola_Yr!W:W,Canola_Yr!$B:$B,"FSR")+SUMIFS(Soybeans_Yr!W:W,Soybeans_Yr!$B:$B,"FSR")</f>
        <v>1047.8739999999968</v>
      </c>
      <c r="X15" s="16">
        <f>SUMIFS(Canola_Yr!X:X,Canola_Yr!$B:$B,"FSR")+SUMIFS(Soybeans_Yr!X:X,Soybeans_Yr!$B:$B,"FSR")</f>
        <v>934.42000000000189</v>
      </c>
      <c r="Y15" s="16">
        <f>SUMIFS(Canola_Yr!Y:Y,Canola_Yr!$B:$B,"FSR")+SUMIFS(Soybeans_Yr!Y:Y,Soybeans_Yr!$B:$B,"FSR")</f>
        <v>754.60100000000557</v>
      </c>
      <c r="Z15" s="16">
        <f>SUMIFS(Canola_Yr!Z:Z,Canola_Yr!$B:$B,"FSR")+SUMIFS(Soybeans_Yr!Z:Z,Soybeans_Yr!$B:$B,"FSR")</f>
        <v>441.17499999999995</v>
      </c>
    </row>
    <row r="16" spans="1:26" x14ac:dyDescent="0.3">
      <c r="A16" s="11" t="s">
        <v>79</v>
      </c>
      <c r="B16" s="11" t="s">
        <v>44</v>
      </c>
      <c r="C16" s="12" t="s">
        <v>59</v>
      </c>
      <c r="D16" s="16">
        <f>SUMIFS(Canola_Yr!D:D,Canola_Yr!$B:$B,"Exports")+SUMIFS(Soybeans_Yr!D:D,Soybeans_Yr!$B:$B,"Exports")</f>
        <v>3147.9130000000005</v>
      </c>
      <c r="E16" s="16">
        <f>SUMIFS(Canola_Yr!E:E,Canola_Yr!$B:$B,"Exports")+SUMIFS(Soybeans_Yr!E:E,Soybeans_Yr!$B:$B,"Exports")</f>
        <v>4676.3850000000002</v>
      </c>
      <c r="F16" s="16">
        <f>SUMIFS(Canola_Yr!F:F,Canola_Yr!$B:$B,"Exports")+SUMIFS(Soybeans_Yr!F:F,Soybeans_Yr!$B:$B,"Exports")</f>
        <v>4616.4979999999996</v>
      </c>
      <c r="G16" s="16">
        <f>SUMIFS(Canola_Yr!G:G,Canola_Yr!$B:$B,"Exports")+SUMIFS(Soybeans_Yr!G:G,Soybeans_Yr!$B:$B,"Exports")</f>
        <v>6728.8710000000001</v>
      </c>
      <c r="H16" s="16">
        <f>SUMIFS(Canola_Yr!H:H,Canola_Yr!$B:$B,"Exports")+SUMIFS(Soybeans_Yr!H:H,Soybeans_Yr!$B:$B,"Exports")</f>
        <v>7206.2719999999999</v>
      </c>
      <c r="I16" s="16">
        <f>SUMIFS(Canola_Yr!I:I,Canola_Yr!$B:$B,"Exports")+SUMIFS(Soybeans_Yr!I:I,Soybeans_Yr!$B:$B,"Exports")</f>
        <v>7519.7930000000006</v>
      </c>
      <c r="J16" s="16">
        <f>SUMIFS(Canola_Yr!J:J,Canola_Yr!$B:$B,"Exports")+SUMIFS(Soybeans_Yr!J:J,Soybeans_Yr!$B:$B,"Exports")</f>
        <v>9892.6859999999997</v>
      </c>
      <c r="K16" s="16">
        <f>SUMIFS(Canola_Yr!K:K,Canola_Yr!$B:$B,"Exports")+SUMIFS(Soybeans_Yr!K:K,Soybeans_Yr!$B:$B,"Exports")</f>
        <v>9492.2520000000004</v>
      </c>
      <c r="L16" s="16">
        <f>SUMIFS(Canola_Yr!L:L,Canola_Yr!$B:$B,"Exports")+SUMIFS(Soybeans_Yr!L:L,Soybeans_Yr!$B:$B,"Exports")</f>
        <v>10108.819000000001</v>
      </c>
      <c r="M16" s="16">
        <f>SUMIFS(Canola_Yr!M:M,Canola_Yr!$B:$B,"Exports")+SUMIFS(Soybeans_Yr!M:M,Soybeans_Yr!$B:$B,"Exports")</f>
        <v>11629.4</v>
      </c>
      <c r="N16" s="16">
        <f>SUMIFS(Canola_Yr!N:N,Canola_Yr!$B:$B,"Exports")+SUMIFS(Soybeans_Yr!N:N,Soybeans_Yr!$B:$B,"Exports")</f>
        <v>10575.629000000001</v>
      </c>
      <c r="O16" s="16">
        <f>SUMIFS(Canola_Yr!O:O,Canola_Yr!$B:$B,"Exports")+SUMIFS(Soybeans_Yr!O:O,Soybeans_Yr!$B:$B,"Exports")</f>
        <v>12622.140000000001</v>
      </c>
      <c r="P16" s="16">
        <f>SUMIFS(Canola_Yr!P:P,Canola_Yr!$B:$B,"Exports")+SUMIFS(Soybeans_Yr!P:P,Soybeans_Yr!$B:$B,"Exports")</f>
        <v>13131.311000000002</v>
      </c>
      <c r="Q16" s="16">
        <f>SUMIFS(Canola_Yr!Q:Q,Canola_Yr!$B:$B,"Exports")+SUMIFS(Soybeans_Yr!Q:Q,Soybeans_Yr!$B:$B,"Exports")</f>
        <v>14581.467999999999</v>
      </c>
      <c r="R16" s="16">
        <f>SUMIFS(Canola_Yr!R:R,Canola_Yr!$B:$B,"Exports")+SUMIFS(Soybeans_Yr!R:R,Soybeans_Yr!$B:$B,"Exports")</f>
        <v>15490.075999999997</v>
      </c>
      <c r="S16" s="16">
        <f>SUMIFS(Canola_Yr!S:S,Canola_Yr!$B:$B,"Exports")+SUMIFS(Soybeans_Yr!S:S,Soybeans_Yr!$B:$B,"Exports")</f>
        <v>15794.985000000001</v>
      </c>
      <c r="T16" s="16">
        <f>SUMIFS(Canola_Yr!T:T,Canola_Yr!$B:$B,"Exports")+SUMIFS(Soybeans_Yr!T:T,Soybeans_Yr!$B:$B,"Exports")</f>
        <v>14838.064</v>
      </c>
      <c r="U16" s="16">
        <f>SUMIFS(Canola_Yr!U:U,Canola_Yr!$B:$B,"Exports")+SUMIFS(Soybeans_Yr!U:U,Soybeans_Yr!$B:$B,"Exports")</f>
        <v>13628.163</v>
      </c>
      <c r="V16" s="16">
        <f>SUMIFS(Canola_Yr!V:V,Canola_Yr!$B:$B,"Exports")+SUMIFS(Soybeans_Yr!V:V,Soybeans_Yr!$B:$B,"Exports")</f>
        <v>15001.464</v>
      </c>
      <c r="W16" s="16">
        <f>SUMIFS(Canola_Yr!W:W,Canola_Yr!$B:$B,"Exports")+SUMIFS(Soybeans_Yr!W:W,Soybeans_Yr!$B:$B,"Exports")</f>
        <v>9523.2050000000017</v>
      </c>
      <c r="X16" s="16">
        <f>SUMIFS(Canola_Yr!X:X,Canola_Yr!$B:$B,"Exports")+SUMIFS(Soybeans_Yr!X:X,Soybeans_Yr!$B:$B,"Exports")</f>
        <v>12183.589000000002</v>
      </c>
      <c r="Y16" s="16">
        <f>SUMIFS(Canola_Yr!Y:Y,Canola_Yr!$B:$B,"Exports")+SUMIFS(Soybeans_Yr!Y:Y,Soybeans_Yr!$B:$B,"Exports")</f>
        <v>11757.722999999998</v>
      </c>
      <c r="Z16" s="16">
        <f>SUMIFS(Canola_Yr!Z:Z,Canola_Yr!$B:$B,"Exports")+SUMIFS(Soybeans_Yr!Z:Z,Soybeans_Yr!$B:$B,"Exports")</f>
        <v>14918.899000000001</v>
      </c>
    </row>
    <row r="17" spans="1:26" x14ac:dyDescent="0.3">
      <c r="A17" s="17" t="s">
        <v>79</v>
      </c>
      <c r="B17" s="17" t="s">
        <v>61</v>
      </c>
      <c r="C17" s="18" t="s">
        <v>59</v>
      </c>
      <c r="D17" s="19">
        <f>SUMIFS(Canola_Yr!D:D,Canola_Yr!$B:$B,"Total Disposition")+SUMIFS(Soybeans_Yr!D:D,Soybeans_Yr!$B:$B,"Total Disposition")</f>
        <v>8128.9340000000002</v>
      </c>
      <c r="E17" s="19">
        <f>SUMIFS(Canola_Yr!E:E,Canola_Yr!$B:$B,"Total Disposition")+SUMIFS(Soybeans_Yr!E:E,Soybeans_Yr!$B:$B,"Total Disposition")</f>
        <v>10164.495999999999</v>
      </c>
      <c r="F17" s="19">
        <f>SUMIFS(Canola_Yr!F:F,Canola_Yr!$B:$B,"Total Disposition")+SUMIFS(Soybeans_Yr!F:F,Soybeans_Yr!$B:$B,"Total Disposition")</f>
        <v>10110.553000000002</v>
      </c>
      <c r="G17" s="19">
        <f>SUMIFS(Canola_Yr!G:G,Canola_Yr!$B:$B,"Total Disposition")+SUMIFS(Soybeans_Yr!G:G,Soybeans_Yr!$B:$B,"Total Disposition")</f>
        <v>12472.253999999997</v>
      </c>
      <c r="H17" s="19">
        <f>SUMIFS(Canola_Yr!H:H,Canola_Yr!$B:$B,"Total Disposition")+SUMIFS(Soybeans_Yr!H:H,Soybeans_Yr!$B:$B,"Total Disposition")</f>
        <v>13158.886999999999</v>
      </c>
      <c r="I17" s="19">
        <f>SUMIFS(Canola_Yr!I:I,Canola_Yr!$B:$B,"Total Disposition")+SUMIFS(Soybeans_Yr!I:I,Soybeans_Yr!$B:$B,"Total Disposition")</f>
        <v>13488.003000000002</v>
      </c>
      <c r="J17" s="19">
        <f>SUMIFS(Canola_Yr!J:J,Canola_Yr!$B:$B,"Total Disposition")+SUMIFS(Soybeans_Yr!J:J,Soybeans_Yr!$B:$B,"Total Disposition")</f>
        <v>15865.880999999998</v>
      </c>
      <c r="K17" s="19">
        <f>SUMIFS(Canola_Yr!K:K,Canola_Yr!$B:$B,"Total Disposition")+SUMIFS(Soybeans_Yr!K:K,Soybeans_Yr!$B:$B,"Total Disposition")</f>
        <v>16089.106</v>
      </c>
      <c r="L17" s="19">
        <f>SUMIFS(Canola_Yr!L:L,Canola_Yr!$B:$B,"Total Disposition")+SUMIFS(Soybeans_Yr!L:L,Soybeans_Yr!$B:$B,"Total Disposition")</f>
        <v>18294.524000000001</v>
      </c>
      <c r="M17" s="19">
        <f>SUMIFS(Canola_Yr!M:M,Canola_Yr!$B:$B,"Total Disposition")+SUMIFS(Soybeans_Yr!M:M,Soybeans_Yr!$B:$B,"Total Disposition")</f>
        <v>20947.235000000004</v>
      </c>
      <c r="N17" s="19">
        <f>SUMIFS(Canola_Yr!N:N,Canola_Yr!$B:$B,"Total Disposition")+SUMIFS(Soybeans_Yr!N:N,Soybeans_Yr!$B:$B,"Total Disposition")</f>
        <v>19533.205000000002</v>
      </c>
      <c r="O17" s="19">
        <f>SUMIFS(Canola_Yr!O:O,Canola_Yr!$B:$B,"Total Disposition")+SUMIFS(Soybeans_Yr!O:O,Soybeans_Yr!$B:$B,"Total Disposition")</f>
        <v>21816.368000000002</v>
      </c>
      <c r="P17" s="19">
        <f>SUMIFS(Canola_Yr!P:P,Canola_Yr!$B:$B,"Total Disposition")+SUMIFS(Soybeans_Yr!P:P,Soybeans_Yr!$B:$B,"Total Disposition")</f>
        <v>23075.284000000003</v>
      </c>
      <c r="Q17" s="19">
        <f>SUMIFS(Canola_Yr!Q:Q,Canola_Yr!$B:$B,"Total Disposition")+SUMIFS(Soybeans_Yr!Q:Q,Soybeans_Yr!$B:$B,"Total Disposition")</f>
        <v>25817.365000000009</v>
      </c>
      <c r="R17" s="19">
        <f>SUMIFS(Canola_Yr!R:R,Canola_Yr!$B:$B,"Total Disposition")+SUMIFS(Soybeans_Yr!R:R,Soybeans_Yr!$B:$B,"Total Disposition")</f>
        <v>27546.565999999992</v>
      </c>
      <c r="S17" s="19">
        <f>SUMIFS(Canola_Yr!S:S,Canola_Yr!$B:$B,"Total Disposition")+SUMIFS(Soybeans_Yr!S:S,Soybeans_Yr!$B:$B,"Total Disposition")</f>
        <v>28226.893999999993</v>
      </c>
      <c r="T17" s="19">
        <f>SUMIFS(Canola_Yr!T:T,Canola_Yr!$B:$B,"Total Disposition")+SUMIFS(Soybeans_Yr!T:T,Soybeans_Yr!$B:$B,"Total Disposition")</f>
        <v>27569.907000000003</v>
      </c>
      <c r="U17" s="19">
        <f>SUMIFS(Canola_Yr!U:U,Canola_Yr!$B:$B,"Total Disposition")+SUMIFS(Soybeans_Yr!U:U,Soybeans_Yr!$B:$B,"Total Disposition")</f>
        <v>27533.64</v>
      </c>
      <c r="V17" s="19">
        <f>SUMIFS(Canola_Yr!V:V,Canola_Yr!$B:$B,"Total Disposition")+SUMIFS(Soybeans_Yr!V:V,Soybeans_Yr!$B:$B,"Total Disposition")</f>
        <v>28471.742999999999</v>
      </c>
      <c r="W17" s="19">
        <f>SUMIFS(Canola_Yr!W:W,Canola_Yr!$B:$B,"Total Disposition")+SUMIFS(Soybeans_Yr!W:W,Soybeans_Yr!$B:$B,"Total Disposition")</f>
        <v>21429.478999999999</v>
      </c>
      <c r="X17" s="19">
        <f>SUMIFS(Canola_Yr!X:X,Canola_Yr!$B:$B,"Total Disposition")+SUMIFS(Soybeans_Yr!X:X,Soybeans_Yr!$B:$B,"Total Disposition")</f>
        <v>25564.009000000002</v>
      </c>
      <c r="Y17" s="19">
        <f>SUMIFS(Canola_Yr!Y:Y,Canola_Yr!$B:$B,"Total Disposition")+SUMIFS(Soybeans_Yr!Y:Y,Soybeans_Yr!$B:$B,"Total Disposition")</f>
        <v>25501.224000000002</v>
      </c>
      <c r="Z17" s="19">
        <f>SUMIFS(Canola_Yr!Z:Z,Canola_Yr!$B:$B,"Total Disposition")+SUMIFS(Soybeans_Yr!Z:Z,Soybeans_Yr!$B:$B,"Total Disposition")</f>
        <v>29088.074000000004</v>
      </c>
    </row>
    <row r="19" spans="1:26" x14ac:dyDescent="0.3">
      <c r="A19" s="20" t="s">
        <v>79</v>
      </c>
      <c r="B19" s="20" t="s">
        <v>62</v>
      </c>
      <c r="C19" s="21" t="s">
        <v>59</v>
      </c>
      <c r="D19" s="22">
        <f>SUMIFS(Canola_Yr!D:D,Canola_Yr!$B:$B,"Ending Stocks")+SUMIFS(Soybeans_Yr!D:D,Soybeans_Yr!$B:$B,"Ending Stocks")</f>
        <v>1039.2000000000007</v>
      </c>
      <c r="E19" s="22">
        <f>SUMIFS(Canola_Yr!E:E,Canola_Yr!$B:$B,"Ending Stocks")+SUMIFS(Soybeans_Yr!E:E,Soybeans_Yr!$B:$B,"Ending Stocks")</f>
        <v>748.60000000000218</v>
      </c>
      <c r="F19" s="22">
        <f>SUMIFS(Canola_Yr!F:F,Canola_Yr!$B:$B,"Ending Stocks")+SUMIFS(Soybeans_Yr!F:F,Soybeans_Yr!$B:$B,"Ending Stocks")</f>
        <v>1856.6000000000013</v>
      </c>
      <c r="G19" s="22">
        <f>SUMIFS(Canola_Yr!G:G,Canola_Yr!$B:$B,"Ending Stocks")+SUMIFS(Soybeans_Yr!G:G,Soybeans_Yr!$B:$B,"Ending Stocks")</f>
        <v>2502.0000000000036</v>
      </c>
      <c r="H19" s="22">
        <f>SUMIFS(Canola_Yr!H:H,Canola_Yr!$B:$B,"Ending Stocks")+SUMIFS(Soybeans_Yr!H:H,Soybeans_Yr!$B:$B,"Ending Stocks")</f>
        <v>2252.6000000000031</v>
      </c>
      <c r="I19" s="22">
        <f>SUMIFS(Canola_Yr!I:I,Canola_Yr!$B:$B,"Ending Stocks")+SUMIFS(Soybeans_Yr!I:I,Soybeans_Yr!$B:$B,"Ending Stocks")</f>
        <v>1577.5000000000014</v>
      </c>
      <c r="J19" s="22">
        <f>SUMIFS(Canola_Yr!J:J,Canola_Yr!$B:$B,"Ending Stocks")+SUMIFS(Soybeans_Yr!J:J,Soybeans_Yr!$B:$B,"Ending Stocks")</f>
        <v>2163.5000000000018</v>
      </c>
      <c r="K19" s="22">
        <f>SUMIFS(Canola_Yr!K:K,Canola_Yr!$B:$B,"Ending Stocks")+SUMIFS(Soybeans_Yr!K:K,Soybeans_Yr!$B:$B,"Ending Stocks")</f>
        <v>3053.7000000000012</v>
      </c>
      <c r="L19" s="22">
        <f>SUMIFS(Canola_Yr!L:L,Canola_Yr!$B:$B,"Ending Stocks")+SUMIFS(Soybeans_Yr!L:L,Soybeans_Yr!$B:$B,"Ending Stocks")</f>
        <v>2482.3000000000002</v>
      </c>
      <c r="M19" s="22">
        <f>SUMIFS(Canola_Yr!M:M,Canola_Yr!$B:$B,"Ending Stocks")+SUMIFS(Soybeans_Yr!M:M,Soybeans_Yr!$B:$B,"Ending Stocks")</f>
        <v>938.69999999999709</v>
      </c>
      <c r="N19" s="22">
        <f>SUMIFS(Canola_Yr!N:N,Canola_Yr!$B:$B,"Ending Stocks")+SUMIFS(Soybeans_Yr!N:N,Soybeans_Yr!$B:$B,"Ending Stocks")</f>
        <v>745.59999999999582</v>
      </c>
      <c r="O19" s="22">
        <f>SUMIFS(Canola_Yr!O:O,Canola_Yr!$B:$B,"Ending Stocks")+SUMIFS(Soybeans_Yr!O:O,Soybeans_Yr!$B:$B,"Ending Stocks")</f>
        <v>3245.2999999999956</v>
      </c>
      <c r="P19" s="22">
        <f>SUMIFS(Canola_Yr!P:P,Canola_Yr!$B:$B,"Ending Stocks")+SUMIFS(Soybeans_Yr!P:P,Soybeans_Yr!$B:$B,"Ending Stocks")</f>
        <v>3030.8999999999915</v>
      </c>
      <c r="Q19" s="22">
        <f>SUMIFS(Canola_Yr!Q:Q,Canola_Yr!$B:$B,"Ending Stocks")+SUMIFS(Soybeans_Yr!Q:Q,Soybeans_Yr!$B:$B,"Ending Stocks")</f>
        <v>2470.3999999999824</v>
      </c>
      <c r="R19" s="22">
        <f>SUMIFS(Canola_Yr!R:R,Canola_Yr!$B:$B,"Ending Stocks")+SUMIFS(Soybeans_Yr!R:R,Soybeans_Yr!$B:$B,"Ending Stocks")</f>
        <v>1696.699999999988</v>
      </c>
      <c r="S19" s="22">
        <f>SUMIFS(Canola_Yr!S:S,Canola_Yr!$B:$B,"Ending Stocks")+SUMIFS(Soybeans_Yr!S:S,Soybeans_Yr!$B:$B,"Ending Stocks")</f>
        <v>3286.9999999999927</v>
      </c>
      <c r="T19" s="22">
        <f>SUMIFS(Canola_Yr!T:T,Canola_Yr!$B:$B,"Ending Stocks")+SUMIFS(Soybeans_Yr!T:T,Soybeans_Yr!$B:$B,"Ending Stocks")</f>
        <v>5134.5999999999894</v>
      </c>
      <c r="U19" s="22">
        <f>SUMIFS(Canola_Yr!U:U,Canola_Yr!$B:$B,"Ending Stocks")+SUMIFS(Soybeans_Yr!U:U,Soybeans_Yr!$B:$B,"Ending Stocks")</f>
        <v>4055.699999999988</v>
      </c>
      <c r="V19" s="22">
        <f>SUMIFS(Canola_Yr!V:V,Canola_Yr!$B:$B,"Ending Stocks")+SUMIFS(Soybeans_Yr!V:V,Soybeans_Yr!$B:$B,"Ending Stocks")</f>
        <v>2071.7999999999893</v>
      </c>
      <c r="W19" s="22">
        <f>SUMIFS(Canola_Yr!W:W,Canola_Yr!$B:$B,"Ending Stocks")+SUMIFS(Soybeans_Yr!W:W,Soybeans_Yr!$B:$B,"Ending Stocks")</f>
        <v>1771.1999999999916</v>
      </c>
      <c r="X19" s="22">
        <f>SUMIFS(Canola_Yr!X:X,Canola_Yr!$B:$B,"Ending Stocks")+SUMIFS(Soybeans_Yr!X:X,Soybeans_Yr!$B:$B,"Ending Stocks")</f>
        <v>2234.2999999999902</v>
      </c>
      <c r="Y19" s="22">
        <f>SUMIFS(Canola_Yr!Y:Y,Canola_Yr!$B:$B,"Ending Stocks")+SUMIFS(Soybeans_Yr!Y:Y,Soybeans_Yr!$B:$B,"Ending Stocks")</f>
        <v>3830.1999999999898</v>
      </c>
      <c r="Z19" s="22">
        <f>SUMIFS(Canola_Yr!Z:Z,Canola_Yr!$B:$B,"Ending Stocks")+SUMIFS(Soybeans_Yr!Z:Z,Soybeans_Yr!$B:$B,"Ending Stocks")</f>
        <v>2108.1999999999871</v>
      </c>
    </row>
    <row r="20" spans="1:26" x14ac:dyDescent="0.3">
      <c r="A20" s="11" t="s">
        <v>79</v>
      </c>
      <c r="B20" s="11" t="s">
        <v>63</v>
      </c>
      <c r="C20" s="12" t="s">
        <v>56</v>
      </c>
      <c r="D20" s="14">
        <f t="shared" ref="D20:Z20" si="2">IF(D17&lt;&gt;0,D19/D17,"")</f>
        <v>0.12783964047438456</v>
      </c>
      <c r="E20" s="14">
        <f t="shared" si="2"/>
        <v>7.3648511446116185E-2</v>
      </c>
      <c r="F20" s="14">
        <f t="shared" si="2"/>
        <v>0.18362991618757163</v>
      </c>
      <c r="G20" s="14">
        <f t="shared" si="2"/>
        <v>0.20060527952686052</v>
      </c>
      <c r="H20" s="14">
        <f t="shared" si="2"/>
        <v>0.17118469062011121</v>
      </c>
      <c r="I20" s="14">
        <f t="shared" si="2"/>
        <v>0.11695578656084234</v>
      </c>
      <c r="J20" s="14">
        <f t="shared" si="2"/>
        <v>0.13636179421741548</v>
      </c>
      <c r="K20" s="14">
        <f t="shared" si="2"/>
        <v>0.18979923433906154</v>
      </c>
      <c r="L20" s="14">
        <f t="shared" si="2"/>
        <v>0.13568541056329206</v>
      </c>
      <c r="M20" s="14">
        <f t="shared" si="2"/>
        <v>4.4812596984757029E-2</v>
      </c>
      <c r="N20" s="14">
        <f t="shared" si="2"/>
        <v>3.8170899245668889E-2</v>
      </c>
      <c r="O20" s="14">
        <f t="shared" si="2"/>
        <v>0.14875528318920891</v>
      </c>
      <c r="P20" s="14">
        <f t="shared" si="2"/>
        <v>0.13134832923399734</v>
      </c>
      <c r="Q20" s="14">
        <f t="shared" si="2"/>
        <v>9.5687534339774089E-2</v>
      </c>
      <c r="R20" s="14">
        <f t="shared" si="2"/>
        <v>6.1593884333894414E-2</v>
      </c>
      <c r="S20" s="14">
        <f t="shared" si="2"/>
        <v>0.11644922746370867</v>
      </c>
      <c r="T20" s="14">
        <f t="shared" si="2"/>
        <v>0.18623929344411605</v>
      </c>
      <c r="U20" s="14">
        <f t="shared" si="2"/>
        <v>0.14729981215705545</v>
      </c>
      <c r="V20" s="14">
        <f t="shared" si="2"/>
        <v>7.2766883291970896E-2</v>
      </c>
      <c r="W20" s="14">
        <f t="shared" si="2"/>
        <v>8.2652499391142067E-2</v>
      </c>
      <c r="X20" s="14">
        <f t="shared" si="2"/>
        <v>8.7400219582147304E-2</v>
      </c>
      <c r="Y20" s="14">
        <f t="shared" si="2"/>
        <v>0.15019671212644498</v>
      </c>
      <c r="Z20" s="14">
        <f t="shared" si="2"/>
        <v>7.2476438281887851E-2</v>
      </c>
    </row>
    <row r="21" spans="1:26" x14ac:dyDescent="0.3">
      <c r="A21" s="11" t="s">
        <v>79</v>
      </c>
      <c r="B21" s="11" t="s">
        <v>64</v>
      </c>
      <c r="C21" s="12" t="s">
        <v>65</v>
      </c>
      <c r="D21" s="16">
        <f t="shared" ref="D21:Z21" si="3">IF(D17&lt;&gt;0,D19/D17*365,"")</f>
        <v>46.661468773150368</v>
      </c>
      <c r="E21" s="16">
        <f t="shared" si="3"/>
        <v>26.881706677832408</v>
      </c>
      <c r="F21" s="16">
        <f t="shared" si="3"/>
        <v>67.024919408463646</v>
      </c>
      <c r="G21" s="16">
        <f t="shared" si="3"/>
        <v>73.220927027304086</v>
      </c>
      <c r="H21" s="16">
        <f t="shared" si="3"/>
        <v>62.482412076340594</v>
      </c>
      <c r="I21" s="16">
        <f t="shared" si="3"/>
        <v>42.688862094707453</v>
      </c>
      <c r="J21" s="16">
        <f t="shared" si="3"/>
        <v>49.772054889356653</v>
      </c>
      <c r="K21" s="16">
        <f t="shared" si="3"/>
        <v>69.276720533757455</v>
      </c>
      <c r="L21" s="16">
        <f t="shared" si="3"/>
        <v>49.525174855601598</v>
      </c>
      <c r="M21" s="16">
        <f t="shared" si="3"/>
        <v>16.356597899436316</v>
      </c>
      <c r="N21" s="16">
        <f t="shared" si="3"/>
        <v>13.932378224669145</v>
      </c>
      <c r="O21" s="16">
        <f t="shared" si="3"/>
        <v>54.295678364061253</v>
      </c>
      <c r="P21" s="16">
        <f t="shared" si="3"/>
        <v>47.942140170409026</v>
      </c>
      <c r="Q21" s="16">
        <f t="shared" si="3"/>
        <v>34.925950034017539</v>
      </c>
      <c r="R21" s="16">
        <f t="shared" si="3"/>
        <v>22.481767781871461</v>
      </c>
      <c r="S21" s="16">
        <f t="shared" si="3"/>
        <v>42.503968024253666</v>
      </c>
      <c r="T21" s="16">
        <f t="shared" si="3"/>
        <v>67.977342107102359</v>
      </c>
      <c r="U21" s="16">
        <f t="shared" si="3"/>
        <v>53.764431437325243</v>
      </c>
      <c r="V21" s="16">
        <f t="shared" si="3"/>
        <v>26.559912401569377</v>
      </c>
      <c r="W21" s="16">
        <f t="shared" si="3"/>
        <v>30.168162277766854</v>
      </c>
      <c r="X21" s="16">
        <f t="shared" si="3"/>
        <v>31.901080147483764</v>
      </c>
      <c r="Y21" s="16">
        <f t="shared" si="3"/>
        <v>54.821799926152416</v>
      </c>
      <c r="Z21" s="16">
        <f t="shared" si="3"/>
        <v>26.453899972889065</v>
      </c>
    </row>
    <row r="22" spans="1:26" x14ac:dyDescent="0.3">
      <c r="A22" s="20" t="s">
        <v>79</v>
      </c>
      <c r="B22" s="20" t="s">
        <v>66</v>
      </c>
      <c r="C22" s="21" t="s">
        <v>59</v>
      </c>
      <c r="D22" s="22">
        <f t="shared" ref="D22:Z22" si="4">D11-D17-D19</f>
        <v>0</v>
      </c>
      <c r="E22" s="22">
        <f t="shared" si="4"/>
        <v>0</v>
      </c>
      <c r="F22" s="22">
        <f t="shared" si="4"/>
        <v>0</v>
      </c>
      <c r="G22" s="22">
        <f t="shared" si="4"/>
        <v>0</v>
      </c>
      <c r="H22" s="22">
        <f t="shared" si="4"/>
        <v>0</v>
      </c>
      <c r="I22" s="22">
        <f t="shared" si="4"/>
        <v>0</v>
      </c>
      <c r="J22" s="22">
        <f t="shared" si="4"/>
        <v>0</v>
      </c>
      <c r="K22" s="22">
        <f t="shared" si="4"/>
        <v>0</v>
      </c>
      <c r="L22" s="22">
        <f t="shared" si="4"/>
        <v>0</v>
      </c>
      <c r="M22" s="22">
        <f t="shared" si="4"/>
        <v>0</v>
      </c>
      <c r="N22" s="22">
        <f t="shared" si="4"/>
        <v>-9.0949470177292824E-13</v>
      </c>
      <c r="O22" s="22">
        <f t="shared" si="4"/>
        <v>0</v>
      </c>
      <c r="P22" s="22">
        <f t="shared" si="4"/>
        <v>0</v>
      </c>
      <c r="Q22" s="22">
        <f t="shared" si="4"/>
        <v>0</v>
      </c>
      <c r="R22" s="22">
        <f t="shared" si="4"/>
        <v>1.8189894035458565E-12</v>
      </c>
      <c r="S22" s="22">
        <f t="shared" si="4"/>
        <v>0</v>
      </c>
      <c r="T22" s="22">
        <f t="shared" si="4"/>
        <v>0</v>
      </c>
      <c r="U22" s="22">
        <f t="shared" si="4"/>
        <v>0</v>
      </c>
      <c r="V22" s="22">
        <f t="shared" si="4"/>
        <v>0</v>
      </c>
      <c r="W22" s="22">
        <f t="shared" si="4"/>
        <v>-1.8189894035458565E-12</v>
      </c>
      <c r="X22" s="22">
        <f t="shared" si="4"/>
        <v>0</v>
      </c>
      <c r="Y22" s="22">
        <f t="shared" si="4"/>
        <v>0</v>
      </c>
      <c r="Z22" s="22">
        <f t="shared" si="4"/>
        <v>0</v>
      </c>
    </row>
    <row r="25" spans="1:26" s="25" customFormat="1" ht="13.8" x14ac:dyDescent="0.3">
      <c r="A25" s="25" t="str">
        <f>A22</f>
        <v>Canada Oilseeds</v>
      </c>
      <c r="B25" s="25" t="s">
        <v>81</v>
      </c>
      <c r="D25" s="40" cm="1">
        <f t="array" ref="D25">SUM(D13:D14/D$10)</f>
        <v>0.64264461363437475</v>
      </c>
      <c r="E25" s="40" cm="1">
        <f t="array" ref="E25">SUM(E13:E14/E$10)</f>
        <v>0.57646083255016856</v>
      </c>
      <c r="F25" s="40" cm="1">
        <f t="array" ref="F25">SUM(F13:F14/F$10)</f>
        <v>0.47533473291345923</v>
      </c>
      <c r="G25" s="40" cm="1">
        <f t="array" ref="G25">SUM(G13:G14/G$10)</f>
        <v>0.41540007437356097</v>
      </c>
      <c r="H25" s="40" cm="1">
        <f t="array" ref="H25">SUM(H13:H14/H$10)</f>
        <v>0.43698759806831489</v>
      </c>
      <c r="I25" s="40" cm="1">
        <f t="array" ref="I25">SUM(I13:I14/I$10)</f>
        <v>0.46352451351109608</v>
      </c>
      <c r="J25" s="40" cm="1">
        <f t="array" ref="J25">SUM(J13:J14/J$10)</f>
        <v>0.36456247496996397</v>
      </c>
      <c r="K25" s="40" cm="1">
        <f t="array" ref="K25">SUM(K13:K14/K$10)</f>
        <v>0.38758593906442468</v>
      </c>
      <c r="L25" s="40" cm="1">
        <f t="array" ref="L25">SUM(L13:L14/L$10)</f>
        <v>0.47081215328551868</v>
      </c>
      <c r="M25" s="40" cm="1">
        <f t="array" ref="M25">SUM(M13:M14/M$10)</f>
        <v>0.46385245300032496</v>
      </c>
      <c r="N25" s="40" cm="1">
        <f t="array" ref="N25">SUM(N13:N14/N$10)</f>
        <v>0.45458430273966105</v>
      </c>
      <c r="O25" s="40" cm="1">
        <f t="array" ref="O25">SUM(O13:O14/O$10)</f>
        <v>0.37390042205388402</v>
      </c>
      <c r="P25" s="40" cm="1">
        <f t="array" ref="P25">SUM(P13:P14/P$10)</f>
        <v>0.42225082276028847</v>
      </c>
      <c r="Q25" s="40" cm="1">
        <f t="array" ref="Q25">SUM(Q13:Q14/Q$10)</f>
        <v>0.43277036822267323</v>
      </c>
      <c r="R25" s="40" cm="1">
        <f t="array" ref="R25">SUM(R13:R14/R$10)</f>
        <v>0.44183587382662037</v>
      </c>
      <c r="S25" s="40" cm="1">
        <f t="array" ref="S25">SUM(S13:S14/S$10)</f>
        <v>0.41248067675074646</v>
      </c>
      <c r="T25" s="40" cm="1">
        <f t="array" ref="T25">SUM(T13:T14/T$10)</f>
        <v>0.41774194121556069</v>
      </c>
      <c r="U25" s="40" cm="1">
        <f t="array" ref="U25">SUM(U13:U14/U$10)</f>
        <v>0.49132683997635979</v>
      </c>
      <c r="V25" s="40" cm="1">
        <f t="array" ref="V25">SUM(V13:V14/V$10)</f>
        <v>0.49008060116161639</v>
      </c>
      <c r="W25" s="40" cm="1">
        <f t="array" ref="W25">SUM(W13:W14/W$10)</f>
        <v>0.53039472848678459</v>
      </c>
      <c r="X25" s="40" cm="1">
        <f t="array" ref="X25">SUM(X13:X14/X$10)</f>
        <v>0.49013507659591221</v>
      </c>
      <c r="Y25" s="40" cm="1">
        <f t="array" ref="Y25">SUM(Y13:Y14/Y$10)</f>
        <v>0.49016566662892924</v>
      </c>
      <c r="Z25" s="40" cm="1">
        <f t="array" ref="Z25">SUM(Z13:Z14/Z$10)</f>
        <v>0.50905153553497129</v>
      </c>
    </row>
    <row r="26" spans="1:26" s="25" customFormat="1" ht="13.8" x14ac:dyDescent="0.3">
      <c r="A26" s="25" t="str">
        <f>A25</f>
        <v>Canada Oilseeds</v>
      </c>
      <c r="B26" s="25" t="s">
        <v>82</v>
      </c>
      <c r="D26" s="40">
        <f t="shared" ref="D26:Z27" si="5">D15/D$10</f>
        <v>8.385417578250344E-2</v>
      </c>
      <c r="E26" s="40">
        <f t="shared" si="5"/>
        <v>3.0329039747913105E-2</v>
      </c>
      <c r="F26" s="40">
        <f t="shared" si="5"/>
        <v>3.7289946349428692E-2</v>
      </c>
      <c r="G26" s="40">
        <f t="shared" si="5"/>
        <v>3.9021038223262958E-2</v>
      </c>
      <c r="H26" s="40">
        <f t="shared" si="5"/>
        <v>4.0528084840122637E-2</v>
      </c>
      <c r="I26" s="40">
        <f t="shared" si="5"/>
        <v>2.1802346856627047E-2</v>
      </c>
      <c r="J26" s="40">
        <f t="shared" si="5"/>
        <v>9.2107403884661414E-3</v>
      </c>
      <c r="K26" s="40">
        <f t="shared" si="5"/>
        <v>1.2715886818328094E-2</v>
      </c>
      <c r="L26" s="40">
        <f t="shared" si="5"/>
        <v>4.184074925144516E-3</v>
      </c>
      <c r="M26" s="40">
        <f t="shared" si="5"/>
        <v>2.4641932203034723E-2</v>
      </c>
      <c r="N26" s="40">
        <f t="shared" si="5"/>
        <v>1.7988805005565794E-2</v>
      </c>
      <c r="O26" s="40">
        <f t="shared" si="5"/>
        <v>1.0684279433970909E-2</v>
      </c>
      <c r="P26" s="40">
        <f t="shared" si="5"/>
        <v>2.0591184997483844E-2</v>
      </c>
      <c r="Q26" s="40">
        <f t="shared" si="5"/>
        <v>1.9691577268773915E-2</v>
      </c>
      <c r="R26" s="40">
        <f t="shared" si="5"/>
        <v>1.8411036925907578E-2</v>
      </c>
      <c r="S26" s="40">
        <f t="shared" si="5"/>
        <v>1.3638837760113882E-2</v>
      </c>
      <c r="T26" s="40">
        <f t="shared" si="5"/>
        <v>3.4702897288922403E-2</v>
      </c>
      <c r="U26" s="40">
        <f t="shared" si="5"/>
        <v>4.2321068103494654E-2</v>
      </c>
      <c r="V26" s="40">
        <f t="shared" si="5"/>
        <v>3.1148460142474011E-2</v>
      </c>
      <c r="W26" s="40">
        <f t="shared" si="5"/>
        <v>5.118496700419576E-2</v>
      </c>
      <c r="X26" s="40">
        <f t="shared" si="5"/>
        <v>3.6798330248493751E-2</v>
      </c>
      <c r="Y26" s="40">
        <f t="shared" si="5"/>
        <v>2.8476584022038776E-2</v>
      </c>
      <c r="Z26" s="40">
        <f t="shared" si="5"/>
        <v>1.6359324824420235E-2</v>
      </c>
    </row>
    <row r="27" spans="1:26" s="25" customFormat="1" ht="13.8" x14ac:dyDescent="0.3">
      <c r="A27" s="25" t="str">
        <f>A26</f>
        <v>Canada Oilseeds</v>
      </c>
      <c r="B27" s="25" t="s">
        <v>83</v>
      </c>
      <c r="D27" s="40">
        <f t="shared" si="5"/>
        <v>0.45913377672763345</v>
      </c>
      <c r="E27" s="40">
        <f t="shared" si="5"/>
        <v>0.51704184863729341</v>
      </c>
      <c r="F27" s="40">
        <f t="shared" si="5"/>
        <v>0.43074392348961976</v>
      </c>
      <c r="G27" s="40">
        <f t="shared" si="5"/>
        <v>0.532393720972553</v>
      </c>
      <c r="H27" s="40">
        <f t="shared" si="5"/>
        <v>0.57808339617192639</v>
      </c>
      <c r="I27" s="40">
        <f t="shared" si="5"/>
        <v>0.61149951615395259</v>
      </c>
      <c r="J27" s="40">
        <f t="shared" si="5"/>
        <v>0.61903571786143374</v>
      </c>
      <c r="K27" s="40">
        <f t="shared" si="5"/>
        <v>0.57599665042446158</v>
      </c>
      <c r="L27" s="40">
        <f t="shared" si="5"/>
        <v>0.58658978019172303</v>
      </c>
      <c r="M27" s="40">
        <f t="shared" si="5"/>
        <v>0.60967988843802756</v>
      </c>
      <c r="N27" s="40">
        <f t="shared" si="5"/>
        <v>0.55793641749626743</v>
      </c>
      <c r="O27" s="40">
        <f t="shared" si="5"/>
        <v>0.52797058589779522</v>
      </c>
      <c r="P27" s="40">
        <f t="shared" si="5"/>
        <v>0.5847859932575965</v>
      </c>
      <c r="Q27" s="40">
        <f t="shared" si="5"/>
        <v>0.58718581875583897</v>
      </c>
      <c r="R27" s="40">
        <f t="shared" si="5"/>
        <v>0.5913213237287035</v>
      </c>
      <c r="S27" s="40">
        <f t="shared" si="5"/>
        <v>0.54139322769385811</v>
      </c>
      <c r="T27" s="40">
        <f t="shared" si="5"/>
        <v>0.52729251139832489</v>
      </c>
      <c r="U27" s="40">
        <f t="shared" si="5"/>
        <v>0.52300548020907689</v>
      </c>
      <c r="V27" s="40">
        <f t="shared" si="5"/>
        <v>0.58047788014688517</v>
      </c>
      <c r="W27" s="40">
        <f t="shared" si="5"/>
        <v>0.46517513909038077</v>
      </c>
      <c r="X27" s="40">
        <f t="shared" si="5"/>
        <v>0.47980108691371642</v>
      </c>
      <c r="Y27" s="40">
        <f t="shared" si="5"/>
        <v>0.44370440393977123</v>
      </c>
      <c r="Z27" s="40">
        <f>Z16/Z$10</f>
        <v>0.55321157083633077</v>
      </c>
    </row>
    <row r="28" spans="1:26" s="25" customFormat="1" ht="13.8" x14ac:dyDescent="0.3"/>
    <row r="29" spans="1:26" s="25" customFormat="1" ht="13.8" x14ac:dyDescent="0.3">
      <c r="D29" s="39" t="e">
        <f t="shared" ref="D29:Y32" si="6">(D13-C13)/C13</f>
        <v>#VALUE!</v>
      </c>
      <c r="E29" s="39">
        <f t="shared" si="6"/>
        <v>-0.22612225405921671</v>
      </c>
      <c r="F29" s="39">
        <f t="shared" si="6"/>
        <v>0.39833384757790818</v>
      </c>
      <c r="G29" s="39">
        <f t="shared" si="6"/>
        <v>-0.26213592233009697</v>
      </c>
      <c r="H29" s="39">
        <f t="shared" si="6"/>
        <v>6.4294258373205224E-2</v>
      </c>
      <c r="I29" s="39">
        <f t="shared" si="6"/>
        <v>-0.41500421466704118</v>
      </c>
      <c r="J29" s="39">
        <f t="shared" si="6"/>
        <v>0.27857829010566781</v>
      </c>
      <c r="K29" s="39">
        <f t="shared" si="6"/>
        <v>0.15214124718256949</v>
      </c>
      <c r="L29" s="39">
        <f t="shared" si="6"/>
        <v>0.15683077926312328</v>
      </c>
      <c r="M29" s="39">
        <f t="shared" si="6"/>
        <v>0.23534385569334842</v>
      </c>
      <c r="N29" s="39">
        <f t="shared" si="6"/>
        <v>-0.18069815195071831</v>
      </c>
      <c r="O29" s="39">
        <f t="shared" si="6"/>
        <v>0.21080478975215794</v>
      </c>
      <c r="P29" s="39">
        <f t="shared" si="6"/>
        <v>-0.23229070837166538</v>
      </c>
      <c r="Q29" s="39">
        <f t="shared" si="6"/>
        <v>0.52396644697423655</v>
      </c>
      <c r="R29" s="39">
        <f t="shared" si="6"/>
        <v>8.2170237861214884E-2</v>
      </c>
      <c r="S29" s="39">
        <f t="shared" si="6"/>
        <v>0.44541326067211673</v>
      </c>
      <c r="T29" s="39">
        <f t="shared" si="6"/>
        <v>-0.4950358175191657</v>
      </c>
      <c r="U29" s="39">
        <f t="shared" si="6"/>
        <v>1.3198108511697355</v>
      </c>
      <c r="V29" s="39">
        <f t="shared" si="6"/>
        <v>-0.35114258126810433</v>
      </c>
      <c r="W29" s="39">
        <f t="shared" si="6"/>
        <v>-0.26355820105820082</v>
      </c>
      <c r="X29" s="39">
        <f t="shared" si="6"/>
        <v>0.60933991917377639</v>
      </c>
      <c r="Y29" s="39">
        <f t="shared" si="6"/>
        <v>-0.57603236607142871</v>
      </c>
      <c r="Z29" s="39">
        <f>(Z13-Y13)/Y13</f>
        <v>1.0987166831194473</v>
      </c>
    </row>
    <row r="30" spans="1:26" s="25" customFormat="1" ht="13.8" x14ac:dyDescent="0.3">
      <c r="D30" s="39" t="e">
        <f t="shared" si="6"/>
        <v>#VALUE!</v>
      </c>
      <c r="E30" s="39">
        <f t="shared" si="6"/>
        <v>0.226318561432548</v>
      </c>
      <c r="F30" s="39">
        <f t="shared" si="6"/>
        <v>-5.0821113769760749E-2</v>
      </c>
      <c r="G30" s="39">
        <f t="shared" si="6"/>
        <v>5.9165733000086068E-2</v>
      </c>
      <c r="H30" s="39">
        <f t="shared" si="6"/>
        <v>3.5741893486309607E-2</v>
      </c>
      <c r="I30" s="39">
        <f t="shared" si="6"/>
        <v>7.8640872041638304E-2</v>
      </c>
      <c r="J30" s="39">
        <f t="shared" si="6"/>
        <v>1.2363662848922725E-2</v>
      </c>
      <c r="K30" s="39">
        <f t="shared" si="6"/>
        <v>9.3672434260225049E-2</v>
      </c>
      <c r="L30" s="39">
        <f t="shared" si="6"/>
        <v>0.27599250074005882</v>
      </c>
      <c r="M30" s="39">
        <f t="shared" si="6"/>
        <v>8.3866061762127783E-2</v>
      </c>
      <c r="N30" s="39">
        <f t="shared" si="6"/>
        <v>-1.8074796361257674E-2</v>
      </c>
      <c r="O30" s="39">
        <f t="shared" si="6"/>
        <v>2.9851650015137527E-2</v>
      </c>
      <c r="P30" s="39">
        <f t="shared" si="6"/>
        <v>7.5705550329256951E-2</v>
      </c>
      <c r="Q30" s="39">
        <f t="shared" si="6"/>
        <v>0.11919805854959638</v>
      </c>
      <c r="R30" s="39">
        <f t="shared" si="6"/>
        <v>7.6722470746810975E-2</v>
      </c>
      <c r="S30" s="39">
        <f t="shared" si="6"/>
        <v>1.9467148053738961E-2</v>
      </c>
      <c r="T30" s="39">
        <f t="shared" si="6"/>
        <v>1.0250660687114339E-2</v>
      </c>
      <c r="U30" s="39">
        <f t="shared" si="6"/>
        <v>4.5545426520456289E-2</v>
      </c>
      <c r="V30" s="39">
        <f t="shared" si="6"/>
        <v>1.5997506444493395E-2</v>
      </c>
      <c r="W30" s="39">
        <f t="shared" si="6"/>
        <v>-0.1366029600762822</v>
      </c>
      <c r="X30" s="39">
        <f t="shared" si="6"/>
        <v>0.12639969269182741</v>
      </c>
      <c r="Y30" s="39">
        <f t="shared" si="6"/>
        <v>8.1488933601609442E-2</v>
      </c>
      <c r="Z30" s="39">
        <f t="shared" ref="Z30:Z32" si="7">(Z14-Y14)/Y14</f>
        <v>3.1943240047300168E-2</v>
      </c>
    </row>
    <row r="31" spans="1:26" s="25" customFormat="1" ht="13.8" x14ac:dyDescent="0.3">
      <c r="D31" s="39" t="e">
        <f t="shared" si="6"/>
        <v>#VALUE!</v>
      </c>
      <c r="E31" s="39">
        <f t="shared" si="6"/>
        <v>-0.52287183804383541</v>
      </c>
      <c r="F31" s="39">
        <f t="shared" si="6"/>
        <v>0.45694120906562946</v>
      </c>
      <c r="G31" s="39">
        <f t="shared" si="6"/>
        <v>0.23402184384030147</v>
      </c>
      <c r="H31" s="39">
        <f t="shared" si="6"/>
        <v>2.4396623565699924E-2</v>
      </c>
      <c r="I31" s="39">
        <f t="shared" si="6"/>
        <v>-0.46931504409014102</v>
      </c>
      <c r="J31" s="39">
        <f t="shared" si="6"/>
        <v>-0.45099026518966162</v>
      </c>
      <c r="K31" s="39">
        <f t="shared" si="6"/>
        <v>0.42364890111757819</v>
      </c>
      <c r="L31" s="39">
        <f t="shared" si="6"/>
        <v>-0.6559120799412087</v>
      </c>
      <c r="M31" s="39">
        <f t="shared" si="6"/>
        <v>5.5187573677276616</v>
      </c>
      <c r="N31" s="39">
        <f t="shared" si="6"/>
        <v>-0.27457317008309029</v>
      </c>
      <c r="O31" s="39">
        <f t="shared" si="6"/>
        <v>-0.25089155835014831</v>
      </c>
      <c r="P31" s="39">
        <f t="shared" si="6"/>
        <v>0.81018917268271873</v>
      </c>
      <c r="Q31" s="39">
        <f t="shared" si="6"/>
        <v>5.7581216896334671E-2</v>
      </c>
      <c r="R31" s="39">
        <f t="shared" si="6"/>
        <v>-1.3715830567491495E-2</v>
      </c>
      <c r="S31" s="39">
        <f t="shared" si="6"/>
        <v>-0.17495904953451907</v>
      </c>
      <c r="T31" s="39">
        <f t="shared" si="6"/>
        <v>1.4541867612947157</v>
      </c>
      <c r="U31" s="39">
        <f t="shared" si="6"/>
        <v>0.12926619718742094</v>
      </c>
      <c r="V31" s="39">
        <f t="shared" si="6"/>
        <v>-0.27004371690740969</v>
      </c>
      <c r="W31" s="39">
        <f t="shared" si="6"/>
        <v>0.30174079075354582</v>
      </c>
      <c r="X31" s="39">
        <f t="shared" si="6"/>
        <v>-0.10827065086069058</v>
      </c>
      <c r="Y31" s="39">
        <f t="shared" si="6"/>
        <v>-0.19243916012071227</v>
      </c>
      <c r="Z31" s="39">
        <f t="shared" si="7"/>
        <v>-0.41535327941521849</v>
      </c>
    </row>
    <row r="32" spans="1:26" s="25" customFormat="1" ht="13.8" x14ac:dyDescent="0.3">
      <c r="D32" s="39" t="e">
        <f t="shared" si="6"/>
        <v>#VALUE!</v>
      </c>
      <c r="E32" s="39">
        <f t="shared" si="6"/>
        <v>0.48555090309039656</v>
      </c>
      <c r="F32" s="39">
        <f t="shared" si="6"/>
        <v>-1.2806259535945099E-2</v>
      </c>
      <c r="G32" s="39">
        <f t="shared" si="6"/>
        <v>0.45757043542529441</v>
      </c>
      <c r="H32" s="39">
        <f t="shared" si="6"/>
        <v>7.0948157573536452E-2</v>
      </c>
      <c r="I32" s="39">
        <f t="shared" si="6"/>
        <v>4.3506684177338939E-2</v>
      </c>
      <c r="J32" s="39">
        <f t="shared" si="6"/>
        <v>0.31555296801388005</v>
      </c>
      <c r="K32" s="39">
        <f t="shared" si="6"/>
        <v>-4.0477783283528794E-2</v>
      </c>
      <c r="L32" s="39">
        <f t="shared" si="6"/>
        <v>6.4954765212723059E-2</v>
      </c>
      <c r="M32" s="39">
        <f t="shared" si="6"/>
        <v>0.15042123120415926</v>
      </c>
      <c r="N32" s="39">
        <f t="shared" si="6"/>
        <v>-9.0612671333000744E-2</v>
      </c>
      <c r="O32" s="39">
        <f t="shared" si="6"/>
        <v>0.19351198874317549</v>
      </c>
      <c r="P32" s="39">
        <f t="shared" si="6"/>
        <v>4.0339514535570054E-2</v>
      </c>
      <c r="Q32" s="39">
        <f t="shared" si="6"/>
        <v>0.11043505100138115</v>
      </c>
      <c r="R32" s="39">
        <f t="shared" si="6"/>
        <v>6.2312518876700099E-2</v>
      </c>
      <c r="S32" s="39">
        <f t="shared" si="6"/>
        <v>1.9684151323725162E-2</v>
      </c>
      <c r="T32" s="39">
        <f t="shared" si="6"/>
        <v>-6.0583849873868209E-2</v>
      </c>
      <c r="U32" s="39">
        <f t="shared" si="6"/>
        <v>-8.1540354590733652E-2</v>
      </c>
      <c r="V32" s="39">
        <f t="shared" si="6"/>
        <v>0.10076934066608974</v>
      </c>
      <c r="W32" s="39">
        <f t="shared" si="6"/>
        <v>-0.36518162494007239</v>
      </c>
      <c r="X32" s="39">
        <f t="shared" si="6"/>
        <v>0.27935805225236665</v>
      </c>
      <c r="Y32" s="39">
        <f t="shared" si="6"/>
        <v>-3.4954068132140997E-2</v>
      </c>
      <c r="Z32" s="39">
        <f t="shared" si="7"/>
        <v>0.26885954023580955</v>
      </c>
    </row>
  </sheetData>
  <conditionalFormatting sqref="D22:Z22">
    <cfRule type="cellIs" dxfId="6" priority="3" operator="between">
      <formula>-0.0009</formula>
      <formula>0.0009</formula>
    </cfRule>
  </conditionalFormatting>
  <conditionalFormatting sqref="D25:Z25">
    <cfRule type="colorScale" priority="2">
      <colorScale>
        <cfvo type="min"/>
        <cfvo type="max"/>
        <color rgb="FFFCFCFF"/>
        <color rgb="FF63BE7B"/>
      </colorScale>
    </cfRule>
  </conditionalFormatting>
  <conditionalFormatting sqref="D27:Z27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2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N42" sqref="N42"/>
    </sheetView>
  </sheetViews>
  <sheetFormatPr defaultRowHeight="14.4" x14ac:dyDescent="0.3"/>
  <cols>
    <col min="1" max="1" width="18" customWidth="1"/>
    <col min="2" max="2" width="22" customWidth="1"/>
    <col min="3" max="3" width="9" customWidth="1"/>
    <col min="4" max="26" width="10" customWidth="1"/>
  </cols>
  <sheetData>
    <row r="1" spans="1:26" ht="25.8" x14ac:dyDescent="0.5">
      <c r="A1" s="9" t="s">
        <v>80</v>
      </c>
    </row>
    <row r="2" spans="1:26" x14ac:dyDescent="0.3">
      <c r="A2" s="10" t="s">
        <v>0</v>
      </c>
      <c r="B2" s="10" t="s">
        <v>1</v>
      </c>
      <c r="C2" s="10" t="s">
        <v>53</v>
      </c>
      <c r="D2" s="10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10" t="s">
        <v>23</v>
      </c>
      <c r="J2" s="10" t="s">
        <v>24</v>
      </c>
      <c r="K2" s="10" t="s">
        <v>25</v>
      </c>
      <c r="L2" s="10" t="s">
        <v>26</v>
      </c>
      <c r="M2" s="10" t="s">
        <v>27</v>
      </c>
      <c r="N2" s="10" t="s">
        <v>28</v>
      </c>
      <c r="O2" s="10" t="s">
        <v>29</v>
      </c>
      <c r="P2" s="10" t="s">
        <v>30</v>
      </c>
      <c r="Q2" s="10" t="s">
        <v>31</v>
      </c>
      <c r="R2" s="10" t="s">
        <v>32</v>
      </c>
      <c r="S2" s="10" t="s">
        <v>33</v>
      </c>
      <c r="T2" s="10" t="s">
        <v>34</v>
      </c>
      <c r="U2" s="10" t="s">
        <v>35</v>
      </c>
      <c r="V2" s="10" t="s">
        <v>36</v>
      </c>
      <c r="W2" s="10" t="s">
        <v>37</v>
      </c>
      <c r="X2" s="10" t="s">
        <v>38</v>
      </c>
      <c r="Y2" s="10" t="s">
        <v>39</v>
      </c>
      <c r="Z2" s="10" t="s">
        <v>40</v>
      </c>
    </row>
    <row r="3" spans="1:26" x14ac:dyDescent="0.3">
      <c r="A3" s="11" t="s">
        <v>80</v>
      </c>
      <c r="B3" s="11" t="s">
        <v>17</v>
      </c>
      <c r="C3" s="12" t="s">
        <v>54</v>
      </c>
      <c r="D3" s="13">
        <f>SUMIFS('Dry peas_Yr'!D:D,'Dry peas_Yr'!$B:$B,"Planted Area")+SUMIFS(Lentils_Yr!D:D,Lentils_Yr!$B:$B,"Planted Area")</f>
        <v>4.3250000000000002</v>
      </c>
      <c r="E3" s="13">
        <f>SUMIFS('Dry peas_Yr'!E:E,'Dry peas_Yr'!$B:$B,"Planted Area")+SUMIFS(Lentils_Yr!E:E,Lentils_Yr!$B:$B,"Planted Area")</f>
        <v>4.1589999999999998</v>
      </c>
      <c r="F3" s="13">
        <f>SUMIFS('Dry peas_Yr'!F:F,'Dry peas_Yr'!$B:$B,"Planted Area")+SUMIFS(Lentils_Yr!F:F,Lentils_Yr!$B:$B,"Planted Area")</f>
        <v>4.9950000000000001</v>
      </c>
      <c r="G3" s="13">
        <f>SUMIFS('Dry peas_Yr'!G:G,'Dry peas_Yr'!$B:$B,"Planted Area")+SUMIFS(Lentils_Yr!G:G,Lentils_Yr!$B:$B,"Planted Area")</f>
        <v>5.2040000000000006</v>
      </c>
      <c r="H3" s="13">
        <f>SUMIFS('Dry peas_Yr'!H:H,'Dry peas_Yr'!$B:$B,"Planted Area")+SUMIFS(Lentils_Yr!H:H,Lentils_Yr!$B:$B,"Planted Area")</f>
        <v>4.5155149999999997</v>
      </c>
      <c r="I3" s="13">
        <f>SUMIFS('Dry peas_Yr'!I:I,'Dry peas_Yr'!$B:$B,"Planted Area")+SUMIFS(Lentils_Yr!I:I,Lentils_Yr!$B:$B,"Planted Area")</f>
        <v>5.0649999999999995</v>
      </c>
      <c r="J3" s="13">
        <f>SUMIFS('Dry peas_Yr'!J:J,'Dry peas_Yr'!$B:$B,"Planted Area")+SUMIFS(Lentils_Yr!J:J,Lentils_Yr!$B:$B,"Planted Area")</f>
        <v>5.73</v>
      </c>
      <c r="K3" s="13">
        <f>SUMIFS('Dry peas_Yr'!K:K,'Dry peas_Yr'!$B:$B,"Planted Area")+SUMIFS(Lentils_Yr!K:K,Lentils_Yr!$B:$B,"Planted Area")</f>
        <v>6.1649999999999991</v>
      </c>
      <c r="L3" s="13">
        <f>SUMIFS('Dry peas_Yr'!L:L,'Dry peas_Yr'!$B:$B,"Planted Area")+SUMIFS(Lentils_Yr!L:L,Lentils_Yr!$B:$B,"Planted Area")</f>
        <v>7.07</v>
      </c>
      <c r="M3" s="13">
        <f>SUMIFS('Dry peas_Yr'!M:M,'Dry peas_Yr'!$B:$B,"Planted Area")+SUMIFS(Lentils_Yr!M:M,Lentils_Yr!$B:$B,"Planted Area")</f>
        <v>4.9945009999999996</v>
      </c>
      <c r="N3" s="13">
        <f>SUMIFS('Dry peas_Yr'!N:N,'Dry peas_Yr'!$B:$B,"Planted Area")+SUMIFS(Lentils_Yr!N:N,Lentils_Yr!$B:$B,"Planted Area")</f>
        <v>6.2349999999999994</v>
      </c>
      <c r="O3" s="13">
        <f>SUMIFS('Dry peas_Yr'!O:O,'Dry peas_Yr'!$B:$B,"Planted Area")+SUMIFS(Lentils_Yr!O:O,Lentils_Yr!$B:$B,"Planted Area")</f>
        <v>6.07</v>
      </c>
      <c r="P3" s="13">
        <f>SUMIFS('Dry peas_Yr'!P:P,'Dry peas_Yr'!$B:$B,"Planted Area")+SUMIFS(Lentils_Yr!P:P,Lentils_Yr!$B:$B,"Planted Area")</f>
        <v>7.16</v>
      </c>
      <c r="Q3" s="13">
        <f>SUMIFS('Dry peas_Yr'!Q:Q,'Dry peas_Yr'!$B:$B,"Planted Area")+SUMIFS(Lentils_Yr!Q:Q,Lentils_Yr!$B:$B,"Planted Area")</f>
        <v>7.7850000000000001</v>
      </c>
      <c r="R3" s="13">
        <f>SUMIFS('Dry peas_Yr'!R:R,'Dry peas_Yr'!$B:$B,"Planted Area")+SUMIFS(Lentils_Yr!R:R,Lentils_Yr!$B:$B,"Planted Area")</f>
        <v>9.850200000000001</v>
      </c>
      <c r="S3" s="13">
        <f>SUMIFS('Dry peas_Yr'!S:S,'Dry peas_Yr'!$B:$B,"Planted Area")+SUMIFS(Lentils_Yr!S:S,Lentils_Yr!$B:$B,"Planted Area")</f>
        <v>8.4980000000000011</v>
      </c>
      <c r="T3" s="13">
        <f>SUMIFS('Dry peas_Yr'!T:T,'Dry peas_Yr'!$B:$B,"Planted Area")+SUMIFS(Lentils_Yr!T:T,Lentils_Yr!$B:$B,"Planted Area")</f>
        <v>7.3834</v>
      </c>
      <c r="U3" s="13">
        <f>SUMIFS('Dry peas_Yr'!U:U,'Dry peas_Yr'!$B:$B,"Planted Area")+SUMIFS(Lentils_Yr!U:U,Lentils_Yr!$B:$B,"Planted Area")</f>
        <v>8.1132999999999988</v>
      </c>
      <c r="V3" s="13">
        <f>SUMIFS('Dry peas_Yr'!V:V,'Dry peas_Yr'!$B:$B,"Planted Area")+SUMIFS(Lentils_Yr!V:V,Lentils_Yr!$B:$B,"Planted Area")</f>
        <v>8.4881999999999991</v>
      </c>
      <c r="W3" s="13">
        <f>SUMIFS('Dry peas_Yr'!W:W,'Dry peas_Yr'!$B:$B,"Planted Area")+SUMIFS(Lentils_Yr!W:W,Lentils_Yr!$B:$B,"Planted Area")</f>
        <v>8.055415</v>
      </c>
      <c r="X3" s="13">
        <f>SUMIFS('Dry peas_Yr'!X:X,'Dry peas_Yr'!$B:$B,"Planted Area")+SUMIFS(Lentils_Yr!X:X,Lentils_Yr!$B:$B,"Planted Area")</f>
        <v>7.6894</v>
      </c>
      <c r="Y3" s="13">
        <f>SUMIFS('Dry peas_Yr'!Y:Y,'Dry peas_Yr'!$B:$B,"Planted Area")+SUMIFS(Lentils_Yr!Y:Y,Lentils_Yr!$B:$B,"Planted Area")</f>
        <v>6.7161</v>
      </c>
      <c r="Z3" s="13">
        <f>SUMIFS('Dry peas_Yr'!Z:Z,'Dry peas_Yr'!$B:$B,"Planted Area")+SUMIFS(Lentils_Yr!Z:Z,Lentils_Yr!$B:$B,"Planted Area")</f>
        <v>7.4229000000000003</v>
      </c>
    </row>
    <row r="4" spans="1:26" x14ac:dyDescent="0.3">
      <c r="A4" s="11" t="s">
        <v>80</v>
      </c>
      <c r="B4" s="11" t="s">
        <v>41</v>
      </c>
      <c r="C4" s="12" t="s">
        <v>54</v>
      </c>
      <c r="D4" s="13">
        <f>SUMIFS('Dry peas_Yr'!D:D,'Dry peas_Yr'!$B:$B,"Harvested Area")+SUMIFS(Lentils_Yr!D:D,Lentils_Yr!$B:$B,"Harvested Area")</f>
        <v>3.3010000000000002</v>
      </c>
      <c r="E4" s="13">
        <f>SUMIFS('Dry peas_Yr'!E:E,'Dry peas_Yr'!$B:$B,"Harvested Area")+SUMIFS(Lentils_Yr!E:E,Lentils_Yr!$B:$B,"Harvested Area")</f>
        <v>4.0739999999999998</v>
      </c>
      <c r="F4" s="13">
        <f>SUMIFS('Dry peas_Yr'!F:F,'Dry peas_Yr'!$B:$B,"Harvested Area")+SUMIFS(Lentils_Yr!F:F,Lentils_Yr!$B:$B,"Harvested Area")</f>
        <v>4.8389999999999995</v>
      </c>
      <c r="G4" s="13">
        <f>SUMIFS('Dry peas_Yr'!G:G,'Dry peas_Yr'!$B:$B,"Harvested Area")+SUMIFS(Lentils_Yr!G:G,Lentils_Yr!$B:$B,"Harvested Area")</f>
        <v>5.07</v>
      </c>
      <c r="H4" s="13">
        <f>SUMIFS('Dry peas_Yr'!H:H,'Dry peas_Yr'!$B:$B,"Harvested Area")+SUMIFS(Lentils_Yr!H:H,Lentils_Yr!$B:$B,"Harvested Area")</f>
        <v>4.4109999999999996</v>
      </c>
      <c r="I4" s="13">
        <f>SUMIFS('Dry peas_Yr'!I:I,'Dry peas_Yr'!$B:$B,"Harvested Area")+SUMIFS(Lentils_Yr!I:I,Lentils_Yr!$B:$B,"Harvested Area")</f>
        <v>4.99</v>
      </c>
      <c r="J4" s="13">
        <f>SUMIFS('Dry peas_Yr'!J:J,'Dry peas_Yr'!$B:$B,"Harvested Area")+SUMIFS(Lentils_Yr!J:J,Lentils_Yr!$B:$B,"Harvested Area")</f>
        <v>5.625</v>
      </c>
      <c r="K4" s="13">
        <f>SUMIFS('Dry peas_Yr'!K:K,'Dry peas_Yr'!$B:$B,"Harvested Area")+SUMIFS(Lentils_Yr!K:K,Lentils_Yr!$B:$B,"Harvested Area")</f>
        <v>6.06</v>
      </c>
      <c r="L4" s="13">
        <f>SUMIFS('Dry peas_Yr'!L:L,'Dry peas_Yr'!$B:$B,"Harvested Area")+SUMIFS(Lentils_Yr!L:L,Lentils_Yr!$B:$B,"Harvested Area")</f>
        <v>6.7439999999999998</v>
      </c>
      <c r="M4" s="13">
        <f>SUMIFS('Dry peas_Yr'!M:M,'Dry peas_Yr'!$B:$B,"Harvested Area")+SUMIFS(Lentils_Yr!M:M,Lentils_Yr!$B:$B,"Harvested Area")</f>
        <v>4.8897750000000002</v>
      </c>
      <c r="N4" s="13">
        <f>SUMIFS('Dry peas_Yr'!N:N,'Dry peas_Yr'!$B:$B,"Harvested Area")+SUMIFS(Lentils_Yr!N:N,Lentils_Yr!$B:$B,"Harvested Area")</f>
        <v>6.1210000000000004</v>
      </c>
      <c r="O4" s="13">
        <f>SUMIFS('Dry peas_Yr'!O:O,'Dry peas_Yr'!$B:$B,"Harvested Area")+SUMIFS(Lentils_Yr!O:O,Lentils_Yr!$B:$B,"Harvested Area")</f>
        <v>6.01</v>
      </c>
      <c r="P4" s="13">
        <f>SUMIFS('Dry peas_Yr'!P:P,'Dry peas_Yr'!$B:$B,"Harvested Area")+SUMIFS(Lentils_Yr!P:P,Lentils_Yr!$B:$B,"Harvested Area")</f>
        <v>6.976</v>
      </c>
      <c r="Q4" s="13">
        <f>SUMIFS('Dry peas_Yr'!Q:Q,'Dry peas_Yr'!$B:$B,"Harvested Area")+SUMIFS(Lentils_Yr!Q:Q,Lentils_Yr!$B:$B,"Harvested Area")</f>
        <v>7.72</v>
      </c>
      <c r="R4" s="13">
        <f>SUMIFS('Dry peas_Yr'!R:R,'Dry peas_Yr'!$B:$B,"Harvested Area")+SUMIFS(Lentils_Yr!R:R,Lentils_Yr!$B:$B,"Harvested Area")</f>
        <v>9.6320000000000014</v>
      </c>
      <c r="S4" s="13">
        <f>SUMIFS('Dry peas_Yr'!S:S,'Dry peas_Yr'!$B:$B,"Harvested Area")+SUMIFS(Lentils_Yr!S:S,Lentils_Yr!$B:$B,"Harvested Area")</f>
        <v>8.4409999999999989</v>
      </c>
      <c r="T4" s="13">
        <f>SUMIFS('Dry peas_Yr'!T:T,'Dry peas_Yr'!$B:$B,"Harvested Area")+SUMIFS(Lentils_Yr!T:T,Lentils_Yr!$B:$B,"Harvested Area")</f>
        <v>7.2416999999999998</v>
      </c>
      <c r="U4" s="13">
        <f>SUMIFS('Dry peas_Yr'!U:U,'Dry peas_Yr'!$B:$B,"Harvested Area")+SUMIFS(Lentils_Yr!U:U,Lentils_Yr!$B:$B,"Harvested Area")</f>
        <v>7.9059999999999997</v>
      </c>
      <c r="V4" s="13">
        <f>SUMIFS('Dry peas_Yr'!V:V,'Dry peas_Yr'!$B:$B,"Harvested Area")+SUMIFS(Lentils_Yr!V:V,Lentils_Yr!$B:$B,"Harvested Area")</f>
        <v>8.3757999999999999</v>
      </c>
      <c r="W4" s="13">
        <f>SUMIFS('Dry peas_Yr'!W:W,'Dry peas_Yr'!$B:$B,"Harvested Area")+SUMIFS(Lentils_Yr!W:W,Lentils_Yr!$B:$B,"Harvested Area")</f>
        <v>7.8572839999999999</v>
      </c>
      <c r="X4" s="13">
        <f>SUMIFS('Dry peas_Yr'!X:X,'Dry peas_Yr'!$B:$B,"Harvested Area")+SUMIFS(Lentils_Yr!X:X,Lentils_Yr!$B:$B,"Harvested Area")</f>
        <v>7.569</v>
      </c>
      <c r="Y4" s="13">
        <f>SUMIFS('Dry peas_Yr'!Y:Y,'Dry peas_Yr'!$B:$B,"Harvested Area")+SUMIFS(Lentils_Yr!Y:Y,Lentils_Yr!$B:$B,"Harvested Area")</f>
        <v>6.5731000000000002</v>
      </c>
      <c r="Z4" s="13">
        <f>SUMIFS('Dry peas_Yr'!Z:Z,'Dry peas_Yr'!$B:$B,"Harvested Area")+SUMIFS(Lentils_Yr!Z:Z,Lentils_Yr!$B:$B,"Harvested Area")</f>
        <v>7.3469999999999995</v>
      </c>
    </row>
    <row r="5" spans="1:26" x14ac:dyDescent="0.3">
      <c r="A5" s="11" t="s">
        <v>80</v>
      </c>
      <c r="B5" s="11" t="s">
        <v>55</v>
      </c>
      <c r="C5" s="12" t="s">
        <v>56</v>
      </c>
      <c r="D5" s="14">
        <f t="shared" ref="D5:Z5" si="0">IF(D3&lt;&gt;0,D4/D3,"")</f>
        <v>0.76323699421965319</v>
      </c>
      <c r="E5" s="14">
        <f t="shared" si="0"/>
        <v>0.97956239480644391</v>
      </c>
      <c r="F5" s="14">
        <f t="shared" si="0"/>
        <v>0.96876876876876861</v>
      </c>
      <c r="G5" s="14">
        <f t="shared" si="0"/>
        <v>0.97425057647963098</v>
      </c>
      <c r="H5" s="14">
        <f t="shared" si="0"/>
        <v>0.97685424586121405</v>
      </c>
      <c r="I5" s="14">
        <f t="shared" si="0"/>
        <v>0.98519249753208304</v>
      </c>
      <c r="J5" s="14">
        <f t="shared" si="0"/>
        <v>0.98167539267015702</v>
      </c>
      <c r="K5" s="14">
        <f t="shared" si="0"/>
        <v>0.98296836982968372</v>
      </c>
      <c r="L5" s="14">
        <f t="shared" si="0"/>
        <v>0.95388967468175379</v>
      </c>
      <c r="M5" s="14">
        <f t="shared" si="0"/>
        <v>0.97903173910666963</v>
      </c>
      <c r="N5" s="14">
        <f t="shared" si="0"/>
        <v>0.98171611868484376</v>
      </c>
      <c r="O5" s="14">
        <f t="shared" si="0"/>
        <v>0.99011532125205926</v>
      </c>
      <c r="P5" s="14">
        <f t="shared" si="0"/>
        <v>0.9743016759776536</v>
      </c>
      <c r="Q5" s="14">
        <f t="shared" si="0"/>
        <v>0.99165061014771994</v>
      </c>
      <c r="R5" s="14">
        <f t="shared" si="0"/>
        <v>0.97784816551948184</v>
      </c>
      <c r="S5" s="14">
        <f t="shared" si="0"/>
        <v>0.99329253942104001</v>
      </c>
      <c r="T5" s="14">
        <f t="shared" si="0"/>
        <v>0.98080829969932548</v>
      </c>
      <c r="U5" s="14">
        <f t="shared" si="0"/>
        <v>0.97444936092588719</v>
      </c>
      <c r="V5" s="14">
        <f t="shared" si="0"/>
        <v>0.98675808769821649</v>
      </c>
      <c r="W5" s="14">
        <f t="shared" si="0"/>
        <v>0.97540399842838632</v>
      </c>
      <c r="X5" s="14">
        <f t="shared" si="0"/>
        <v>0.98434208130673395</v>
      </c>
      <c r="Y5" s="14">
        <f t="shared" si="0"/>
        <v>0.97870788106192586</v>
      </c>
      <c r="Z5" s="14">
        <f t="shared" si="0"/>
        <v>0.98977488582629425</v>
      </c>
    </row>
    <row r="6" spans="1:26" x14ac:dyDescent="0.3">
      <c r="A6" s="11" t="s">
        <v>80</v>
      </c>
      <c r="B6" s="11" t="s">
        <v>42</v>
      </c>
      <c r="C6" s="12" t="s">
        <v>78</v>
      </c>
      <c r="D6" s="23">
        <f t="shared" ref="D6:Z6" si="1">IF(D4&lt;&gt;0,D10/(D4*1000),"")</f>
        <v>0.48827627991517719</v>
      </c>
      <c r="E6" s="23">
        <f t="shared" si="1"/>
        <v>0.59290623465881198</v>
      </c>
      <c r="F6" s="23">
        <f t="shared" si="1"/>
        <v>0.82930357511882635</v>
      </c>
      <c r="G6" s="23">
        <f t="shared" si="1"/>
        <v>0.82009861932938843</v>
      </c>
      <c r="H6" s="23">
        <f t="shared" si="1"/>
        <v>0.72833824529585123</v>
      </c>
      <c r="I6" s="23">
        <f t="shared" si="1"/>
        <v>0.73521042084168342</v>
      </c>
      <c r="J6" s="23">
        <f t="shared" si="1"/>
        <v>0.81914666666666669</v>
      </c>
      <c r="K6" s="23">
        <f t="shared" si="1"/>
        <v>0.81016501650165018</v>
      </c>
      <c r="L6" s="23">
        <f t="shared" si="1"/>
        <v>0.74481020166073542</v>
      </c>
      <c r="M6" s="23">
        <f t="shared" si="1"/>
        <v>0.83347393284967086</v>
      </c>
      <c r="N6" s="23">
        <f t="shared" si="1"/>
        <v>0.79704296683548448</v>
      </c>
      <c r="O6" s="23">
        <f t="shared" si="1"/>
        <v>1.0353577371048253</v>
      </c>
      <c r="P6" s="23">
        <f t="shared" si="1"/>
        <v>0.83100630733944958</v>
      </c>
      <c r="Q6" s="23">
        <f t="shared" si="1"/>
        <v>0.74367875647668391</v>
      </c>
      <c r="R6" s="23">
        <f t="shared" si="1"/>
        <v>0.8336482558139533</v>
      </c>
      <c r="S6" s="23">
        <f t="shared" si="1"/>
        <v>0.79027366425778955</v>
      </c>
      <c r="T6" s="23">
        <f t="shared" si="1"/>
        <v>0.79716088763688076</v>
      </c>
      <c r="U6" s="23">
        <f t="shared" si="1"/>
        <v>0.83714900075891729</v>
      </c>
      <c r="V6" s="23">
        <f t="shared" si="1"/>
        <v>0.89091191289190286</v>
      </c>
      <c r="W6" s="23">
        <f t="shared" si="1"/>
        <v>0.48838759041928487</v>
      </c>
      <c r="X6" s="23">
        <f t="shared" si="1"/>
        <v>0.76019289205971718</v>
      </c>
      <c r="Y6" s="23">
        <f t="shared" si="1"/>
        <v>0.67090109689492006</v>
      </c>
      <c r="Z6" s="23">
        <f t="shared" si="1"/>
        <v>0.73890023138696082</v>
      </c>
    </row>
    <row r="8" spans="1:26" x14ac:dyDescent="0.3">
      <c r="A8" s="11" t="s">
        <v>80</v>
      </c>
      <c r="B8" s="11" t="s">
        <v>58</v>
      </c>
      <c r="C8" s="12" t="s">
        <v>59</v>
      </c>
      <c r="D8" s="16">
        <f>SUMIFS('Dry peas_Yr'!D:D,'Dry peas_Yr'!$B:$B,"Beginning Stocks")+SUMIFS(Lentils_Yr!D:D,Lentils_Yr!$B:$B,"Beginning Stocks")</f>
        <v>406.99999999999989</v>
      </c>
      <c r="E8" s="16">
        <f>SUMIFS('Dry peas_Yr'!E:E,'Dry peas_Yr'!$B:$B,"Beginning Stocks")+SUMIFS(Lentils_Yr!E:E,Lentils_Yr!$B:$B,"Beginning Stocks")</f>
        <v>277.99999999999977</v>
      </c>
      <c r="F8" s="16">
        <f>SUMIFS('Dry peas_Yr'!F:F,'Dry peas_Yr'!$B:$B,"Beginning Stocks")+SUMIFS(Lentils_Yr!F:F,Lentils_Yr!$B:$B,"Beginning Stocks")</f>
        <v>237.99999999999915</v>
      </c>
      <c r="G8" s="16">
        <f>SUMIFS('Dry peas_Yr'!G:G,'Dry peas_Yr'!$B:$B,"Beginning Stocks")+SUMIFS(Lentils_Yr!G:G,Lentils_Yr!$B:$B,"Beginning Stocks")</f>
        <v>715</v>
      </c>
      <c r="H8" s="16">
        <f>SUMIFS('Dry peas_Yr'!H:H,'Dry peas_Yr'!$B:$B,"Beginning Stocks")+SUMIFS(Lentils_Yr!H:H,Lentils_Yr!$B:$B,"Beginning Stocks")</f>
        <v>848.00000000000102</v>
      </c>
      <c r="I8" s="16">
        <f>SUMIFS('Dry peas_Yr'!I:I,'Dry peas_Yr'!$B:$B,"Beginning Stocks")+SUMIFS(Lentils_Yr!I:I,Lentils_Yr!$B:$B,"Beginning Stocks")</f>
        <v>366.00000000000182</v>
      </c>
      <c r="J8" s="16">
        <f>SUMIFS('Dry peas_Yr'!J:J,'Dry peas_Yr'!$B:$B,"Beginning Stocks")+SUMIFS(Lentils_Yr!J:J,Lentils_Yr!$B:$B,"Beginning Stocks")</f>
        <v>301.00000000000296</v>
      </c>
      <c r="K8" s="16">
        <f>SUMIFS('Dry peas_Yr'!K:K,'Dry peas_Yr'!$B:$B,"Beginning Stocks")+SUMIFS(Lentils_Yr!K:K,Lentils_Yr!$B:$B,"Beginning Stocks")</f>
        <v>467.00000000000227</v>
      </c>
      <c r="L8" s="16">
        <f>SUMIFS('Dry peas_Yr'!L:L,'Dry peas_Yr'!$B:$B,"Beginning Stocks")+SUMIFS(Lentils_Yr!L:L,Lentils_Yr!$B:$B,"Beginning Stocks")</f>
        <v>950.00000000000136</v>
      </c>
      <c r="M8" s="16">
        <f>SUMIFS('Dry peas_Yr'!M:M,'Dry peas_Yr'!$B:$B,"Beginning Stocks")+SUMIFS(Lentils_Yr!M:M,Lentils_Yr!$B:$B,"Beginning Stocks")</f>
        <v>1365</v>
      </c>
      <c r="N8" s="16">
        <f>SUMIFS('Dry peas_Yr'!N:N,'Dry peas_Yr'!$B:$B,"Beginning Stocks")+SUMIFS(Lentils_Yr!N:N,Lentils_Yr!$B:$B,"Beginning Stocks")</f>
        <v>1125</v>
      </c>
      <c r="O8" s="16">
        <f>SUMIFS('Dry peas_Yr'!O:O,'Dry peas_Yr'!$B:$B,"Beginning Stocks")+SUMIFS(Lentils_Yr!O:O,Lentils_Yr!$B:$B,"Beginning Stocks")</f>
        <v>641.00000000000182</v>
      </c>
      <c r="P8" s="16">
        <f>SUMIFS('Dry peas_Yr'!P:P,'Dry peas_Yr'!$B:$B,"Beginning Stocks")+SUMIFS(Lentils_Yr!P:P,Lentils_Yr!$B:$B,"Beginning Stocks")</f>
        <v>1115.0000000000016</v>
      </c>
      <c r="Q8" s="16">
        <f>SUMIFS('Dry peas_Yr'!Q:Q,'Dry peas_Yr'!$B:$B,"Beginning Stocks")+SUMIFS(Lentils_Yr!Q:Q,Lentils_Yr!$B:$B,"Beginning Stocks")</f>
        <v>1047.0000000000009</v>
      </c>
      <c r="R8" s="16">
        <f>SUMIFS('Dry peas_Yr'!R:R,'Dry peas_Yr'!$B:$B,"Beginning Stocks")+SUMIFS(Lentils_Yr!R:R,Lentils_Yr!$B:$B,"Beginning Stocks")</f>
        <v>247.59999999999991</v>
      </c>
      <c r="S8" s="16">
        <f>SUMIFS('Dry peas_Yr'!S:S,'Dry peas_Yr'!$B:$B,"Beginning Stocks")+SUMIFS(Lentils_Yr!S:S,Lentils_Yr!$B:$B,"Beginning Stocks")</f>
        <v>615.39999999999918</v>
      </c>
      <c r="T8" s="16">
        <f>SUMIFS('Dry peas_Yr'!T:T,'Dry peas_Yr'!$B:$B,"Beginning Stocks")+SUMIFS(Lentils_Yr!T:T,Lentils_Yr!$B:$B,"Beginning Stocks")</f>
        <v>1520.8999999999999</v>
      </c>
      <c r="U8" s="16">
        <f>SUMIFS('Dry peas_Yr'!U:U,'Dry peas_Yr'!$B:$B,"Beginning Stocks")+SUMIFS(Lentils_Yr!U:U,Lentils_Yr!$B:$B,"Beginning Stocks")</f>
        <v>1167.9000000000015</v>
      </c>
      <c r="V8" s="16">
        <f>SUMIFS('Dry peas_Yr'!V:V,'Dry peas_Yr'!$B:$B,"Beginning Stocks")+SUMIFS(Lentils_Yr!V:V,Lentils_Yr!$B:$B,"Beginning Stocks")</f>
        <v>442.20000000000346</v>
      </c>
      <c r="W8" s="16">
        <f>SUMIFS('Dry peas_Yr'!W:W,'Dry peas_Yr'!$B:$B,"Beginning Stocks")+SUMIFS(Lentils_Yr!W:W,Lentils_Yr!$B:$B,"Beginning Stocks")</f>
        <v>997.30000000000291</v>
      </c>
      <c r="X8" s="16">
        <f>SUMIFS('Dry peas_Yr'!X:X,'Dry peas_Yr'!$B:$B,"Beginning Stocks")+SUMIFS(Lentils_Yr!X:X,Lentils_Yr!$B:$B,"Beginning Stocks")</f>
        <v>564.10000000000196</v>
      </c>
      <c r="Y8" s="16">
        <f>SUMIFS('Dry peas_Yr'!Y:Y,'Dry peas_Yr'!$B:$B,"Beginning Stocks")+SUMIFS(Lentils_Yr!Y:Y,Lentils_Yr!$B:$B,"Beginning Stocks")</f>
        <v>761.10000000000082</v>
      </c>
      <c r="Z8" s="16">
        <f>SUMIFS('Dry peas_Yr'!Z:Z,'Dry peas_Yr'!$B:$B,"Beginning Stocks")+SUMIFS(Lentils_Yr!Z:Z,Lentils_Yr!$B:$B,"Beginning Stocks")</f>
        <v>464.30000000000132</v>
      </c>
    </row>
    <row r="9" spans="1:26" x14ac:dyDescent="0.3">
      <c r="A9" s="11" t="s">
        <v>80</v>
      </c>
      <c r="B9" s="11" t="s">
        <v>45</v>
      </c>
      <c r="C9" s="12" t="s">
        <v>59</v>
      </c>
      <c r="D9" s="16">
        <f>SUMIFS('Dry peas_Yr'!D:D,'Dry peas_Yr'!$B:$B,"Imports")+SUMIFS(Lentils_Yr!D:D,Lentils_Yr!$B:$B,"Imports")</f>
        <v>0</v>
      </c>
      <c r="E9" s="16">
        <f>SUMIFS('Dry peas_Yr'!E:E,'Dry peas_Yr'!$B:$B,"Imports")+SUMIFS(Lentils_Yr!E:E,Lentils_Yr!$B:$B,"Imports")</f>
        <v>0</v>
      </c>
      <c r="F9" s="16">
        <f>SUMIFS('Dry peas_Yr'!F:F,'Dry peas_Yr'!$B:$B,"Imports")+SUMIFS(Lentils_Yr!F:F,Lentils_Yr!$B:$B,"Imports")</f>
        <v>0</v>
      </c>
      <c r="G9" s="16">
        <f>SUMIFS('Dry peas_Yr'!G:G,'Dry peas_Yr'!$B:$B,"Imports")+SUMIFS(Lentils_Yr!G:G,Lentils_Yr!$B:$B,"Imports")</f>
        <v>0</v>
      </c>
      <c r="H9" s="16">
        <f>SUMIFS('Dry peas_Yr'!H:H,'Dry peas_Yr'!$B:$B,"Imports")+SUMIFS(Lentils_Yr!H:H,Lentils_Yr!$B:$B,"Imports")</f>
        <v>0</v>
      </c>
      <c r="I9" s="16">
        <f>SUMIFS('Dry peas_Yr'!I:I,'Dry peas_Yr'!$B:$B,"Imports")+SUMIFS(Lentils_Yr!I:I,Lentils_Yr!$B:$B,"Imports")</f>
        <v>0</v>
      </c>
      <c r="J9" s="16">
        <f>SUMIFS('Dry peas_Yr'!J:J,'Dry peas_Yr'!$B:$B,"Imports")+SUMIFS(Lentils_Yr!J:J,Lentils_Yr!$B:$B,"Imports")</f>
        <v>0</v>
      </c>
      <c r="K9" s="16">
        <f>SUMIFS('Dry peas_Yr'!K:K,'Dry peas_Yr'!$B:$B,"Imports")+SUMIFS(Lentils_Yr!K:K,Lentils_Yr!$B:$B,"Imports")</f>
        <v>0</v>
      </c>
      <c r="L9" s="16">
        <f>SUMIFS('Dry peas_Yr'!L:L,'Dry peas_Yr'!$B:$B,"Imports")+SUMIFS(Lentils_Yr!L:L,Lentils_Yr!$B:$B,"Imports")</f>
        <v>0</v>
      </c>
      <c r="M9" s="16">
        <f>SUMIFS('Dry peas_Yr'!M:M,'Dry peas_Yr'!$B:$B,"Imports")+SUMIFS(Lentils_Yr!M:M,Lentils_Yr!$B:$B,"Imports")</f>
        <v>0</v>
      </c>
      <c r="N9" s="16">
        <f>SUMIFS('Dry peas_Yr'!N:N,'Dry peas_Yr'!$B:$B,"Imports")+SUMIFS(Lentils_Yr!N:N,Lentils_Yr!$B:$B,"Imports")</f>
        <v>0</v>
      </c>
      <c r="O9" s="16">
        <f>SUMIFS('Dry peas_Yr'!O:O,'Dry peas_Yr'!$B:$B,"Imports")+SUMIFS(Lentils_Yr!O:O,Lentils_Yr!$B:$B,"Imports")</f>
        <v>0</v>
      </c>
      <c r="P9" s="16">
        <f>SUMIFS('Dry peas_Yr'!P:P,'Dry peas_Yr'!$B:$B,"Imports")+SUMIFS(Lentils_Yr!P:P,Lentils_Yr!$B:$B,"Imports")</f>
        <v>0</v>
      </c>
      <c r="Q9" s="16">
        <f>SUMIFS('Dry peas_Yr'!Q:Q,'Dry peas_Yr'!$B:$B,"Imports")+SUMIFS(Lentils_Yr!Q:Q,Lentils_Yr!$B:$B,"Imports")</f>
        <v>0</v>
      </c>
      <c r="R9" s="16">
        <f>SUMIFS('Dry peas_Yr'!R:R,'Dry peas_Yr'!$B:$B,"Imports")+SUMIFS(Lentils_Yr!R:R,Lentils_Yr!$B:$B,"Imports")</f>
        <v>0</v>
      </c>
      <c r="S9" s="16">
        <f>SUMIFS('Dry peas_Yr'!S:S,'Dry peas_Yr'!$B:$B,"Imports")+SUMIFS(Lentils_Yr!S:S,Lentils_Yr!$B:$B,"Imports")</f>
        <v>0</v>
      </c>
      <c r="T9" s="16">
        <f>SUMIFS('Dry peas_Yr'!T:T,'Dry peas_Yr'!$B:$B,"Imports")+SUMIFS(Lentils_Yr!T:T,Lentils_Yr!$B:$B,"Imports")</f>
        <v>0</v>
      </c>
      <c r="U9" s="16">
        <f>SUMIFS('Dry peas_Yr'!U:U,'Dry peas_Yr'!$B:$B,"Imports")+SUMIFS(Lentils_Yr!U:U,Lentils_Yr!$B:$B,"Imports")</f>
        <v>0</v>
      </c>
      <c r="V9" s="16">
        <f>SUMIFS('Dry peas_Yr'!V:V,'Dry peas_Yr'!$B:$B,"Imports")+SUMIFS(Lentils_Yr!V:V,Lentils_Yr!$B:$B,"Imports")</f>
        <v>0</v>
      </c>
      <c r="W9" s="16">
        <f>SUMIFS('Dry peas_Yr'!W:W,'Dry peas_Yr'!$B:$B,"Imports")+SUMIFS(Lentils_Yr!W:W,Lentils_Yr!$B:$B,"Imports")</f>
        <v>0</v>
      </c>
      <c r="X9" s="16">
        <f>SUMIFS('Dry peas_Yr'!X:X,'Dry peas_Yr'!$B:$B,"Imports")+SUMIFS(Lentils_Yr!X:X,Lentils_Yr!$B:$B,"Imports")</f>
        <v>0</v>
      </c>
      <c r="Y9" s="16">
        <f>SUMIFS('Dry peas_Yr'!Y:Y,'Dry peas_Yr'!$B:$B,"Imports")+SUMIFS(Lentils_Yr!Y:Y,Lentils_Yr!$B:$B,"Imports")</f>
        <v>0</v>
      </c>
      <c r="Z9" s="16">
        <f>SUMIFS('Dry peas_Yr'!Z:Z,'Dry peas_Yr'!$B:$B,"Imports")+SUMIFS(Lentils_Yr!Z:Z,Lentils_Yr!$B:$B,"Imports")</f>
        <v>0</v>
      </c>
    </row>
    <row r="10" spans="1:26" x14ac:dyDescent="0.3">
      <c r="A10" s="11" t="s">
        <v>80</v>
      </c>
      <c r="B10" s="11" t="s">
        <v>43</v>
      </c>
      <c r="C10" s="12" t="s">
        <v>59</v>
      </c>
      <c r="D10" s="16">
        <f>SUMIFS('Dry peas_Yr'!D:D,'Dry peas_Yr'!$B:$B,"Production")+SUMIFS(Lentils_Yr!D:D,Lentils_Yr!$B:$B,"Production")</f>
        <v>1611.8</v>
      </c>
      <c r="E10" s="16">
        <f>SUMIFS('Dry peas_Yr'!E:E,'Dry peas_Yr'!$B:$B,"Production")+SUMIFS(Lentils_Yr!E:E,Lentils_Yr!$B:$B,"Production")</f>
        <v>2415.5</v>
      </c>
      <c r="F10" s="16">
        <f>SUMIFS('Dry peas_Yr'!F:F,'Dry peas_Yr'!$B:$B,"Production")+SUMIFS(Lentils_Yr!F:F,Lentils_Yr!$B:$B,"Production")</f>
        <v>4013</v>
      </c>
      <c r="G10" s="16">
        <f>SUMIFS('Dry peas_Yr'!G:G,'Dry peas_Yr'!$B:$B,"Production")+SUMIFS(Lentils_Yr!G:G,Lentils_Yr!$B:$B,"Production")</f>
        <v>4157.8999999999996</v>
      </c>
      <c r="H10" s="16">
        <f>SUMIFS('Dry peas_Yr'!H:H,'Dry peas_Yr'!$B:$B,"Production")+SUMIFS(Lentils_Yr!H:H,Lentils_Yr!$B:$B,"Production")</f>
        <v>3212.7</v>
      </c>
      <c r="I10" s="16">
        <f>SUMIFS('Dry peas_Yr'!I:I,'Dry peas_Yr'!$B:$B,"Production")+SUMIFS(Lentils_Yr!I:I,Lentils_Yr!$B:$B,"Production")</f>
        <v>3668.7000000000003</v>
      </c>
      <c r="J10" s="16">
        <f>SUMIFS('Dry peas_Yr'!J:J,'Dry peas_Yr'!$B:$B,"Production")+SUMIFS(Lentils_Yr!J:J,Lentils_Yr!$B:$B,"Production")</f>
        <v>4607.7</v>
      </c>
      <c r="K10" s="16">
        <f>SUMIFS('Dry peas_Yr'!K:K,'Dry peas_Yr'!$B:$B,"Production")+SUMIFS(Lentils_Yr!K:K,Lentils_Yr!$B:$B,"Production")</f>
        <v>4909.6000000000004</v>
      </c>
      <c r="L10" s="16">
        <f>SUMIFS('Dry peas_Yr'!L:L,'Dry peas_Yr'!$B:$B,"Production")+SUMIFS(Lentils_Yr!L:L,Lentils_Yr!$B:$B,"Production")</f>
        <v>5023</v>
      </c>
      <c r="M10" s="16">
        <f>SUMIFS('Dry peas_Yr'!M:M,'Dry peas_Yr'!$B:$B,"Production")+SUMIFS(Lentils_Yr!M:M,Lentils_Yr!$B:$B,"Production")</f>
        <v>4075.5</v>
      </c>
      <c r="N10" s="16">
        <f>SUMIFS('Dry peas_Yr'!N:N,'Dry peas_Yr'!$B:$B,"Production")+SUMIFS(Lentils_Yr!N:N,Lentils_Yr!$B:$B,"Production")</f>
        <v>4878.7000000000007</v>
      </c>
      <c r="O10" s="16">
        <f>SUMIFS('Dry peas_Yr'!O:O,'Dry peas_Yr'!$B:$B,"Production")+SUMIFS(Lentils_Yr!O:O,Lentils_Yr!$B:$B,"Production")</f>
        <v>6222.5</v>
      </c>
      <c r="P10" s="16">
        <f>SUMIFS('Dry peas_Yr'!P:P,'Dry peas_Yr'!$B:$B,"Production")+SUMIFS(Lentils_Yr!P:P,Lentils_Yr!$B:$B,"Production")</f>
        <v>5797.1</v>
      </c>
      <c r="Q10" s="16">
        <f>SUMIFS('Dry peas_Yr'!Q:Q,'Dry peas_Yr'!$B:$B,"Production")+SUMIFS(Lentils_Yr!Q:Q,Lentils_Yr!$B:$B,"Production")</f>
        <v>5741.2</v>
      </c>
      <c r="R10" s="16">
        <f>SUMIFS('Dry peas_Yr'!R:R,'Dry peas_Yr'!$B:$B,"Production")+SUMIFS(Lentils_Yr!R:R,Lentils_Yr!$B:$B,"Production")</f>
        <v>8029.7</v>
      </c>
      <c r="S10" s="16">
        <f>SUMIFS('Dry peas_Yr'!S:S,'Dry peas_Yr'!$B:$B,"Production")+SUMIFS(Lentils_Yr!S:S,Lentils_Yr!$B:$B,"Production")</f>
        <v>6670.7</v>
      </c>
      <c r="T10" s="16">
        <f>SUMIFS('Dry peas_Yr'!T:T,'Dry peas_Yr'!$B:$B,"Production")+SUMIFS(Lentils_Yr!T:T,Lentils_Yr!$B:$B,"Production")</f>
        <v>5772.7999999999993</v>
      </c>
      <c r="U10" s="16">
        <f>SUMIFS('Dry peas_Yr'!U:U,'Dry peas_Yr'!$B:$B,"Production")+SUMIFS(Lentils_Yr!U:U,Lentils_Yr!$B:$B,"Production")</f>
        <v>6618.5</v>
      </c>
      <c r="V10" s="16">
        <f>SUMIFS('Dry peas_Yr'!V:V,'Dry peas_Yr'!$B:$B,"Production")+SUMIFS(Lentils_Yr!V:V,Lentils_Yr!$B:$B,"Production")</f>
        <v>7462.0999999999995</v>
      </c>
      <c r="W10" s="16">
        <f>SUMIFS('Dry peas_Yr'!W:W,'Dry peas_Yr'!$B:$B,"Production")+SUMIFS(Lentils_Yr!W:W,Lentils_Yr!$B:$B,"Production")</f>
        <v>3837.4</v>
      </c>
      <c r="X10" s="16">
        <f>SUMIFS('Dry peas_Yr'!X:X,'Dry peas_Yr'!$B:$B,"Production")+SUMIFS(Lentils_Yr!X:X,Lentils_Yr!$B:$B,"Production")</f>
        <v>5753.9</v>
      </c>
      <c r="Y10" s="16">
        <f>SUMIFS('Dry peas_Yr'!Y:Y,'Dry peas_Yr'!$B:$B,"Production")+SUMIFS(Lentils_Yr!Y:Y,Lentils_Yr!$B:$B,"Production")</f>
        <v>4409.8999999999996</v>
      </c>
      <c r="Z10" s="16">
        <f>SUMIFS('Dry peas_Yr'!Z:Z,'Dry peas_Yr'!$B:$B,"Production")+SUMIFS(Lentils_Yr!Z:Z,Lentils_Yr!$B:$B,"Production")</f>
        <v>5428.7000000000007</v>
      </c>
    </row>
    <row r="11" spans="1:26" x14ac:dyDescent="0.3">
      <c r="A11" s="17" t="s">
        <v>80</v>
      </c>
      <c r="B11" s="17" t="s">
        <v>60</v>
      </c>
      <c r="C11" s="18" t="s">
        <v>59</v>
      </c>
      <c r="D11" s="19">
        <f>SUMIFS('Dry peas_Yr'!D:D,'Dry peas_Yr'!$B:$B,"Total Supply")+SUMIFS(Lentils_Yr!D:D,Lentils_Yr!$B:$B,"Total Supply")</f>
        <v>2018.7999999999997</v>
      </c>
      <c r="E11" s="19">
        <f>SUMIFS('Dry peas_Yr'!E:E,'Dry peas_Yr'!$B:$B,"Total Supply")+SUMIFS(Lentils_Yr!E:E,Lentils_Yr!$B:$B,"Total Supply")</f>
        <v>2693.5</v>
      </c>
      <c r="F11" s="19">
        <f>SUMIFS('Dry peas_Yr'!F:F,'Dry peas_Yr'!$B:$B,"Total Supply")+SUMIFS(Lentils_Yr!F:F,Lentils_Yr!$B:$B,"Total Supply")</f>
        <v>4250.9999999999991</v>
      </c>
      <c r="G11" s="19">
        <f>SUMIFS('Dry peas_Yr'!G:G,'Dry peas_Yr'!$B:$B,"Total Supply")+SUMIFS(Lentils_Yr!G:G,Lentils_Yr!$B:$B,"Total Supply")</f>
        <v>4872.8999999999996</v>
      </c>
      <c r="H11" s="19">
        <f>SUMIFS('Dry peas_Yr'!H:H,'Dry peas_Yr'!$B:$B,"Total Supply")+SUMIFS(Lentils_Yr!H:H,Lentils_Yr!$B:$B,"Total Supply")</f>
        <v>4060.7000000000012</v>
      </c>
      <c r="I11" s="19">
        <f>SUMIFS('Dry peas_Yr'!I:I,'Dry peas_Yr'!$B:$B,"Total Supply")+SUMIFS(Lentils_Yr!I:I,Lentils_Yr!$B:$B,"Total Supply")</f>
        <v>4034.7000000000021</v>
      </c>
      <c r="J11" s="19">
        <f>SUMIFS('Dry peas_Yr'!J:J,'Dry peas_Yr'!$B:$B,"Total Supply")+SUMIFS(Lentils_Yr!J:J,Lentils_Yr!$B:$B,"Total Supply")</f>
        <v>4908.7000000000025</v>
      </c>
      <c r="K11" s="19">
        <f>SUMIFS('Dry peas_Yr'!K:K,'Dry peas_Yr'!$B:$B,"Total Supply")+SUMIFS(Lentils_Yr!K:K,Lentils_Yr!$B:$B,"Total Supply")</f>
        <v>5376.6000000000022</v>
      </c>
      <c r="L11" s="19">
        <f>SUMIFS('Dry peas_Yr'!L:L,'Dry peas_Yr'!$B:$B,"Total Supply")+SUMIFS(Lentils_Yr!L:L,Lentils_Yr!$B:$B,"Total Supply")</f>
        <v>5973.0000000000009</v>
      </c>
      <c r="M11" s="19">
        <f>SUMIFS('Dry peas_Yr'!M:M,'Dry peas_Yr'!$B:$B,"Total Supply")+SUMIFS(Lentils_Yr!M:M,Lentils_Yr!$B:$B,"Total Supply")</f>
        <v>5440.5</v>
      </c>
      <c r="N11" s="19">
        <f>SUMIFS('Dry peas_Yr'!N:N,'Dry peas_Yr'!$B:$B,"Total Supply")+SUMIFS(Lentils_Yr!N:N,Lentils_Yr!$B:$B,"Total Supply")</f>
        <v>6003.7000000000007</v>
      </c>
      <c r="O11" s="19">
        <f>SUMIFS('Dry peas_Yr'!O:O,'Dry peas_Yr'!$B:$B,"Total Supply")+SUMIFS(Lentils_Yr!O:O,Lentils_Yr!$B:$B,"Total Supply")</f>
        <v>6863.5000000000018</v>
      </c>
      <c r="P11" s="19">
        <f>SUMIFS('Dry peas_Yr'!P:P,'Dry peas_Yr'!$B:$B,"Total Supply")+SUMIFS(Lentils_Yr!P:P,Lentils_Yr!$B:$B,"Total Supply")</f>
        <v>6912.1000000000013</v>
      </c>
      <c r="Q11" s="19">
        <f>SUMIFS('Dry peas_Yr'!Q:Q,'Dry peas_Yr'!$B:$B,"Total Supply")+SUMIFS(Lentils_Yr!Q:Q,Lentils_Yr!$B:$B,"Total Supply")</f>
        <v>6788.2000000000007</v>
      </c>
      <c r="R11" s="19">
        <f>SUMIFS('Dry peas_Yr'!R:R,'Dry peas_Yr'!$B:$B,"Total Supply")+SUMIFS(Lentils_Yr!R:R,Lentils_Yr!$B:$B,"Total Supply")</f>
        <v>8277.2999999999993</v>
      </c>
      <c r="S11" s="19">
        <f>SUMIFS('Dry peas_Yr'!S:S,'Dry peas_Yr'!$B:$B,"Total Supply")+SUMIFS(Lentils_Yr!S:S,Lentils_Yr!$B:$B,"Total Supply")</f>
        <v>7286.0999999999985</v>
      </c>
      <c r="T11" s="19">
        <f>SUMIFS('Dry peas_Yr'!T:T,'Dry peas_Yr'!$B:$B,"Total Supply")+SUMIFS(Lentils_Yr!T:T,Lentils_Yr!$B:$B,"Total Supply")</f>
        <v>7293.7</v>
      </c>
      <c r="U11" s="19">
        <f>SUMIFS('Dry peas_Yr'!U:U,'Dry peas_Yr'!$B:$B,"Total Supply")+SUMIFS(Lentils_Yr!U:U,Lentils_Yr!$B:$B,"Total Supply")</f>
        <v>7786.4000000000015</v>
      </c>
      <c r="V11" s="19">
        <f>SUMIFS('Dry peas_Yr'!V:V,'Dry peas_Yr'!$B:$B,"Total Supply")+SUMIFS(Lentils_Yr!V:V,Lentils_Yr!$B:$B,"Total Supply")</f>
        <v>7904.3000000000029</v>
      </c>
      <c r="W11" s="19">
        <f>SUMIFS('Dry peas_Yr'!W:W,'Dry peas_Yr'!$B:$B,"Total Supply")+SUMIFS(Lentils_Yr!W:W,Lentils_Yr!$B:$B,"Total Supply")</f>
        <v>4834.7000000000025</v>
      </c>
      <c r="X11" s="19">
        <f>SUMIFS('Dry peas_Yr'!X:X,'Dry peas_Yr'!$B:$B,"Total Supply")+SUMIFS(Lentils_Yr!X:X,Lentils_Yr!$B:$B,"Total Supply")</f>
        <v>6318.0000000000018</v>
      </c>
      <c r="Y11" s="19">
        <f>SUMIFS('Dry peas_Yr'!Y:Y,'Dry peas_Yr'!$B:$B,"Total Supply")+SUMIFS(Lentils_Yr!Y:Y,Lentils_Yr!$B:$B,"Total Supply")</f>
        <v>5171.0000000000009</v>
      </c>
      <c r="Z11" s="19">
        <f>SUMIFS('Dry peas_Yr'!Z:Z,'Dry peas_Yr'!$B:$B,"Total Supply")+SUMIFS(Lentils_Yr!Z:Z,Lentils_Yr!$B:$B,"Total Supply")</f>
        <v>5893.0000000000018</v>
      </c>
    </row>
    <row r="13" spans="1:26" x14ac:dyDescent="0.3">
      <c r="A13" s="11" t="s">
        <v>80</v>
      </c>
      <c r="B13" s="11" t="s">
        <v>46</v>
      </c>
      <c r="C13" s="12" t="s">
        <v>59</v>
      </c>
      <c r="D13" s="16">
        <f>SUMIFS('Dry peas_Yr'!D:D,'Dry peas_Yr'!$B:$B,"Food")+SUMIFS(Lentils_Yr!D:D,Lentils_Yr!$B:$B,"Food")</f>
        <v>0</v>
      </c>
      <c r="E13" s="16">
        <f>SUMIFS('Dry peas_Yr'!E:E,'Dry peas_Yr'!$B:$B,"Food")+SUMIFS(Lentils_Yr!E:E,Lentils_Yr!$B:$B,"Food")</f>
        <v>0</v>
      </c>
      <c r="F13" s="16">
        <f>SUMIFS('Dry peas_Yr'!F:F,'Dry peas_Yr'!$B:$B,"Food")+SUMIFS(Lentils_Yr!F:F,Lentils_Yr!$B:$B,"Food")</f>
        <v>0</v>
      </c>
      <c r="G13" s="16">
        <f>SUMIFS('Dry peas_Yr'!G:G,'Dry peas_Yr'!$B:$B,"Food")+SUMIFS(Lentils_Yr!G:G,Lentils_Yr!$B:$B,"Food")</f>
        <v>0</v>
      </c>
      <c r="H13" s="16">
        <f>SUMIFS('Dry peas_Yr'!H:H,'Dry peas_Yr'!$B:$B,"Food")+SUMIFS(Lentils_Yr!H:H,Lentils_Yr!$B:$B,"Food")</f>
        <v>0</v>
      </c>
      <c r="I13" s="16">
        <f>SUMIFS('Dry peas_Yr'!I:I,'Dry peas_Yr'!$B:$B,"Food")+SUMIFS(Lentils_Yr!I:I,Lentils_Yr!$B:$B,"Food")</f>
        <v>0</v>
      </c>
      <c r="J13" s="16">
        <f>SUMIFS('Dry peas_Yr'!J:J,'Dry peas_Yr'!$B:$B,"Food")+SUMIFS(Lentils_Yr!J:J,Lentils_Yr!$B:$B,"Food")</f>
        <v>0</v>
      </c>
      <c r="K13" s="16">
        <f>SUMIFS('Dry peas_Yr'!K:K,'Dry peas_Yr'!$B:$B,"Food")+SUMIFS(Lentils_Yr!K:K,Lentils_Yr!$B:$B,"Food")</f>
        <v>0</v>
      </c>
      <c r="L13" s="16">
        <f>SUMIFS('Dry peas_Yr'!L:L,'Dry peas_Yr'!$B:$B,"Food")+SUMIFS(Lentils_Yr!L:L,Lentils_Yr!$B:$B,"Food")</f>
        <v>0</v>
      </c>
      <c r="M13" s="16">
        <f>SUMIFS('Dry peas_Yr'!M:M,'Dry peas_Yr'!$B:$B,"Food")+SUMIFS(Lentils_Yr!M:M,Lentils_Yr!$B:$B,"Food")</f>
        <v>0</v>
      </c>
      <c r="N13" s="16">
        <f>SUMIFS('Dry peas_Yr'!N:N,'Dry peas_Yr'!$B:$B,"Food")+SUMIFS(Lentils_Yr!N:N,Lentils_Yr!$B:$B,"Food")</f>
        <v>0</v>
      </c>
      <c r="O13" s="16">
        <f>SUMIFS('Dry peas_Yr'!O:O,'Dry peas_Yr'!$B:$B,"Food")+SUMIFS(Lentils_Yr!O:O,Lentils_Yr!$B:$B,"Food")</f>
        <v>0</v>
      </c>
      <c r="P13" s="16">
        <f>SUMIFS('Dry peas_Yr'!P:P,'Dry peas_Yr'!$B:$B,"Food")+SUMIFS(Lentils_Yr!P:P,Lentils_Yr!$B:$B,"Food")</f>
        <v>0</v>
      </c>
      <c r="Q13" s="16">
        <f>SUMIFS('Dry peas_Yr'!Q:Q,'Dry peas_Yr'!$B:$B,"Food")+SUMIFS(Lentils_Yr!Q:Q,Lentils_Yr!$B:$B,"Food")</f>
        <v>0</v>
      </c>
      <c r="R13" s="16">
        <f>SUMIFS('Dry peas_Yr'!R:R,'Dry peas_Yr'!$B:$B,"Food")+SUMIFS(Lentils_Yr!R:R,Lentils_Yr!$B:$B,"Food")</f>
        <v>0</v>
      </c>
      <c r="S13" s="16">
        <f>SUMIFS('Dry peas_Yr'!S:S,'Dry peas_Yr'!$B:$B,"Food")+SUMIFS(Lentils_Yr!S:S,Lentils_Yr!$B:$B,"Food")</f>
        <v>0</v>
      </c>
      <c r="T13" s="16">
        <f>SUMIFS('Dry peas_Yr'!T:T,'Dry peas_Yr'!$B:$B,"Food")+SUMIFS(Lentils_Yr!T:T,Lentils_Yr!$B:$B,"Food")</f>
        <v>0</v>
      </c>
      <c r="U13" s="16">
        <f>SUMIFS('Dry peas_Yr'!U:U,'Dry peas_Yr'!$B:$B,"Food")+SUMIFS(Lentils_Yr!U:U,Lentils_Yr!$B:$B,"Food")</f>
        <v>0</v>
      </c>
      <c r="V13" s="16">
        <f>SUMIFS('Dry peas_Yr'!V:V,'Dry peas_Yr'!$B:$B,"Food")+SUMIFS(Lentils_Yr!V:V,Lentils_Yr!$B:$B,"Food")</f>
        <v>0</v>
      </c>
      <c r="W13" s="16">
        <f>SUMIFS('Dry peas_Yr'!W:W,'Dry peas_Yr'!$B:$B,"Food")+SUMIFS(Lentils_Yr!W:W,Lentils_Yr!$B:$B,"Food")</f>
        <v>0</v>
      </c>
      <c r="X13" s="16">
        <f>SUMIFS('Dry peas_Yr'!X:X,'Dry peas_Yr'!$B:$B,"Food")+SUMIFS(Lentils_Yr!X:X,Lentils_Yr!$B:$B,"Food")</f>
        <v>0</v>
      </c>
      <c r="Y13" s="16">
        <f>SUMIFS('Dry peas_Yr'!Y:Y,'Dry peas_Yr'!$B:$B,"Food")+SUMIFS(Lentils_Yr!Y:Y,Lentils_Yr!$B:$B,"Food")</f>
        <v>0</v>
      </c>
      <c r="Z13" s="16">
        <f>SUMIFS('Dry peas_Yr'!Z:Z,'Dry peas_Yr'!$B:$B,"Food")+SUMIFS(Lentils_Yr!Z:Z,Lentils_Yr!$B:$B,"Food")</f>
        <v>0</v>
      </c>
    </row>
    <row r="14" spans="1:26" x14ac:dyDescent="0.3">
      <c r="A14" s="11" t="s">
        <v>80</v>
      </c>
      <c r="B14" s="11" t="s">
        <v>47</v>
      </c>
      <c r="C14" s="12" t="s">
        <v>59</v>
      </c>
      <c r="D14" s="16">
        <f>SUMIFS('Dry peas_Yr'!D:D,'Dry peas_Yr'!$B:$B,"Industrial")+SUMIFS(Lentils_Yr!D:D,Lentils_Yr!$B:$B,"Industrial")</f>
        <v>0</v>
      </c>
      <c r="E14" s="16">
        <f>SUMIFS('Dry peas_Yr'!E:E,'Dry peas_Yr'!$B:$B,"Industrial")+SUMIFS(Lentils_Yr!E:E,Lentils_Yr!$B:$B,"Industrial")</f>
        <v>0</v>
      </c>
      <c r="F14" s="16">
        <f>SUMIFS('Dry peas_Yr'!F:F,'Dry peas_Yr'!$B:$B,"Industrial")+SUMIFS(Lentils_Yr!F:F,Lentils_Yr!$B:$B,"Industrial")</f>
        <v>0</v>
      </c>
      <c r="G14" s="16">
        <f>SUMIFS('Dry peas_Yr'!G:G,'Dry peas_Yr'!$B:$B,"Industrial")+SUMIFS(Lentils_Yr!G:G,Lentils_Yr!$B:$B,"Industrial")</f>
        <v>0</v>
      </c>
      <c r="H14" s="16">
        <f>SUMIFS('Dry peas_Yr'!H:H,'Dry peas_Yr'!$B:$B,"Industrial")+SUMIFS(Lentils_Yr!H:H,Lentils_Yr!$B:$B,"Industrial")</f>
        <v>0</v>
      </c>
      <c r="I14" s="16">
        <f>SUMIFS('Dry peas_Yr'!I:I,'Dry peas_Yr'!$B:$B,"Industrial")+SUMIFS(Lentils_Yr!I:I,Lentils_Yr!$B:$B,"Industrial")</f>
        <v>0</v>
      </c>
      <c r="J14" s="16">
        <f>SUMIFS('Dry peas_Yr'!J:J,'Dry peas_Yr'!$B:$B,"Industrial")+SUMIFS(Lentils_Yr!J:J,Lentils_Yr!$B:$B,"Industrial")</f>
        <v>0</v>
      </c>
      <c r="K14" s="16">
        <f>SUMIFS('Dry peas_Yr'!K:K,'Dry peas_Yr'!$B:$B,"Industrial")+SUMIFS(Lentils_Yr!K:K,Lentils_Yr!$B:$B,"Industrial")</f>
        <v>0</v>
      </c>
      <c r="L14" s="16">
        <f>SUMIFS('Dry peas_Yr'!L:L,'Dry peas_Yr'!$B:$B,"Industrial")+SUMIFS(Lentils_Yr!L:L,Lentils_Yr!$B:$B,"Industrial")</f>
        <v>0</v>
      </c>
      <c r="M14" s="16">
        <f>SUMIFS('Dry peas_Yr'!M:M,'Dry peas_Yr'!$B:$B,"Industrial")+SUMIFS(Lentils_Yr!M:M,Lentils_Yr!$B:$B,"Industrial")</f>
        <v>0</v>
      </c>
      <c r="N14" s="16">
        <f>SUMIFS('Dry peas_Yr'!N:N,'Dry peas_Yr'!$B:$B,"Industrial")+SUMIFS(Lentils_Yr!N:N,Lentils_Yr!$B:$B,"Industrial")</f>
        <v>0</v>
      </c>
      <c r="O14" s="16">
        <f>SUMIFS('Dry peas_Yr'!O:O,'Dry peas_Yr'!$B:$B,"Industrial")+SUMIFS(Lentils_Yr!O:O,Lentils_Yr!$B:$B,"Industrial")</f>
        <v>0</v>
      </c>
      <c r="P14" s="16">
        <f>SUMIFS('Dry peas_Yr'!P:P,'Dry peas_Yr'!$B:$B,"Industrial")+SUMIFS(Lentils_Yr!P:P,Lentils_Yr!$B:$B,"Industrial")</f>
        <v>0</v>
      </c>
      <c r="Q14" s="16">
        <f>SUMIFS('Dry peas_Yr'!Q:Q,'Dry peas_Yr'!$B:$B,"Industrial")+SUMIFS(Lentils_Yr!Q:Q,Lentils_Yr!$B:$B,"Industrial")</f>
        <v>0</v>
      </c>
      <c r="R14" s="16">
        <f>SUMIFS('Dry peas_Yr'!R:R,'Dry peas_Yr'!$B:$B,"Industrial")+SUMIFS(Lentils_Yr!R:R,Lentils_Yr!$B:$B,"Industrial")</f>
        <v>0</v>
      </c>
      <c r="S14" s="16">
        <f>SUMIFS('Dry peas_Yr'!S:S,'Dry peas_Yr'!$B:$B,"Industrial")+SUMIFS(Lentils_Yr!S:S,Lentils_Yr!$B:$B,"Industrial")</f>
        <v>0</v>
      </c>
      <c r="T14" s="16">
        <f>SUMIFS('Dry peas_Yr'!T:T,'Dry peas_Yr'!$B:$B,"Industrial")+SUMIFS(Lentils_Yr!T:T,Lentils_Yr!$B:$B,"Industrial")</f>
        <v>0</v>
      </c>
      <c r="U14" s="16">
        <f>SUMIFS('Dry peas_Yr'!U:U,'Dry peas_Yr'!$B:$B,"Industrial")+SUMIFS(Lentils_Yr!U:U,Lentils_Yr!$B:$B,"Industrial")</f>
        <v>0</v>
      </c>
      <c r="V14" s="16">
        <f>SUMIFS('Dry peas_Yr'!V:V,'Dry peas_Yr'!$B:$B,"Industrial")+SUMIFS(Lentils_Yr!V:V,Lentils_Yr!$B:$B,"Industrial")</f>
        <v>0</v>
      </c>
      <c r="W14" s="16">
        <f>SUMIFS('Dry peas_Yr'!W:W,'Dry peas_Yr'!$B:$B,"Industrial")+SUMIFS(Lentils_Yr!W:W,Lentils_Yr!$B:$B,"Industrial")</f>
        <v>0</v>
      </c>
      <c r="X14" s="16">
        <f>SUMIFS('Dry peas_Yr'!X:X,'Dry peas_Yr'!$B:$B,"Industrial")+SUMIFS(Lentils_Yr!X:X,Lentils_Yr!$B:$B,"Industrial")</f>
        <v>0</v>
      </c>
      <c r="Y14" s="16">
        <f>SUMIFS('Dry peas_Yr'!Y:Y,'Dry peas_Yr'!$B:$B,"Industrial")+SUMIFS(Lentils_Yr!Y:Y,Lentils_Yr!$B:$B,"Industrial")</f>
        <v>0</v>
      </c>
      <c r="Z14" s="16">
        <f>SUMIFS('Dry peas_Yr'!Z:Z,'Dry peas_Yr'!$B:$B,"Industrial")+SUMIFS(Lentils_Yr!Z:Z,Lentils_Yr!$B:$B,"Industrial")</f>
        <v>0</v>
      </c>
    </row>
    <row r="15" spans="1:26" x14ac:dyDescent="0.3">
      <c r="A15" s="11" t="s">
        <v>80</v>
      </c>
      <c r="B15" s="11" t="s">
        <v>50</v>
      </c>
      <c r="C15" s="12" t="s">
        <v>59</v>
      </c>
      <c r="D15" s="16">
        <f>SUMIFS('Dry peas_Yr'!D:D,'Dry peas_Yr'!$B:$B,"FSR")+SUMIFS(Lentils_Yr!D:D,Lentils_Yr!$B:$B,"FSR")</f>
        <v>1740.8</v>
      </c>
      <c r="E15" s="16">
        <f>SUMIFS('Dry peas_Yr'!E:E,'Dry peas_Yr'!$B:$B,"FSR")+SUMIFS(Lentils_Yr!E:E,Lentils_Yr!$B:$B,"FSR")</f>
        <v>2455.5000000000009</v>
      </c>
      <c r="F15" s="16">
        <f>SUMIFS('Dry peas_Yr'!F:F,'Dry peas_Yr'!$B:$B,"FSR")+SUMIFS(Lentils_Yr!F:F,Lentils_Yr!$B:$B,"FSR")</f>
        <v>3535.9999999999991</v>
      </c>
      <c r="G15" s="16">
        <f>SUMIFS('Dry peas_Yr'!G:G,'Dry peas_Yr'!$B:$B,"FSR")+SUMIFS(Lentils_Yr!G:G,Lentils_Yr!$B:$B,"FSR")</f>
        <v>4024.8999999999987</v>
      </c>
      <c r="H15" s="16">
        <f>SUMIFS('Dry peas_Yr'!H:H,'Dry peas_Yr'!$B:$B,"FSR")+SUMIFS(Lentils_Yr!H:H,Lentils_Yr!$B:$B,"FSR")</f>
        <v>3694.6999999999994</v>
      </c>
      <c r="I15" s="16">
        <f>SUMIFS('Dry peas_Yr'!I:I,'Dry peas_Yr'!$B:$B,"FSR")+SUMIFS(Lentils_Yr!I:I,Lentils_Yr!$B:$B,"FSR")</f>
        <v>3733.6999999999989</v>
      </c>
      <c r="J15" s="16">
        <f>SUMIFS('Dry peas_Yr'!J:J,'Dry peas_Yr'!$B:$B,"FSR")+SUMIFS(Lentils_Yr!J:J,Lentils_Yr!$B:$B,"FSR")</f>
        <v>4441.7000000000007</v>
      </c>
      <c r="K15" s="16">
        <f>SUMIFS('Dry peas_Yr'!K:K,'Dry peas_Yr'!$B:$B,"FSR")+SUMIFS(Lentils_Yr!K:K,Lentils_Yr!$B:$B,"FSR")</f>
        <v>4426.6000000000013</v>
      </c>
      <c r="L15" s="16">
        <f>SUMIFS('Dry peas_Yr'!L:L,'Dry peas_Yr'!$B:$B,"FSR")+SUMIFS(Lentils_Yr!L:L,Lentils_Yr!$B:$B,"FSR")</f>
        <v>4608.0000000000009</v>
      </c>
      <c r="M15" s="16">
        <f>SUMIFS('Dry peas_Yr'!M:M,'Dry peas_Yr'!$B:$B,"FSR")+SUMIFS(Lentils_Yr!M:M,Lentils_Yr!$B:$B,"FSR")</f>
        <v>4315.5</v>
      </c>
      <c r="N15" s="16">
        <f>SUMIFS('Dry peas_Yr'!N:N,'Dry peas_Yr'!$B:$B,"FSR")+SUMIFS(Lentils_Yr!N:N,Lentils_Yr!$B:$B,"FSR")</f>
        <v>5362.6999999999989</v>
      </c>
      <c r="O15" s="16">
        <f>SUMIFS('Dry peas_Yr'!O:O,'Dry peas_Yr'!$B:$B,"FSR")+SUMIFS(Lentils_Yr!O:O,Lentils_Yr!$B:$B,"FSR")</f>
        <v>5748.5000000000009</v>
      </c>
      <c r="P15" s="16">
        <f>SUMIFS('Dry peas_Yr'!P:P,'Dry peas_Yr'!$B:$B,"FSR")+SUMIFS(Lentils_Yr!P:P,Lentils_Yr!$B:$B,"FSR")</f>
        <v>5865.1</v>
      </c>
      <c r="Q15" s="16">
        <f>SUMIFS('Dry peas_Yr'!Q:Q,'Dry peas_Yr'!$B:$B,"FSR")+SUMIFS(Lentils_Yr!Q:Q,Lentils_Yr!$B:$B,"FSR")</f>
        <v>6540.6</v>
      </c>
      <c r="R15" s="16">
        <f>SUMIFS('Dry peas_Yr'!R:R,'Dry peas_Yr'!$B:$B,"FSR")+SUMIFS(Lentils_Yr!R:R,Lentils_Yr!$B:$B,"FSR")</f>
        <v>7661.9000000000005</v>
      </c>
      <c r="S15" s="16">
        <f>SUMIFS('Dry peas_Yr'!S:S,'Dry peas_Yr'!$B:$B,"FSR")+SUMIFS(Lentils_Yr!S:S,Lentils_Yr!$B:$B,"FSR")</f>
        <v>5765.1999999999989</v>
      </c>
      <c r="T15" s="16">
        <f>SUMIFS('Dry peas_Yr'!T:T,'Dry peas_Yr'!$B:$B,"FSR")+SUMIFS(Lentils_Yr!T:T,Lentils_Yr!$B:$B,"FSR")</f>
        <v>6125.7999999999984</v>
      </c>
      <c r="U15" s="16">
        <f>SUMIFS('Dry peas_Yr'!U:U,'Dry peas_Yr'!$B:$B,"FSR")+SUMIFS(Lentils_Yr!U:U,Lentils_Yr!$B:$B,"FSR")</f>
        <v>7344.1999999999989</v>
      </c>
      <c r="V15" s="16">
        <f>SUMIFS('Dry peas_Yr'!V:V,'Dry peas_Yr'!$B:$B,"FSR")+SUMIFS(Lentils_Yr!V:V,Lentils_Yr!$B:$B,"FSR")</f>
        <v>6907</v>
      </c>
      <c r="W15" s="16">
        <f>SUMIFS('Dry peas_Yr'!W:W,'Dry peas_Yr'!$B:$B,"FSR")+SUMIFS(Lentils_Yr!W:W,Lentils_Yr!$B:$B,"FSR")</f>
        <v>4270.6000000000013</v>
      </c>
      <c r="X15" s="16">
        <f>SUMIFS('Dry peas_Yr'!X:X,'Dry peas_Yr'!$B:$B,"FSR")+SUMIFS(Lentils_Yr!X:X,Lentils_Yr!$B:$B,"FSR")</f>
        <v>5556.9000000000015</v>
      </c>
      <c r="Y15" s="16">
        <f>SUMIFS('Dry peas_Yr'!Y:Y,'Dry peas_Yr'!$B:$B,"FSR")+SUMIFS(Lentils_Yr!Y:Y,Lentils_Yr!$B:$B,"FSR")</f>
        <v>4706.7</v>
      </c>
      <c r="Z15" s="16">
        <f>SUMIFS('Dry peas_Yr'!Z:Z,'Dry peas_Yr'!$B:$B,"FSR")+SUMIFS(Lentils_Yr!Z:Z,Lentils_Yr!$B:$B,"FSR")</f>
        <v>4842.7999999999993</v>
      </c>
    </row>
    <row r="16" spans="1:26" x14ac:dyDescent="0.3">
      <c r="A16" s="11" t="s">
        <v>80</v>
      </c>
      <c r="B16" s="11" t="s">
        <v>44</v>
      </c>
      <c r="C16" s="12" t="s">
        <v>59</v>
      </c>
      <c r="D16" s="16">
        <f>SUMIFS('Dry peas_Yr'!D:D,'Dry peas_Yr'!$B:$B,"Exports")+SUMIFS(Lentils_Yr!D:D,Lentils_Yr!$B:$B,"Exports")</f>
        <v>0</v>
      </c>
      <c r="E16" s="16">
        <f>SUMIFS('Dry peas_Yr'!E:E,'Dry peas_Yr'!$B:$B,"Exports")+SUMIFS(Lentils_Yr!E:E,Lentils_Yr!$B:$B,"Exports")</f>
        <v>0</v>
      </c>
      <c r="F16" s="16">
        <f>SUMIFS('Dry peas_Yr'!F:F,'Dry peas_Yr'!$B:$B,"Exports")+SUMIFS(Lentils_Yr!F:F,Lentils_Yr!$B:$B,"Exports")</f>
        <v>0</v>
      </c>
      <c r="G16" s="16">
        <f>SUMIFS('Dry peas_Yr'!G:G,'Dry peas_Yr'!$B:$B,"Exports")+SUMIFS(Lentils_Yr!G:G,Lentils_Yr!$B:$B,"Exports")</f>
        <v>0</v>
      </c>
      <c r="H16" s="16">
        <f>SUMIFS('Dry peas_Yr'!H:H,'Dry peas_Yr'!$B:$B,"Exports")+SUMIFS(Lentils_Yr!H:H,Lentils_Yr!$B:$B,"Exports")</f>
        <v>0</v>
      </c>
      <c r="I16" s="16">
        <f>SUMIFS('Dry peas_Yr'!I:I,'Dry peas_Yr'!$B:$B,"Exports")+SUMIFS(Lentils_Yr!I:I,Lentils_Yr!$B:$B,"Exports")</f>
        <v>0</v>
      </c>
      <c r="J16" s="16">
        <f>SUMIFS('Dry peas_Yr'!J:J,'Dry peas_Yr'!$B:$B,"Exports")+SUMIFS(Lentils_Yr!J:J,Lentils_Yr!$B:$B,"Exports")</f>
        <v>0</v>
      </c>
      <c r="K16" s="16">
        <f>SUMIFS('Dry peas_Yr'!K:K,'Dry peas_Yr'!$B:$B,"Exports")+SUMIFS(Lentils_Yr!K:K,Lentils_Yr!$B:$B,"Exports")</f>
        <v>0</v>
      </c>
      <c r="L16" s="16">
        <f>SUMIFS('Dry peas_Yr'!L:L,'Dry peas_Yr'!$B:$B,"Exports")+SUMIFS(Lentils_Yr!L:L,Lentils_Yr!$B:$B,"Exports")</f>
        <v>0</v>
      </c>
      <c r="M16" s="16">
        <f>SUMIFS('Dry peas_Yr'!M:M,'Dry peas_Yr'!$B:$B,"Exports")+SUMIFS(Lentils_Yr!M:M,Lentils_Yr!$B:$B,"Exports")</f>
        <v>0</v>
      </c>
      <c r="N16" s="16">
        <f>SUMIFS('Dry peas_Yr'!N:N,'Dry peas_Yr'!$B:$B,"Exports")+SUMIFS(Lentils_Yr!N:N,Lentils_Yr!$B:$B,"Exports")</f>
        <v>0</v>
      </c>
      <c r="O16" s="16">
        <f>SUMIFS('Dry peas_Yr'!O:O,'Dry peas_Yr'!$B:$B,"Exports")+SUMIFS(Lentils_Yr!O:O,Lentils_Yr!$B:$B,"Exports")</f>
        <v>0</v>
      </c>
      <c r="P16" s="16">
        <f>SUMIFS('Dry peas_Yr'!P:P,'Dry peas_Yr'!$B:$B,"Exports")+SUMIFS(Lentils_Yr!P:P,Lentils_Yr!$B:$B,"Exports")</f>
        <v>0</v>
      </c>
      <c r="Q16" s="16">
        <f>SUMIFS('Dry peas_Yr'!Q:Q,'Dry peas_Yr'!$B:$B,"Exports")+SUMIFS(Lentils_Yr!Q:Q,Lentils_Yr!$B:$B,"Exports")</f>
        <v>0</v>
      </c>
      <c r="R16" s="16">
        <f>SUMIFS('Dry peas_Yr'!R:R,'Dry peas_Yr'!$B:$B,"Exports")+SUMIFS(Lentils_Yr!R:R,Lentils_Yr!$B:$B,"Exports")</f>
        <v>0</v>
      </c>
      <c r="S16" s="16">
        <f>SUMIFS('Dry peas_Yr'!S:S,'Dry peas_Yr'!$B:$B,"Exports")+SUMIFS(Lentils_Yr!S:S,Lentils_Yr!$B:$B,"Exports")</f>
        <v>0</v>
      </c>
      <c r="T16" s="16">
        <f>SUMIFS('Dry peas_Yr'!T:T,'Dry peas_Yr'!$B:$B,"Exports")+SUMIFS(Lentils_Yr!T:T,Lentils_Yr!$B:$B,"Exports")</f>
        <v>0</v>
      </c>
      <c r="U16" s="16">
        <f>SUMIFS('Dry peas_Yr'!U:U,'Dry peas_Yr'!$B:$B,"Exports")+SUMIFS(Lentils_Yr!U:U,Lentils_Yr!$B:$B,"Exports")</f>
        <v>0</v>
      </c>
      <c r="V16" s="16">
        <f>SUMIFS('Dry peas_Yr'!V:V,'Dry peas_Yr'!$B:$B,"Exports")+SUMIFS(Lentils_Yr!V:V,Lentils_Yr!$B:$B,"Exports")</f>
        <v>0</v>
      </c>
      <c r="W16" s="16">
        <f>SUMIFS('Dry peas_Yr'!W:W,'Dry peas_Yr'!$B:$B,"Exports")+SUMIFS(Lentils_Yr!W:W,Lentils_Yr!$B:$B,"Exports")</f>
        <v>0</v>
      </c>
      <c r="X16" s="16">
        <f>SUMIFS('Dry peas_Yr'!X:X,'Dry peas_Yr'!$B:$B,"Exports")+SUMIFS(Lentils_Yr!X:X,Lentils_Yr!$B:$B,"Exports")</f>
        <v>0</v>
      </c>
      <c r="Y16" s="16">
        <f>SUMIFS('Dry peas_Yr'!Y:Y,'Dry peas_Yr'!$B:$B,"Exports")+SUMIFS(Lentils_Yr!Y:Y,Lentils_Yr!$B:$B,"Exports")</f>
        <v>0</v>
      </c>
      <c r="Z16" s="16">
        <f>SUMIFS('Dry peas_Yr'!Z:Z,'Dry peas_Yr'!$B:$B,"Exports")+SUMIFS(Lentils_Yr!Z:Z,Lentils_Yr!$B:$B,"Exports")</f>
        <v>0</v>
      </c>
    </row>
    <row r="17" spans="1:26" x14ac:dyDescent="0.3">
      <c r="A17" s="17" t="s">
        <v>80</v>
      </c>
      <c r="B17" s="17" t="s">
        <v>61</v>
      </c>
      <c r="C17" s="18" t="s">
        <v>59</v>
      </c>
      <c r="D17" s="19">
        <f>SUMIFS('Dry peas_Yr'!D:D,'Dry peas_Yr'!$B:$B,"Total Disposition")+SUMIFS(Lentils_Yr!D:D,Lentils_Yr!$B:$B,"Total Disposition")</f>
        <v>1740.8</v>
      </c>
      <c r="E17" s="19">
        <f>SUMIFS('Dry peas_Yr'!E:E,'Dry peas_Yr'!$B:$B,"Total Disposition")+SUMIFS(Lentils_Yr!E:E,Lentils_Yr!$B:$B,"Total Disposition")</f>
        <v>2455.5000000000009</v>
      </c>
      <c r="F17" s="19">
        <f>SUMIFS('Dry peas_Yr'!F:F,'Dry peas_Yr'!$B:$B,"Total Disposition")+SUMIFS(Lentils_Yr!F:F,Lentils_Yr!$B:$B,"Total Disposition")</f>
        <v>3535.9999999999991</v>
      </c>
      <c r="G17" s="19">
        <f>SUMIFS('Dry peas_Yr'!G:G,'Dry peas_Yr'!$B:$B,"Total Disposition")+SUMIFS(Lentils_Yr!G:G,Lentils_Yr!$B:$B,"Total Disposition")</f>
        <v>4024.8999999999987</v>
      </c>
      <c r="H17" s="19">
        <f>SUMIFS('Dry peas_Yr'!H:H,'Dry peas_Yr'!$B:$B,"Total Disposition")+SUMIFS(Lentils_Yr!H:H,Lentils_Yr!$B:$B,"Total Disposition")</f>
        <v>3694.6999999999994</v>
      </c>
      <c r="I17" s="19">
        <f>SUMIFS('Dry peas_Yr'!I:I,'Dry peas_Yr'!$B:$B,"Total Disposition")+SUMIFS(Lentils_Yr!I:I,Lentils_Yr!$B:$B,"Total Disposition")</f>
        <v>3733.6999999999989</v>
      </c>
      <c r="J17" s="19">
        <f>SUMIFS('Dry peas_Yr'!J:J,'Dry peas_Yr'!$B:$B,"Total Disposition")+SUMIFS(Lentils_Yr!J:J,Lentils_Yr!$B:$B,"Total Disposition")</f>
        <v>4441.7000000000007</v>
      </c>
      <c r="K17" s="19">
        <f>SUMIFS('Dry peas_Yr'!K:K,'Dry peas_Yr'!$B:$B,"Total Disposition")+SUMIFS(Lentils_Yr!K:K,Lentils_Yr!$B:$B,"Total Disposition")</f>
        <v>4426.6000000000013</v>
      </c>
      <c r="L17" s="19">
        <f>SUMIFS('Dry peas_Yr'!L:L,'Dry peas_Yr'!$B:$B,"Total Disposition")+SUMIFS(Lentils_Yr!L:L,Lentils_Yr!$B:$B,"Total Disposition")</f>
        <v>4608.0000000000009</v>
      </c>
      <c r="M17" s="19">
        <f>SUMIFS('Dry peas_Yr'!M:M,'Dry peas_Yr'!$B:$B,"Total Disposition")+SUMIFS(Lentils_Yr!M:M,Lentils_Yr!$B:$B,"Total Disposition")</f>
        <v>4315.5</v>
      </c>
      <c r="N17" s="19">
        <f>SUMIFS('Dry peas_Yr'!N:N,'Dry peas_Yr'!$B:$B,"Total Disposition")+SUMIFS(Lentils_Yr!N:N,Lentils_Yr!$B:$B,"Total Disposition")</f>
        <v>5362.6999999999989</v>
      </c>
      <c r="O17" s="19">
        <f>SUMIFS('Dry peas_Yr'!O:O,'Dry peas_Yr'!$B:$B,"Total Disposition")+SUMIFS(Lentils_Yr!O:O,Lentils_Yr!$B:$B,"Total Disposition")</f>
        <v>5748.5000000000009</v>
      </c>
      <c r="P17" s="19">
        <f>SUMIFS('Dry peas_Yr'!P:P,'Dry peas_Yr'!$B:$B,"Total Disposition")+SUMIFS(Lentils_Yr!P:P,Lentils_Yr!$B:$B,"Total Disposition")</f>
        <v>5865.1</v>
      </c>
      <c r="Q17" s="19">
        <f>SUMIFS('Dry peas_Yr'!Q:Q,'Dry peas_Yr'!$B:$B,"Total Disposition")+SUMIFS(Lentils_Yr!Q:Q,Lentils_Yr!$B:$B,"Total Disposition")</f>
        <v>6540.6</v>
      </c>
      <c r="R17" s="19">
        <f>SUMIFS('Dry peas_Yr'!R:R,'Dry peas_Yr'!$B:$B,"Total Disposition")+SUMIFS(Lentils_Yr!R:R,Lentils_Yr!$B:$B,"Total Disposition")</f>
        <v>7661.9000000000005</v>
      </c>
      <c r="S17" s="19">
        <f>SUMIFS('Dry peas_Yr'!S:S,'Dry peas_Yr'!$B:$B,"Total Disposition")+SUMIFS(Lentils_Yr!S:S,Lentils_Yr!$B:$B,"Total Disposition")</f>
        <v>5765.1999999999989</v>
      </c>
      <c r="T17" s="19">
        <f>SUMIFS('Dry peas_Yr'!T:T,'Dry peas_Yr'!$B:$B,"Total Disposition")+SUMIFS(Lentils_Yr!T:T,Lentils_Yr!$B:$B,"Total Disposition")</f>
        <v>6125.7999999999984</v>
      </c>
      <c r="U17" s="19">
        <f>SUMIFS('Dry peas_Yr'!U:U,'Dry peas_Yr'!$B:$B,"Total Disposition")+SUMIFS(Lentils_Yr!U:U,Lentils_Yr!$B:$B,"Total Disposition")</f>
        <v>7344.1999999999989</v>
      </c>
      <c r="V17" s="19">
        <f>SUMIFS('Dry peas_Yr'!V:V,'Dry peas_Yr'!$B:$B,"Total Disposition")+SUMIFS(Lentils_Yr!V:V,Lentils_Yr!$B:$B,"Total Disposition")</f>
        <v>6907</v>
      </c>
      <c r="W17" s="19">
        <f>SUMIFS('Dry peas_Yr'!W:W,'Dry peas_Yr'!$B:$B,"Total Disposition")+SUMIFS(Lentils_Yr!W:W,Lentils_Yr!$B:$B,"Total Disposition")</f>
        <v>4270.6000000000013</v>
      </c>
      <c r="X17" s="19">
        <f>SUMIFS('Dry peas_Yr'!X:X,'Dry peas_Yr'!$B:$B,"Total Disposition")+SUMIFS(Lentils_Yr!X:X,Lentils_Yr!$B:$B,"Total Disposition")</f>
        <v>5556.9000000000015</v>
      </c>
      <c r="Y17" s="19">
        <f>SUMIFS('Dry peas_Yr'!Y:Y,'Dry peas_Yr'!$B:$B,"Total Disposition")+SUMIFS(Lentils_Yr!Y:Y,Lentils_Yr!$B:$B,"Total Disposition")</f>
        <v>4706.7</v>
      </c>
      <c r="Z17" s="19">
        <f>SUMIFS('Dry peas_Yr'!Z:Z,'Dry peas_Yr'!$B:$B,"Total Disposition")+SUMIFS(Lentils_Yr!Z:Z,Lentils_Yr!$B:$B,"Total Disposition")</f>
        <v>4842.7999999999993</v>
      </c>
    </row>
    <row r="19" spans="1:26" x14ac:dyDescent="0.3">
      <c r="A19" s="20" t="s">
        <v>80</v>
      </c>
      <c r="B19" s="20" t="s">
        <v>62</v>
      </c>
      <c r="C19" s="21" t="s">
        <v>59</v>
      </c>
      <c r="D19" s="22">
        <f>SUMIFS('Dry peas_Yr'!D:D,'Dry peas_Yr'!$B:$B,"Ending Stocks")+SUMIFS(Lentils_Yr!D:D,Lentils_Yr!$B:$B,"Ending Stocks")</f>
        <v>277.99999999999977</v>
      </c>
      <c r="E19" s="22">
        <f>SUMIFS('Dry peas_Yr'!E:E,'Dry peas_Yr'!$B:$B,"Ending Stocks")+SUMIFS(Lentils_Yr!E:E,Lentils_Yr!$B:$B,"Ending Stocks")</f>
        <v>237.99999999999915</v>
      </c>
      <c r="F19" s="22">
        <f>SUMIFS('Dry peas_Yr'!F:F,'Dry peas_Yr'!$B:$B,"Ending Stocks")+SUMIFS(Lentils_Yr!F:F,Lentils_Yr!$B:$B,"Ending Stocks")</f>
        <v>715</v>
      </c>
      <c r="G19" s="22">
        <f>SUMIFS('Dry peas_Yr'!G:G,'Dry peas_Yr'!$B:$B,"Ending Stocks")+SUMIFS(Lentils_Yr!G:G,Lentils_Yr!$B:$B,"Ending Stocks")</f>
        <v>848.00000000000102</v>
      </c>
      <c r="H19" s="22">
        <f>SUMIFS('Dry peas_Yr'!H:H,'Dry peas_Yr'!$B:$B,"Ending Stocks")+SUMIFS(Lentils_Yr!H:H,Lentils_Yr!$B:$B,"Ending Stocks")</f>
        <v>366.00000000000182</v>
      </c>
      <c r="I19" s="22">
        <f>SUMIFS('Dry peas_Yr'!I:I,'Dry peas_Yr'!$B:$B,"Ending Stocks")+SUMIFS(Lentils_Yr!I:I,Lentils_Yr!$B:$B,"Ending Stocks")</f>
        <v>301.00000000000296</v>
      </c>
      <c r="J19" s="22">
        <f>SUMIFS('Dry peas_Yr'!J:J,'Dry peas_Yr'!$B:$B,"Ending Stocks")+SUMIFS(Lentils_Yr!J:J,Lentils_Yr!$B:$B,"Ending Stocks")</f>
        <v>467.00000000000227</v>
      </c>
      <c r="K19" s="22">
        <f>SUMIFS('Dry peas_Yr'!K:K,'Dry peas_Yr'!$B:$B,"Ending Stocks")+SUMIFS(Lentils_Yr!K:K,Lentils_Yr!$B:$B,"Ending Stocks")</f>
        <v>950.00000000000136</v>
      </c>
      <c r="L19" s="22">
        <f>SUMIFS('Dry peas_Yr'!L:L,'Dry peas_Yr'!$B:$B,"Ending Stocks")+SUMIFS(Lentils_Yr!L:L,Lentils_Yr!$B:$B,"Ending Stocks")</f>
        <v>1365</v>
      </c>
      <c r="M19" s="22">
        <f>SUMIFS('Dry peas_Yr'!M:M,'Dry peas_Yr'!$B:$B,"Ending Stocks")+SUMIFS(Lentils_Yr!M:M,Lentils_Yr!$B:$B,"Ending Stocks")</f>
        <v>1125</v>
      </c>
      <c r="N19" s="22">
        <f>SUMIFS('Dry peas_Yr'!N:N,'Dry peas_Yr'!$B:$B,"Ending Stocks")+SUMIFS(Lentils_Yr!N:N,Lentils_Yr!$B:$B,"Ending Stocks")</f>
        <v>641.00000000000182</v>
      </c>
      <c r="O19" s="22">
        <f>SUMIFS('Dry peas_Yr'!O:O,'Dry peas_Yr'!$B:$B,"Ending Stocks")+SUMIFS(Lentils_Yr!O:O,Lentils_Yr!$B:$B,"Ending Stocks")</f>
        <v>1115.0000000000016</v>
      </c>
      <c r="P19" s="22">
        <f>SUMIFS('Dry peas_Yr'!P:P,'Dry peas_Yr'!$B:$B,"Ending Stocks")+SUMIFS(Lentils_Yr!P:P,Lentils_Yr!$B:$B,"Ending Stocks")</f>
        <v>1047.0000000000009</v>
      </c>
      <c r="Q19" s="22">
        <f>SUMIFS('Dry peas_Yr'!Q:Q,'Dry peas_Yr'!$B:$B,"Ending Stocks")+SUMIFS(Lentils_Yr!Q:Q,Lentils_Yr!$B:$B,"Ending Stocks")</f>
        <v>247.59999999999991</v>
      </c>
      <c r="R19" s="22">
        <f>SUMIFS('Dry peas_Yr'!R:R,'Dry peas_Yr'!$B:$B,"Ending Stocks")+SUMIFS(Lentils_Yr!R:R,Lentils_Yr!$B:$B,"Ending Stocks")</f>
        <v>615.39999999999918</v>
      </c>
      <c r="S19" s="22">
        <f>SUMIFS('Dry peas_Yr'!S:S,'Dry peas_Yr'!$B:$B,"Ending Stocks")+SUMIFS(Lentils_Yr!S:S,Lentils_Yr!$B:$B,"Ending Stocks")</f>
        <v>1520.8999999999999</v>
      </c>
      <c r="T19" s="22">
        <f>SUMIFS('Dry peas_Yr'!T:T,'Dry peas_Yr'!$B:$B,"Ending Stocks")+SUMIFS(Lentils_Yr!T:T,Lentils_Yr!$B:$B,"Ending Stocks")</f>
        <v>1167.9000000000015</v>
      </c>
      <c r="U19" s="22">
        <f>SUMIFS('Dry peas_Yr'!U:U,'Dry peas_Yr'!$B:$B,"Ending Stocks")+SUMIFS(Lentils_Yr!U:U,Lentils_Yr!$B:$B,"Ending Stocks")</f>
        <v>442.20000000000346</v>
      </c>
      <c r="V19" s="22">
        <f>SUMIFS('Dry peas_Yr'!V:V,'Dry peas_Yr'!$B:$B,"Ending Stocks")+SUMIFS(Lentils_Yr!V:V,Lentils_Yr!$B:$B,"Ending Stocks")</f>
        <v>997.30000000000291</v>
      </c>
      <c r="W19" s="22">
        <f>SUMIFS('Dry peas_Yr'!W:W,'Dry peas_Yr'!$B:$B,"Ending Stocks")+SUMIFS(Lentils_Yr!W:W,Lentils_Yr!$B:$B,"Ending Stocks")</f>
        <v>564.10000000000196</v>
      </c>
      <c r="X19" s="22">
        <f>SUMIFS('Dry peas_Yr'!X:X,'Dry peas_Yr'!$B:$B,"Ending Stocks")+SUMIFS(Lentils_Yr!X:X,Lentils_Yr!$B:$B,"Ending Stocks")</f>
        <v>761.10000000000082</v>
      </c>
      <c r="Y19" s="22">
        <f>SUMIFS('Dry peas_Yr'!Y:Y,'Dry peas_Yr'!$B:$B,"Ending Stocks")+SUMIFS(Lentils_Yr!Y:Y,Lentils_Yr!$B:$B,"Ending Stocks")</f>
        <v>464.30000000000132</v>
      </c>
      <c r="Z19" s="22">
        <f>SUMIFS('Dry peas_Yr'!Z:Z,'Dry peas_Yr'!$B:$B,"Ending Stocks")+SUMIFS(Lentils_Yr!Z:Z,Lentils_Yr!$B:$B,"Ending Stocks")</f>
        <v>1050.2000000000016</v>
      </c>
    </row>
    <row r="20" spans="1:26" x14ac:dyDescent="0.3">
      <c r="A20" s="11" t="s">
        <v>80</v>
      </c>
      <c r="B20" s="11" t="s">
        <v>63</v>
      </c>
      <c r="C20" s="12" t="s">
        <v>56</v>
      </c>
      <c r="D20" s="14">
        <f t="shared" ref="D20:Z20" si="2">IF(D17&lt;&gt;0,D19/D17,"")</f>
        <v>0.15969669117647045</v>
      </c>
      <c r="E20" s="14">
        <f t="shared" si="2"/>
        <v>9.6925269802483838E-2</v>
      </c>
      <c r="F20" s="14">
        <f t="shared" si="2"/>
        <v>0.20220588235294124</v>
      </c>
      <c r="G20" s="14">
        <f t="shared" si="2"/>
        <v>0.21068846430967261</v>
      </c>
      <c r="H20" s="14">
        <f t="shared" si="2"/>
        <v>9.9060816845752533E-2</v>
      </c>
      <c r="I20" s="14">
        <f t="shared" si="2"/>
        <v>8.061708225085118E-2</v>
      </c>
      <c r="J20" s="14">
        <f t="shared" si="2"/>
        <v>0.10513992390301061</v>
      </c>
      <c r="K20" s="14">
        <f t="shared" si="2"/>
        <v>0.21461166583834118</v>
      </c>
      <c r="L20" s="14">
        <f t="shared" si="2"/>
        <v>0.29622395833333326</v>
      </c>
      <c r="M20" s="14">
        <f t="shared" si="2"/>
        <v>0.26068821689259647</v>
      </c>
      <c r="N20" s="14">
        <f t="shared" si="2"/>
        <v>0.11952934156301899</v>
      </c>
      <c r="O20" s="14">
        <f t="shared" si="2"/>
        <v>0.19396364268939748</v>
      </c>
      <c r="P20" s="14">
        <f t="shared" si="2"/>
        <v>0.17851358033111128</v>
      </c>
      <c r="Q20" s="14">
        <f t="shared" si="2"/>
        <v>3.7855854202978302E-2</v>
      </c>
      <c r="R20" s="14">
        <f t="shared" si="2"/>
        <v>8.0319502995340464E-2</v>
      </c>
      <c r="S20" s="14">
        <f t="shared" si="2"/>
        <v>0.26380697980989387</v>
      </c>
      <c r="T20" s="14">
        <f t="shared" si="2"/>
        <v>0.19065264944986807</v>
      </c>
      <c r="U20" s="14">
        <f t="shared" si="2"/>
        <v>6.0210778573568741E-2</v>
      </c>
      <c r="V20" s="14">
        <f t="shared" si="2"/>
        <v>0.14438974952946329</v>
      </c>
      <c r="W20" s="14">
        <f t="shared" si="2"/>
        <v>0.13208916779843624</v>
      </c>
      <c r="X20" s="14">
        <f t="shared" si="2"/>
        <v>0.13696485450520984</v>
      </c>
      <c r="Y20" s="14">
        <f t="shared" si="2"/>
        <v>9.8646610151486458E-2</v>
      </c>
      <c r="Z20" s="14">
        <f t="shared" si="2"/>
        <v>0.21685801602378826</v>
      </c>
    </row>
    <row r="21" spans="1:26" x14ac:dyDescent="0.3">
      <c r="A21" s="11" t="s">
        <v>80</v>
      </c>
      <c r="B21" s="11" t="s">
        <v>64</v>
      </c>
      <c r="C21" s="12" t="s">
        <v>65</v>
      </c>
      <c r="D21" s="16">
        <f t="shared" ref="D21:Z21" si="3">IF(D17&lt;&gt;0,D19/D17*365,"")</f>
        <v>58.289292279411711</v>
      </c>
      <c r="E21" s="16">
        <f t="shared" si="3"/>
        <v>35.377723477906599</v>
      </c>
      <c r="F21" s="16">
        <f t="shared" si="3"/>
        <v>73.80514705882355</v>
      </c>
      <c r="G21" s="16">
        <f t="shared" si="3"/>
        <v>76.901289473030502</v>
      </c>
      <c r="H21" s="16">
        <f t="shared" si="3"/>
        <v>36.157198148699678</v>
      </c>
      <c r="I21" s="16">
        <f t="shared" si="3"/>
        <v>29.425235021560681</v>
      </c>
      <c r="J21" s="16">
        <f t="shared" si="3"/>
        <v>38.376072224598872</v>
      </c>
      <c r="K21" s="16">
        <f t="shared" si="3"/>
        <v>78.333258030994529</v>
      </c>
      <c r="L21" s="16">
        <f t="shared" si="3"/>
        <v>108.12174479166664</v>
      </c>
      <c r="M21" s="16">
        <f t="shared" si="3"/>
        <v>95.151199165797706</v>
      </c>
      <c r="N21" s="16">
        <f t="shared" si="3"/>
        <v>43.628209670501931</v>
      </c>
      <c r="O21" s="16">
        <f t="shared" si="3"/>
        <v>70.796729581630075</v>
      </c>
      <c r="P21" s="16">
        <f t="shared" si="3"/>
        <v>65.157456820855614</v>
      </c>
      <c r="Q21" s="16">
        <f t="shared" si="3"/>
        <v>13.817386784087081</v>
      </c>
      <c r="R21" s="16">
        <f t="shared" si="3"/>
        <v>29.316618593299268</v>
      </c>
      <c r="S21" s="16">
        <f t="shared" si="3"/>
        <v>96.289547630611267</v>
      </c>
      <c r="T21" s="16">
        <f t="shared" si="3"/>
        <v>69.588217049201845</v>
      </c>
      <c r="U21" s="16">
        <f t="shared" si="3"/>
        <v>21.97693417935259</v>
      </c>
      <c r="V21" s="16">
        <f t="shared" si="3"/>
        <v>52.702258578254103</v>
      </c>
      <c r="W21" s="16">
        <f t="shared" si="3"/>
        <v>48.212546246429227</v>
      </c>
      <c r="X21" s="16">
        <f t="shared" si="3"/>
        <v>49.992171894401594</v>
      </c>
      <c r="Y21" s="16">
        <f t="shared" si="3"/>
        <v>36.006012705292555</v>
      </c>
      <c r="Z21" s="16">
        <f t="shared" si="3"/>
        <v>79.153175848682721</v>
      </c>
    </row>
    <row r="22" spans="1:26" x14ac:dyDescent="0.3">
      <c r="A22" s="20" t="s">
        <v>80</v>
      </c>
      <c r="B22" s="20" t="s">
        <v>66</v>
      </c>
      <c r="C22" s="21" t="s">
        <v>59</v>
      </c>
      <c r="D22" s="22">
        <f t="shared" ref="D22:Z22" si="4">D11-D17-D19</f>
        <v>0</v>
      </c>
      <c r="E22" s="22">
        <f t="shared" si="4"/>
        <v>0</v>
      </c>
      <c r="F22" s="22">
        <f t="shared" si="4"/>
        <v>0</v>
      </c>
      <c r="G22" s="22">
        <f t="shared" si="4"/>
        <v>0</v>
      </c>
      <c r="H22" s="22">
        <f t="shared" si="4"/>
        <v>0</v>
      </c>
      <c r="I22" s="22">
        <f t="shared" si="4"/>
        <v>0</v>
      </c>
      <c r="J22" s="22">
        <f t="shared" si="4"/>
        <v>-4.5474735088646412E-13</v>
      </c>
      <c r="K22" s="22">
        <f t="shared" si="4"/>
        <v>0</v>
      </c>
      <c r="L22" s="22">
        <f t="shared" si="4"/>
        <v>0</v>
      </c>
      <c r="M22" s="22">
        <f t="shared" si="4"/>
        <v>0</v>
      </c>
      <c r="N22" s="22">
        <f t="shared" si="4"/>
        <v>0</v>
      </c>
      <c r="O22" s="22">
        <f t="shared" si="4"/>
        <v>0</v>
      </c>
      <c r="P22" s="22">
        <f t="shared" si="4"/>
        <v>0</v>
      </c>
      <c r="Q22" s="22">
        <f t="shared" si="4"/>
        <v>4.5474735088646412E-13</v>
      </c>
      <c r="R22" s="22">
        <f t="shared" si="4"/>
        <v>0</v>
      </c>
      <c r="S22" s="22">
        <f t="shared" si="4"/>
        <v>0</v>
      </c>
      <c r="T22" s="22">
        <f t="shared" si="4"/>
        <v>0</v>
      </c>
      <c r="U22" s="22">
        <f t="shared" si="4"/>
        <v>-9.0949470177292824E-13</v>
      </c>
      <c r="V22" s="22">
        <f t="shared" si="4"/>
        <v>0</v>
      </c>
      <c r="W22" s="22">
        <f t="shared" si="4"/>
        <v>0</v>
      </c>
      <c r="X22" s="22">
        <f t="shared" si="4"/>
        <v>0</v>
      </c>
      <c r="Y22" s="22">
        <f t="shared" si="4"/>
        <v>0</v>
      </c>
      <c r="Z22" s="22">
        <f t="shared" si="4"/>
        <v>0</v>
      </c>
    </row>
    <row r="25" spans="1:26" s="25" customFormat="1" ht="13.8" x14ac:dyDescent="0.3">
      <c r="A25" s="25" t="str">
        <f>A22</f>
        <v>Canada Pulses</v>
      </c>
      <c r="B25" s="25" t="s">
        <v>81</v>
      </c>
      <c r="D25" s="40" cm="1">
        <f t="array" ref="D25">SUM(D13:D14/D$10)</f>
        <v>0</v>
      </c>
      <c r="E25" s="40" cm="1">
        <f t="array" ref="E25">SUM(E13:E14/E$10)</f>
        <v>0</v>
      </c>
      <c r="F25" s="40" cm="1">
        <f t="array" ref="F25">SUM(F13:F14/F$10)</f>
        <v>0</v>
      </c>
      <c r="G25" s="40" cm="1">
        <f t="array" ref="G25">SUM(G13:G14/G$10)</f>
        <v>0</v>
      </c>
      <c r="H25" s="40" cm="1">
        <f t="array" ref="H25">SUM(H13:H14/H$10)</f>
        <v>0</v>
      </c>
      <c r="I25" s="40" cm="1">
        <f t="array" ref="I25">SUM(I13:I14/I$10)</f>
        <v>0</v>
      </c>
      <c r="J25" s="40" cm="1">
        <f t="array" ref="J25">SUM(J13:J14/J$10)</f>
        <v>0</v>
      </c>
      <c r="K25" s="40" cm="1">
        <f t="array" ref="K25">SUM(K13:K14/K$10)</f>
        <v>0</v>
      </c>
      <c r="L25" s="40" cm="1">
        <f t="array" ref="L25">SUM(L13:L14/L$10)</f>
        <v>0</v>
      </c>
      <c r="M25" s="40" cm="1">
        <f t="array" ref="M25">SUM(M13:M14/M$10)</f>
        <v>0</v>
      </c>
      <c r="N25" s="40" cm="1">
        <f t="array" ref="N25">SUM(N13:N14/N$10)</f>
        <v>0</v>
      </c>
      <c r="O25" s="40" cm="1">
        <f t="array" ref="O25">SUM(O13:O14/O$10)</f>
        <v>0</v>
      </c>
      <c r="P25" s="40" cm="1">
        <f t="array" ref="P25">SUM(P13:P14/P$10)</f>
        <v>0</v>
      </c>
      <c r="Q25" s="40" cm="1">
        <f t="array" ref="Q25">SUM(Q13:Q14/Q$10)</f>
        <v>0</v>
      </c>
      <c r="R25" s="40" cm="1">
        <f t="array" ref="R25">SUM(R13:R14/R$10)</f>
        <v>0</v>
      </c>
      <c r="S25" s="40" cm="1">
        <f t="array" ref="S25">SUM(S13:S14/S$10)</f>
        <v>0</v>
      </c>
      <c r="T25" s="40" cm="1">
        <f t="array" ref="T25">SUM(T13:T14/T$10)</f>
        <v>0</v>
      </c>
      <c r="U25" s="40" cm="1">
        <f t="array" ref="U25">SUM(U13:U14/U$10)</f>
        <v>0</v>
      </c>
      <c r="V25" s="40" cm="1">
        <f t="array" ref="V25">SUM(V13:V14/V$10)</f>
        <v>0</v>
      </c>
      <c r="W25" s="40" cm="1">
        <f t="array" ref="W25">SUM(W13:W14/W$10)</f>
        <v>0</v>
      </c>
      <c r="X25" s="40" cm="1">
        <f t="array" ref="X25">SUM(X13:X14/X$10)</f>
        <v>0</v>
      </c>
      <c r="Y25" s="40" cm="1">
        <f t="array" ref="Y25">SUM(Y13:Y14/Y$10)</f>
        <v>0</v>
      </c>
      <c r="Z25" s="40" cm="1">
        <f t="array" ref="Z25">SUM(Z13:Z14/Z$10)</f>
        <v>0</v>
      </c>
    </row>
    <row r="26" spans="1:26" s="25" customFormat="1" ht="13.8" x14ac:dyDescent="0.3">
      <c r="A26" s="25" t="str">
        <f>A25</f>
        <v>Canada Pulses</v>
      </c>
      <c r="B26" s="25" t="s">
        <v>82</v>
      </c>
      <c r="D26" s="40">
        <f t="shared" ref="D26:Z27" si="5">D15/D$10</f>
        <v>1.0800347437647351</v>
      </c>
      <c r="E26" s="40">
        <f t="shared" si="5"/>
        <v>1.0165597184847861</v>
      </c>
      <c r="F26" s="40">
        <f t="shared" si="5"/>
        <v>0.88113630700224244</v>
      </c>
      <c r="G26" s="40">
        <f t="shared" si="5"/>
        <v>0.96801269871810269</v>
      </c>
      <c r="H26" s="40">
        <f t="shared" si="5"/>
        <v>1.1500295701434928</v>
      </c>
      <c r="I26" s="40">
        <f t="shared" si="5"/>
        <v>1.0177174475972413</v>
      </c>
      <c r="J26" s="40">
        <f t="shared" si="5"/>
        <v>0.96397334895935083</v>
      </c>
      <c r="K26" s="40">
        <f t="shared" si="5"/>
        <v>0.90162131334528295</v>
      </c>
      <c r="L26" s="40">
        <f t="shared" si="5"/>
        <v>0.91738005176189541</v>
      </c>
      <c r="M26" s="40">
        <f t="shared" si="5"/>
        <v>1.0588884799411116</v>
      </c>
      <c r="N26" s="40">
        <f t="shared" si="5"/>
        <v>1.0992067558980871</v>
      </c>
      <c r="O26" s="40">
        <f t="shared" si="5"/>
        <v>0.92382482924869436</v>
      </c>
      <c r="P26" s="40">
        <f t="shared" si="5"/>
        <v>1.0117300029325007</v>
      </c>
      <c r="Q26" s="40">
        <f t="shared" si="5"/>
        <v>1.1392391834459696</v>
      </c>
      <c r="R26" s="40">
        <f t="shared" si="5"/>
        <v>0.95419505087363177</v>
      </c>
      <c r="S26" s="40">
        <f t="shared" si="5"/>
        <v>0.86425712443971381</v>
      </c>
      <c r="T26" s="40">
        <f t="shared" si="5"/>
        <v>1.0611488359201773</v>
      </c>
      <c r="U26" s="40">
        <f t="shared" si="5"/>
        <v>1.109647201027423</v>
      </c>
      <c r="V26" s="40">
        <f t="shared" si="5"/>
        <v>0.92561075300518625</v>
      </c>
      <c r="W26" s="40">
        <f t="shared" si="5"/>
        <v>1.1128889352165532</v>
      </c>
      <c r="X26" s="40">
        <f t="shared" si="5"/>
        <v>0.965762352491354</v>
      </c>
      <c r="Y26" s="40">
        <f t="shared" si="5"/>
        <v>1.0673031134492845</v>
      </c>
      <c r="Z26" s="40">
        <f t="shared" si="5"/>
        <v>0.89207360878294961</v>
      </c>
    </row>
    <row r="27" spans="1:26" s="25" customFormat="1" ht="13.8" x14ac:dyDescent="0.3">
      <c r="A27" s="25" t="str">
        <f>A26</f>
        <v>Canada Pulses</v>
      </c>
      <c r="B27" s="25" t="s">
        <v>83</v>
      </c>
      <c r="D27" s="40">
        <f t="shared" si="5"/>
        <v>0</v>
      </c>
      <c r="E27" s="40">
        <f t="shared" si="5"/>
        <v>0</v>
      </c>
      <c r="F27" s="40">
        <f t="shared" si="5"/>
        <v>0</v>
      </c>
      <c r="G27" s="40">
        <f t="shared" si="5"/>
        <v>0</v>
      </c>
      <c r="H27" s="40">
        <f t="shared" si="5"/>
        <v>0</v>
      </c>
      <c r="I27" s="40">
        <f t="shared" si="5"/>
        <v>0</v>
      </c>
      <c r="J27" s="40">
        <f t="shared" si="5"/>
        <v>0</v>
      </c>
      <c r="K27" s="40">
        <f t="shared" si="5"/>
        <v>0</v>
      </c>
      <c r="L27" s="40">
        <f t="shared" si="5"/>
        <v>0</v>
      </c>
      <c r="M27" s="40">
        <f t="shared" si="5"/>
        <v>0</v>
      </c>
      <c r="N27" s="40">
        <f t="shared" si="5"/>
        <v>0</v>
      </c>
      <c r="O27" s="40">
        <f t="shared" si="5"/>
        <v>0</v>
      </c>
      <c r="P27" s="40">
        <f t="shared" si="5"/>
        <v>0</v>
      </c>
      <c r="Q27" s="40">
        <f t="shared" si="5"/>
        <v>0</v>
      </c>
      <c r="R27" s="40">
        <f t="shared" si="5"/>
        <v>0</v>
      </c>
      <c r="S27" s="40">
        <f t="shared" si="5"/>
        <v>0</v>
      </c>
      <c r="T27" s="40">
        <f t="shared" si="5"/>
        <v>0</v>
      </c>
      <c r="U27" s="40">
        <f t="shared" si="5"/>
        <v>0</v>
      </c>
      <c r="V27" s="40">
        <f t="shared" si="5"/>
        <v>0</v>
      </c>
      <c r="W27" s="40">
        <f t="shared" si="5"/>
        <v>0</v>
      </c>
      <c r="X27" s="40">
        <f t="shared" si="5"/>
        <v>0</v>
      </c>
      <c r="Y27" s="40">
        <f t="shared" si="5"/>
        <v>0</v>
      </c>
      <c r="Z27" s="40">
        <f>Z16/Z$10</f>
        <v>0</v>
      </c>
    </row>
    <row r="28" spans="1:26" s="25" customFormat="1" ht="13.8" x14ac:dyDescent="0.3"/>
    <row r="29" spans="1:26" s="25" customFormat="1" ht="13.8" x14ac:dyDescent="0.3">
      <c r="D29" s="39" t="e">
        <f t="shared" ref="D29:Y32" si="6">(D13-C13)/C13</f>
        <v>#VALUE!</v>
      </c>
      <c r="E29" s="39" t="e">
        <f t="shared" si="6"/>
        <v>#DIV/0!</v>
      </c>
      <c r="F29" s="39" t="e">
        <f t="shared" si="6"/>
        <v>#DIV/0!</v>
      </c>
      <c r="G29" s="39" t="e">
        <f t="shared" si="6"/>
        <v>#DIV/0!</v>
      </c>
      <c r="H29" s="39" t="e">
        <f t="shared" si="6"/>
        <v>#DIV/0!</v>
      </c>
      <c r="I29" s="39" t="e">
        <f t="shared" si="6"/>
        <v>#DIV/0!</v>
      </c>
      <c r="J29" s="39" t="e">
        <f t="shared" si="6"/>
        <v>#DIV/0!</v>
      </c>
      <c r="K29" s="39" t="e">
        <f t="shared" si="6"/>
        <v>#DIV/0!</v>
      </c>
      <c r="L29" s="39" t="e">
        <f t="shared" si="6"/>
        <v>#DIV/0!</v>
      </c>
      <c r="M29" s="39" t="e">
        <f t="shared" si="6"/>
        <v>#DIV/0!</v>
      </c>
      <c r="N29" s="39" t="e">
        <f t="shared" si="6"/>
        <v>#DIV/0!</v>
      </c>
      <c r="O29" s="39" t="e">
        <f t="shared" si="6"/>
        <v>#DIV/0!</v>
      </c>
      <c r="P29" s="39" t="e">
        <f t="shared" si="6"/>
        <v>#DIV/0!</v>
      </c>
      <c r="Q29" s="39" t="e">
        <f t="shared" si="6"/>
        <v>#DIV/0!</v>
      </c>
      <c r="R29" s="39" t="e">
        <f t="shared" si="6"/>
        <v>#DIV/0!</v>
      </c>
      <c r="S29" s="39" t="e">
        <f t="shared" si="6"/>
        <v>#DIV/0!</v>
      </c>
      <c r="T29" s="39" t="e">
        <f t="shared" si="6"/>
        <v>#DIV/0!</v>
      </c>
      <c r="U29" s="39" t="e">
        <f t="shared" si="6"/>
        <v>#DIV/0!</v>
      </c>
      <c r="V29" s="39" t="e">
        <f t="shared" si="6"/>
        <v>#DIV/0!</v>
      </c>
      <c r="W29" s="39" t="e">
        <f t="shared" si="6"/>
        <v>#DIV/0!</v>
      </c>
      <c r="X29" s="39" t="e">
        <f t="shared" si="6"/>
        <v>#DIV/0!</v>
      </c>
      <c r="Y29" s="39" t="e">
        <f t="shared" si="6"/>
        <v>#DIV/0!</v>
      </c>
      <c r="Z29" s="39" t="e">
        <f>(Z13-Y13)/Y13</f>
        <v>#DIV/0!</v>
      </c>
    </row>
    <row r="30" spans="1:26" s="25" customFormat="1" ht="13.8" x14ac:dyDescent="0.3">
      <c r="D30" s="39" t="e">
        <f t="shared" si="6"/>
        <v>#VALUE!</v>
      </c>
      <c r="E30" s="39" t="e">
        <f t="shared" si="6"/>
        <v>#DIV/0!</v>
      </c>
      <c r="F30" s="39" t="e">
        <f t="shared" si="6"/>
        <v>#DIV/0!</v>
      </c>
      <c r="G30" s="39" t="e">
        <f t="shared" si="6"/>
        <v>#DIV/0!</v>
      </c>
      <c r="H30" s="39" t="e">
        <f t="shared" si="6"/>
        <v>#DIV/0!</v>
      </c>
      <c r="I30" s="39" t="e">
        <f t="shared" si="6"/>
        <v>#DIV/0!</v>
      </c>
      <c r="J30" s="39" t="e">
        <f t="shared" si="6"/>
        <v>#DIV/0!</v>
      </c>
      <c r="K30" s="39" t="e">
        <f t="shared" si="6"/>
        <v>#DIV/0!</v>
      </c>
      <c r="L30" s="39" t="e">
        <f t="shared" si="6"/>
        <v>#DIV/0!</v>
      </c>
      <c r="M30" s="39" t="e">
        <f t="shared" si="6"/>
        <v>#DIV/0!</v>
      </c>
      <c r="N30" s="39" t="e">
        <f t="shared" si="6"/>
        <v>#DIV/0!</v>
      </c>
      <c r="O30" s="39" t="e">
        <f t="shared" si="6"/>
        <v>#DIV/0!</v>
      </c>
      <c r="P30" s="39" t="e">
        <f t="shared" si="6"/>
        <v>#DIV/0!</v>
      </c>
      <c r="Q30" s="39" t="e">
        <f t="shared" si="6"/>
        <v>#DIV/0!</v>
      </c>
      <c r="R30" s="39" t="e">
        <f t="shared" si="6"/>
        <v>#DIV/0!</v>
      </c>
      <c r="S30" s="39" t="e">
        <f t="shared" si="6"/>
        <v>#DIV/0!</v>
      </c>
      <c r="T30" s="39" t="e">
        <f t="shared" si="6"/>
        <v>#DIV/0!</v>
      </c>
      <c r="U30" s="39" t="e">
        <f t="shared" si="6"/>
        <v>#DIV/0!</v>
      </c>
      <c r="V30" s="39" t="e">
        <f t="shared" si="6"/>
        <v>#DIV/0!</v>
      </c>
      <c r="W30" s="39" t="e">
        <f t="shared" si="6"/>
        <v>#DIV/0!</v>
      </c>
      <c r="X30" s="39" t="e">
        <f t="shared" si="6"/>
        <v>#DIV/0!</v>
      </c>
      <c r="Y30" s="39" t="e">
        <f t="shared" si="6"/>
        <v>#DIV/0!</v>
      </c>
      <c r="Z30" s="39" t="e">
        <f t="shared" ref="Z30:Z32" si="7">(Z14-Y14)/Y14</f>
        <v>#DIV/0!</v>
      </c>
    </row>
    <row r="31" spans="1:26" s="25" customFormat="1" ht="13.8" x14ac:dyDescent="0.3">
      <c r="D31" s="39" t="e">
        <f t="shared" si="6"/>
        <v>#VALUE!</v>
      </c>
      <c r="E31" s="39">
        <f t="shared" si="6"/>
        <v>0.41055836397058881</v>
      </c>
      <c r="F31" s="39">
        <f t="shared" si="6"/>
        <v>0.44003257992262179</v>
      </c>
      <c r="G31" s="39">
        <f t="shared" si="6"/>
        <v>0.13826357466063341</v>
      </c>
      <c r="H31" s="39">
        <f t="shared" si="6"/>
        <v>-8.2039305324355757E-2</v>
      </c>
      <c r="I31" s="39">
        <f t="shared" si="6"/>
        <v>1.0555660811432471E-2</v>
      </c>
      <c r="J31" s="39">
        <f t="shared" si="6"/>
        <v>0.18962423333422665</v>
      </c>
      <c r="K31" s="39">
        <f t="shared" si="6"/>
        <v>-3.3995992525383189E-3</v>
      </c>
      <c r="L31" s="39">
        <f t="shared" si="6"/>
        <v>4.0979532824289427E-2</v>
      </c>
      <c r="M31" s="39">
        <f t="shared" si="6"/>
        <v>-6.347656250000018E-2</v>
      </c>
      <c r="N31" s="39">
        <f t="shared" si="6"/>
        <v>0.24266017842660154</v>
      </c>
      <c r="O31" s="39">
        <f t="shared" si="6"/>
        <v>7.1941372815932658E-2</v>
      </c>
      <c r="P31" s="39">
        <f t="shared" si="6"/>
        <v>2.0283552231016688E-2</v>
      </c>
      <c r="Q31" s="39">
        <f t="shared" si="6"/>
        <v>0.11517280182776081</v>
      </c>
      <c r="R31" s="39">
        <f t="shared" si="6"/>
        <v>0.17143687123505491</v>
      </c>
      <c r="S31" s="39">
        <f t="shared" si="6"/>
        <v>-0.24754956342421613</v>
      </c>
      <c r="T31" s="39">
        <f t="shared" si="6"/>
        <v>6.2547699993061742E-2</v>
      </c>
      <c r="U31" s="39">
        <f t="shared" si="6"/>
        <v>0.19889647066505614</v>
      </c>
      <c r="V31" s="39">
        <f t="shared" si="6"/>
        <v>-5.9529969227417413E-2</v>
      </c>
      <c r="W31" s="39">
        <f t="shared" si="6"/>
        <v>-0.38169972491675092</v>
      </c>
      <c r="X31" s="39">
        <f t="shared" si="6"/>
        <v>0.30119889476888489</v>
      </c>
      <c r="Y31" s="39">
        <f t="shared" si="6"/>
        <v>-0.15299897424823219</v>
      </c>
      <c r="Z31" s="39">
        <f t="shared" si="7"/>
        <v>2.8916225805766135E-2</v>
      </c>
    </row>
    <row r="32" spans="1:26" s="25" customFormat="1" ht="13.8" x14ac:dyDescent="0.3">
      <c r="D32" s="39" t="e">
        <f t="shared" si="6"/>
        <v>#VALUE!</v>
      </c>
      <c r="E32" s="39" t="e">
        <f t="shared" si="6"/>
        <v>#DIV/0!</v>
      </c>
      <c r="F32" s="39" t="e">
        <f t="shared" si="6"/>
        <v>#DIV/0!</v>
      </c>
      <c r="G32" s="39" t="e">
        <f t="shared" si="6"/>
        <v>#DIV/0!</v>
      </c>
      <c r="H32" s="39" t="e">
        <f t="shared" si="6"/>
        <v>#DIV/0!</v>
      </c>
      <c r="I32" s="39" t="e">
        <f t="shared" si="6"/>
        <v>#DIV/0!</v>
      </c>
      <c r="J32" s="39" t="e">
        <f t="shared" si="6"/>
        <v>#DIV/0!</v>
      </c>
      <c r="K32" s="39" t="e">
        <f t="shared" si="6"/>
        <v>#DIV/0!</v>
      </c>
      <c r="L32" s="39" t="e">
        <f t="shared" si="6"/>
        <v>#DIV/0!</v>
      </c>
      <c r="M32" s="39" t="e">
        <f t="shared" si="6"/>
        <v>#DIV/0!</v>
      </c>
      <c r="N32" s="39" t="e">
        <f t="shared" si="6"/>
        <v>#DIV/0!</v>
      </c>
      <c r="O32" s="39" t="e">
        <f t="shared" si="6"/>
        <v>#DIV/0!</v>
      </c>
      <c r="P32" s="39" t="e">
        <f t="shared" si="6"/>
        <v>#DIV/0!</v>
      </c>
      <c r="Q32" s="39" t="e">
        <f t="shared" si="6"/>
        <v>#DIV/0!</v>
      </c>
      <c r="R32" s="39" t="e">
        <f t="shared" si="6"/>
        <v>#DIV/0!</v>
      </c>
      <c r="S32" s="39" t="e">
        <f t="shared" si="6"/>
        <v>#DIV/0!</v>
      </c>
      <c r="T32" s="39" t="e">
        <f t="shared" si="6"/>
        <v>#DIV/0!</v>
      </c>
      <c r="U32" s="39" t="e">
        <f t="shared" si="6"/>
        <v>#DIV/0!</v>
      </c>
      <c r="V32" s="39" t="e">
        <f t="shared" si="6"/>
        <v>#DIV/0!</v>
      </c>
      <c r="W32" s="39" t="e">
        <f t="shared" si="6"/>
        <v>#DIV/0!</v>
      </c>
      <c r="X32" s="39" t="e">
        <f t="shared" si="6"/>
        <v>#DIV/0!</v>
      </c>
      <c r="Y32" s="39" t="e">
        <f t="shared" si="6"/>
        <v>#DIV/0!</v>
      </c>
      <c r="Z32" s="39" t="e">
        <f t="shared" si="7"/>
        <v>#DIV/0!</v>
      </c>
    </row>
  </sheetData>
  <conditionalFormatting sqref="D22:Z22">
    <cfRule type="cellIs" dxfId="5" priority="3" operator="between">
      <formula>-0.0009</formula>
      <formula>0.0009</formula>
    </cfRule>
  </conditionalFormatting>
  <conditionalFormatting sqref="D25:Z25">
    <cfRule type="colorScale" priority="2">
      <colorScale>
        <cfvo type="min"/>
        <cfvo type="max"/>
        <color rgb="FFFCFCFF"/>
        <color rgb="FF63BE7B"/>
      </colorScale>
    </cfRule>
  </conditionalFormatting>
  <conditionalFormatting sqref="D27:Z27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Wheat_Mo</vt:lpstr>
      <vt:lpstr>Wheat_Yr</vt:lpstr>
      <vt:lpstr>Durum_Mo</vt:lpstr>
      <vt:lpstr>Durum_Yr</vt:lpstr>
      <vt:lpstr>Canola_Mo</vt:lpstr>
      <vt:lpstr>Canola_Yr</vt:lpstr>
      <vt:lpstr>Barley_Mo</vt:lpstr>
      <vt:lpstr>Barley_Yr</vt:lpstr>
      <vt:lpstr>Oats_Mo</vt:lpstr>
      <vt:lpstr>Oats_Yr</vt:lpstr>
      <vt:lpstr>Soybeans_Mo</vt:lpstr>
      <vt:lpstr>Soybeans_Yr</vt:lpstr>
      <vt:lpstr>Dry peas_Mo</vt:lpstr>
      <vt:lpstr>Dry peas_Yr</vt:lpstr>
      <vt:lpstr>Lentils_Mo</vt:lpstr>
      <vt:lpstr>Lentils_Yr</vt:lpstr>
      <vt:lpstr>Can_Cereals_Yr</vt:lpstr>
      <vt:lpstr>Can_Oilseeds_Yr</vt:lpstr>
      <vt:lpstr>Can_Pulses_Yr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Chilmeran</cp:lastModifiedBy>
  <dcterms:created xsi:type="dcterms:W3CDTF">2026-09-25T03:06:11Z</dcterms:created>
  <dcterms:modified xsi:type="dcterms:W3CDTF">2026-09-25T19:13:16Z</dcterms:modified>
</cp:coreProperties>
</file>